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B6515680-B3C8-4C24-9B72-1575AA7BCAB5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Data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2" l="1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35" i="2" s="1"/>
  <c r="H42" i="2" s="1"/>
  <c r="H49" i="2" s="1"/>
  <c r="H56" i="2" s="1"/>
  <c r="H63" i="2" s="1"/>
  <c r="H70" i="2" s="1"/>
  <c r="H77" i="2" s="1"/>
  <c r="H84" i="2" s="1"/>
  <c r="H91" i="2" s="1"/>
  <c r="H98" i="2" s="1"/>
  <c r="H105" i="2" s="1"/>
  <c r="H112" i="2" s="1"/>
  <c r="H119" i="2" s="1"/>
  <c r="H126" i="2" s="1"/>
  <c r="H133" i="2" s="1"/>
  <c r="H140" i="2" s="1"/>
  <c r="H147" i="2" s="1"/>
  <c r="H154" i="2" s="1"/>
  <c r="H161" i="2" s="1"/>
  <c r="H168" i="2" s="1"/>
  <c r="H175" i="2" s="1"/>
  <c r="H182" i="2" s="1"/>
  <c r="H189" i="2" s="1"/>
  <c r="H196" i="2" s="1"/>
  <c r="H203" i="2" s="1"/>
  <c r="H210" i="2" s="1"/>
  <c r="H217" i="2" s="1"/>
  <c r="H224" i="2" s="1"/>
  <c r="H231" i="2" s="1"/>
  <c r="H238" i="2" s="1"/>
  <c r="H245" i="2" s="1"/>
  <c r="H252" i="2" s="1"/>
  <c r="H259" i="2" s="1"/>
  <c r="H266" i="2" s="1"/>
  <c r="H273" i="2" s="1"/>
  <c r="H280" i="2" s="1"/>
  <c r="H287" i="2" s="1"/>
  <c r="H294" i="2" s="1"/>
  <c r="H301" i="2" s="1"/>
  <c r="H29" i="2"/>
  <c r="H36" i="2" s="1"/>
  <c r="H43" i="2" s="1"/>
  <c r="H50" i="2" s="1"/>
  <c r="H57" i="2" s="1"/>
  <c r="H64" i="2" s="1"/>
  <c r="H71" i="2" s="1"/>
  <c r="H78" i="2" s="1"/>
  <c r="H85" i="2" s="1"/>
  <c r="H92" i="2" s="1"/>
  <c r="H99" i="2" s="1"/>
  <c r="H106" i="2" s="1"/>
  <c r="H113" i="2" s="1"/>
  <c r="H120" i="2" s="1"/>
  <c r="H127" i="2" s="1"/>
  <c r="H134" i="2" s="1"/>
  <c r="H141" i="2" s="1"/>
  <c r="H148" i="2" s="1"/>
  <c r="H155" i="2" s="1"/>
  <c r="H162" i="2" s="1"/>
  <c r="H169" i="2" s="1"/>
  <c r="H176" i="2" s="1"/>
  <c r="H183" i="2" s="1"/>
  <c r="H190" i="2" s="1"/>
  <c r="H197" i="2" s="1"/>
  <c r="H204" i="2" s="1"/>
  <c r="H211" i="2" s="1"/>
  <c r="H218" i="2" s="1"/>
  <c r="H225" i="2" s="1"/>
  <c r="H232" i="2" s="1"/>
  <c r="H239" i="2" s="1"/>
  <c r="H246" i="2" s="1"/>
  <c r="H253" i="2" s="1"/>
  <c r="H260" i="2" s="1"/>
  <c r="H267" i="2" s="1"/>
  <c r="H274" i="2" s="1"/>
  <c r="H281" i="2" s="1"/>
  <c r="H288" i="2" s="1"/>
  <c r="H295" i="2" s="1"/>
  <c r="H302" i="2" s="1"/>
  <c r="H30" i="2"/>
  <c r="H37" i="2" s="1"/>
  <c r="H44" i="2" s="1"/>
  <c r="H51" i="2" s="1"/>
  <c r="H58" i="2" s="1"/>
  <c r="H65" i="2" s="1"/>
  <c r="H72" i="2" s="1"/>
  <c r="H79" i="2" s="1"/>
  <c r="H86" i="2" s="1"/>
  <c r="H93" i="2" s="1"/>
  <c r="H100" i="2" s="1"/>
  <c r="H107" i="2" s="1"/>
  <c r="H114" i="2" s="1"/>
  <c r="H121" i="2" s="1"/>
  <c r="H128" i="2" s="1"/>
  <c r="H135" i="2" s="1"/>
  <c r="H142" i="2" s="1"/>
  <c r="H149" i="2" s="1"/>
  <c r="H156" i="2" s="1"/>
  <c r="H163" i="2" s="1"/>
  <c r="H170" i="2" s="1"/>
  <c r="H177" i="2" s="1"/>
  <c r="H184" i="2" s="1"/>
  <c r="H191" i="2" s="1"/>
  <c r="H198" i="2" s="1"/>
  <c r="H205" i="2" s="1"/>
  <c r="H212" i="2" s="1"/>
  <c r="H219" i="2" s="1"/>
  <c r="H226" i="2" s="1"/>
  <c r="H233" i="2" s="1"/>
  <c r="H240" i="2" s="1"/>
  <c r="H247" i="2" s="1"/>
  <c r="H254" i="2" s="1"/>
  <c r="H261" i="2" s="1"/>
  <c r="H268" i="2" s="1"/>
  <c r="H275" i="2" s="1"/>
  <c r="H282" i="2" s="1"/>
  <c r="H289" i="2" s="1"/>
  <c r="H296" i="2" s="1"/>
  <c r="H31" i="2"/>
  <c r="H38" i="2" s="1"/>
  <c r="H45" i="2" s="1"/>
  <c r="H52" i="2" s="1"/>
  <c r="H59" i="2" s="1"/>
  <c r="H66" i="2" s="1"/>
  <c r="H73" i="2" s="1"/>
  <c r="H80" i="2" s="1"/>
  <c r="H87" i="2" s="1"/>
  <c r="H94" i="2" s="1"/>
  <c r="H101" i="2" s="1"/>
  <c r="H108" i="2" s="1"/>
  <c r="H115" i="2" s="1"/>
  <c r="H122" i="2" s="1"/>
  <c r="H129" i="2" s="1"/>
  <c r="H136" i="2" s="1"/>
  <c r="H143" i="2" s="1"/>
  <c r="H150" i="2" s="1"/>
  <c r="H157" i="2" s="1"/>
  <c r="H164" i="2" s="1"/>
  <c r="H171" i="2" s="1"/>
  <c r="H178" i="2" s="1"/>
  <c r="H185" i="2" s="1"/>
  <c r="H192" i="2" s="1"/>
  <c r="H199" i="2" s="1"/>
  <c r="H206" i="2" s="1"/>
  <c r="H213" i="2" s="1"/>
  <c r="H220" i="2" s="1"/>
  <c r="H227" i="2" s="1"/>
  <c r="H234" i="2" s="1"/>
  <c r="H241" i="2" s="1"/>
  <c r="H248" i="2" s="1"/>
  <c r="H255" i="2" s="1"/>
  <c r="H262" i="2" s="1"/>
  <c r="H269" i="2" s="1"/>
  <c r="H276" i="2" s="1"/>
  <c r="H283" i="2" s="1"/>
  <c r="H290" i="2" s="1"/>
  <c r="H297" i="2" s="1"/>
  <c r="H32" i="2"/>
  <c r="H39" i="2" s="1"/>
  <c r="H46" i="2" s="1"/>
  <c r="H53" i="2" s="1"/>
  <c r="H60" i="2" s="1"/>
  <c r="H67" i="2" s="1"/>
  <c r="H74" i="2" s="1"/>
  <c r="H81" i="2" s="1"/>
  <c r="H88" i="2" s="1"/>
  <c r="H95" i="2" s="1"/>
  <c r="H102" i="2" s="1"/>
  <c r="H109" i="2" s="1"/>
  <c r="H116" i="2" s="1"/>
  <c r="H123" i="2" s="1"/>
  <c r="H130" i="2" s="1"/>
  <c r="H137" i="2" s="1"/>
  <c r="H144" i="2" s="1"/>
  <c r="H151" i="2" s="1"/>
  <c r="H158" i="2" s="1"/>
  <c r="H165" i="2" s="1"/>
  <c r="H172" i="2" s="1"/>
  <c r="H179" i="2" s="1"/>
  <c r="H186" i="2" s="1"/>
  <c r="H193" i="2" s="1"/>
  <c r="H200" i="2" s="1"/>
  <c r="H207" i="2" s="1"/>
  <c r="H214" i="2" s="1"/>
  <c r="H221" i="2" s="1"/>
  <c r="H228" i="2" s="1"/>
  <c r="H235" i="2" s="1"/>
  <c r="H242" i="2" s="1"/>
  <c r="H249" i="2" s="1"/>
  <c r="H256" i="2" s="1"/>
  <c r="H263" i="2" s="1"/>
  <c r="H270" i="2" s="1"/>
  <c r="H277" i="2" s="1"/>
  <c r="H284" i="2" s="1"/>
  <c r="H291" i="2" s="1"/>
  <c r="H298" i="2" s="1"/>
  <c r="H33" i="2"/>
  <c r="H40" i="2" s="1"/>
  <c r="H47" i="2" s="1"/>
  <c r="H54" i="2" s="1"/>
  <c r="H61" i="2" s="1"/>
  <c r="H68" i="2" s="1"/>
  <c r="H75" i="2" s="1"/>
  <c r="H82" i="2" s="1"/>
  <c r="H89" i="2" s="1"/>
  <c r="H96" i="2" s="1"/>
  <c r="H103" i="2" s="1"/>
  <c r="H110" i="2" s="1"/>
  <c r="H117" i="2" s="1"/>
  <c r="H124" i="2" s="1"/>
  <c r="H131" i="2" s="1"/>
  <c r="H138" i="2" s="1"/>
  <c r="H145" i="2" s="1"/>
  <c r="H152" i="2" s="1"/>
  <c r="H159" i="2" s="1"/>
  <c r="H166" i="2" s="1"/>
  <c r="H173" i="2" s="1"/>
  <c r="H180" i="2" s="1"/>
  <c r="H187" i="2" s="1"/>
  <c r="H194" i="2" s="1"/>
  <c r="H201" i="2" s="1"/>
  <c r="H208" i="2" s="1"/>
  <c r="H215" i="2" s="1"/>
  <c r="H222" i="2" s="1"/>
  <c r="H229" i="2" s="1"/>
  <c r="H236" i="2" s="1"/>
  <c r="H243" i="2" s="1"/>
  <c r="H250" i="2" s="1"/>
  <c r="H257" i="2" s="1"/>
  <c r="H264" i="2" s="1"/>
  <c r="H271" i="2" s="1"/>
  <c r="H278" i="2" s="1"/>
  <c r="H285" i="2" s="1"/>
  <c r="H292" i="2" s="1"/>
  <c r="H299" i="2" s="1"/>
  <c r="H34" i="2"/>
  <c r="H41" i="2" s="1"/>
  <c r="H48" i="2" s="1"/>
  <c r="H55" i="2" s="1"/>
  <c r="H62" i="2" s="1"/>
  <c r="H69" i="2" s="1"/>
  <c r="H76" i="2" s="1"/>
  <c r="H83" i="2" s="1"/>
  <c r="H90" i="2" s="1"/>
  <c r="H97" i="2" s="1"/>
  <c r="H104" i="2" s="1"/>
  <c r="H111" i="2" s="1"/>
  <c r="H118" i="2" s="1"/>
  <c r="H125" i="2" s="1"/>
  <c r="H132" i="2" s="1"/>
  <c r="H139" i="2" s="1"/>
  <c r="H146" i="2" s="1"/>
  <c r="H153" i="2" s="1"/>
  <c r="H160" i="2" s="1"/>
  <c r="H167" i="2" s="1"/>
  <c r="H174" i="2" s="1"/>
  <c r="H181" i="2" s="1"/>
  <c r="H188" i="2" s="1"/>
  <c r="H195" i="2" s="1"/>
  <c r="H202" i="2" s="1"/>
  <c r="H209" i="2" s="1"/>
  <c r="H216" i="2" s="1"/>
  <c r="H223" i="2" s="1"/>
  <c r="H230" i="2" s="1"/>
  <c r="H237" i="2" s="1"/>
  <c r="H244" i="2" s="1"/>
  <c r="H251" i="2" s="1"/>
  <c r="H258" i="2" s="1"/>
  <c r="H265" i="2" s="1"/>
  <c r="H272" i="2" s="1"/>
  <c r="H279" i="2" s="1"/>
  <c r="H286" i="2" s="1"/>
  <c r="H293" i="2" s="1"/>
  <c r="H300" i="2" s="1"/>
  <c r="H10" i="2"/>
  <c r="N3" i="2"/>
  <c r="C203" i="2"/>
  <c r="C204" i="2" s="1"/>
  <c r="C205" i="2" s="1"/>
  <c r="C206" i="2" s="1"/>
  <c r="C207" i="2" s="1"/>
  <c r="C208" i="2" s="1"/>
  <c r="C209" i="2" s="1"/>
  <c r="C210" i="2" s="1"/>
  <c r="C211" i="2" s="1"/>
  <c r="C212" i="2" s="1"/>
  <c r="C213" i="2" s="1"/>
  <c r="C214" i="2" s="1"/>
  <c r="C215" i="2" s="1"/>
  <c r="C216" i="2" s="1"/>
  <c r="C217" i="2" s="1"/>
  <c r="C218" i="2" s="1"/>
  <c r="C219" i="2" s="1"/>
  <c r="C220" i="2" s="1"/>
  <c r="C221" i="2" s="1"/>
  <c r="C222" i="2" s="1"/>
  <c r="C223" i="2" s="1"/>
  <c r="C224" i="2" s="1"/>
  <c r="C225" i="2" s="1"/>
  <c r="C226" i="2" s="1"/>
  <c r="C227" i="2" s="1"/>
  <c r="C228" i="2" s="1"/>
  <c r="C229" i="2" s="1"/>
  <c r="C230" i="2" s="1"/>
  <c r="C231" i="2" s="1"/>
  <c r="C232" i="2" s="1"/>
  <c r="C233" i="2" s="1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C249" i="2" s="1"/>
  <c r="C250" i="2" s="1"/>
  <c r="C251" i="2" s="1"/>
  <c r="C202" i="2"/>
  <c r="B253" i="2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252" i="2"/>
  <c r="B203" i="2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02" i="2"/>
  <c r="B103" i="2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102" i="2"/>
  <c r="C40" i="2"/>
  <c r="C42" i="2" s="1"/>
  <c r="C44" i="2" s="1"/>
  <c r="C46" i="2" s="1"/>
  <c r="C48" i="2" s="1"/>
  <c r="C50" i="2" s="1"/>
  <c r="C52" i="2" s="1"/>
  <c r="C54" i="2" s="1"/>
  <c r="C56" i="2" s="1"/>
  <c r="C58" i="2" s="1"/>
  <c r="C60" i="2" s="1"/>
  <c r="C62" i="2" s="1"/>
  <c r="C64" i="2" s="1"/>
  <c r="C66" i="2" s="1"/>
  <c r="C68" i="2" s="1"/>
  <c r="C70" i="2" s="1"/>
  <c r="C72" i="2" s="1"/>
  <c r="C74" i="2" s="1"/>
  <c r="C76" i="2" s="1"/>
  <c r="C78" i="2" s="1"/>
  <c r="C80" i="2" s="1"/>
  <c r="C82" i="2" s="1"/>
  <c r="C84" i="2" s="1"/>
  <c r="C86" i="2" s="1"/>
  <c r="C88" i="2" s="1"/>
  <c r="C90" i="2" s="1"/>
  <c r="C92" i="2" s="1"/>
  <c r="C94" i="2" s="1"/>
  <c r="C96" i="2" s="1"/>
  <c r="C98" i="2" s="1"/>
  <c r="C100" i="2" s="1"/>
  <c r="C102" i="2" s="1"/>
  <c r="C104" i="2" s="1"/>
  <c r="C106" i="2" s="1"/>
  <c r="C108" i="2" s="1"/>
  <c r="C110" i="2" s="1"/>
  <c r="C112" i="2" s="1"/>
  <c r="C114" i="2" s="1"/>
  <c r="C116" i="2" s="1"/>
  <c r="C118" i="2" s="1"/>
  <c r="C120" i="2" s="1"/>
  <c r="C122" i="2" s="1"/>
  <c r="C124" i="2" s="1"/>
  <c r="C126" i="2" s="1"/>
  <c r="C128" i="2" s="1"/>
  <c r="C130" i="2" s="1"/>
  <c r="C132" i="2" s="1"/>
  <c r="C134" i="2" s="1"/>
  <c r="C136" i="2" s="1"/>
  <c r="C138" i="2" s="1"/>
  <c r="C140" i="2" s="1"/>
  <c r="C142" i="2" s="1"/>
  <c r="C144" i="2" s="1"/>
  <c r="C146" i="2" s="1"/>
  <c r="C148" i="2" s="1"/>
  <c r="C150" i="2" s="1"/>
  <c r="C152" i="2" s="1"/>
  <c r="C154" i="2" s="1"/>
  <c r="C156" i="2" s="1"/>
  <c r="C158" i="2" s="1"/>
  <c r="C160" i="2" s="1"/>
  <c r="C162" i="2" s="1"/>
  <c r="C164" i="2" s="1"/>
  <c r="C166" i="2" s="1"/>
  <c r="C168" i="2" s="1"/>
  <c r="C170" i="2" s="1"/>
  <c r="C172" i="2" s="1"/>
  <c r="C174" i="2" s="1"/>
  <c r="C176" i="2" s="1"/>
  <c r="C178" i="2" s="1"/>
  <c r="C180" i="2" s="1"/>
  <c r="C182" i="2" s="1"/>
  <c r="C184" i="2" s="1"/>
  <c r="C186" i="2" s="1"/>
  <c r="C188" i="2" s="1"/>
  <c r="C190" i="2" s="1"/>
  <c r="C192" i="2" s="1"/>
  <c r="C194" i="2" s="1"/>
  <c r="C196" i="2" s="1"/>
  <c r="C198" i="2" s="1"/>
  <c r="C200" i="2" s="1"/>
  <c r="C41" i="2"/>
  <c r="C43" i="2" s="1"/>
  <c r="C45" i="2" s="1"/>
  <c r="C47" i="2" s="1"/>
  <c r="C49" i="2" s="1"/>
  <c r="C51" i="2" s="1"/>
  <c r="C53" i="2" s="1"/>
  <c r="C55" i="2" s="1"/>
  <c r="C57" i="2" s="1"/>
  <c r="C59" i="2" s="1"/>
  <c r="C61" i="2" s="1"/>
  <c r="C63" i="2" s="1"/>
  <c r="C65" i="2" s="1"/>
  <c r="C67" i="2" s="1"/>
  <c r="C69" i="2" s="1"/>
  <c r="C71" i="2" s="1"/>
  <c r="C73" i="2" s="1"/>
  <c r="C75" i="2" s="1"/>
  <c r="C77" i="2" s="1"/>
  <c r="C79" i="2" s="1"/>
  <c r="C81" i="2" s="1"/>
  <c r="C83" i="2" s="1"/>
  <c r="C85" i="2" s="1"/>
  <c r="C87" i="2" s="1"/>
  <c r="C89" i="2" s="1"/>
  <c r="C91" i="2" s="1"/>
  <c r="C93" i="2" s="1"/>
  <c r="C95" i="2" s="1"/>
  <c r="C97" i="2" s="1"/>
  <c r="C99" i="2" s="1"/>
  <c r="C101" i="2" s="1"/>
  <c r="C103" i="2" s="1"/>
  <c r="C105" i="2" s="1"/>
  <c r="C107" i="2" s="1"/>
  <c r="C109" i="2" s="1"/>
  <c r="C111" i="2" s="1"/>
  <c r="C113" i="2" s="1"/>
  <c r="C115" i="2" s="1"/>
  <c r="C117" i="2" s="1"/>
  <c r="C119" i="2" s="1"/>
  <c r="C121" i="2" s="1"/>
  <c r="C123" i="2" s="1"/>
  <c r="C125" i="2" s="1"/>
  <c r="C127" i="2" s="1"/>
  <c r="C129" i="2" s="1"/>
  <c r="C131" i="2" s="1"/>
  <c r="C133" i="2" s="1"/>
  <c r="C135" i="2" s="1"/>
  <c r="C137" i="2" s="1"/>
  <c r="C139" i="2" s="1"/>
  <c r="C141" i="2" s="1"/>
  <c r="C143" i="2" s="1"/>
  <c r="C145" i="2" s="1"/>
  <c r="C147" i="2" s="1"/>
  <c r="C149" i="2" s="1"/>
  <c r="C151" i="2" s="1"/>
  <c r="C153" i="2" s="1"/>
  <c r="C155" i="2" s="1"/>
  <c r="C157" i="2" s="1"/>
  <c r="C159" i="2" s="1"/>
  <c r="C161" i="2" s="1"/>
  <c r="C163" i="2" s="1"/>
  <c r="C165" i="2" s="1"/>
  <c r="C167" i="2" s="1"/>
  <c r="C169" i="2" s="1"/>
  <c r="C171" i="2" s="1"/>
  <c r="C173" i="2" s="1"/>
  <c r="C175" i="2" s="1"/>
  <c r="C177" i="2" s="1"/>
  <c r="C179" i="2" s="1"/>
  <c r="C181" i="2" s="1"/>
  <c r="C183" i="2" s="1"/>
  <c r="C185" i="2" s="1"/>
  <c r="C187" i="2" s="1"/>
  <c r="C189" i="2" s="1"/>
  <c r="C191" i="2" s="1"/>
  <c r="C193" i="2" s="1"/>
  <c r="C195" i="2" s="1"/>
  <c r="C197" i="2" s="1"/>
  <c r="C199" i="2" s="1"/>
  <c r="C201" i="2" s="1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25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0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15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0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52" i="2"/>
  <c r="B82" i="2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D204" i="2"/>
  <c r="D205" i="2" s="1"/>
  <c r="D206" i="2" s="1"/>
  <c r="D207" i="2" s="1"/>
  <c r="D208" i="2" s="1"/>
  <c r="D209" i="2" s="1"/>
  <c r="D210" i="2" s="1"/>
  <c r="D211" i="2" s="1"/>
  <c r="D212" i="2" s="1"/>
  <c r="D213" i="2" s="1"/>
  <c r="D214" i="2" s="1"/>
  <c r="D215" i="2" s="1"/>
  <c r="D216" i="2" s="1"/>
  <c r="D217" i="2" s="1"/>
  <c r="D218" i="2" s="1"/>
  <c r="D219" i="2" s="1"/>
  <c r="D220" i="2" s="1"/>
  <c r="D221" i="2" s="1"/>
  <c r="D222" i="2" s="1"/>
  <c r="D223" i="2" s="1"/>
  <c r="D224" i="2" s="1"/>
  <c r="D225" i="2" s="1"/>
  <c r="D226" i="2" s="1"/>
  <c r="D227" i="2" s="1"/>
  <c r="D228" i="2" s="1"/>
  <c r="D229" i="2" s="1"/>
  <c r="D230" i="2" s="1"/>
  <c r="D231" i="2" s="1"/>
  <c r="D232" i="2" s="1"/>
  <c r="D233" i="2" s="1"/>
  <c r="D234" i="2" s="1"/>
  <c r="D235" i="2" s="1"/>
  <c r="D236" i="2" s="1"/>
  <c r="D237" i="2" s="1"/>
  <c r="D238" i="2" s="1"/>
  <c r="D239" i="2" s="1"/>
  <c r="D240" i="2" s="1"/>
  <c r="D241" i="2" s="1"/>
  <c r="D242" i="2" s="1"/>
  <c r="D243" i="2" s="1"/>
  <c r="D244" i="2" s="1"/>
  <c r="D245" i="2" s="1"/>
  <c r="D246" i="2" s="1"/>
  <c r="D247" i="2" s="1"/>
  <c r="D248" i="2" s="1"/>
  <c r="D249" i="2" s="1"/>
  <c r="D250" i="2" s="1"/>
  <c r="D251" i="2" s="1"/>
  <c r="D252" i="2" s="1"/>
  <c r="D253" i="2" s="1"/>
  <c r="D254" i="2" s="1"/>
  <c r="D255" i="2" s="1"/>
  <c r="D256" i="2" s="1"/>
  <c r="D257" i="2" s="1"/>
  <c r="D258" i="2" s="1"/>
  <c r="D259" i="2" s="1"/>
  <c r="D260" i="2" s="1"/>
  <c r="D261" i="2" s="1"/>
  <c r="D262" i="2" s="1"/>
  <c r="D263" i="2" s="1"/>
  <c r="D264" i="2" s="1"/>
  <c r="D265" i="2" s="1"/>
  <c r="D266" i="2" s="1"/>
  <c r="D267" i="2" s="1"/>
  <c r="D268" i="2" s="1"/>
  <c r="D269" i="2" s="1"/>
  <c r="D270" i="2" s="1"/>
  <c r="D271" i="2" s="1"/>
  <c r="D272" i="2" s="1"/>
  <c r="D273" i="2" s="1"/>
  <c r="D274" i="2" s="1"/>
  <c r="D275" i="2" s="1"/>
  <c r="D276" i="2" s="1"/>
  <c r="D277" i="2" s="1"/>
  <c r="D278" i="2" s="1"/>
  <c r="D279" i="2" s="1"/>
  <c r="D280" i="2" s="1"/>
  <c r="D281" i="2" s="1"/>
  <c r="D282" i="2" s="1"/>
  <c r="D283" i="2" s="1"/>
  <c r="D284" i="2" s="1"/>
  <c r="D285" i="2" s="1"/>
  <c r="D286" i="2" s="1"/>
  <c r="D287" i="2" s="1"/>
  <c r="D288" i="2" s="1"/>
  <c r="D289" i="2" s="1"/>
  <c r="D290" i="2" s="1"/>
  <c r="D291" i="2" s="1"/>
  <c r="D292" i="2" s="1"/>
  <c r="D293" i="2" s="1"/>
  <c r="D294" i="2" s="1"/>
  <c r="D295" i="2" s="1"/>
  <c r="D296" i="2" s="1"/>
  <c r="D297" i="2" s="1"/>
  <c r="D298" i="2" s="1"/>
  <c r="D299" i="2" s="1"/>
  <c r="D300" i="2" s="1"/>
  <c r="D301" i="2" s="1"/>
  <c r="D302" i="2" s="1"/>
  <c r="D203" i="2"/>
  <c r="F203" i="2"/>
  <c r="F204" i="2"/>
  <c r="F205" i="2"/>
  <c r="F206" i="2"/>
  <c r="F207" i="2"/>
  <c r="F227" i="2" s="1"/>
  <c r="F247" i="2" s="1"/>
  <c r="F267" i="2" s="1"/>
  <c r="F287" i="2" s="1"/>
  <c r="F208" i="2"/>
  <c r="F228" i="2" s="1"/>
  <c r="F248" i="2" s="1"/>
  <c r="F268" i="2" s="1"/>
  <c r="F288" i="2" s="1"/>
  <c r="F209" i="2"/>
  <c r="F229" i="2" s="1"/>
  <c r="F249" i="2" s="1"/>
  <c r="F269" i="2" s="1"/>
  <c r="F289" i="2" s="1"/>
  <c r="F210" i="2"/>
  <c r="F230" i="2" s="1"/>
  <c r="F250" i="2" s="1"/>
  <c r="F270" i="2" s="1"/>
  <c r="F290" i="2" s="1"/>
  <c r="F211" i="2"/>
  <c r="F231" i="2" s="1"/>
  <c r="F251" i="2" s="1"/>
  <c r="F271" i="2" s="1"/>
  <c r="F291" i="2" s="1"/>
  <c r="F212" i="2"/>
  <c r="F232" i="2" s="1"/>
  <c r="F252" i="2" s="1"/>
  <c r="F272" i="2" s="1"/>
  <c r="F292" i="2" s="1"/>
  <c r="F213" i="2"/>
  <c r="F233" i="2" s="1"/>
  <c r="F253" i="2" s="1"/>
  <c r="F273" i="2" s="1"/>
  <c r="F293" i="2" s="1"/>
  <c r="F214" i="2"/>
  <c r="F234" i="2" s="1"/>
  <c r="F254" i="2" s="1"/>
  <c r="F274" i="2" s="1"/>
  <c r="F294" i="2" s="1"/>
  <c r="F215" i="2"/>
  <c r="F235" i="2" s="1"/>
  <c r="F255" i="2" s="1"/>
  <c r="F275" i="2" s="1"/>
  <c r="F295" i="2" s="1"/>
  <c r="F216" i="2"/>
  <c r="F236" i="2" s="1"/>
  <c r="F256" i="2" s="1"/>
  <c r="F276" i="2" s="1"/>
  <c r="F296" i="2" s="1"/>
  <c r="F217" i="2"/>
  <c r="F237" i="2" s="1"/>
  <c r="F257" i="2" s="1"/>
  <c r="F277" i="2" s="1"/>
  <c r="F297" i="2" s="1"/>
  <c r="F218" i="2"/>
  <c r="F238" i="2" s="1"/>
  <c r="F258" i="2" s="1"/>
  <c r="F278" i="2" s="1"/>
  <c r="F298" i="2" s="1"/>
  <c r="F219" i="2"/>
  <c r="F239" i="2" s="1"/>
  <c r="F259" i="2" s="1"/>
  <c r="F279" i="2" s="1"/>
  <c r="F299" i="2" s="1"/>
  <c r="F220" i="2"/>
  <c r="F240" i="2" s="1"/>
  <c r="F260" i="2" s="1"/>
  <c r="F280" i="2" s="1"/>
  <c r="F300" i="2" s="1"/>
  <c r="F221" i="2"/>
  <c r="F241" i="2" s="1"/>
  <c r="F261" i="2" s="1"/>
  <c r="F281" i="2" s="1"/>
  <c r="F301" i="2" s="1"/>
  <c r="F222" i="2"/>
  <c r="F242" i="2" s="1"/>
  <c r="F262" i="2" s="1"/>
  <c r="F282" i="2" s="1"/>
  <c r="F302" i="2" s="1"/>
  <c r="F223" i="2"/>
  <c r="F243" i="2" s="1"/>
  <c r="F263" i="2" s="1"/>
  <c r="F283" i="2" s="1"/>
  <c r="F224" i="2"/>
  <c r="F244" i="2" s="1"/>
  <c r="F264" i="2" s="1"/>
  <c r="F284" i="2" s="1"/>
  <c r="F225" i="2"/>
  <c r="F245" i="2" s="1"/>
  <c r="F265" i="2" s="1"/>
  <c r="F285" i="2" s="1"/>
  <c r="F226" i="2"/>
  <c r="F246" i="2" s="1"/>
  <c r="F266" i="2" s="1"/>
  <c r="F286" i="2" s="1"/>
  <c r="F202" i="2"/>
  <c r="F103" i="2"/>
  <c r="F104" i="2"/>
  <c r="F105" i="2"/>
  <c r="F106" i="2"/>
  <c r="F107" i="2"/>
  <c r="F127" i="2" s="1"/>
  <c r="F147" i="2" s="1"/>
  <c r="F167" i="2" s="1"/>
  <c r="F187" i="2" s="1"/>
  <c r="F108" i="2"/>
  <c r="F128" i="2" s="1"/>
  <c r="F148" i="2" s="1"/>
  <c r="F168" i="2" s="1"/>
  <c r="F188" i="2" s="1"/>
  <c r="F109" i="2"/>
  <c r="F129" i="2" s="1"/>
  <c r="F149" i="2" s="1"/>
  <c r="F169" i="2" s="1"/>
  <c r="F189" i="2" s="1"/>
  <c r="F110" i="2"/>
  <c r="F130" i="2" s="1"/>
  <c r="F150" i="2" s="1"/>
  <c r="F170" i="2" s="1"/>
  <c r="F190" i="2" s="1"/>
  <c r="F111" i="2"/>
  <c r="F131" i="2" s="1"/>
  <c r="F151" i="2" s="1"/>
  <c r="F171" i="2" s="1"/>
  <c r="F191" i="2" s="1"/>
  <c r="F112" i="2"/>
  <c r="F132" i="2" s="1"/>
  <c r="F152" i="2" s="1"/>
  <c r="F172" i="2" s="1"/>
  <c r="F192" i="2" s="1"/>
  <c r="F113" i="2"/>
  <c r="F133" i="2" s="1"/>
  <c r="F153" i="2" s="1"/>
  <c r="F173" i="2" s="1"/>
  <c r="F193" i="2" s="1"/>
  <c r="F114" i="2"/>
  <c r="F134" i="2" s="1"/>
  <c r="F154" i="2" s="1"/>
  <c r="F174" i="2" s="1"/>
  <c r="F194" i="2" s="1"/>
  <c r="F115" i="2"/>
  <c r="F135" i="2" s="1"/>
  <c r="F155" i="2" s="1"/>
  <c r="F175" i="2" s="1"/>
  <c r="F195" i="2" s="1"/>
  <c r="F116" i="2"/>
  <c r="F136" i="2" s="1"/>
  <c r="F156" i="2" s="1"/>
  <c r="F176" i="2" s="1"/>
  <c r="F196" i="2" s="1"/>
  <c r="F117" i="2"/>
  <c r="F137" i="2" s="1"/>
  <c r="F157" i="2" s="1"/>
  <c r="F177" i="2" s="1"/>
  <c r="F197" i="2" s="1"/>
  <c r="F118" i="2"/>
  <c r="F138" i="2" s="1"/>
  <c r="F158" i="2" s="1"/>
  <c r="F178" i="2" s="1"/>
  <c r="F198" i="2" s="1"/>
  <c r="F119" i="2"/>
  <c r="F139" i="2" s="1"/>
  <c r="F159" i="2" s="1"/>
  <c r="F179" i="2" s="1"/>
  <c r="F199" i="2" s="1"/>
  <c r="F120" i="2"/>
  <c r="F140" i="2" s="1"/>
  <c r="F160" i="2" s="1"/>
  <c r="F180" i="2" s="1"/>
  <c r="F200" i="2" s="1"/>
  <c r="F121" i="2"/>
  <c r="F141" i="2" s="1"/>
  <c r="F161" i="2" s="1"/>
  <c r="F181" i="2" s="1"/>
  <c r="F201" i="2" s="1"/>
  <c r="F122" i="2"/>
  <c r="F142" i="2" s="1"/>
  <c r="F162" i="2" s="1"/>
  <c r="F182" i="2" s="1"/>
  <c r="F123" i="2"/>
  <c r="F143" i="2" s="1"/>
  <c r="F163" i="2" s="1"/>
  <c r="F183" i="2" s="1"/>
  <c r="F124" i="2"/>
  <c r="F144" i="2" s="1"/>
  <c r="F164" i="2" s="1"/>
  <c r="F184" i="2" s="1"/>
  <c r="F125" i="2"/>
  <c r="F145" i="2" s="1"/>
  <c r="F165" i="2" s="1"/>
  <c r="F185" i="2" s="1"/>
  <c r="F126" i="2"/>
  <c r="F146" i="2" s="1"/>
  <c r="F166" i="2" s="1"/>
  <c r="F186" i="2" s="1"/>
  <c r="F102" i="2"/>
  <c r="E43" i="2"/>
  <c r="E44" i="2"/>
  <c r="E45" i="2"/>
  <c r="E46" i="2"/>
  <c r="E47" i="2"/>
  <c r="E67" i="2" s="1"/>
  <c r="E87" i="2" s="1"/>
  <c r="E107" i="2" s="1"/>
  <c r="E127" i="2" s="1"/>
  <c r="E48" i="2"/>
  <c r="E68" i="2" s="1"/>
  <c r="E88" i="2" s="1"/>
  <c r="E108" i="2" s="1"/>
  <c r="E128" i="2" s="1"/>
  <c r="E49" i="2"/>
  <c r="E69" i="2" s="1"/>
  <c r="E89" i="2" s="1"/>
  <c r="E109" i="2" s="1"/>
  <c r="E129" i="2" s="1"/>
  <c r="E50" i="2"/>
  <c r="E70" i="2" s="1"/>
  <c r="E90" i="2" s="1"/>
  <c r="E110" i="2" s="1"/>
  <c r="E130" i="2" s="1"/>
  <c r="E51" i="2"/>
  <c r="E71" i="2" s="1"/>
  <c r="E91" i="2" s="1"/>
  <c r="E111" i="2" s="1"/>
  <c r="E131" i="2" s="1"/>
  <c r="E52" i="2"/>
  <c r="E72" i="2" s="1"/>
  <c r="E92" i="2" s="1"/>
  <c r="E112" i="2" s="1"/>
  <c r="E132" i="2" s="1"/>
  <c r="E53" i="2"/>
  <c r="E73" i="2" s="1"/>
  <c r="E93" i="2" s="1"/>
  <c r="E113" i="2" s="1"/>
  <c r="E133" i="2" s="1"/>
  <c r="E54" i="2"/>
  <c r="E74" i="2" s="1"/>
  <c r="E94" i="2" s="1"/>
  <c r="E114" i="2" s="1"/>
  <c r="E134" i="2" s="1"/>
  <c r="E55" i="2"/>
  <c r="E75" i="2" s="1"/>
  <c r="E95" i="2" s="1"/>
  <c r="E115" i="2" s="1"/>
  <c r="E135" i="2" s="1"/>
  <c r="E56" i="2"/>
  <c r="E76" i="2" s="1"/>
  <c r="E96" i="2" s="1"/>
  <c r="E116" i="2" s="1"/>
  <c r="E136" i="2" s="1"/>
  <c r="E57" i="2"/>
  <c r="E77" i="2" s="1"/>
  <c r="E97" i="2" s="1"/>
  <c r="E117" i="2" s="1"/>
  <c r="E137" i="2" s="1"/>
  <c r="E58" i="2"/>
  <c r="E78" i="2" s="1"/>
  <c r="E98" i="2" s="1"/>
  <c r="E118" i="2" s="1"/>
  <c r="E138" i="2" s="1"/>
  <c r="E59" i="2"/>
  <c r="E79" i="2" s="1"/>
  <c r="E99" i="2" s="1"/>
  <c r="E119" i="2" s="1"/>
  <c r="E139" i="2" s="1"/>
  <c r="E60" i="2"/>
  <c r="E80" i="2" s="1"/>
  <c r="E100" i="2" s="1"/>
  <c r="E120" i="2" s="1"/>
  <c r="E140" i="2" s="1"/>
  <c r="E61" i="2"/>
  <c r="E81" i="2" s="1"/>
  <c r="E101" i="2" s="1"/>
  <c r="E121" i="2" s="1"/>
  <c r="E141" i="2" s="1"/>
  <c r="E62" i="2"/>
  <c r="E82" i="2" s="1"/>
  <c r="E102" i="2" s="1"/>
  <c r="E122" i="2" s="1"/>
  <c r="E63" i="2"/>
  <c r="E83" i="2" s="1"/>
  <c r="E103" i="2" s="1"/>
  <c r="E123" i="2" s="1"/>
  <c r="E64" i="2"/>
  <c r="E84" i="2" s="1"/>
  <c r="E104" i="2" s="1"/>
  <c r="E124" i="2" s="1"/>
  <c r="E65" i="2"/>
  <c r="E85" i="2" s="1"/>
  <c r="E105" i="2" s="1"/>
  <c r="E125" i="2" s="1"/>
  <c r="E66" i="2"/>
  <c r="E86" i="2" s="1"/>
  <c r="E106" i="2" s="1"/>
  <c r="E126" i="2" s="1"/>
  <c r="E42" i="2"/>
  <c r="D183" i="2"/>
  <c r="D184" i="2" s="1"/>
  <c r="D185" i="2" s="1"/>
  <c r="D186" i="2" s="1"/>
  <c r="D187" i="2" s="1"/>
  <c r="D188" i="2" s="1"/>
  <c r="D189" i="2" s="1"/>
  <c r="D190" i="2" s="1"/>
  <c r="D191" i="2" s="1"/>
  <c r="D192" i="2" s="1"/>
  <c r="D193" i="2" s="1"/>
  <c r="D194" i="2" s="1"/>
  <c r="D195" i="2" s="1"/>
  <c r="D196" i="2" s="1"/>
  <c r="D197" i="2" s="1"/>
  <c r="D198" i="2" s="1"/>
  <c r="D199" i="2" s="1"/>
  <c r="D200" i="2" s="1"/>
  <c r="D201" i="2" s="1"/>
  <c r="D182" i="2"/>
  <c r="D163" i="2"/>
  <c r="D164" i="2" s="1"/>
  <c r="D165" i="2" s="1"/>
  <c r="D166" i="2" s="1"/>
  <c r="D167" i="2" s="1"/>
  <c r="D168" i="2" s="1"/>
  <c r="D169" i="2" s="1"/>
  <c r="D170" i="2" s="1"/>
  <c r="D171" i="2" s="1"/>
  <c r="D172" i="2" s="1"/>
  <c r="D173" i="2" s="1"/>
  <c r="D174" i="2" s="1"/>
  <c r="D175" i="2" s="1"/>
  <c r="D176" i="2" s="1"/>
  <c r="D177" i="2" s="1"/>
  <c r="D178" i="2" s="1"/>
  <c r="D179" i="2" s="1"/>
  <c r="D180" i="2" s="1"/>
  <c r="D181" i="2" s="1"/>
  <c r="D162" i="2"/>
  <c r="D143" i="2"/>
  <c r="D144" i="2" s="1"/>
  <c r="D145" i="2" s="1"/>
  <c r="D146" i="2" s="1"/>
  <c r="D147" i="2" s="1"/>
  <c r="D148" i="2" s="1"/>
  <c r="D149" i="2" s="1"/>
  <c r="D150" i="2" s="1"/>
  <c r="D151" i="2" s="1"/>
  <c r="D152" i="2" s="1"/>
  <c r="D153" i="2" s="1"/>
  <c r="D154" i="2" s="1"/>
  <c r="D155" i="2" s="1"/>
  <c r="D156" i="2" s="1"/>
  <c r="D157" i="2" s="1"/>
  <c r="D158" i="2" s="1"/>
  <c r="D159" i="2" s="1"/>
  <c r="D160" i="2" s="1"/>
  <c r="D161" i="2" s="1"/>
  <c r="D142" i="2"/>
  <c r="D123" i="2"/>
  <c r="D124" i="2" s="1"/>
  <c r="D125" i="2" s="1"/>
  <c r="D126" i="2" s="1"/>
  <c r="D127" i="2" s="1"/>
  <c r="D128" i="2" s="1"/>
  <c r="D129" i="2" s="1"/>
  <c r="D130" i="2" s="1"/>
  <c r="D131" i="2" s="1"/>
  <c r="D132" i="2" s="1"/>
  <c r="D133" i="2" s="1"/>
  <c r="D134" i="2" s="1"/>
  <c r="D135" i="2" s="1"/>
  <c r="D136" i="2" s="1"/>
  <c r="D137" i="2" s="1"/>
  <c r="D138" i="2" s="1"/>
  <c r="D139" i="2" s="1"/>
  <c r="D140" i="2" s="1"/>
  <c r="D141" i="2" s="1"/>
  <c r="D122" i="2"/>
  <c r="D104" i="2"/>
  <c r="D105" i="2" s="1"/>
  <c r="D106" i="2" s="1"/>
  <c r="D107" i="2" s="1"/>
  <c r="D108" i="2" s="1"/>
  <c r="D109" i="2" s="1"/>
  <c r="D110" i="2" s="1"/>
  <c r="D111" i="2" s="1"/>
  <c r="D112" i="2" s="1"/>
  <c r="D113" i="2" s="1"/>
  <c r="D114" i="2" s="1"/>
  <c r="D115" i="2" s="1"/>
  <c r="D116" i="2" s="1"/>
  <c r="D117" i="2" s="1"/>
  <c r="D118" i="2" s="1"/>
  <c r="D119" i="2" s="1"/>
  <c r="D120" i="2" s="1"/>
  <c r="D121" i="2" s="1"/>
  <c r="D103" i="2"/>
  <c r="D83" i="2"/>
  <c r="D84" i="2" s="1"/>
  <c r="D85" i="2" s="1"/>
  <c r="D86" i="2" s="1"/>
  <c r="D87" i="2" s="1"/>
  <c r="D88" i="2" s="1"/>
  <c r="D89" i="2" s="1"/>
  <c r="D90" i="2" s="1"/>
  <c r="D91" i="2" s="1"/>
  <c r="D92" i="2" s="1"/>
  <c r="D93" i="2" s="1"/>
  <c r="D94" i="2" s="1"/>
  <c r="D95" i="2" s="1"/>
  <c r="D96" i="2" s="1"/>
  <c r="D97" i="2" s="1"/>
  <c r="D98" i="2" s="1"/>
  <c r="D99" i="2" s="1"/>
  <c r="D100" i="2" s="1"/>
  <c r="D101" i="2" s="1"/>
  <c r="D102" i="2" s="1"/>
  <c r="D82" i="2"/>
  <c r="D63" i="2"/>
  <c r="D64" i="2" s="1"/>
  <c r="D65" i="2" s="1"/>
  <c r="D66" i="2" s="1"/>
  <c r="D67" i="2" s="1"/>
  <c r="D68" i="2" s="1"/>
  <c r="D69" i="2" s="1"/>
  <c r="D70" i="2" s="1"/>
  <c r="D71" i="2" s="1"/>
  <c r="D72" i="2" s="1"/>
  <c r="D73" i="2" s="1"/>
  <c r="D74" i="2" s="1"/>
  <c r="D75" i="2" s="1"/>
  <c r="D76" i="2" s="1"/>
  <c r="D77" i="2" s="1"/>
  <c r="D78" i="2" s="1"/>
  <c r="D79" i="2" s="1"/>
  <c r="D80" i="2" s="1"/>
  <c r="D81" i="2" s="1"/>
  <c r="D62" i="2"/>
  <c r="D43" i="2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D42" i="2"/>
  <c r="D23" i="2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22" i="2"/>
  <c r="D5" i="2"/>
  <c r="D6" i="2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4" i="2"/>
  <c r="B42" i="2" l="1"/>
  <c r="B6" i="2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C17" i="2" s="1"/>
  <c r="C19" i="2" s="1"/>
  <c r="C21" i="2" s="1"/>
  <c r="C23" i="2" s="1"/>
  <c r="C25" i="2" s="1"/>
  <c r="C27" i="2" s="1"/>
  <c r="C29" i="2" s="1"/>
  <c r="C31" i="2" s="1"/>
  <c r="C33" i="2" s="1"/>
  <c r="C35" i="2" s="1"/>
  <c r="C37" i="2" s="1"/>
  <c r="C39" i="2" s="1"/>
  <c r="B16" i="2"/>
  <c r="B18" i="2" s="1"/>
  <c r="B20" i="2" s="1"/>
  <c r="B22" i="2" s="1"/>
  <c r="B24" i="2" s="1"/>
  <c r="B26" i="2" s="1"/>
  <c r="B28" i="2" s="1"/>
  <c r="B30" i="2" s="1"/>
  <c r="B32" i="2" s="1"/>
  <c r="B34" i="2" s="1"/>
  <c r="B36" i="2" s="1"/>
  <c r="B38" i="2" s="1"/>
  <c r="B40" i="2" s="1"/>
  <c r="C16" i="2"/>
  <c r="C18" i="2" s="1"/>
  <c r="C20" i="2" s="1"/>
  <c r="C22" i="2" s="1"/>
  <c r="C24" i="2" s="1"/>
  <c r="C26" i="2" s="1"/>
  <c r="C28" i="2" s="1"/>
  <c r="C30" i="2" s="1"/>
  <c r="C32" i="2" s="1"/>
  <c r="C34" i="2" s="1"/>
  <c r="C36" i="2" s="1"/>
  <c r="C38" i="2" s="1"/>
  <c r="B17" i="2"/>
  <c r="B19" i="2" s="1"/>
  <c r="B21" i="2" s="1"/>
  <c r="B23" i="2" s="1"/>
  <c r="B25" i="2" s="1"/>
  <c r="B27" i="2" s="1"/>
  <c r="B29" i="2" s="1"/>
  <c r="B31" i="2" s="1"/>
  <c r="B33" i="2" s="1"/>
  <c r="B35" i="2" s="1"/>
  <c r="B37" i="2" s="1"/>
  <c r="B39" i="2" s="1"/>
  <c r="B41" i="2" s="1"/>
  <c r="B5" i="2"/>
  <c r="C5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3" i="2"/>
  <c r="A301" i="2"/>
  <c r="A302" i="2"/>
  <c r="A103" i="2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B4" i="2"/>
  <c r="A4" i="2"/>
  <c r="A5" i="2" s="1"/>
  <c r="A6" i="2" l="1"/>
  <c r="A7" i="2" l="1"/>
  <c r="A8" i="2" l="1"/>
  <c r="A9" i="2" l="1"/>
  <c r="A10" i="2" l="1"/>
  <c r="A11" i="2" l="1"/>
  <c r="A12" i="2" l="1"/>
  <c r="A13" i="2" l="1"/>
  <c r="A14" i="2" l="1"/>
  <c r="A15" i="2" l="1"/>
  <c r="A16" i="2" l="1"/>
  <c r="A17" i="2" l="1"/>
  <c r="A18" i="2" l="1"/>
  <c r="A19" i="2" l="1"/>
  <c r="A20" i="2" l="1"/>
  <c r="A21" i="2" l="1"/>
  <c r="A22" i="2" l="1"/>
  <c r="A23" i="2" l="1"/>
  <c r="A24" i="2" l="1"/>
  <c r="A25" i="2" l="1"/>
  <c r="A26" i="2" l="1"/>
  <c r="A27" i="2" l="1"/>
  <c r="A28" i="2" l="1"/>
  <c r="A29" i="2" l="1"/>
  <c r="A30" i="2" l="1"/>
  <c r="A31" i="2" l="1"/>
  <c r="A32" i="2" l="1"/>
  <c r="A33" i="2" l="1"/>
  <c r="A34" i="2" l="1"/>
  <c r="A35" i="2" l="1"/>
  <c r="A36" i="2" l="1"/>
  <c r="A37" i="2" l="1"/>
  <c r="A38" i="2" l="1"/>
  <c r="A39" i="2" l="1"/>
  <c r="A40" i="2" l="1"/>
  <c r="A41" i="2" l="1"/>
  <c r="A42" i="2" l="1"/>
  <c r="A43" i="2" l="1"/>
  <c r="A44" i="2" l="1"/>
  <c r="A45" i="2" l="1"/>
  <c r="A46" i="2" l="1"/>
  <c r="A47" i="2" l="1"/>
  <c r="A48" i="2" l="1"/>
  <c r="A49" i="2" l="1"/>
  <c r="A50" i="2" l="1"/>
  <c r="A51" i="2" l="1"/>
  <c r="A52" i="2" l="1"/>
  <c r="A53" i="2" l="1"/>
  <c r="A54" i="2" l="1"/>
  <c r="A55" i="2" l="1"/>
  <c r="A56" i="2" l="1"/>
  <c r="A57" i="2" l="1"/>
  <c r="A58" i="2" l="1"/>
  <c r="A59" i="2" l="1"/>
  <c r="A60" i="2" l="1"/>
  <c r="A61" i="2" l="1"/>
  <c r="A62" i="2" l="1"/>
  <c r="A63" i="2" l="1"/>
  <c r="A64" i="2" l="1"/>
  <c r="A65" i="2" l="1"/>
  <c r="A66" i="2" l="1"/>
  <c r="A67" i="2" l="1"/>
  <c r="A68" i="2" l="1"/>
  <c r="A69" i="2" l="1"/>
  <c r="A70" i="2" l="1"/>
  <c r="A71" i="2" l="1"/>
  <c r="A72" i="2" l="1"/>
  <c r="A73" i="2" l="1"/>
  <c r="A74" i="2" l="1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</calcChain>
</file>

<file path=xl/sharedStrings.xml><?xml version="1.0" encoding="utf-8"?>
<sst xmlns="http://schemas.openxmlformats.org/spreadsheetml/2006/main" count="9" uniqueCount="9">
  <si>
    <t>number</t>
    <phoneticPr fontId="1" type="noConversion"/>
  </si>
  <si>
    <t>level</t>
    <phoneticPr fontId="1" type="noConversion"/>
  </si>
  <si>
    <t>atk</t>
    <phoneticPr fontId="1" type="noConversion"/>
  </si>
  <si>
    <t>criDmg</t>
    <phoneticPr fontId="1" type="noConversion"/>
  </si>
  <si>
    <t>def</t>
    <phoneticPr fontId="1" type="noConversion"/>
  </si>
  <si>
    <t>hp</t>
    <phoneticPr fontId="1" type="noConversion"/>
  </si>
  <si>
    <t>criRate</t>
    <phoneticPr fontId="1" type="noConversion"/>
  </si>
  <si>
    <t>rewardCoin</t>
    <phoneticPr fontId="1" type="noConversion"/>
  </si>
  <si>
    <t>rewardExp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</si>
</sst>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4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176" fontId="2" fillId="2" borderId="1" xfId="0" applyNumberFormat="1" applyFont="1" applyFill="1" applyBorder="1" applyAlignment="1">
      <alignment horizontal="center"/>
    </xf>
    <xf numFmtId="176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  <xf numFmtId="0" fontId="3" fillId="0" borderId="2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176" fontId="2" fillId="2" borderId="3" xfId="0" applyNumberFormat="1" applyFont="1" applyFill="1" applyBorder="1" applyAlignment="1">
      <alignment horizontal="center"/>
    </xf>
    <xf numFmtId="0" fontId="3" fillId="0" borderId="2" xfId="0" applyFont="1" applyFill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78F8A-A8C0-451B-89A0-5920898B8CBF}">
  <dimension ref="A1:XEX302"/>
  <sheetViews>
    <sheetView tabSelected="1" workbookViewId="0">
      <pane ySplit="1" topLeftCell="A258" activePane="bottomLeft" state="frozen"/>
      <selection pane="bottomLeft" activeCell="J289" sqref="J289"/>
    </sheetView>
  </sheetViews>
  <sheetFormatPr defaultColWidth="17.625" defaultRowHeight="17.25" x14ac:dyDescent="0.3"/>
  <cols>
    <col min="1" max="1" width="18.875" style="6" customWidth="1"/>
    <col min="2" max="5" width="19" style="8" customWidth="1"/>
    <col min="6" max="6" width="19" style="4" customWidth="1"/>
    <col min="7" max="7" width="18.375" style="4" customWidth="1"/>
    <col min="8" max="8" width="17.625" style="14"/>
    <col min="9" max="10" width="5.125" style="4" bestFit="1" customWidth="1"/>
    <col min="11" max="11" width="6.25" bestFit="1" customWidth="1"/>
    <col min="12" max="13" width="7.375" bestFit="1" customWidth="1"/>
    <col min="14" max="14" width="17.5" style="4" customWidth="1"/>
    <col min="15" max="16377" width="17.625" style="4"/>
    <col min="16378" max="16378" width="8.875" style="4" bestFit="1" customWidth="1"/>
    <col min="16379" max="16384" width="8.875" style="4" customWidth="1"/>
  </cols>
  <sheetData>
    <row r="1" spans="1:14 16378:16378" x14ac:dyDescent="0.3">
      <c r="A1" s="2" t="s">
        <v>1</v>
      </c>
      <c r="B1" s="7" t="s">
        <v>2</v>
      </c>
      <c r="C1" s="7" t="s">
        <v>4</v>
      </c>
      <c r="D1" s="7" t="s">
        <v>5</v>
      </c>
      <c r="E1" s="7" t="s">
        <v>6</v>
      </c>
      <c r="F1" s="7" t="s">
        <v>3</v>
      </c>
      <c r="G1" s="7" t="s">
        <v>7</v>
      </c>
      <c r="H1" s="12" t="s">
        <v>8</v>
      </c>
      <c r="XEX1" s="3" t="s">
        <v>0</v>
      </c>
    </row>
    <row r="2" spans="1:14 16378:16378" x14ac:dyDescent="0.3">
      <c r="A2" s="1">
        <v>0</v>
      </c>
      <c r="B2" s="4">
        <v>0</v>
      </c>
      <c r="C2" s="4">
        <v>0</v>
      </c>
      <c r="D2" s="4">
        <v>0</v>
      </c>
      <c r="E2" s="4">
        <v>0</v>
      </c>
      <c r="F2" s="1">
        <v>0</v>
      </c>
      <c r="G2" s="9">
        <v>0</v>
      </c>
      <c r="H2" s="4">
        <v>0</v>
      </c>
      <c r="K2" s="4"/>
      <c r="L2" s="4"/>
      <c r="M2" s="4"/>
      <c r="XEX2" s="11"/>
    </row>
    <row r="3" spans="1:14 16378:16378" x14ac:dyDescent="0.3">
      <c r="A3" s="1">
        <v>1</v>
      </c>
      <c r="B3" s="4">
        <v>1</v>
      </c>
      <c r="C3" s="4">
        <v>1</v>
      </c>
      <c r="D3" s="4">
        <v>10</v>
      </c>
      <c r="E3" s="4">
        <v>0</v>
      </c>
      <c r="F3" s="1">
        <v>0.3</v>
      </c>
      <c r="G3" s="9">
        <f>A3*1000</f>
        <v>1000</v>
      </c>
      <c r="H3" s="4">
        <v>1</v>
      </c>
      <c r="K3" s="4"/>
      <c r="L3" s="4"/>
      <c r="M3" s="4"/>
      <c r="N3" s="4">
        <f t="shared" ref="N3:N67" si="0">G3</f>
        <v>1000</v>
      </c>
    </row>
    <row r="4" spans="1:14 16378:16378" x14ac:dyDescent="0.3">
      <c r="A4" s="1">
        <f>A3+1</f>
        <v>2</v>
      </c>
      <c r="B4" s="4">
        <f>B3+1</f>
        <v>2</v>
      </c>
      <c r="C4" s="4">
        <v>1</v>
      </c>
      <c r="D4" s="4">
        <f>D3+1</f>
        <v>11</v>
      </c>
      <c r="E4" s="4">
        <v>0</v>
      </c>
      <c r="F4" s="1">
        <v>0.3</v>
      </c>
      <c r="G4" s="9">
        <f t="shared" ref="G4:G51" si="1">A4*1000</f>
        <v>2000</v>
      </c>
      <c r="H4" s="4">
        <v>1</v>
      </c>
      <c r="K4" s="4"/>
      <c r="L4" s="4"/>
      <c r="M4" s="4"/>
      <c r="N4" s="4">
        <f t="shared" si="0"/>
        <v>2000</v>
      </c>
    </row>
    <row r="5" spans="1:14 16378:16378" x14ac:dyDescent="0.3">
      <c r="A5" s="1">
        <f t="shared" ref="A5:B68" si="2">A4+1</f>
        <v>3</v>
      </c>
      <c r="B5" s="4">
        <f>B3+1</f>
        <v>2</v>
      </c>
      <c r="C5" s="4">
        <f>C3+1</f>
        <v>2</v>
      </c>
      <c r="D5" s="4">
        <f t="shared" ref="D5:D21" si="3">D4+1</f>
        <v>12</v>
      </c>
      <c r="E5" s="4">
        <v>0</v>
      </c>
      <c r="F5" s="1">
        <v>0.3</v>
      </c>
      <c r="G5" s="9">
        <f t="shared" si="1"/>
        <v>3000</v>
      </c>
      <c r="H5" s="13">
        <v>1</v>
      </c>
      <c r="K5" s="4"/>
      <c r="L5" s="4"/>
      <c r="M5" s="4"/>
      <c r="N5" s="4">
        <f t="shared" si="0"/>
        <v>3000</v>
      </c>
    </row>
    <row r="6" spans="1:14 16378:16378" x14ac:dyDescent="0.3">
      <c r="A6" s="1">
        <f t="shared" si="2"/>
        <v>4</v>
      </c>
      <c r="B6" s="4">
        <f t="shared" ref="B6:C6" si="4">B4+1</f>
        <v>3</v>
      </c>
      <c r="C6" s="4">
        <f t="shared" si="4"/>
        <v>2</v>
      </c>
      <c r="D6" s="4">
        <f t="shared" si="3"/>
        <v>13</v>
      </c>
      <c r="E6" s="4">
        <v>0</v>
      </c>
      <c r="F6" s="1">
        <v>0.3</v>
      </c>
      <c r="G6" s="9">
        <f t="shared" si="1"/>
        <v>4000</v>
      </c>
      <c r="H6" s="13">
        <v>1</v>
      </c>
      <c r="K6" s="4"/>
      <c r="L6" s="4"/>
      <c r="M6" s="4"/>
      <c r="N6" s="4">
        <f t="shared" si="0"/>
        <v>4000</v>
      </c>
    </row>
    <row r="7" spans="1:14 16378:16378" x14ac:dyDescent="0.3">
      <c r="A7" s="1">
        <f t="shared" si="2"/>
        <v>5</v>
      </c>
      <c r="B7" s="4">
        <f t="shared" ref="B7:C7" si="5">B5+1</f>
        <v>3</v>
      </c>
      <c r="C7" s="4">
        <f t="shared" si="5"/>
        <v>3</v>
      </c>
      <c r="D7" s="4">
        <f t="shared" si="3"/>
        <v>14</v>
      </c>
      <c r="E7" s="4">
        <v>0</v>
      </c>
      <c r="F7" s="1">
        <v>0.3</v>
      </c>
      <c r="G7" s="9">
        <f t="shared" si="1"/>
        <v>5000</v>
      </c>
      <c r="H7" s="13">
        <v>1</v>
      </c>
      <c r="K7" s="4"/>
      <c r="L7" s="4"/>
      <c r="M7" s="4"/>
      <c r="N7" s="4">
        <f t="shared" si="0"/>
        <v>5000</v>
      </c>
    </row>
    <row r="8" spans="1:14 16378:16378" x14ac:dyDescent="0.3">
      <c r="A8" s="1">
        <f t="shared" si="2"/>
        <v>6</v>
      </c>
      <c r="B8" s="4">
        <f t="shared" ref="B8:C8" si="6">B6+1</f>
        <v>4</v>
      </c>
      <c r="C8" s="4">
        <f t="shared" si="6"/>
        <v>3</v>
      </c>
      <c r="D8" s="4">
        <f t="shared" si="3"/>
        <v>15</v>
      </c>
      <c r="E8" s="4">
        <v>0</v>
      </c>
      <c r="F8" s="1">
        <v>0.3</v>
      </c>
      <c r="G8" s="9">
        <f t="shared" si="1"/>
        <v>6000</v>
      </c>
      <c r="H8" s="13">
        <v>1</v>
      </c>
      <c r="K8" s="4"/>
      <c r="L8" s="4"/>
      <c r="M8" s="4"/>
      <c r="N8" s="4">
        <f t="shared" si="0"/>
        <v>6000</v>
      </c>
    </row>
    <row r="9" spans="1:14 16378:16378" x14ac:dyDescent="0.3">
      <c r="A9" s="1">
        <f t="shared" si="2"/>
        <v>7</v>
      </c>
      <c r="B9" s="4">
        <f t="shared" ref="B9:C9" si="7">B7+1</f>
        <v>4</v>
      </c>
      <c r="C9" s="4">
        <f t="shared" si="7"/>
        <v>4</v>
      </c>
      <c r="D9" s="4">
        <f t="shared" si="3"/>
        <v>16</v>
      </c>
      <c r="E9" s="4">
        <v>0</v>
      </c>
      <c r="F9" s="1">
        <v>0.3</v>
      </c>
      <c r="G9" s="9">
        <f t="shared" si="1"/>
        <v>7000</v>
      </c>
      <c r="H9" s="13">
        <v>1</v>
      </c>
      <c r="K9" s="4"/>
      <c r="L9" s="4"/>
      <c r="M9" s="4"/>
      <c r="N9" s="4">
        <f t="shared" si="0"/>
        <v>7000</v>
      </c>
    </row>
    <row r="10" spans="1:14 16378:16378" x14ac:dyDescent="0.3">
      <c r="A10" s="1">
        <f t="shared" si="2"/>
        <v>8</v>
      </c>
      <c r="B10" s="4">
        <f t="shared" ref="B10:C10" si="8">B8+1</f>
        <v>5</v>
      </c>
      <c r="C10" s="4">
        <f t="shared" si="8"/>
        <v>4</v>
      </c>
      <c r="D10" s="4">
        <f t="shared" si="3"/>
        <v>17</v>
      </c>
      <c r="E10" s="4">
        <v>0</v>
      </c>
      <c r="F10" s="1">
        <v>0.3</v>
      </c>
      <c r="G10" s="9">
        <f t="shared" si="1"/>
        <v>8000</v>
      </c>
      <c r="H10" s="13">
        <f>H3+1</f>
        <v>2</v>
      </c>
      <c r="K10" s="4"/>
      <c r="L10" s="4"/>
      <c r="M10" s="4"/>
      <c r="N10" s="4">
        <f t="shared" si="0"/>
        <v>8000</v>
      </c>
    </row>
    <row r="11" spans="1:14 16378:16378" x14ac:dyDescent="0.3">
      <c r="A11" s="1">
        <f t="shared" si="2"/>
        <v>9</v>
      </c>
      <c r="B11" s="4">
        <f t="shared" ref="B11:C11" si="9">B9+1</f>
        <v>5</v>
      </c>
      <c r="C11" s="4">
        <f t="shared" si="9"/>
        <v>5</v>
      </c>
      <c r="D11" s="4">
        <f t="shared" si="3"/>
        <v>18</v>
      </c>
      <c r="E11" s="4">
        <v>0</v>
      </c>
      <c r="F11" s="1">
        <v>0.3</v>
      </c>
      <c r="G11" s="9">
        <f t="shared" si="1"/>
        <v>9000</v>
      </c>
      <c r="H11" s="13">
        <f t="shared" ref="H11:H74" si="10">H4+1</f>
        <v>2</v>
      </c>
      <c r="K11" s="4"/>
      <c r="L11" s="4"/>
      <c r="M11" s="4"/>
      <c r="N11" s="4">
        <f t="shared" si="0"/>
        <v>9000</v>
      </c>
    </row>
    <row r="12" spans="1:14 16378:16378" x14ac:dyDescent="0.3">
      <c r="A12" s="1">
        <f t="shared" si="2"/>
        <v>10</v>
      </c>
      <c r="B12" s="4">
        <f t="shared" ref="B12:C12" si="11">B10+1</f>
        <v>6</v>
      </c>
      <c r="C12" s="4">
        <f t="shared" si="11"/>
        <v>5</v>
      </c>
      <c r="D12" s="4">
        <f t="shared" si="3"/>
        <v>19</v>
      </c>
      <c r="E12" s="4">
        <v>0</v>
      </c>
      <c r="F12" s="1">
        <v>0.3</v>
      </c>
      <c r="G12" s="9">
        <f t="shared" si="1"/>
        <v>10000</v>
      </c>
      <c r="H12" s="13">
        <f t="shared" si="10"/>
        <v>2</v>
      </c>
      <c r="K12" s="4"/>
      <c r="L12" s="4"/>
      <c r="M12" s="4"/>
      <c r="N12" s="4">
        <f t="shared" si="0"/>
        <v>10000</v>
      </c>
    </row>
    <row r="13" spans="1:14 16378:16378" x14ac:dyDescent="0.3">
      <c r="A13" s="1">
        <f t="shared" si="2"/>
        <v>11</v>
      </c>
      <c r="B13" s="4">
        <f t="shared" ref="B13:C13" si="12">B11+1</f>
        <v>6</v>
      </c>
      <c r="C13" s="4">
        <f t="shared" si="12"/>
        <v>6</v>
      </c>
      <c r="D13" s="4">
        <f t="shared" si="3"/>
        <v>20</v>
      </c>
      <c r="E13" s="4">
        <v>0</v>
      </c>
      <c r="F13" s="1">
        <v>0.3</v>
      </c>
      <c r="G13" s="9">
        <f t="shared" si="1"/>
        <v>11000</v>
      </c>
      <c r="H13" s="13">
        <f t="shared" si="10"/>
        <v>2</v>
      </c>
      <c r="K13" s="4"/>
      <c r="L13" s="4"/>
      <c r="M13" s="4"/>
      <c r="N13" s="4">
        <f t="shared" si="0"/>
        <v>11000</v>
      </c>
    </row>
    <row r="14" spans="1:14 16378:16378" x14ac:dyDescent="0.3">
      <c r="A14" s="1">
        <f t="shared" si="2"/>
        <v>12</v>
      </c>
      <c r="B14" s="4">
        <f t="shared" ref="B14:C14" si="13">B12+1</f>
        <v>7</v>
      </c>
      <c r="C14" s="4">
        <f t="shared" si="13"/>
        <v>6</v>
      </c>
      <c r="D14" s="4">
        <f t="shared" si="3"/>
        <v>21</v>
      </c>
      <c r="E14" s="4">
        <v>0</v>
      </c>
      <c r="F14" s="1">
        <v>0.3</v>
      </c>
      <c r="G14" s="9">
        <f t="shared" si="1"/>
        <v>12000</v>
      </c>
      <c r="H14" s="13">
        <f t="shared" si="10"/>
        <v>2</v>
      </c>
      <c r="K14" s="4"/>
      <c r="L14" s="4"/>
      <c r="M14" s="4"/>
      <c r="N14" s="4">
        <f t="shared" si="0"/>
        <v>12000</v>
      </c>
    </row>
    <row r="15" spans="1:14 16378:16378" x14ac:dyDescent="0.3">
      <c r="A15" s="1">
        <f t="shared" si="2"/>
        <v>13</v>
      </c>
      <c r="B15" s="4">
        <f t="shared" ref="B15:C15" si="14">B13+1</f>
        <v>7</v>
      </c>
      <c r="C15" s="4">
        <f t="shared" si="14"/>
        <v>7</v>
      </c>
      <c r="D15" s="4">
        <f t="shared" si="3"/>
        <v>22</v>
      </c>
      <c r="E15" s="4">
        <v>0</v>
      </c>
      <c r="F15" s="1">
        <v>0.3</v>
      </c>
      <c r="G15" s="9">
        <f t="shared" si="1"/>
        <v>13000</v>
      </c>
      <c r="H15" s="13">
        <f t="shared" si="10"/>
        <v>2</v>
      </c>
      <c r="K15" s="4"/>
      <c r="L15" s="4"/>
      <c r="M15" s="4"/>
      <c r="N15" s="4">
        <f t="shared" si="0"/>
        <v>13000</v>
      </c>
    </row>
    <row r="16" spans="1:14 16378:16378" x14ac:dyDescent="0.3">
      <c r="A16" s="1">
        <f t="shared" si="2"/>
        <v>14</v>
      </c>
      <c r="B16" s="4">
        <f t="shared" ref="B16:C16" si="15">B14+1</f>
        <v>8</v>
      </c>
      <c r="C16" s="4">
        <f t="shared" si="15"/>
        <v>7</v>
      </c>
      <c r="D16" s="4">
        <f t="shared" si="3"/>
        <v>23</v>
      </c>
      <c r="E16" s="4">
        <v>0</v>
      </c>
      <c r="F16" s="1">
        <v>0.3</v>
      </c>
      <c r="G16" s="9">
        <f t="shared" si="1"/>
        <v>14000</v>
      </c>
      <c r="H16" s="13">
        <f t="shared" si="10"/>
        <v>2</v>
      </c>
      <c r="K16" s="4"/>
      <c r="L16" s="4"/>
      <c r="M16" s="4"/>
      <c r="N16" s="4">
        <f t="shared" si="0"/>
        <v>14000</v>
      </c>
    </row>
    <row r="17" spans="1:14" x14ac:dyDescent="0.3">
      <c r="A17" s="1">
        <f t="shared" si="2"/>
        <v>15</v>
      </c>
      <c r="B17" s="4">
        <f t="shared" ref="B17:C17" si="16">B15+1</f>
        <v>8</v>
      </c>
      <c r="C17" s="4">
        <f t="shared" si="16"/>
        <v>8</v>
      </c>
      <c r="D17" s="4">
        <f t="shared" si="3"/>
        <v>24</v>
      </c>
      <c r="E17" s="4">
        <v>0</v>
      </c>
      <c r="F17" s="1">
        <v>0.3</v>
      </c>
      <c r="G17" s="9">
        <f t="shared" si="1"/>
        <v>15000</v>
      </c>
      <c r="H17" s="13">
        <f t="shared" si="10"/>
        <v>3</v>
      </c>
      <c r="K17" s="4"/>
      <c r="L17" s="4"/>
      <c r="M17" s="4"/>
      <c r="N17" s="4">
        <f t="shared" si="0"/>
        <v>15000</v>
      </c>
    </row>
    <row r="18" spans="1:14" x14ac:dyDescent="0.3">
      <c r="A18" s="1">
        <f t="shared" si="2"/>
        <v>16</v>
      </c>
      <c r="B18" s="4">
        <f t="shared" ref="B18:C18" si="17">B16+1</f>
        <v>9</v>
      </c>
      <c r="C18" s="4">
        <f t="shared" si="17"/>
        <v>8</v>
      </c>
      <c r="D18" s="4">
        <f t="shared" si="3"/>
        <v>25</v>
      </c>
      <c r="E18" s="4">
        <v>0</v>
      </c>
      <c r="F18" s="1">
        <v>0.3</v>
      </c>
      <c r="G18" s="9">
        <f t="shared" si="1"/>
        <v>16000</v>
      </c>
      <c r="H18" s="13">
        <f t="shared" si="10"/>
        <v>3</v>
      </c>
      <c r="K18" s="4"/>
      <c r="L18" s="4"/>
      <c r="M18" s="4"/>
      <c r="N18" s="4">
        <f t="shared" si="0"/>
        <v>16000</v>
      </c>
    </row>
    <row r="19" spans="1:14" x14ac:dyDescent="0.3">
      <c r="A19" s="1">
        <f t="shared" si="2"/>
        <v>17</v>
      </c>
      <c r="B19" s="4">
        <f t="shared" ref="B19:C19" si="18">B17+1</f>
        <v>9</v>
      </c>
      <c r="C19" s="4">
        <f t="shared" si="18"/>
        <v>9</v>
      </c>
      <c r="D19" s="4">
        <f t="shared" si="3"/>
        <v>26</v>
      </c>
      <c r="E19" s="4">
        <v>0</v>
      </c>
      <c r="F19" s="1">
        <v>0.3</v>
      </c>
      <c r="G19" s="9">
        <f t="shared" si="1"/>
        <v>17000</v>
      </c>
      <c r="H19" s="13">
        <f t="shared" si="10"/>
        <v>3</v>
      </c>
      <c r="K19" s="4"/>
      <c r="L19" s="4"/>
      <c r="M19" s="4"/>
      <c r="N19" s="4">
        <f t="shared" si="0"/>
        <v>17000</v>
      </c>
    </row>
    <row r="20" spans="1:14" x14ac:dyDescent="0.3">
      <c r="A20" s="1">
        <f t="shared" si="2"/>
        <v>18</v>
      </c>
      <c r="B20" s="4">
        <f t="shared" ref="B20:C20" si="19">B18+1</f>
        <v>10</v>
      </c>
      <c r="C20" s="4">
        <f t="shared" si="19"/>
        <v>9</v>
      </c>
      <c r="D20" s="4">
        <f t="shared" si="3"/>
        <v>27</v>
      </c>
      <c r="E20" s="4">
        <v>0</v>
      </c>
      <c r="F20" s="1">
        <v>0.3</v>
      </c>
      <c r="G20" s="9">
        <f t="shared" si="1"/>
        <v>18000</v>
      </c>
      <c r="H20" s="13">
        <f t="shared" si="10"/>
        <v>3</v>
      </c>
      <c r="K20" s="4"/>
      <c r="L20" s="4"/>
      <c r="M20" s="4"/>
      <c r="N20" s="4">
        <f t="shared" si="0"/>
        <v>18000</v>
      </c>
    </row>
    <row r="21" spans="1:14" x14ac:dyDescent="0.3">
      <c r="A21" s="1">
        <f t="shared" si="2"/>
        <v>19</v>
      </c>
      <c r="B21" s="4">
        <f t="shared" ref="B21:C21" si="20">B19+1</f>
        <v>10</v>
      </c>
      <c r="C21" s="4">
        <f t="shared" si="20"/>
        <v>10</v>
      </c>
      <c r="D21" s="4">
        <f t="shared" si="3"/>
        <v>28</v>
      </c>
      <c r="E21" s="4">
        <v>0</v>
      </c>
      <c r="F21" s="1">
        <v>0.3</v>
      </c>
      <c r="G21" s="9">
        <f t="shared" si="1"/>
        <v>19000</v>
      </c>
      <c r="H21" s="13">
        <f t="shared" si="10"/>
        <v>3</v>
      </c>
      <c r="K21" s="4"/>
      <c r="L21" s="4"/>
      <c r="M21" s="4"/>
      <c r="N21" s="4">
        <f t="shared" si="0"/>
        <v>19000</v>
      </c>
    </row>
    <row r="22" spans="1:14" x14ac:dyDescent="0.3">
      <c r="A22" s="1">
        <f t="shared" si="2"/>
        <v>20</v>
      </c>
      <c r="B22" s="4">
        <f t="shared" ref="B22:C22" si="21">B20+1</f>
        <v>11</v>
      </c>
      <c r="C22" s="4">
        <f t="shared" si="21"/>
        <v>10</v>
      </c>
      <c r="D22" s="4">
        <f>D21+2</f>
        <v>30</v>
      </c>
      <c r="E22" s="4">
        <v>0.1</v>
      </c>
      <c r="F22" s="10">
        <v>0.4</v>
      </c>
      <c r="G22" s="9">
        <f t="shared" si="1"/>
        <v>20000</v>
      </c>
      <c r="H22" s="13">
        <f t="shared" si="10"/>
        <v>3</v>
      </c>
      <c r="K22" s="4"/>
      <c r="L22" s="4"/>
      <c r="M22" s="4"/>
      <c r="N22" s="4">
        <f t="shared" si="0"/>
        <v>20000</v>
      </c>
    </row>
    <row r="23" spans="1:14" x14ac:dyDescent="0.3">
      <c r="A23" s="1">
        <f t="shared" si="2"/>
        <v>21</v>
      </c>
      <c r="B23" s="4">
        <f t="shared" ref="B23:C23" si="22">B21+1</f>
        <v>11</v>
      </c>
      <c r="C23" s="4">
        <f t="shared" si="22"/>
        <v>11</v>
      </c>
      <c r="D23" s="4">
        <f t="shared" ref="D23:D41" si="23">D22+2</f>
        <v>32</v>
      </c>
      <c r="E23" s="4">
        <v>0.1</v>
      </c>
      <c r="F23" s="10">
        <v>0.4</v>
      </c>
      <c r="G23" s="9">
        <f t="shared" si="1"/>
        <v>21000</v>
      </c>
      <c r="H23" s="13">
        <f t="shared" si="10"/>
        <v>3</v>
      </c>
      <c r="K23" s="4"/>
      <c r="L23" s="4"/>
      <c r="M23" s="4"/>
      <c r="N23" s="4">
        <f t="shared" si="0"/>
        <v>21000</v>
      </c>
    </row>
    <row r="24" spans="1:14" x14ac:dyDescent="0.3">
      <c r="A24" s="1">
        <f t="shared" si="2"/>
        <v>22</v>
      </c>
      <c r="B24" s="4">
        <f t="shared" ref="B24:C24" si="24">B22+1</f>
        <v>12</v>
      </c>
      <c r="C24" s="4">
        <f t="shared" si="24"/>
        <v>11</v>
      </c>
      <c r="D24" s="4">
        <f t="shared" si="23"/>
        <v>34</v>
      </c>
      <c r="E24" s="4">
        <v>0.1</v>
      </c>
      <c r="F24" s="10">
        <v>0.4</v>
      </c>
      <c r="G24" s="9">
        <f t="shared" si="1"/>
        <v>22000</v>
      </c>
      <c r="H24" s="13">
        <f t="shared" si="10"/>
        <v>4</v>
      </c>
      <c r="K24" s="4"/>
      <c r="L24" s="4"/>
      <c r="M24" s="4"/>
      <c r="N24" s="4">
        <f t="shared" si="0"/>
        <v>22000</v>
      </c>
    </row>
    <row r="25" spans="1:14" x14ac:dyDescent="0.3">
      <c r="A25" s="1">
        <f t="shared" si="2"/>
        <v>23</v>
      </c>
      <c r="B25" s="4">
        <f t="shared" ref="B25:C25" si="25">B23+1</f>
        <v>12</v>
      </c>
      <c r="C25" s="4">
        <f t="shared" si="25"/>
        <v>12</v>
      </c>
      <c r="D25" s="4">
        <f t="shared" si="23"/>
        <v>36</v>
      </c>
      <c r="E25" s="4">
        <v>0.1</v>
      </c>
      <c r="F25" s="10">
        <v>0.4</v>
      </c>
      <c r="G25" s="9">
        <f t="shared" si="1"/>
        <v>23000</v>
      </c>
      <c r="H25" s="13">
        <f t="shared" si="10"/>
        <v>4</v>
      </c>
      <c r="K25" s="4"/>
      <c r="L25" s="4"/>
      <c r="M25" s="4"/>
      <c r="N25" s="4">
        <f t="shared" si="0"/>
        <v>23000</v>
      </c>
    </row>
    <row r="26" spans="1:14" x14ac:dyDescent="0.3">
      <c r="A26" s="1">
        <f t="shared" si="2"/>
        <v>24</v>
      </c>
      <c r="B26" s="4">
        <f t="shared" ref="B26:C26" si="26">B24+1</f>
        <v>13</v>
      </c>
      <c r="C26" s="4">
        <f t="shared" si="26"/>
        <v>12</v>
      </c>
      <c r="D26" s="4">
        <f t="shared" si="23"/>
        <v>38</v>
      </c>
      <c r="E26" s="4">
        <v>0.1</v>
      </c>
      <c r="F26" s="10">
        <v>0.4</v>
      </c>
      <c r="G26" s="9">
        <f t="shared" si="1"/>
        <v>24000</v>
      </c>
      <c r="H26" s="13">
        <f t="shared" si="10"/>
        <v>4</v>
      </c>
      <c r="K26" s="4"/>
      <c r="L26" s="4"/>
      <c r="M26" s="4"/>
      <c r="N26" s="4">
        <f t="shared" si="0"/>
        <v>24000</v>
      </c>
    </row>
    <row r="27" spans="1:14" x14ac:dyDescent="0.3">
      <c r="A27" s="1">
        <f t="shared" si="2"/>
        <v>25</v>
      </c>
      <c r="B27" s="4">
        <f t="shared" ref="B27:C27" si="27">B25+1</f>
        <v>13</v>
      </c>
      <c r="C27" s="4">
        <f t="shared" si="27"/>
        <v>13</v>
      </c>
      <c r="D27" s="4">
        <f t="shared" si="23"/>
        <v>40</v>
      </c>
      <c r="E27" s="4">
        <v>0.1</v>
      </c>
      <c r="F27" s="10">
        <v>0.4</v>
      </c>
      <c r="G27" s="9">
        <f t="shared" si="1"/>
        <v>25000</v>
      </c>
      <c r="H27" s="13">
        <f t="shared" si="10"/>
        <v>4</v>
      </c>
      <c r="K27" s="4"/>
      <c r="L27" s="4"/>
      <c r="M27" s="4"/>
      <c r="N27" s="4">
        <f t="shared" si="0"/>
        <v>25000</v>
      </c>
    </row>
    <row r="28" spans="1:14" x14ac:dyDescent="0.3">
      <c r="A28" s="1">
        <f t="shared" si="2"/>
        <v>26</v>
      </c>
      <c r="B28" s="4">
        <f t="shared" ref="B28:C28" si="28">B26+1</f>
        <v>14</v>
      </c>
      <c r="C28" s="4">
        <f t="shared" si="28"/>
        <v>13</v>
      </c>
      <c r="D28" s="4">
        <f t="shared" si="23"/>
        <v>42</v>
      </c>
      <c r="E28" s="4">
        <v>0.1</v>
      </c>
      <c r="F28" s="10">
        <v>0.4</v>
      </c>
      <c r="G28" s="9">
        <f t="shared" si="1"/>
        <v>26000</v>
      </c>
      <c r="H28" s="13">
        <f t="shared" si="10"/>
        <v>4</v>
      </c>
      <c r="K28" s="4"/>
      <c r="L28" s="4"/>
      <c r="M28" s="4"/>
      <c r="N28" s="4">
        <f t="shared" si="0"/>
        <v>26000</v>
      </c>
    </row>
    <row r="29" spans="1:14" x14ac:dyDescent="0.3">
      <c r="A29" s="1">
        <f t="shared" si="2"/>
        <v>27</v>
      </c>
      <c r="B29" s="4">
        <f t="shared" ref="B29:C29" si="29">B27+1</f>
        <v>14</v>
      </c>
      <c r="C29" s="4">
        <f t="shared" si="29"/>
        <v>14</v>
      </c>
      <c r="D29" s="4">
        <f t="shared" si="23"/>
        <v>44</v>
      </c>
      <c r="E29" s="4">
        <v>0.1</v>
      </c>
      <c r="F29" s="10">
        <v>0.4</v>
      </c>
      <c r="G29" s="9">
        <f t="shared" si="1"/>
        <v>27000</v>
      </c>
      <c r="H29" s="13">
        <f t="shared" si="10"/>
        <v>4</v>
      </c>
      <c r="K29" s="4"/>
      <c r="L29" s="4"/>
      <c r="M29" s="4"/>
      <c r="N29" s="4">
        <f t="shared" si="0"/>
        <v>27000</v>
      </c>
    </row>
    <row r="30" spans="1:14" x14ac:dyDescent="0.3">
      <c r="A30" s="1">
        <f t="shared" si="2"/>
        <v>28</v>
      </c>
      <c r="B30" s="4">
        <f t="shared" ref="B30:C30" si="30">B28+1</f>
        <v>15</v>
      </c>
      <c r="C30" s="4">
        <f t="shared" si="30"/>
        <v>14</v>
      </c>
      <c r="D30" s="4">
        <f t="shared" si="23"/>
        <v>46</v>
      </c>
      <c r="E30" s="4">
        <v>0.1</v>
      </c>
      <c r="F30" s="10">
        <v>0.4</v>
      </c>
      <c r="G30" s="9">
        <f t="shared" si="1"/>
        <v>28000</v>
      </c>
      <c r="H30" s="13">
        <f t="shared" si="10"/>
        <v>4</v>
      </c>
      <c r="K30" s="4"/>
      <c r="L30" s="4"/>
      <c r="M30" s="4"/>
      <c r="N30" s="4">
        <f t="shared" si="0"/>
        <v>28000</v>
      </c>
    </row>
    <row r="31" spans="1:14" x14ac:dyDescent="0.3">
      <c r="A31" s="1">
        <f t="shared" si="2"/>
        <v>29</v>
      </c>
      <c r="B31" s="4">
        <f t="shared" ref="B31:C31" si="31">B29+1</f>
        <v>15</v>
      </c>
      <c r="C31" s="4">
        <f t="shared" si="31"/>
        <v>15</v>
      </c>
      <c r="D31" s="4">
        <f t="shared" si="23"/>
        <v>48</v>
      </c>
      <c r="E31" s="4">
        <v>0.1</v>
      </c>
      <c r="F31" s="10">
        <v>0.4</v>
      </c>
      <c r="G31" s="9">
        <f t="shared" si="1"/>
        <v>29000</v>
      </c>
      <c r="H31" s="13">
        <f t="shared" si="10"/>
        <v>5</v>
      </c>
      <c r="K31" s="4"/>
      <c r="L31" s="4"/>
      <c r="M31" s="4"/>
      <c r="N31" s="4">
        <f t="shared" si="0"/>
        <v>29000</v>
      </c>
    </row>
    <row r="32" spans="1:14" x14ac:dyDescent="0.3">
      <c r="A32" s="1">
        <f t="shared" si="2"/>
        <v>30</v>
      </c>
      <c r="B32" s="4">
        <f t="shared" ref="B32:C32" si="32">B30+1</f>
        <v>16</v>
      </c>
      <c r="C32" s="4">
        <f t="shared" si="32"/>
        <v>15</v>
      </c>
      <c r="D32" s="4">
        <f t="shared" si="23"/>
        <v>50</v>
      </c>
      <c r="E32" s="4">
        <v>0.1</v>
      </c>
      <c r="F32" s="10">
        <v>0.4</v>
      </c>
      <c r="G32" s="9">
        <f t="shared" si="1"/>
        <v>30000</v>
      </c>
      <c r="H32" s="13">
        <f t="shared" si="10"/>
        <v>5</v>
      </c>
      <c r="K32" s="4"/>
      <c r="L32" s="4"/>
      <c r="M32" s="4"/>
      <c r="N32" s="4">
        <f t="shared" si="0"/>
        <v>30000</v>
      </c>
    </row>
    <row r="33" spans="1:14" x14ac:dyDescent="0.3">
      <c r="A33" s="1">
        <f t="shared" si="2"/>
        <v>31</v>
      </c>
      <c r="B33" s="4">
        <f t="shared" ref="B33:C33" si="33">B31+1</f>
        <v>16</v>
      </c>
      <c r="C33" s="4">
        <f t="shared" si="33"/>
        <v>16</v>
      </c>
      <c r="D33" s="4">
        <f t="shared" si="23"/>
        <v>52</v>
      </c>
      <c r="E33" s="4">
        <v>0.1</v>
      </c>
      <c r="F33" s="10">
        <v>0.4</v>
      </c>
      <c r="G33" s="9">
        <f t="shared" si="1"/>
        <v>31000</v>
      </c>
      <c r="H33" s="13">
        <f t="shared" si="10"/>
        <v>5</v>
      </c>
      <c r="K33" s="4"/>
      <c r="L33" s="4"/>
      <c r="M33" s="4"/>
      <c r="N33" s="4">
        <f t="shared" si="0"/>
        <v>31000</v>
      </c>
    </row>
    <row r="34" spans="1:14" x14ac:dyDescent="0.3">
      <c r="A34" s="1">
        <f t="shared" si="2"/>
        <v>32</v>
      </c>
      <c r="B34" s="4">
        <f t="shared" ref="B34:C34" si="34">B32+1</f>
        <v>17</v>
      </c>
      <c r="C34" s="4">
        <f t="shared" si="34"/>
        <v>16</v>
      </c>
      <c r="D34" s="4">
        <f t="shared" si="23"/>
        <v>54</v>
      </c>
      <c r="E34" s="4">
        <v>0.1</v>
      </c>
      <c r="F34" s="10">
        <v>0.4</v>
      </c>
      <c r="G34" s="9">
        <f t="shared" si="1"/>
        <v>32000</v>
      </c>
      <c r="H34" s="13">
        <f t="shared" si="10"/>
        <v>5</v>
      </c>
      <c r="K34" s="4"/>
      <c r="L34" s="4"/>
      <c r="M34" s="4"/>
      <c r="N34" s="4">
        <f t="shared" si="0"/>
        <v>32000</v>
      </c>
    </row>
    <row r="35" spans="1:14" x14ac:dyDescent="0.3">
      <c r="A35" s="1">
        <f t="shared" si="2"/>
        <v>33</v>
      </c>
      <c r="B35" s="4">
        <f t="shared" ref="B35:C35" si="35">B33+1</f>
        <v>17</v>
      </c>
      <c r="C35" s="4">
        <f t="shared" si="35"/>
        <v>17</v>
      </c>
      <c r="D35" s="4">
        <f t="shared" si="23"/>
        <v>56</v>
      </c>
      <c r="E35" s="4">
        <v>0.1</v>
      </c>
      <c r="F35" s="10">
        <v>0.4</v>
      </c>
      <c r="G35" s="9">
        <f t="shared" si="1"/>
        <v>33000</v>
      </c>
      <c r="H35" s="13">
        <f t="shared" si="10"/>
        <v>5</v>
      </c>
      <c r="K35" s="4"/>
      <c r="L35" s="4"/>
      <c r="M35" s="4"/>
      <c r="N35" s="4">
        <f t="shared" si="0"/>
        <v>33000</v>
      </c>
    </row>
    <row r="36" spans="1:14" x14ac:dyDescent="0.3">
      <c r="A36" s="1">
        <f t="shared" si="2"/>
        <v>34</v>
      </c>
      <c r="B36" s="4">
        <f t="shared" ref="B36:C36" si="36">B34+1</f>
        <v>18</v>
      </c>
      <c r="C36" s="4">
        <f t="shared" si="36"/>
        <v>17</v>
      </c>
      <c r="D36" s="4">
        <f t="shared" si="23"/>
        <v>58</v>
      </c>
      <c r="E36" s="4">
        <v>0.1</v>
      </c>
      <c r="F36" s="10">
        <v>0.4</v>
      </c>
      <c r="G36" s="9">
        <f t="shared" si="1"/>
        <v>34000</v>
      </c>
      <c r="H36" s="13">
        <f t="shared" si="10"/>
        <v>5</v>
      </c>
      <c r="K36" s="4"/>
      <c r="L36" s="4"/>
      <c r="M36" s="4"/>
      <c r="N36" s="4">
        <f t="shared" si="0"/>
        <v>34000</v>
      </c>
    </row>
    <row r="37" spans="1:14" x14ac:dyDescent="0.3">
      <c r="A37" s="1">
        <f t="shared" si="2"/>
        <v>35</v>
      </c>
      <c r="B37" s="4">
        <f t="shared" ref="B37:C37" si="37">B35+1</f>
        <v>18</v>
      </c>
      <c r="C37" s="4">
        <f t="shared" si="37"/>
        <v>18</v>
      </c>
      <c r="D37" s="4">
        <f t="shared" si="23"/>
        <v>60</v>
      </c>
      <c r="E37" s="4">
        <v>0.1</v>
      </c>
      <c r="F37" s="10">
        <v>0.4</v>
      </c>
      <c r="G37" s="9">
        <f t="shared" si="1"/>
        <v>35000</v>
      </c>
      <c r="H37" s="13">
        <f t="shared" si="10"/>
        <v>5</v>
      </c>
      <c r="K37" s="4"/>
      <c r="L37" s="4"/>
      <c r="M37" s="4"/>
      <c r="N37" s="4">
        <f t="shared" si="0"/>
        <v>35000</v>
      </c>
    </row>
    <row r="38" spans="1:14" x14ac:dyDescent="0.3">
      <c r="A38" s="1">
        <f t="shared" si="2"/>
        <v>36</v>
      </c>
      <c r="B38" s="4">
        <f t="shared" ref="B38:C38" si="38">B36+1</f>
        <v>19</v>
      </c>
      <c r="C38" s="4">
        <f t="shared" si="38"/>
        <v>18</v>
      </c>
      <c r="D38" s="4">
        <f t="shared" si="23"/>
        <v>62</v>
      </c>
      <c r="E38" s="4">
        <v>0.1</v>
      </c>
      <c r="F38" s="10">
        <v>0.4</v>
      </c>
      <c r="G38" s="9">
        <f t="shared" si="1"/>
        <v>36000</v>
      </c>
      <c r="H38" s="13">
        <f t="shared" si="10"/>
        <v>6</v>
      </c>
      <c r="K38" s="4"/>
      <c r="L38" s="4"/>
      <c r="M38" s="4"/>
      <c r="N38" s="4">
        <f t="shared" si="0"/>
        <v>36000</v>
      </c>
    </row>
    <row r="39" spans="1:14" x14ac:dyDescent="0.3">
      <c r="A39" s="1">
        <f t="shared" si="2"/>
        <v>37</v>
      </c>
      <c r="B39" s="4">
        <f t="shared" ref="B39:C39" si="39">B37+1</f>
        <v>19</v>
      </c>
      <c r="C39" s="4">
        <f t="shared" si="39"/>
        <v>19</v>
      </c>
      <c r="D39" s="4">
        <f t="shared" si="23"/>
        <v>64</v>
      </c>
      <c r="E39" s="4">
        <v>0.1</v>
      </c>
      <c r="F39" s="10">
        <v>0.4</v>
      </c>
      <c r="G39" s="9">
        <f t="shared" si="1"/>
        <v>37000</v>
      </c>
      <c r="H39" s="13">
        <f t="shared" si="10"/>
        <v>6</v>
      </c>
      <c r="K39" s="4"/>
      <c r="L39" s="4"/>
      <c r="M39" s="4"/>
      <c r="N39" s="4">
        <f t="shared" si="0"/>
        <v>37000</v>
      </c>
    </row>
    <row r="40" spans="1:14" x14ac:dyDescent="0.3">
      <c r="A40" s="1">
        <f t="shared" si="2"/>
        <v>38</v>
      </c>
      <c r="B40" s="4">
        <f t="shared" ref="B40:C40" si="40">B38+1</f>
        <v>20</v>
      </c>
      <c r="C40" s="4">
        <f t="shared" si="40"/>
        <v>19</v>
      </c>
      <c r="D40" s="4">
        <f t="shared" si="23"/>
        <v>66</v>
      </c>
      <c r="E40" s="4">
        <v>0.1</v>
      </c>
      <c r="F40" s="10">
        <v>0.4</v>
      </c>
      <c r="G40" s="9">
        <f t="shared" si="1"/>
        <v>38000</v>
      </c>
      <c r="H40" s="13">
        <f t="shared" si="10"/>
        <v>6</v>
      </c>
      <c r="K40" s="4"/>
      <c r="L40" s="4"/>
      <c r="M40" s="4"/>
      <c r="N40" s="4">
        <f t="shared" si="0"/>
        <v>38000</v>
      </c>
    </row>
    <row r="41" spans="1:14" x14ac:dyDescent="0.3">
      <c r="A41" s="1">
        <f t="shared" si="2"/>
        <v>39</v>
      </c>
      <c r="B41" s="4">
        <f t="shared" ref="B41:C41" si="41">B39+1</f>
        <v>20</v>
      </c>
      <c r="C41" s="4">
        <f t="shared" si="41"/>
        <v>20</v>
      </c>
      <c r="D41" s="4">
        <f t="shared" si="23"/>
        <v>68</v>
      </c>
      <c r="E41" s="4">
        <v>0.1</v>
      </c>
      <c r="F41" s="10">
        <v>0.4</v>
      </c>
      <c r="G41" s="9">
        <f t="shared" si="1"/>
        <v>39000</v>
      </c>
      <c r="H41" s="13">
        <f t="shared" si="10"/>
        <v>6</v>
      </c>
      <c r="K41" s="4"/>
      <c r="L41" s="4"/>
      <c r="M41" s="4"/>
      <c r="N41" s="4">
        <f t="shared" si="0"/>
        <v>39000</v>
      </c>
    </row>
    <row r="42" spans="1:14" x14ac:dyDescent="0.3">
      <c r="A42" s="1">
        <f t="shared" si="2"/>
        <v>40</v>
      </c>
      <c r="B42" s="4">
        <f>B41+1</f>
        <v>21</v>
      </c>
      <c r="C42" s="4">
        <f t="shared" ref="C42" si="42">C40+1</f>
        <v>20</v>
      </c>
      <c r="D42" s="4">
        <f>D41+3</f>
        <v>71</v>
      </c>
      <c r="E42" s="4">
        <f>E22+0.1</f>
        <v>0.2</v>
      </c>
      <c r="F42" s="10">
        <v>0.5</v>
      </c>
      <c r="G42" s="9">
        <f t="shared" si="1"/>
        <v>40000</v>
      </c>
      <c r="H42" s="13">
        <f t="shared" si="10"/>
        <v>6</v>
      </c>
      <c r="K42" s="4"/>
      <c r="L42" s="4"/>
      <c r="M42" s="4"/>
      <c r="N42" s="4">
        <f t="shared" si="0"/>
        <v>40000</v>
      </c>
    </row>
    <row r="43" spans="1:14" x14ac:dyDescent="0.3">
      <c r="A43" s="1">
        <f t="shared" si="2"/>
        <v>41</v>
      </c>
      <c r="B43" s="4">
        <f t="shared" si="2"/>
        <v>22</v>
      </c>
      <c r="C43" s="4">
        <f t="shared" ref="C43" si="43">C41+1</f>
        <v>21</v>
      </c>
      <c r="D43" s="4">
        <f t="shared" ref="D43:D61" si="44">D42+3</f>
        <v>74</v>
      </c>
      <c r="E43" s="4">
        <f t="shared" ref="E43:F106" si="45">E23+0.1</f>
        <v>0.2</v>
      </c>
      <c r="F43" s="10">
        <v>0.5</v>
      </c>
      <c r="G43" s="9">
        <f t="shared" si="1"/>
        <v>41000</v>
      </c>
      <c r="H43" s="13">
        <f t="shared" si="10"/>
        <v>6</v>
      </c>
      <c r="K43" s="4"/>
      <c r="L43" s="4"/>
      <c r="M43" s="4"/>
      <c r="N43" s="4">
        <f t="shared" si="0"/>
        <v>41000</v>
      </c>
    </row>
    <row r="44" spans="1:14" x14ac:dyDescent="0.3">
      <c r="A44" s="1">
        <f t="shared" si="2"/>
        <v>42</v>
      </c>
      <c r="B44" s="4">
        <f t="shared" si="2"/>
        <v>23</v>
      </c>
      <c r="C44" s="4">
        <f t="shared" ref="C44" si="46">C42+1</f>
        <v>21</v>
      </c>
      <c r="D44" s="4">
        <f t="shared" si="44"/>
        <v>77</v>
      </c>
      <c r="E44" s="4">
        <f t="shared" si="45"/>
        <v>0.2</v>
      </c>
      <c r="F44" s="10">
        <v>0.5</v>
      </c>
      <c r="G44" s="9">
        <f t="shared" si="1"/>
        <v>42000</v>
      </c>
      <c r="H44" s="13">
        <f t="shared" si="10"/>
        <v>6</v>
      </c>
      <c r="K44" s="4"/>
      <c r="L44" s="4"/>
      <c r="M44" s="4"/>
      <c r="N44" s="4">
        <f t="shared" si="0"/>
        <v>42000</v>
      </c>
    </row>
    <row r="45" spans="1:14" x14ac:dyDescent="0.3">
      <c r="A45" s="1">
        <f t="shared" si="2"/>
        <v>43</v>
      </c>
      <c r="B45" s="4">
        <f t="shared" si="2"/>
        <v>24</v>
      </c>
      <c r="C45" s="4">
        <f t="shared" ref="C45" si="47">C43+1</f>
        <v>22</v>
      </c>
      <c r="D45" s="4">
        <f t="shared" si="44"/>
        <v>80</v>
      </c>
      <c r="E45" s="4">
        <f t="shared" si="45"/>
        <v>0.2</v>
      </c>
      <c r="F45" s="10">
        <v>0.5</v>
      </c>
      <c r="G45" s="9">
        <f t="shared" si="1"/>
        <v>43000</v>
      </c>
      <c r="H45" s="13">
        <f t="shared" si="10"/>
        <v>7</v>
      </c>
      <c r="K45" s="4"/>
      <c r="L45" s="4"/>
      <c r="M45" s="4"/>
      <c r="N45" s="4">
        <f t="shared" si="0"/>
        <v>43000</v>
      </c>
    </row>
    <row r="46" spans="1:14" x14ac:dyDescent="0.3">
      <c r="A46" s="1">
        <f t="shared" si="2"/>
        <v>44</v>
      </c>
      <c r="B46" s="4">
        <f t="shared" si="2"/>
        <v>25</v>
      </c>
      <c r="C46" s="4">
        <f t="shared" ref="C46" si="48">C44+1</f>
        <v>22</v>
      </c>
      <c r="D46" s="4">
        <f t="shared" si="44"/>
        <v>83</v>
      </c>
      <c r="E46" s="4">
        <f t="shared" si="45"/>
        <v>0.2</v>
      </c>
      <c r="F46" s="10">
        <v>0.5</v>
      </c>
      <c r="G46" s="9">
        <f t="shared" si="1"/>
        <v>44000</v>
      </c>
      <c r="H46" s="13">
        <f t="shared" si="10"/>
        <v>7</v>
      </c>
      <c r="K46" s="4"/>
      <c r="L46" s="4"/>
      <c r="M46" s="4"/>
      <c r="N46" s="4">
        <f t="shared" si="0"/>
        <v>44000</v>
      </c>
    </row>
    <row r="47" spans="1:14" x14ac:dyDescent="0.3">
      <c r="A47" s="1">
        <f t="shared" si="2"/>
        <v>45</v>
      </c>
      <c r="B47" s="4">
        <f t="shared" si="2"/>
        <v>26</v>
      </c>
      <c r="C47" s="4">
        <f t="shared" ref="C47" si="49">C45+1</f>
        <v>23</v>
      </c>
      <c r="D47" s="4">
        <f t="shared" si="44"/>
        <v>86</v>
      </c>
      <c r="E47" s="4">
        <f t="shared" si="45"/>
        <v>0.2</v>
      </c>
      <c r="F47" s="10">
        <v>0.5</v>
      </c>
      <c r="G47" s="9">
        <f t="shared" si="1"/>
        <v>45000</v>
      </c>
      <c r="H47" s="13">
        <f t="shared" si="10"/>
        <v>7</v>
      </c>
      <c r="K47" s="4"/>
      <c r="L47" s="4"/>
      <c r="M47" s="4"/>
      <c r="N47" s="4">
        <f t="shared" si="0"/>
        <v>45000</v>
      </c>
    </row>
    <row r="48" spans="1:14" x14ac:dyDescent="0.3">
      <c r="A48" s="1">
        <f t="shared" si="2"/>
        <v>46</v>
      </c>
      <c r="B48" s="4">
        <f t="shared" si="2"/>
        <v>27</v>
      </c>
      <c r="C48" s="4">
        <f t="shared" ref="C48" si="50">C46+1</f>
        <v>23</v>
      </c>
      <c r="D48" s="4">
        <f t="shared" si="44"/>
        <v>89</v>
      </c>
      <c r="E48" s="4">
        <f t="shared" si="45"/>
        <v>0.2</v>
      </c>
      <c r="F48" s="10">
        <v>0.5</v>
      </c>
      <c r="G48" s="9">
        <f t="shared" si="1"/>
        <v>46000</v>
      </c>
      <c r="H48" s="13">
        <f t="shared" si="10"/>
        <v>7</v>
      </c>
      <c r="K48" s="4"/>
      <c r="L48" s="4"/>
      <c r="M48" s="4"/>
      <c r="N48" s="4">
        <f t="shared" si="0"/>
        <v>46000</v>
      </c>
    </row>
    <row r="49" spans="1:14" x14ac:dyDescent="0.3">
      <c r="A49" s="1">
        <f t="shared" si="2"/>
        <v>47</v>
      </c>
      <c r="B49" s="4">
        <f t="shared" si="2"/>
        <v>28</v>
      </c>
      <c r="C49" s="4">
        <f t="shared" ref="C49" si="51">C47+1</f>
        <v>24</v>
      </c>
      <c r="D49" s="4">
        <f t="shared" si="44"/>
        <v>92</v>
      </c>
      <c r="E49" s="4">
        <f t="shared" si="45"/>
        <v>0.2</v>
      </c>
      <c r="F49" s="10">
        <v>0.5</v>
      </c>
      <c r="G49" s="9">
        <f t="shared" si="1"/>
        <v>47000</v>
      </c>
      <c r="H49" s="13">
        <f t="shared" si="10"/>
        <v>7</v>
      </c>
      <c r="K49" s="4"/>
      <c r="L49" s="4"/>
      <c r="M49" s="4"/>
      <c r="N49" s="4">
        <f t="shared" si="0"/>
        <v>47000</v>
      </c>
    </row>
    <row r="50" spans="1:14" x14ac:dyDescent="0.3">
      <c r="A50" s="1">
        <f t="shared" si="2"/>
        <v>48</v>
      </c>
      <c r="B50" s="4">
        <f t="shared" si="2"/>
        <v>29</v>
      </c>
      <c r="C50" s="4">
        <f t="shared" ref="C50" si="52">C48+1</f>
        <v>24</v>
      </c>
      <c r="D50" s="4">
        <f t="shared" si="44"/>
        <v>95</v>
      </c>
      <c r="E50" s="4">
        <f t="shared" si="45"/>
        <v>0.2</v>
      </c>
      <c r="F50" s="10">
        <v>0.5</v>
      </c>
      <c r="G50" s="9">
        <f t="shared" si="1"/>
        <v>48000</v>
      </c>
      <c r="H50" s="13">
        <f t="shared" si="10"/>
        <v>7</v>
      </c>
      <c r="K50" s="4"/>
      <c r="L50" s="4"/>
      <c r="M50" s="4"/>
      <c r="N50" s="4">
        <f t="shared" si="0"/>
        <v>48000</v>
      </c>
    </row>
    <row r="51" spans="1:14" x14ac:dyDescent="0.3">
      <c r="A51" s="1">
        <f t="shared" si="2"/>
        <v>49</v>
      </c>
      <c r="B51" s="4">
        <f t="shared" si="2"/>
        <v>30</v>
      </c>
      <c r="C51" s="4">
        <f t="shared" ref="C51" si="53">C49+1</f>
        <v>25</v>
      </c>
      <c r="D51" s="4">
        <f t="shared" si="44"/>
        <v>98</v>
      </c>
      <c r="E51" s="4">
        <f t="shared" si="45"/>
        <v>0.2</v>
      </c>
      <c r="F51" s="10">
        <v>0.5</v>
      </c>
      <c r="G51" s="9">
        <f t="shared" si="1"/>
        <v>49000</v>
      </c>
      <c r="H51" s="13">
        <f t="shared" si="10"/>
        <v>7</v>
      </c>
      <c r="K51" s="4"/>
      <c r="L51" s="4"/>
      <c r="M51" s="4"/>
      <c r="N51" s="4">
        <f t="shared" si="0"/>
        <v>49000</v>
      </c>
    </row>
    <row r="52" spans="1:14" x14ac:dyDescent="0.3">
      <c r="A52" s="1">
        <f t="shared" si="2"/>
        <v>50</v>
      </c>
      <c r="B52" s="4">
        <f t="shared" si="2"/>
        <v>31</v>
      </c>
      <c r="C52" s="4">
        <f t="shared" ref="C52" si="54">C50+1</f>
        <v>25</v>
      </c>
      <c r="D52" s="4">
        <f t="shared" si="44"/>
        <v>101</v>
      </c>
      <c r="E52" s="4">
        <f t="shared" si="45"/>
        <v>0.2</v>
      </c>
      <c r="F52" s="10">
        <v>0.5</v>
      </c>
      <c r="G52" s="9">
        <f>A52*1500</f>
        <v>75000</v>
      </c>
      <c r="H52" s="13">
        <f t="shared" si="10"/>
        <v>8</v>
      </c>
      <c r="K52" s="4"/>
      <c r="L52" s="4"/>
      <c r="M52" s="4"/>
      <c r="N52" s="4">
        <f t="shared" si="0"/>
        <v>75000</v>
      </c>
    </row>
    <row r="53" spans="1:14" x14ac:dyDescent="0.3">
      <c r="A53" s="1">
        <f t="shared" si="2"/>
        <v>51</v>
      </c>
      <c r="B53" s="4">
        <f t="shared" si="2"/>
        <v>32</v>
      </c>
      <c r="C53" s="4">
        <f t="shared" ref="C53" si="55">C51+1</f>
        <v>26</v>
      </c>
      <c r="D53" s="4">
        <f t="shared" si="44"/>
        <v>104</v>
      </c>
      <c r="E53" s="4">
        <f t="shared" si="45"/>
        <v>0.2</v>
      </c>
      <c r="F53" s="10">
        <v>0.5</v>
      </c>
      <c r="G53" s="9">
        <f t="shared" ref="G53:G101" si="56">A53*1500</f>
        <v>76500</v>
      </c>
      <c r="H53" s="13">
        <f t="shared" si="10"/>
        <v>8</v>
      </c>
      <c r="K53" s="4"/>
      <c r="L53" s="4"/>
      <c r="M53" s="4"/>
      <c r="N53" s="4">
        <f t="shared" si="0"/>
        <v>76500</v>
      </c>
    </row>
    <row r="54" spans="1:14" x14ac:dyDescent="0.3">
      <c r="A54" s="1">
        <f t="shared" si="2"/>
        <v>52</v>
      </c>
      <c r="B54" s="4">
        <f t="shared" si="2"/>
        <v>33</v>
      </c>
      <c r="C54" s="4">
        <f t="shared" ref="C54" si="57">C52+1</f>
        <v>26</v>
      </c>
      <c r="D54" s="4">
        <f t="shared" si="44"/>
        <v>107</v>
      </c>
      <c r="E54" s="4">
        <f t="shared" si="45"/>
        <v>0.2</v>
      </c>
      <c r="F54" s="10">
        <v>0.5</v>
      </c>
      <c r="G54" s="9">
        <f t="shared" si="56"/>
        <v>78000</v>
      </c>
      <c r="H54" s="13">
        <f t="shared" si="10"/>
        <v>8</v>
      </c>
      <c r="K54" s="4"/>
      <c r="L54" s="4"/>
      <c r="M54" s="4"/>
      <c r="N54" s="4">
        <f t="shared" si="0"/>
        <v>78000</v>
      </c>
    </row>
    <row r="55" spans="1:14" x14ac:dyDescent="0.3">
      <c r="A55" s="1">
        <f t="shared" si="2"/>
        <v>53</v>
      </c>
      <c r="B55" s="4">
        <f t="shared" si="2"/>
        <v>34</v>
      </c>
      <c r="C55" s="4">
        <f t="shared" ref="C55" si="58">C53+1</f>
        <v>27</v>
      </c>
      <c r="D55" s="4">
        <f t="shared" si="44"/>
        <v>110</v>
      </c>
      <c r="E55" s="4">
        <f t="shared" si="45"/>
        <v>0.2</v>
      </c>
      <c r="F55" s="10">
        <v>0.5</v>
      </c>
      <c r="G55" s="9">
        <f t="shared" si="56"/>
        <v>79500</v>
      </c>
      <c r="H55" s="13">
        <f t="shared" si="10"/>
        <v>8</v>
      </c>
      <c r="K55" s="4"/>
      <c r="L55" s="4"/>
      <c r="M55" s="4"/>
      <c r="N55" s="4">
        <f t="shared" si="0"/>
        <v>79500</v>
      </c>
    </row>
    <row r="56" spans="1:14" x14ac:dyDescent="0.3">
      <c r="A56" s="1">
        <f t="shared" si="2"/>
        <v>54</v>
      </c>
      <c r="B56" s="4">
        <f t="shared" si="2"/>
        <v>35</v>
      </c>
      <c r="C56" s="4">
        <f t="shared" ref="C56" si="59">C54+1</f>
        <v>27</v>
      </c>
      <c r="D56" s="4">
        <f t="shared" si="44"/>
        <v>113</v>
      </c>
      <c r="E56" s="4">
        <f t="shared" si="45"/>
        <v>0.2</v>
      </c>
      <c r="F56" s="10">
        <v>0.5</v>
      </c>
      <c r="G56" s="9">
        <f t="shared" si="56"/>
        <v>81000</v>
      </c>
      <c r="H56" s="13">
        <f t="shared" si="10"/>
        <v>8</v>
      </c>
      <c r="K56" s="4"/>
      <c r="L56" s="4"/>
      <c r="M56" s="4"/>
      <c r="N56" s="4">
        <f t="shared" si="0"/>
        <v>81000</v>
      </c>
    </row>
    <row r="57" spans="1:14" x14ac:dyDescent="0.3">
      <c r="A57" s="1">
        <f t="shared" si="2"/>
        <v>55</v>
      </c>
      <c r="B57" s="4">
        <f t="shared" si="2"/>
        <v>36</v>
      </c>
      <c r="C57" s="4">
        <f t="shared" ref="C57" si="60">C55+1</f>
        <v>28</v>
      </c>
      <c r="D57" s="4">
        <f t="shared" si="44"/>
        <v>116</v>
      </c>
      <c r="E57" s="4">
        <f t="shared" si="45"/>
        <v>0.2</v>
      </c>
      <c r="F57" s="10">
        <v>0.5</v>
      </c>
      <c r="G57" s="9">
        <f t="shared" si="56"/>
        <v>82500</v>
      </c>
      <c r="H57" s="13">
        <f t="shared" si="10"/>
        <v>8</v>
      </c>
      <c r="K57" s="4"/>
      <c r="L57" s="4"/>
      <c r="M57" s="4"/>
      <c r="N57" s="4">
        <f t="shared" si="0"/>
        <v>82500</v>
      </c>
    </row>
    <row r="58" spans="1:14" x14ac:dyDescent="0.3">
      <c r="A58" s="1">
        <f t="shared" si="2"/>
        <v>56</v>
      </c>
      <c r="B58" s="4">
        <f t="shared" si="2"/>
        <v>37</v>
      </c>
      <c r="C58" s="4">
        <f t="shared" ref="C58" si="61">C56+1</f>
        <v>28</v>
      </c>
      <c r="D58" s="4">
        <f t="shared" si="44"/>
        <v>119</v>
      </c>
      <c r="E58" s="4">
        <f t="shared" si="45"/>
        <v>0.2</v>
      </c>
      <c r="F58" s="10">
        <v>0.5</v>
      </c>
      <c r="G58" s="9">
        <f t="shared" si="56"/>
        <v>84000</v>
      </c>
      <c r="H58" s="13">
        <f t="shared" si="10"/>
        <v>8</v>
      </c>
      <c r="K58" s="4"/>
      <c r="L58" s="4"/>
      <c r="M58" s="4"/>
      <c r="N58" s="4">
        <f t="shared" si="0"/>
        <v>84000</v>
      </c>
    </row>
    <row r="59" spans="1:14" x14ac:dyDescent="0.3">
      <c r="A59" s="1">
        <f t="shared" si="2"/>
        <v>57</v>
      </c>
      <c r="B59" s="4">
        <f t="shared" si="2"/>
        <v>38</v>
      </c>
      <c r="C59" s="4">
        <f t="shared" ref="C59" si="62">C57+1</f>
        <v>29</v>
      </c>
      <c r="D59" s="4">
        <f t="shared" si="44"/>
        <v>122</v>
      </c>
      <c r="E59" s="4">
        <f t="shared" si="45"/>
        <v>0.2</v>
      </c>
      <c r="F59" s="10">
        <v>0.5</v>
      </c>
      <c r="G59" s="9">
        <f t="shared" si="56"/>
        <v>85500</v>
      </c>
      <c r="H59" s="13">
        <f t="shared" si="10"/>
        <v>9</v>
      </c>
      <c r="K59" s="4"/>
      <c r="L59" s="4"/>
      <c r="M59" s="4"/>
      <c r="N59" s="4">
        <f t="shared" si="0"/>
        <v>85500</v>
      </c>
    </row>
    <row r="60" spans="1:14" x14ac:dyDescent="0.3">
      <c r="A60" s="1">
        <f t="shared" si="2"/>
        <v>58</v>
      </c>
      <c r="B60" s="4">
        <f t="shared" si="2"/>
        <v>39</v>
      </c>
      <c r="C60" s="4">
        <f t="shared" ref="C60" si="63">C58+1</f>
        <v>29</v>
      </c>
      <c r="D60" s="4">
        <f t="shared" si="44"/>
        <v>125</v>
      </c>
      <c r="E60" s="4">
        <f t="shared" si="45"/>
        <v>0.2</v>
      </c>
      <c r="F60" s="10">
        <v>0.5</v>
      </c>
      <c r="G60" s="9">
        <f t="shared" si="56"/>
        <v>87000</v>
      </c>
      <c r="H60" s="13">
        <f t="shared" si="10"/>
        <v>9</v>
      </c>
      <c r="K60" s="4"/>
      <c r="L60" s="4"/>
      <c r="M60" s="4"/>
      <c r="N60" s="4">
        <f t="shared" si="0"/>
        <v>87000</v>
      </c>
    </row>
    <row r="61" spans="1:14" x14ac:dyDescent="0.3">
      <c r="A61" s="1">
        <f t="shared" si="2"/>
        <v>59</v>
      </c>
      <c r="B61" s="4">
        <f t="shared" si="2"/>
        <v>40</v>
      </c>
      <c r="C61" s="4">
        <f t="shared" ref="C61" si="64">C59+1</f>
        <v>30</v>
      </c>
      <c r="D61" s="4">
        <f t="shared" si="44"/>
        <v>128</v>
      </c>
      <c r="E61" s="4">
        <f t="shared" si="45"/>
        <v>0.2</v>
      </c>
      <c r="F61" s="10">
        <v>0.5</v>
      </c>
      <c r="G61" s="9">
        <f t="shared" si="56"/>
        <v>88500</v>
      </c>
      <c r="H61" s="13">
        <f t="shared" si="10"/>
        <v>9</v>
      </c>
      <c r="K61" s="4"/>
      <c r="L61" s="4"/>
      <c r="M61" s="4"/>
      <c r="N61" s="4">
        <f t="shared" si="0"/>
        <v>88500</v>
      </c>
    </row>
    <row r="62" spans="1:14" x14ac:dyDescent="0.3">
      <c r="A62" s="1">
        <f t="shared" si="2"/>
        <v>60</v>
      </c>
      <c r="B62" s="4">
        <f t="shared" si="2"/>
        <v>41</v>
      </c>
      <c r="C62" s="4">
        <f t="shared" ref="C62" si="65">C60+1</f>
        <v>30</v>
      </c>
      <c r="D62" s="4">
        <f>D61+4</f>
        <v>132</v>
      </c>
      <c r="E62" s="4">
        <f t="shared" si="45"/>
        <v>0.30000000000000004</v>
      </c>
      <c r="F62" s="10">
        <v>0.5</v>
      </c>
      <c r="G62" s="9">
        <f t="shared" si="56"/>
        <v>90000</v>
      </c>
      <c r="H62" s="13">
        <f t="shared" si="10"/>
        <v>9</v>
      </c>
      <c r="K62" s="4"/>
      <c r="L62" s="4"/>
      <c r="M62" s="4"/>
      <c r="N62" s="4">
        <f t="shared" si="0"/>
        <v>90000</v>
      </c>
    </row>
    <row r="63" spans="1:14" x14ac:dyDescent="0.3">
      <c r="A63" s="1">
        <f t="shared" si="2"/>
        <v>61</v>
      </c>
      <c r="B63" s="4">
        <f t="shared" si="2"/>
        <v>42</v>
      </c>
      <c r="C63" s="4">
        <f t="shared" ref="C63" si="66">C61+1</f>
        <v>31</v>
      </c>
      <c r="D63" s="4">
        <f t="shared" ref="D63:D81" si="67">D62+4</f>
        <v>136</v>
      </c>
      <c r="E63" s="4">
        <f t="shared" si="45"/>
        <v>0.30000000000000004</v>
      </c>
      <c r="F63" s="10">
        <v>0.6</v>
      </c>
      <c r="G63" s="9">
        <f t="shared" si="56"/>
        <v>91500</v>
      </c>
      <c r="H63" s="13">
        <f t="shared" si="10"/>
        <v>9</v>
      </c>
      <c r="K63" s="4"/>
      <c r="L63" s="4"/>
      <c r="M63" s="4"/>
      <c r="N63" s="4">
        <f t="shared" si="0"/>
        <v>91500</v>
      </c>
    </row>
    <row r="64" spans="1:14" x14ac:dyDescent="0.3">
      <c r="A64" s="1">
        <f t="shared" si="2"/>
        <v>62</v>
      </c>
      <c r="B64" s="4">
        <f t="shared" si="2"/>
        <v>43</v>
      </c>
      <c r="C64" s="4">
        <f t="shared" ref="C64" si="68">C62+1</f>
        <v>31</v>
      </c>
      <c r="D64" s="4">
        <f t="shared" si="67"/>
        <v>140</v>
      </c>
      <c r="E64" s="4">
        <f t="shared" si="45"/>
        <v>0.30000000000000004</v>
      </c>
      <c r="F64" s="10">
        <v>0.6</v>
      </c>
      <c r="G64" s="9">
        <f t="shared" si="56"/>
        <v>93000</v>
      </c>
      <c r="H64" s="13">
        <f t="shared" si="10"/>
        <v>9</v>
      </c>
      <c r="K64" s="4"/>
      <c r="L64" s="4"/>
      <c r="M64" s="4"/>
      <c r="N64" s="4">
        <f t="shared" si="0"/>
        <v>93000</v>
      </c>
    </row>
    <row r="65" spans="1:14" x14ac:dyDescent="0.3">
      <c r="A65" s="1">
        <f t="shared" si="2"/>
        <v>63</v>
      </c>
      <c r="B65" s="4">
        <f t="shared" si="2"/>
        <v>44</v>
      </c>
      <c r="C65" s="4">
        <f t="shared" ref="C65" si="69">C63+1</f>
        <v>32</v>
      </c>
      <c r="D65" s="4">
        <f t="shared" si="67"/>
        <v>144</v>
      </c>
      <c r="E65" s="4">
        <f t="shared" si="45"/>
        <v>0.30000000000000004</v>
      </c>
      <c r="F65" s="10">
        <v>0.6</v>
      </c>
      <c r="G65" s="9">
        <f t="shared" si="56"/>
        <v>94500</v>
      </c>
      <c r="H65" s="13">
        <f t="shared" si="10"/>
        <v>9</v>
      </c>
      <c r="K65" s="4"/>
      <c r="L65" s="4"/>
      <c r="M65" s="4"/>
      <c r="N65" s="4">
        <f t="shared" si="0"/>
        <v>94500</v>
      </c>
    </row>
    <row r="66" spans="1:14" x14ac:dyDescent="0.3">
      <c r="A66" s="1">
        <f t="shared" si="2"/>
        <v>64</v>
      </c>
      <c r="B66" s="4">
        <f t="shared" si="2"/>
        <v>45</v>
      </c>
      <c r="C66" s="4">
        <f t="shared" ref="C66" si="70">C64+1</f>
        <v>32</v>
      </c>
      <c r="D66" s="4">
        <f t="shared" si="67"/>
        <v>148</v>
      </c>
      <c r="E66" s="4">
        <f t="shared" si="45"/>
        <v>0.30000000000000004</v>
      </c>
      <c r="F66" s="10">
        <v>0.6</v>
      </c>
      <c r="G66" s="9">
        <f t="shared" si="56"/>
        <v>96000</v>
      </c>
      <c r="H66" s="13">
        <f t="shared" si="10"/>
        <v>10</v>
      </c>
      <c r="K66" s="4"/>
      <c r="L66" s="4"/>
      <c r="M66" s="4"/>
      <c r="N66" s="4">
        <f t="shared" si="0"/>
        <v>96000</v>
      </c>
    </row>
    <row r="67" spans="1:14" x14ac:dyDescent="0.3">
      <c r="A67" s="1">
        <f t="shared" si="2"/>
        <v>65</v>
      </c>
      <c r="B67" s="4">
        <f t="shared" si="2"/>
        <v>46</v>
      </c>
      <c r="C67" s="4">
        <f t="shared" ref="C67" si="71">C65+1</f>
        <v>33</v>
      </c>
      <c r="D67" s="4">
        <f t="shared" si="67"/>
        <v>152</v>
      </c>
      <c r="E67" s="4">
        <f t="shared" si="45"/>
        <v>0.30000000000000004</v>
      </c>
      <c r="F67" s="10">
        <v>0.6</v>
      </c>
      <c r="G67" s="9">
        <f t="shared" si="56"/>
        <v>97500</v>
      </c>
      <c r="H67" s="13">
        <f t="shared" si="10"/>
        <v>10</v>
      </c>
      <c r="K67" s="4"/>
      <c r="L67" s="4"/>
      <c r="M67" s="4"/>
      <c r="N67" s="4">
        <f t="shared" si="0"/>
        <v>97500</v>
      </c>
    </row>
    <row r="68" spans="1:14" x14ac:dyDescent="0.3">
      <c r="A68" s="1">
        <f t="shared" si="2"/>
        <v>66</v>
      </c>
      <c r="B68" s="4">
        <f t="shared" si="2"/>
        <v>47</v>
      </c>
      <c r="C68" s="4">
        <f t="shared" ref="C68" si="72">C66+1</f>
        <v>33</v>
      </c>
      <c r="D68" s="4">
        <f t="shared" si="67"/>
        <v>156</v>
      </c>
      <c r="E68" s="4">
        <f t="shared" si="45"/>
        <v>0.30000000000000004</v>
      </c>
      <c r="F68" s="10">
        <v>0.6</v>
      </c>
      <c r="G68" s="9">
        <f t="shared" si="56"/>
        <v>99000</v>
      </c>
      <c r="H68" s="13">
        <f t="shared" si="10"/>
        <v>10</v>
      </c>
      <c r="K68" s="4"/>
      <c r="L68" s="4"/>
      <c r="M68" s="4"/>
      <c r="N68" s="4">
        <f t="shared" ref="N68:N131" si="73">G68</f>
        <v>99000</v>
      </c>
    </row>
    <row r="69" spans="1:14" x14ac:dyDescent="0.3">
      <c r="A69" s="1">
        <f t="shared" ref="A69:B132" si="74">A68+1</f>
        <v>67</v>
      </c>
      <c r="B69" s="4">
        <f t="shared" si="74"/>
        <v>48</v>
      </c>
      <c r="C69" s="4">
        <f t="shared" ref="C69" si="75">C67+1</f>
        <v>34</v>
      </c>
      <c r="D69" s="4">
        <f t="shared" si="67"/>
        <v>160</v>
      </c>
      <c r="E69" s="4">
        <f t="shared" si="45"/>
        <v>0.30000000000000004</v>
      </c>
      <c r="F69" s="10">
        <v>0.6</v>
      </c>
      <c r="G69" s="9">
        <f t="shared" si="56"/>
        <v>100500</v>
      </c>
      <c r="H69" s="13">
        <f t="shared" si="10"/>
        <v>10</v>
      </c>
      <c r="K69" s="4"/>
      <c r="L69" s="4"/>
      <c r="M69" s="4"/>
      <c r="N69" s="4">
        <f t="shared" si="73"/>
        <v>100500</v>
      </c>
    </row>
    <row r="70" spans="1:14" x14ac:dyDescent="0.3">
      <c r="A70" s="1">
        <f t="shared" si="74"/>
        <v>68</v>
      </c>
      <c r="B70" s="4">
        <f t="shared" si="74"/>
        <v>49</v>
      </c>
      <c r="C70" s="4">
        <f t="shared" ref="C70" si="76">C68+1</f>
        <v>34</v>
      </c>
      <c r="D70" s="4">
        <f t="shared" si="67"/>
        <v>164</v>
      </c>
      <c r="E70" s="4">
        <f t="shared" si="45"/>
        <v>0.30000000000000004</v>
      </c>
      <c r="F70" s="10">
        <v>0.6</v>
      </c>
      <c r="G70" s="9">
        <f t="shared" si="56"/>
        <v>102000</v>
      </c>
      <c r="H70" s="13">
        <f t="shared" si="10"/>
        <v>10</v>
      </c>
      <c r="K70" s="4"/>
      <c r="L70" s="4"/>
      <c r="M70" s="4"/>
      <c r="N70" s="4">
        <f t="shared" si="73"/>
        <v>102000</v>
      </c>
    </row>
    <row r="71" spans="1:14" x14ac:dyDescent="0.3">
      <c r="A71" s="1">
        <f t="shared" si="74"/>
        <v>69</v>
      </c>
      <c r="B71" s="4">
        <f t="shared" si="74"/>
        <v>50</v>
      </c>
      <c r="C71" s="4">
        <f t="shared" ref="C71" si="77">C69+1</f>
        <v>35</v>
      </c>
      <c r="D71" s="4">
        <f t="shared" si="67"/>
        <v>168</v>
      </c>
      <c r="E71" s="4">
        <f t="shared" si="45"/>
        <v>0.30000000000000004</v>
      </c>
      <c r="F71" s="10">
        <v>0.6</v>
      </c>
      <c r="G71" s="9">
        <f t="shared" si="56"/>
        <v>103500</v>
      </c>
      <c r="H71" s="13">
        <f t="shared" si="10"/>
        <v>10</v>
      </c>
      <c r="K71" s="4"/>
      <c r="L71" s="4"/>
      <c r="M71" s="4"/>
      <c r="N71" s="4">
        <f t="shared" si="73"/>
        <v>103500</v>
      </c>
    </row>
    <row r="72" spans="1:14" x14ac:dyDescent="0.3">
      <c r="A72" s="1">
        <f t="shared" si="74"/>
        <v>70</v>
      </c>
      <c r="B72" s="4">
        <f t="shared" si="74"/>
        <v>51</v>
      </c>
      <c r="C72" s="4">
        <f t="shared" ref="C72" si="78">C70+1</f>
        <v>35</v>
      </c>
      <c r="D72" s="4">
        <f t="shared" si="67"/>
        <v>172</v>
      </c>
      <c r="E72" s="4">
        <f t="shared" si="45"/>
        <v>0.30000000000000004</v>
      </c>
      <c r="F72" s="10">
        <v>0.6</v>
      </c>
      <c r="G72" s="9">
        <f t="shared" si="56"/>
        <v>105000</v>
      </c>
      <c r="H72" s="13">
        <f t="shared" si="10"/>
        <v>10</v>
      </c>
      <c r="K72" s="4"/>
      <c r="L72" s="4"/>
      <c r="M72" s="4"/>
      <c r="N72" s="4">
        <f t="shared" si="73"/>
        <v>105000</v>
      </c>
    </row>
    <row r="73" spans="1:14" x14ac:dyDescent="0.3">
      <c r="A73" s="1">
        <f t="shared" si="74"/>
        <v>71</v>
      </c>
      <c r="B73" s="4">
        <f t="shared" si="74"/>
        <v>52</v>
      </c>
      <c r="C73" s="4">
        <f t="shared" ref="C73" si="79">C71+1</f>
        <v>36</v>
      </c>
      <c r="D73" s="4">
        <f t="shared" si="67"/>
        <v>176</v>
      </c>
      <c r="E73" s="4">
        <f t="shared" si="45"/>
        <v>0.30000000000000004</v>
      </c>
      <c r="F73" s="10">
        <v>0.6</v>
      </c>
      <c r="G73" s="9">
        <f t="shared" si="56"/>
        <v>106500</v>
      </c>
      <c r="H73" s="13">
        <f t="shared" si="10"/>
        <v>11</v>
      </c>
      <c r="K73" s="4"/>
      <c r="L73" s="4"/>
      <c r="M73" s="4"/>
      <c r="N73" s="4">
        <f t="shared" si="73"/>
        <v>106500</v>
      </c>
    </row>
    <row r="74" spans="1:14" x14ac:dyDescent="0.3">
      <c r="A74" s="1">
        <f t="shared" si="74"/>
        <v>72</v>
      </c>
      <c r="B74" s="4">
        <f t="shared" si="74"/>
        <v>53</v>
      </c>
      <c r="C74" s="4">
        <f t="shared" ref="C74" si="80">C72+1</f>
        <v>36</v>
      </c>
      <c r="D74" s="4">
        <f t="shared" si="67"/>
        <v>180</v>
      </c>
      <c r="E74" s="4">
        <f t="shared" si="45"/>
        <v>0.30000000000000004</v>
      </c>
      <c r="F74" s="10">
        <v>0.6</v>
      </c>
      <c r="G74" s="9">
        <f t="shared" si="56"/>
        <v>108000</v>
      </c>
      <c r="H74" s="13">
        <f t="shared" si="10"/>
        <v>11</v>
      </c>
      <c r="K74" s="4"/>
      <c r="L74" s="4"/>
      <c r="M74" s="4"/>
      <c r="N74" s="4">
        <f t="shared" si="73"/>
        <v>108000</v>
      </c>
    </row>
    <row r="75" spans="1:14" x14ac:dyDescent="0.3">
      <c r="A75" s="1">
        <f t="shared" si="74"/>
        <v>73</v>
      </c>
      <c r="B75" s="4">
        <f t="shared" si="74"/>
        <v>54</v>
      </c>
      <c r="C75" s="4">
        <f t="shared" ref="C75" si="81">C73+1</f>
        <v>37</v>
      </c>
      <c r="D75" s="4">
        <f t="shared" si="67"/>
        <v>184</v>
      </c>
      <c r="E75" s="4">
        <f t="shared" si="45"/>
        <v>0.30000000000000004</v>
      </c>
      <c r="F75" s="10">
        <v>0.6</v>
      </c>
      <c r="G75" s="9">
        <f t="shared" si="56"/>
        <v>109500</v>
      </c>
      <c r="H75" s="13">
        <f t="shared" ref="H75:H138" si="82">H68+1</f>
        <v>11</v>
      </c>
      <c r="K75" s="4"/>
      <c r="L75" s="4"/>
      <c r="M75" s="4"/>
      <c r="N75" s="4">
        <f t="shared" si="73"/>
        <v>109500</v>
      </c>
    </row>
    <row r="76" spans="1:14" x14ac:dyDescent="0.3">
      <c r="A76" s="1">
        <f t="shared" si="74"/>
        <v>74</v>
      </c>
      <c r="B76" s="4">
        <f t="shared" si="74"/>
        <v>55</v>
      </c>
      <c r="C76" s="4">
        <f t="shared" ref="C76" si="83">C74+1</f>
        <v>37</v>
      </c>
      <c r="D76" s="4">
        <f t="shared" si="67"/>
        <v>188</v>
      </c>
      <c r="E76" s="4">
        <f t="shared" si="45"/>
        <v>0.30000000000000004</v>
      </c>
      <c r="F76" s="10">
        <v>0.6</v>
      </c>
      <c r="G76" s="9">
        <f t="shared" si="56"/>
        <v>111000</v>
      </c>
      <c r="H76" s="13">
        <f t="shared" si="82"/>
        <v>11</v>
      </c>
      <c r="K76" s="4"/>
      <c r="L76" s="4"/>
      <c r="M76" s="4"/>
      <c r="N76" s="4">
        <f t="shared" si="73"/>
        <v>111000</v>
      </c>
    </row>
    <row r="77" spans="1:14" x14ac:dyDescent="0.3">
      <c r="A77" s="1">
        <f t="shared" si="74"/>
        <v>75</v>
      </c>
      <c r="B77" s="4">
        <f t="shared" si="74"/>
        <v>56</v>
      </c>
      <c r="C77" s="4">
        <f t="shared" ref="C77" si="84">C75+1</f>
        <v>38</v>
      </c>
      <c r="D77" s="4">
        <f t="shared" si="67"/>
        <v>192</v>
      </c>
      <c r="E77" s="4">
        <f t="shared" si="45"/>
        <v>0.30000000000000004</v>
      </c>
      <c r="F77" s="10">
        <v>0.6</v>
      </c>
      <c r="G77" s="9">
        <f t="shared" si="56"/>
        <v>112500</v>
      </c>
      <c r="H77" s="13">
        <f t="shared" si="82"/>
        <v>11</v>
      </c>
      <c r="K77" s="4"/>
      <c r="L77" s="4"/>
      <c r="M77" s="4"/>
      <c r="N77" s="4">
        <f t="shared" si="73"/>
        <v>112500</v>
      </c>
    </row>
    <row r="78" spans="1:14" x14ac:dyDescent="0.3">
      <c r="A78" s="1">
        <f t="shared" si="74"/>
        <v>76</v>
      </c>
      <c r="B78" s="4">
        <f t="shared" si="74"/>
        <v>57</v>
      </c>
      <c r="C78" s="4">
        <f t="shared" ref="C78" si="85">C76+1</f>
        <v>38</v>
      </c>
      <c r="D78" s="4">
        <f t="shared" si="67"/>
        <v>196</v>
      </c>
      <c r="E78" s="4">
        <f t="shared" si="45"/>
        <v>0.30000000000000004</v>
      </c>
      <c r="F78" s="10">
        <v>0.6</v>
      </c>
      <c r="G78" s="9">
        <f t="shared" si="56"/>
        <v>114000</v>
      </c>
      <c r="H78" s="13">
        <f t="shared" si="82"/>
        <v>11</v>
      </c>
      <c r="K78" s="4"/>
      <c r="L78" s="4"/>
      <c r="M78" s="4"/>
      <c r="N78" s="4">
        <f t="shared" si="73"/>
        <v>114000</v>
      </c>
    </row>
    <row r="79" spans="1:14" x14ac:dyDescent="0.3">
      <c r="A79" s="1">
        <f t="shared" si="74"/>
        <v>77</v>
      </c>
      <c r="B79" s="4">
        <f t="shared" si="74"/>
        <v>58</v>
      </c>
      <c r="C79" s="4">
        <f t="shared" ref="C79" si="86">C77+1</f>
        <v>39</v>
      </c>
      <c r="D79" s="4">
        <f t="shared" si="67"/>
        <v>200</v>
      </c>
      <c r="E79" s="4">
        <f t="shared" si="45"/>
        <v>0.30000000000000004</v>
      </c>
      <c r="F79" s="10">
        <v>0.6</v>
      </c>
      <c r="G79" s="9">
        <f t="shared" si="56"/>
        <v>115500</v>
      </c>
      <c r="H79" s="13">
        <f t="shared" si="82"/>
        <v>11</v>
      </c>
      <c r="K79" s="4"/>
      <c r="L79" s="4"/>
      <c r="M79" s="4"/>
      <c r="N79" s="4">
        <f t="shared" si="73"/>
        <v>115500</v>
      </c>
    </row>
    <row r="80" spans="1:14" x14ac:dyDescent="0.3">
      <c r="A80" s="1">
        <f t="shared" si="74"/>
        <v>78</v>
      </c>
      <c r="B80" s="4">
        <f t="shared" si="74"/>
        <v>59</v>
      </c>
      <c r="C80" s="4">
        <f t="shared" ref="C80" si="87">C78+1</f>
        <v>39</v>
      </c>
      <c r="D80" s="4">
        <f t="shared" si="67"/>
        <v>204</v>
      </c>
      <c r="E80" s="4">
        <f t="shared" si="45"/>
        <v>0.30000000000000004</v>
      </c>
      <c r="F80" s="10">
        <v>0.6</v>
      </c>
      <c r="G80" s="9">
        <f t="shared" si="56"/>
        <v>117000</v>
      </c>
      <c r="H80" s="13">
        <f t="shared" si="82"/>
        <v>12</v>
      </c>
      <c r="K80" s="4"/>
      <c r="L80" s="4"/>
      <c r="M80" s="4"/>
      <c r="N80" s="4">
        <f t="shared" si="73"/>
        <v>117000</v>
      </c>
    </row>
    <row r="81" spans="1:14" x14ac:dyDescent="0.3">
      <c r="A81" s="1">
        <f t="shared" si="74"/>
        <v>79</v>
      </c>
      <c r="B81" s="4">
        <f t="shared" si="74"/>
        <v>60</v>
      </c>
      <c r="C81" s="4">
        <f t="shared" ref="C81" si="88">C79+1</f>
        <v>40</v>
      </c>
      <c r="D81" s="4">
        <f t="shared" si="67"/>
        <v>208</v>
      </c>
      <c r="E81" s="4">
        <f t="shared" si="45"/>
        <v>0.30000000000000004</v>
      </c>
      <c r="F81" s="10">
        <v>0.6</v>
      </c>
      <c r="G81" s="9">
        <f t="shared" si="56"/>
        <v>118500</v>
      </c>
      <c r="H81" s="13">
        <f t="shared" si="82"/>
        <v>12</v>
      </c>
      <c r="K81" s="4"/>
      <c r="L81" s="4"/>
      <c r="M81" s="4"/>
      <c r="N81" s="4">
        <f t="shared" si="73"/>
        <v>118500</v>
      </c>
    </row>
    <row r="82" spans="1:14" x14ac:dyDescent="0.3">
      <c r="A82" s="1">
        <f t="shared" si="74"/>
        <v>80</v>
      </c>
      <c r="B82" s="4">
        <f t="shared" ref="B82" si="89">B81+1</f>
        <v>61</v>
      </c>
      <c r="C82" s="4">
        <f t="shared" ref="C82" si="90">C80+1</f>
        <v>40</v>
      </c>
      <c r="D82" s="4">
        <f>D81+5</f>
        <v>213</v>
      </c>
      <c r="E82" s="4">
        <f t="shared" si="45"/>
        <v>0.4</v>
      </c>
      <c r="F82" s="10">
        <v>0.7</v>
      </c>
      <c r="G82" s="9">
        <f t="shared" si="56"/>
        <v>120000</v>
      </c>
      <c r="H82" s="13">
        <f t="shared" si="82"/>
        <v>12</v>
      </c>
      <c r="K82" s="4"/>
      <c r="L82" s="4"/>
      <c r="M82" s="4"/>
      <c r="N82" s="4">
        <f t="shared" si="73"/>
        <v>120000</v>
      </c>
    </row>
    <row r="83" spans="1:14" x14ac:dyDescent="0.3">
      <c r="A83" s="1">
        <f t="shared" si="74"/>
        <v>81</v>
      </c>
      <c r="B83" s="4">
        <f t="shared" ref="B83" si="91">B82+1</f>
        <v>62</v>
      </c>
      <c r="C83" s="4">
        <f t="shared" ref="C83" si="92">C81+1</f>
        <v>41</v>
      </c>
      <c r="D83" s="4">
        <f t="shared" ref="D83:D102" si="93">D82+5</f>
        <v>218</v>
      </c>
      <c r="E83" s="4">
        <f t="shared" si="45"/>
        <v>0.4</v>
      </c>
      <c r="F83" s="10">
        <v>0.7</v>
      </c>
      <c r="G83" s="9">
        <f t="shared" si="56"/>
        <v>121500</v>
      </c>
      <c r="H83" s="13">
        <f t="shared" si="82"/>
        <v>12</v>
      </c>
      <c r="K83" s="4"/>
      <c r="L83" s="4"/>
      <c r="M83" s="4"/>
      <c r="N83" s="4">
        <f t="shared" si="73"/>
        <v>121500</v>
      </c>
    </row>
    <row r="84" spans="1:14" x14ac:dyDescent="0.3">
      <c r="A84" s="1">
        <f t="shared" si="74"/>
        <v>82</v>
      </c>
      <c r="B84" s="4">
        <f t="shared" ref="B84" si="94">B83+1</f>
        <v>63</v>
      </c>
      <c r="C84" s="4">
        <f t="shared" ref="C84" si="95">C82+1</f>
        <v>41</v>
      </c>
      <c r="D84" s="4">
        <f t="shared" si="93"/>
        <v>223</v>
      </c>
      <c r="E84" s="4">
        <f t="shared" si="45"/>
        <v>0.4</v>
      </c>
      <c r="F84" s="10">
        <v>0.7</v>
      </c>
      <c r="G84" s="9">
        <f t="shared" si="56"/>
        <v>123000</v>
      </c>
      <c r="H84" s="13">
        <f t="shared" si="82"/>
        <v>12</v>
      </c>
      <c r="K84" s="4"/>
      <c r="L84" s="4"/>
      <c r="M84" s="4"/>
      <c r="N84" s="4">
        <f t="shared" si="73"/>
        <v>123000</v>
      </c>
    </row>
    <row r="85" spans="1:14" x14ac:dyDescent="0.3">
      <c r="A85" s="1">
        <f t="shared" si="74"/>
        <v>83</v>
      </c>
      <c r="B85" s="4">
        <f t="shared" ref="B85" si="96">B84+1</f>
        <v>64</v>
      </c>
      <c r="C85" s="4">
        <f t="shared" ref="C85" si="97">C83+1</f>
        <v>42</v>
      </c>
      <c r="D85" s="4">
        <f t="shared" si="93"/>
        <v>228</v>
      </c>
      <c r="E85" s="4">
        <f t="shared" si="45"/>
        <v>0.4</v>
      </c>
      <c r="F85" s="10">
        <v>0.7</v>
      </c>
      <c r="G85" s="9">
        <f t="shared" si="56"/>
        <v>124500</v>
      </c>
      <c r="H85" s="13">
        <f t="shared" si="82"/>
        <v>12</v>
      </c>
      <c r="K85" s="4"/>
      <c r="L85" s="4"/>
      <c r="M85" s="4"/>
      <c r="N85" s="4">
        <f t="shared" si="73"/>
        <v>124500</v>
      </c>
    </row>
    <row r="86" spans="1:14" x14ac:dyDescent="0.3">
      <c r="A86" s="1">
        <f t="shared" si="74"/>
        <v>84</v>
      </c>
      <c r="B86" s="4">
        <f t="shared" ref="B86" si="98">B85+1</f>
        <v>65</v>
      </c>
      <c r="C86" s="4">
        <f t="shared" ref="C86" si="99">C84+1</f>
        <v>42</v>
      </c>
      <c r="D86" s="4">
        <f t="shared" si="93"/>
        <v>233</v>
      </c>
      <c r="E86" s="4">
        <f t="shared" si="45"/>
        <v>0.4</v>
      </c>
      <c r="F86" s="10">
        <v>0.7</v>
      </c>
      <c r="G86" s="9">
        <f t="shared" si="56"/>
        <v>126000</v>
      </c>
      <c r="H86" s="13">
        <f t="shared" si="82"/>
        <v>12</v>
      </c>
      <c r="K86" s="4"/>
      <c r="L86" s="4"/>
      <c r="M86" s="4"/>
      <c r="N86" s="4">
        <f t="shared" si="73"/>
        <v>126000</v>
      </c>
    </row>
    <row r="87" spans="1:14" x14ac:dyDescent="0.3">
      <c r="A87" s="1">
        <f t="shared" si="74"/>
        <v>85</v>
      </c>
      <c r="B87" s="4">
        <f t="shared" ref="B87" si="100">B86+1</f>
        <v>66</v>
      </c>
      <c r="C87" s="4">
        <f t="shared" ref="C87" si="101">C85+1</f>
        <v>43</v>
      </c>
      <c r="D87" s="4">
        <f t="shared" si="93"/>
        <v>238</v>
      </c>
      <c r="E87" s="4">
        <f t="shared" si="45"/>
        <v>0.4</v>
      </c>
      <c r="F87" s="10">
        <v>0.7</v>
      </c>
      <c r="G87" s="9">
        <f t="shared" si="56"/>
        <v>127500</v>
      </c>
      <c r="H87" s="13">
        <f t="shared" si="82"/>
        <v>13</v>
      </c>
      <c r="K87" s="4"/>
      <c r="L87" s="4"/>
      <c r="M87" s="4"/>
      <c r="N87" s="4">
        <f t="shared" si="73"/>
        <v>127500</v>
      </c>
    </row>
    <row r="88" spans="1:14" x14ac:dyDescent="0.3">
      <c r="A88" s="1">
        <f t="shared" si="74"/>
        <v>86</v>
      </c>
      <c r="B88" s="4">
        <f t="shared" ref="B88" si="102">B87+1</f>
        <v>67</v>
      </c>
      <c r="C88" s="4">
        <f t="shared" ref="C88" si="103">C86+1</f>
        <v>43</v>
      </c>
      <c r="D88" s="4">
        <f t="shared" si="93"/>
        <v>243</v>
      </c>
      <c r="E88" s="4">
        <f t="shared" si="45"/>
        <v>0.4</v>
      </c>
      <c r="F88" s="10">
        <v>0.7</v>
      </c>
      <c r="G88" s="9">
        <f t="shared" si="56"/>
        <v>129000</v>
      </c>
      <c r="H88" s="13">
        <f t="shared" si="82"/>
        <v>13</v>
      </c>
      <c r="K88" s="4"/>
      <c r="L88" s="4"/>
      <c r="M88" s="4"/>
      <c r="N88" s="4">
        <f t="shared" si="73"/>
        <v>129000</v>
      </c>
    </row>
    <row r="89" spans="1:14" x14ac:dyDescent="0.3">
      <c r="A89" s="1">
        <f t="shared" si="74"/>
        <v>87</v>
      </c>
      <c r="B89" s="4">
        <f t="shared" ref="B89" si="104">B88+1</f>
        <v>68</v>
      </c>
      <c r="C89" s="4">
        <f t="shared" ref="C89" si="105">C87+1</f>
        <v>44</v>
      </c>
      <c r="D89" s="4">
        <f t="shared" si="93"/>
        <v>248</v>
      </c>
      <c r="E89" s="4">
        <f t="shared" si="45"/>
        <v>0.4</v>
      </c>
      <c r="F89" s="10">
        <v>0.7</v>
      </c>
      <c r="G89" s="9">
        <f t="shared" si="56"/>
        <v>130500</v>
      </c>
      <c r="H89" s="13">
        <f t="shared" si="82"/>
        <v>13</v>
      </c>
      <c r="K89" s="4"/>
      <c r="L89" s="4"/>
      <c r="M89" s="4"/>
      <c r="N89" s="4">
        <f t="shared" si="73"/>
        <v>130500</v>
      </c>
    </row>
    <row r="90" spans="1:14" x14ac:dyDescent="0.3">
      <c r="A90" s="1">
        <f t="shared" si="74"/>
        <v>88</v>
      </c>
      <c r="B90" s="4">
        <f t="shared" ref="B90" si="106">B89+1</f>
        <v>69</v>
      </c>
      <c r="C90" s="4">
        <f t="shared" ref="C90" si="107">C88+1</f>
        <v>44</v>
      </c>
      <c r="D90" s="4">
        <f t="shared" si="93"/>
        <v>253</v>
      </c>
      <c r="E90" s="4">
        <f t="shared" si="45"/>
        <v>0.4</v>
      </c>
      <c r="F90" s="10">
        <v>0.7</v>
      </c>
      <c r="G90" s="9">
        <f t="shared" si="56"/>
        <v>132000</v>
      </c>
      <c r="H90" s="13">
        <f t="shared" si="82"/>
        <v>13</v>
      </c>
      <c r="K90" s="4"/>
      <c r="L90" s="4"/>
      <c r="M90" s="4"/>
      <c r="N90" s="4">
        <f t="shared" si="73"/>
        <v>132000</v>
      </c>
    </row>
    <row r="91" spans="1:14" x14ac:dyDescent="0.3">
      <c r="A91" s="1">
        <f t="shared" si="74"/>
        <v>89</v>
      </c>
      <c r="B91" s="4">
        <f t="shared" ref="B91" si="108">B90+1</f>
        <v>70</v>
      </c>
      <c r="C91" s="4">
        <f t="shared" ref="C91" si="109">C89+1</f>
        <v>45</v>
      </c>
      <c r="D91" s="4">
        <f t="shared" si="93"/>
        <v>258</v>
      </c>
      <c r="E91" s="4">
        <f t="shared" si="45"/>
        <v>0.4</v>
      </c>
      <c r="F91" s="10">
        <v>0.7</v>
      </c>
      <c r="G91" s="9">
        <f t="shared" si="56"/>
        <v>133500</v>
      </c>
      <c r="H91" s="13">
        <f t="shared" si="82"/>
        <v>13</v>
      </c>
      <c r="K91" s="4"/>
      <c r="L91" s="4"/>
      <c r="M91" s="4"/>
      <c r="N91" s="4">
        <f t="shared" si="73"/>
        <v>133500</v>
      </c>
    </row>
    <row r="92" spans="1:14" x14ac:dyDescent="0.3">
      <c r="A92" s="1">
        <f t="shared" si="74"/>
        <v>90</v>
      </c>
      <c r="B92" s="4">
        <f t="shared" ref="B92" si="110">B91+1</f>
        <v>71</v>
      </c>
      <c r="C92" s="4">
        <f t="shared" ref="C92" si="111">C90+1</f>
        <v>45</v>
      </c>
      <c r="D92" s="4">
        <f t="shared" si="93"/>
        <v>263</v>
      </c>
      <c r="E92" s="4">
        <f t="shared" si="45"/>
        <v>0.4</v>
      </c>
      <c r="F92" s="10">
        <v>0.7</v>
      </c>
      <c r="G92" s="9">
        <f t="shared" si="56"/>
        <v>135000</v>
      </c>
      <c r="H92" s="13">
        <f t="shared" si="82"/>
        <v>13</v>
      </c>
      <c r="K92" s="4"/>
      <c r="L92" s="4"/>
      <c r="M92" s="4"/>
      <c r="N92" s="4">
        <f t="shared" si="73"/>
        <v>135000</v>
      </c>
    </row>
    <row r="93" spans="1:14" x14ac:dyDescent="0.3">
      <c r="A93" s="1">
        <f t="shared" si="74"/>
        <v>91</v>
      </c>
      <c r="B93" s="4">
        <f t="shared" ref="B93" si="112">B92+1</f>
        <v>72</v>
      </c>
      <c r="C93" s="4">
        <f t="shared" ref="C93" si="113">C91+1</f>
        <v>46</v>
      </c>
      <c r="D93" s="4">
        <f t="shared" si="93"/>
        <v>268</v>
      </c>
      <c r="E93" s="4">
        <f t="shared" si="45"/>
        <v>0.4</v>
      </c>
      <c r="F93" s="10">
        <v>0.7</v>
      </c>
      <c r="G93" s="9">
        <f t="shared" si="56"/>
        <v>136500</v>
      </c>
      <c r="H93" s="13">
        <f t="shared" si="82"/>
        <v>13</v>
      </c>
      <c r="K93" s="4"/>
      <c r="L93" s="4"/>
      <c r="M93" s="4"/>
      <c r="N93" s="4">
        <f t="shared" si="73"/>
        <v>136500</v>
      </c>
    </row>
    <row r="94" spans="1:14" x14ac:dyDescent="0.3">
      <c r="A94" s="1">
        <f t="shared" si="74"/>
        <v>92</v>
      </c>
      <c r="B94" s="4">
        <f t="shared" ref="B94" si="114">B93+1</f>
        <v>73</v>
      </c>
      <c r="C94" s="4">
        <f t="shared" ref="C94" si="115">C92+1</f>
        <v>46</v>
      </c>
      <c r="D94" s="4">
        <f t="shared" si="93"/>
        <v>273</v>
      </c>
      <c r="E94" s="4">
        <f t="shared" si="45"/>
        <v>0.4</v>
      </c>
      <c r="F94" s="10">
        <v>0.7</v>
      </c>
      <c r="G94" s="9">
        <f t="shared" si="56"/>
        <v>138000</v>
      </c>
      <c r="H94" s="13">
        <f t="shared" si="82"/>
        <v>14</v>
      </c>
      <c r="K94" s="4"/>
      <c r="L94" s="4"/>
      <c r="M94" s="4"/>
      <c r="N94" s="4">
        <f t="shared" si="73"/>
        <v>138000</v>
      </c>
    </row>
    <row r="95" spans="1:14" x14ac:dyDescent="0.3">
      <c r="A95" s="1">
        <f t="shared" si="74"/>
        <v>93</v>
      </c>
      <c r="B95" s="4">
        <f t="shared" ref="B95" si="116">B94+1</f>
        <v>74</v>
      </c>
      <c r="C95" s="4">
        <f t="shared" ref="C95" si="117">C93+1</f>
        <v>47</v>
      </c>
      <c r="D95" s="4">
        <f t="shared" si="93"/>
        <v>278</v>
      </c>
      <c r="E95" s="4">
        <f t="shared" si="45"/>
        <v>0.4</v>
      </c>
      <c r="F95" s="10">
        <v>0.7</v>
      </c>
      <c r="G95" s="9">
        <f t="shared" si="56"/>
        <v>139500</v>
      </c>
      <c r="H95" s="13">
        <f t="shared" si="82"/>
        <v>14</v>
      </c>
      <c r="K95" s="4"/>
      <c r="L95" s="4"/>
      <c r="M95" s="4"/>
      <c r="N95" s="4">
        <f t="shared" si="73"/>
        <v>139500</v>
      </c>
    </row>
    <row r="96" spans="1:14" x14ac:dyDescent="0.3">
      <c r="A96" s="1">
        <f t="shared" si="74"/>
        <v>94</v>
      </c>
      <c r="B96" s="4">
        <f t="shared" ref="B96" si="118">B95+1</f>
        <v>75</v>
      </c>
      <c r="C96" s="4">
        <f t="shared" ref="C96" si="119">C94+1</f>
        <v>47</v>
      </c>
      <c r="D96" s="4">
        <f t="shared" si="93"/>
        <v>283</v>
      </c>
      <c r="E96" s="4">
        <f t="shared" si="45"/>
        <v>0.4</v>
      </c>
      <c r="F96" s="10">
        <v>0.7</v>
      </c>
      <c r="G96" s="9">
        <f t="shared" si="56"/>
        <v>141000</v>
      </c>
      <c r="H96" s="13">
        <f t="shared" si="82"/>
        <v>14</v>
      </c>
      <c r="K96" s="4"/>
      <c r="L96" s="4"/>
      <c r="M96" s="4"/>
      <c r="N96" s="4">
        <f t="shared" si="73"/>
        <v>141000</v>
      </c>
    </row>
    <row r="97" spans="1:14" x14ac:dyDescent="0.3">
      <c r="A97" s="1">
        <f t="shared" si="74"/>
        <v>95</v>
      </c>
      <c r="B97" s="4">
        <f t="shared" ref="B97" si="120">B96+1</f>
        <v>76</v>
      </c>
      <c r="C97" s="4">
        <f t="shared" ref="C97" si="121">C95+1</f>
        <v>48</v>
      </c>
      <c r="D97" s="4">
        <f t="shared" si="93"/>
        <v>288</v>
      </c>
      <c r="E97" s="4">
        <f t="shared" si="45"/>
        <v>0.4</v>
      </c>
      <c r="F97" s="10">
        <v>0.7</v>
      </c>
      <c r="G97" s="9">
        <f t="shared" si="56"/>
        <v>142500</v>
      </c>
      <c r="H97" s="13">
        <f t="shared" si="82"/>
        <v>14</v>
      </c>
      <c r="K97" s="4"/>
      <c r="L97" s="4"/>
      <c r="M97" s="4"/>
      <c r="N97" s="4">
        <f t="shared" si="73"/>
        <v>142500</v>
      </c>
    </row>
    <row r="98" spans="1:14" x14ac:dyDescent="0.3">
      <c r="A98" s="1">
        <f t="shared" si="74"/>
        <v>96</v>
      </c>
      <c r="B98" s="4">
        <f t="shared" ref="B98" si="122">B97+1</f>
        <v>77</v>
      </c>
      <c r="C98" s="4">
        <f t="shared" ref="C98" si="123">C96+1</f>
        <v>48</v>
      </c>
      <c r="D98" s="4">
        <f t="shared" si="93"/>
        <v>293</v>
      </c>
      <c r="E98" s="4">
        <f t="shared" si="45"/>
        <v>0.4</v>
      </c>
      <c r="F98" s="10">
        <v>0.7</v>
      </c>
      <c r="G98" s="9">
        <f t="shared" si="56"/>
        <v>144000</v>
      </c>
      <c r="H98" s="13">
        <f t="shared" si="82"/>
        <v>14</v>
      </c>
      <c r="K98" s="4"/>
      <c r="L98" s="4"/>
      <c r="M98" s="4"/>
      <c r="N98" s="4">
        <f t="shared" si="73"/>
        <v>144000</v>
      </c>
    </row>
    <row r="99" spans="1:14" x14ac:dyDescent="0.3">
      <c r="A99" s="1">
        <f t="shared" si="74"/>
        <v>97</v>
      </c>
      <c r="B99" s="4">
        <f t="shared" ref="B99" si="124">B98+1</f>
        <v>78</v>
      </c>
      <c r="C99" s="4">
        <f t="shared" ref="C99" si="125">C97+1</f>
        <v>49</v>
      </c>
      <c r="D99" s="4">
        <f t="shared" si="93"/>
        <v>298</v>
      </c>
      <c r="E99" s="4">
        <f t="shared" si="45"/>
        <v>0.4</v>
      </c>
      <c r="F99" s="10">
        <v>0.7</v>
      </c>
      <c r="G99" s="9">
        <f t="shared" si="56"/>
        <v>145500</v>
      </c>
      <c r="H99" s="13">
        <f t="shared" si="82"/>
        <v>14</v>
      </c>
      <c r="K99" s="4"/>
      <c r="L99" s="4"/>
      <c r="M99" s="4"/>
      <c r="N99" s="4">
        <f t="shared" si="73"/>
        <v>145500</v>
      </c>
    </row>
    <row r="100" spans="1:14" x14ac:dyDescent="0.3">
      <c r="A100" s="1">
        <f t="shared" si="74"/>
        <v>98</v>
      </c>
      <c r="B100" s="4">
        <f t="shared" ref="B100" si="126">B99+1</f>
        <v>79</v>
      </c>
      <c r="C100" s="4">
        <f t="shared" ref="C100" si="127">C98+1</f>
        <v>49</v>
      </c>
      <c r="D100" s="4">
        <f t="shared" si="93"/>
        <v>303</v>
      </c>
      <c r="E100" s="4">
        <f t="shared" si="45"/>
        <v>0.4</v>
      </c>
      <c r="F100" s="10">
        <v>0.7</v>
      </c>
      <c r="G100" s="9">
        <f t="shared" si="56"/>
        <v>147000</v>
      </c>
      <c r="H100" s="13">
        <f t="shared" si="82"/>
        <v>14</v>
      </c>
      <c r="K100" s="4"/>
      <c r="L100" s="4"/>
      <c r="M100" s="4"/>
      <c r="N100" s="4">
        <f t="shared" si="73"/>
        <v>147000</v>
      </c>
    </row>
    <row r="101" spans="1:14" x14ac:dyDescent="0.3">
      <c r="A101" s="1">
        <f t="shared" si="74"/>
        <v>99</v>
      </c>
      <c r="B101" s="4">
        <f t="shared" ref="B101" si="128">B100+1</f>
        <v>80</v>
      </c>
      <c r="C101" s="4">
        <f t="shared" ref="C101" si="129">C99+1</f>
        <v>50</v>
      </c>
      <c r="D101" s="4">
        <f t="shared" si="93"/>
        <v>308</v>
      </c>
      <c r="E101" s="4">
        <f t="shared" si="45"/>
        <v>0.4</v>
      </c>
      <c r="F101" s="10">
        <v>0.7</v>
      </c>
      <c r="G101" s="9">
        <f t="shared" si="56"/>
        <v>148500</v>
      </c>
      <c r="H101" s="13">
        <f t="shared" si="82"/>
        <v>15</v>
      </c>
      <c r="K101" s="4"/>
      <c r="L101" s="4"/>
      <c r="M101" s="4"/>
      <c r="N101" s="4">
        <f t="shared" si="73"/>
        <v>148500</v>
      </c>
    </row>
    <row r="102" spans="1:14" x14ac:dyDescent="0.3">
      <c r="A102" s="5">
        <f t="shared" si="74"/>
        <v>100</v>
      </c>
      <c r="B102" s="4">
        <f>B101+2</f>
        <v>82</v>
      </c>
      <c r="C102" s="4">
        <f t="shared" ref="C102" si="130">C100+1</f>
        <v>50</v>
      </c>
      <c r="D102" s="4">
        <f t="shared" si="93"/>
        <v>313</v>
      </c>
      <c r="E102" s="4">
        <f t="shared" si="45"/>
        <v>0.5</v>
      </c>
      <c r="F102" s="4">
        <f>F82+0.1</f>
        <v>0.79999999999999993</v>
      </c>
      <c r="G102" s="9">
        <f>A102*2000</f>
        <v>200000</v>
      </c>
      <c r="H102" s="13">
        <f t="shared" si="82"/>
        <v>15</v>
      </c>
      <c r="K102" s="4"/>
      <c r="L102" s="4"/>
      <c r="M102" s="4"/>
      <c r="N102" s="4">
        <f t="shared" si="73"/>
        <v>200000</v>
      </c>
    </row>
    <row r="103" spans="1:14" x14ac:dyDescent="0.3">
      <c r="A103" s="5">
        <f t="shared" si="74"/>
        <v>101</v>
      </c>
      <c r="B103" s="4">
        <f t="shared" ref="B103:B166" si="131">B102+2</f>
        <v>84</v>
      </c>
      <c r="C103" s="4">
        <f t="shared" ref="C103" si="132">C101+1</f>
        <v>51</v>
      </c>
      <c r="D103" s="8">
        <f>D102+6</f>
        <v>319</v>
      </c>
      <c r="E103" s="4">
        <f t="shared" si="45"/>
        <v>0.5</v>
      </c>
      <c r="F103" s="4">
        <f t="shared" si="45"/>
        <v>0.79999999999999993</v>
      </c>
      <c r="G103" s="9">
        <f t="shared" ref="G103:G151" si="133">A103*2000</f>
        <v>202000</v>
      </c>
      <c r="H103" s="13">
        <f t="shared" si="82"/>
        <v>15</v>
      </c>
      <c r="N103" s="4">
        <f t="shared" si="73"/>
        <v>202000</v>
      </c>
    </row>
    <row r="104" spans="1:14" x14ac:dyDescent="0.3">
      <c r="A104" s="5">
        <f t="shared" si="74"/>
        <v>102</v>
      </c>
      <c r="B104" s="4">
        <f t="shared" si="131"/>
        <v>86</v>
      </c>
      <c r="C104" s="4">
        <f t="shared" ref="C104" si="134">C102+1</f>
        <v>51</v>
      </c>
      <c r="D104" s="8">
        <f t="shared" ref="D104:D121" si="135">D103+6</f>
        <v>325</v>
      </c>
      <c r="E104" s="4">
        <f t="shared" si="45"/>
        <v>0.5</v>
      </c>
      <c r="F104" s="4">
        <f t="shared" si="45"/>
        <v>0.79999999999999993</v>
      </c>
      <c r="G104" s="9">
        <f t="shared" si="133"/>
        <v>204000</v>
      </c>
      <c r="H104" s="13">
        <f t="shared" si="82"/>
        <v>15</v>
      </c>
      <c r="N104" s="4">
        <f t="shared" si="73"/>
        <v>204000</v>
      </c>
    </row>
    <row r="105" spans="1:14" x14ac:dyDescent="0.3">
      <c r="A105" s="5">
        <f t="shared" si="74"/>
        <v>103</v>
      </c>
      <c r="B105" s="4">
        <f t="shared" si="131"/>
        <v>88</v>
      </c>
      <c r="C105" s="4">
        <f t="shared" ref="C105" si="136">C103+1</f>
        <v>52</v>
      </c>
      <c r="D105" s="8">
        <f t="shared" si="135"/>
        <v>331</v>
      </c>
      <c r="E105" s="4">
        <f t="shared" si="45"/>
        <v>0.5</v>
      </c>
      <c r="F105" s="4">
        <f t="shared" si="45"/>
        <v>0.79999999999999993</v>
      </c>
      <c r="G105" s="9">
        <f t="shared" si="133"/>
        <v>206000</v>
      </c>
      <c r="H105" s="13">
        <f t="shared" si="82"/>
        <v>15</v>
      </c>
      <c r="N105" s="4">
        <f t="shared" si="73"/>
        <v>206000</v>
      </c>
    </row>
    <row r="106" spans="1:14" x14ac:dyDescent="0.3">
      <c r="A106" s="5">
        <f t="shared" si="74"/>
        <v>104</v>
      </c>
      <c r="B106" s="4">
        <f t="shared" si="131"/>
        <v>90</v>
      </c>
      <c r="C106" s="4">
        <f t="shared" ref="C106" si="137">C104+1</f>
        <v>52</v>
      </c>
      <c r="D106" s="8">
        <f t="shared" si="135"/>
        <v>337</v>
      </c>
      <c r="E106" s="4">
        <f t="shared" si="45"/>
        <v>0.5</v>
      </c>
      <c r="F106" s="4">
        <f t="shared" si="45"/>
        <v>0.79999999999999993</v>
      </c>
      <c r="G106" s="9">
        <f t="shared" si="133"/>
        <v>208000</v>
      </c>
      <c r="H106" s="13">
        <f t="shared" si="82"/>
        <v>15</v>
      </c>
      <c r="N106" s="4">
        <f t="shared" si="73"/>
        <v>208000</v>
      </c>
    </row>
    <row r="107" spans="1:14" x14ac:dyDescent="0.3">
      <c r="A107" s="5">
        <f t="shared" si="74"/>
        <v>105</v>
      </c>
      <c r="B107" s="4">
        <f t="shared" si="131"/>
        <v>92</v>
      </c>
      <c r="C107" s="4">
        <f t="shared" ref="C107" si="138">C105+1</f>
        <v>53</v>
      </c>
      <c r="D107" s="8">
        <f t="shared" si="135"/>
        <v>343</v>
      </c>
      <c r="E107" s="4">
        <f t="shared" ref="E107:F141" si="139">E87+0.1</f>
        <v>0.5</v>
      </c>
      <c r="F107" s="4">
        <f t="shared" si="139"/>
        <v>0.79999999999999993</v>
      </c>
      <c r="G107" s="9">
        <f t="shared" si="133"/>
        <v>210000</v>
      </c>
      <c r="H107" s="13">
        <f t="shared" si="82"/>
        <v>15</v>
      </c>
      <c r="N107" s="4">
        <f t="shared" si="73"/>
        <v>210000</v>
      </c>
    </row>
    <row r="108" spans="1:14" x14ac:dyDescent="0.3">
      <c r="A108" s="5">
        <f t="shared" si="74"/>
        <v>106</v>
      </c>
      <c r="B108" s="4">
        <f t="shared" si="131"/>
        <v>94</v>
      </c>
      <c r="C108" s="4">
        <f t="shared" ref="C108" si="140">C106+1</f>
        <v>53</v>
      </c>
      <c r="D108" s="8">
        <f t="shared" si="135"/>
        <v>349</v>
      </c>
      <c r="E108" s="4">
        <f t="shared" si="139"/>
        <v>0.5</v>
      </c>
      <c r="F108" s="4">
        <f t="shared" si="139"/>
        <v>0.79999999999999993</v>
      </c>
      <c r="G108" s="9">
        <f t="shared" si="133"/>
        <v>212000</v>
      </c>
      <c r="H108" s="13">
        <f t="shared" si="82"/>
        <v>16</v>
      </c>
      <c r="N108" s="4">
        <f t="shared" si="73"/>
        <v>212000</v>
      </c>
    </row>
    <row r="109" spans="1:14" x14ac:dyDescent="0.3">
      <c r="A109" s="5">
        <f t="shared" si="74"/>
        <v>107</v>
      </c>
      <c r="B109" s="4">
        <f t="shared" si="131"/>
        <v>96</v>
      </c>
      <c r="C109" s="4">
        <f t="shared" ref="C109" si="141">C107+1</f>
        <v>54</v>
      </c>
      <c r="D109" s="8">
        <f t="shared" si="135"/>
        <v>355</v>
      </c>
      <c r="E109" s="4">
        <f t="shared" si="139"/>
        <v>0.5</v>
      </c>
      <c r="F109" s="4">
        <f t="shared" si="139"/>
        <v>0.79999999999999993</v>
      </c>
      <c r="G109" s="9">
        <f t="shared" si="133"/>
        <v>214000</v>
      </c>
      <c r="H109" s="13">
        <f t="shared" si="82"/>
        <v>16</v>
      </c>
      <c r="N109" s="4">
        <f t="shared" si="73"/>
        <v>214000</v>
      </c>
    </row>
    <row r="110" spans="1:14" x14ac:dyDescent="0.3">
      <c r="A110" s="5">
        <f t="shared" si="74"/>
        <v>108</v>
      </c>
      <c r="B110" s="4">
        <f t="shared" si="131"/>
        <v>98</v>
      </c>
      <c r="C110" s="4">
        <f t="shared" ref="C110" si="142">C108+1</f>
        <v>54</v>
      </c>
      <c r="D110" s="8">
        <f t="shared" si="135"/>
        <v>361</v>
      </c>
      <c r="E110" s="4">
        <f t="shared" si="139"/>
        <v>0.5</v>
      </c>
      <c r="F110" s="4">
        <f t="shared" si="139"/>
        <v>0.79999999999999993</v>
      </c>
      <c r="G110" s="9">
        <f t="shared" si="133"/>
        <v>216000</v>
      </c>
      <c r="H110" s="13">
        <f t="shared" si="82"/>
        <v>16</v>
      </c>
      <c r="N110" s="4">
        <f t="shared" si="73"/>
        <v>216000</v>
      </c>
    </row>
    <row r="111" spans="1:14" x14ac:dyDescent="0.3">
      <c r="A111" s="5">
        <f t="shared" si="74"/>
        <v>109</v>
      </c>
      <c r="B111" s="4">
        <f t="shared" si="131"/>
        <v>100</v>
      </c>
      <c r="C111" s="4">
        <f t="shared" ref="C111" si="143">C109+1</f>
        <v>55</v>
      </c>
      <c r="D111" s="8">
        <f t="shared" si="135"/>
        <v>367</v>
      </c>
      <c r="E111" s="4">
        <f t="shared" si="139"/>
        <v>0.5</v>
      </c>
      <c r="F111" s="4">
        <f t="shared" si="139"/>
        <v>0.79999999999999993</v>
      </c>
      <c r="G111" s="9">
        <f t="shared" si="133"/>
        <v>218000</v>
      </c>
      <c r="H111" s="13">
        <f t="shared" si="82"/>
        <v>16</v>
      </c>
      <c r="N111" s="4">
        <f t="shared" si="73"/>
        <v>218000</v>
      </c>
    </row>
    <row r="112" spans="1:14" x14ac:dyDescent="0.3">
      <c r="A112" s="5">
        <f t="shared" si="74"/>
        <v>110</v>
      </c>
      <c r="B112" s="4">
        <f t="shared" si="131"/>
        <v>102</v>
      </c>
      <c r="C112" s="4">
        <f t="shared" ref="C112" si="144">C110+1</f>
        <v>55</v>
      </c>
      <c r="D112" s="8">
        <f t="shared" si="135"/>
        <v>373</v>
      </c>
      <c r="E112" s="4">
        <f t="shared" si="139"/>
        <v>0.5</v>
      </c>
      <c r="F112" s="4">
        <f t="shared" si="139"/>
        <v>0.79999999999999993</v>
      </c>
      <c r="G112" s="9">
        <f t="shared" si="133"/>
        <v>220000</v>
      </c>
      <c r="H112" s="13">
        <f t="shared" si="82"/>
        <v>16</v>
      </c>
      <c r="N112" s="4">
        <f t="shared" si="73"/>
        <v>220000</v>
      </c>
    </row>
    <row r="113" spans="1:14" x14ac:dyDescent="0.3">
      <c r="A113" s="5">
        <f t="shared" si="74"/>
        <v>111</v>
      </c>
      <c r="B113" s="4">
        <f t="shared" si="131"/>
        <v>104</v>
      </c>
      <c r="C113" s="4">
        <f t="shared" ref="C113" si="145">C111+1</f>
        <v>56</v>
      </c>
      <c r="D113" s="8">
        <f t="shared" si="135"/>
        <v>379</v>
      </c>
      <c r="E113" s="4">
        <f t="shared" si="139"/>
        <v>0.5</v>
      </c>
      <c r="F113" s="4">
        <f t="shared" si="139"/>
        <v>0.79999999999999993</v>
      </c>
      <c r="G113" s="9">
        <f t="shared" si="133"/>
        <v>222000</v>
      </c>
      <c r="H113" s="13">
        <f t="shared" si="82"/>
        <v>16</v>
      </c>
      <c r="N113" s="4">
        <f t="shared" si="73"/>
        <v>222000</v>
      </c>
    </row>
    <row r="114" spans="1:14" x14ac:dyDescent="0.3">
      <c r="A114" s="5">
        <f t="shared" si="74"/>
        <v>112</v>
      </c>
      <c r="B114" s="4">
        <f t="shared" si="131"/>
        <v>106</v>
      </c>
      <c r="C114" s="4">
        <f t="shared" ref="C114" si="146">C112+1</f>
        <v>56</v>
      </c>
      <c r="D114" s="8">
        <f t="shared" si="135"/>
        <v>385</v>
      </c>
      <c r="E114" s="4">
        <f t="shared" si="139"/>
        <v>0.5</v>
      </c>
      <c r="F114" s="4">
        <f t="shared" si="139"/>
        <v>0.79999999999999993</v>
      </c>
      <c r="G114" s="9">
        <f t="shared" si="133"/>
        <v>224000</v>
      </c>
      <c r="H114" s="13">
        <f t="shared" si="82"/>
        <v>16</v>
      </c>
      <c r="N114" s="4">
        <f t="shared" si="73"/>
        <v>224000</v>
      </c>
    </row>
    <row r="115" spans="1:14" x14ac:dyDescent="0.3">
      <c r="A115" s="5">
        <f t="shared" si="74"/>
        <v>113</v>
      </c>
      <c r="B115" s="4">
        <f t="shared" si="131"/>
        <v>108</v>
      </c>
      <c r="C115" s="4">
        <f t="shared" ref="C115" si="147">C113+1</f>
        <v>57</v>
      </c>
      <c r="D115" s="8">
        <f t="shared" si="135"/>
        <v>391</v>
      </c>
      <c r="E115" s="4">
        <f t="shared" si="139"/>
        <v>0.5</v>
      </c>
      <c r="F115" s="4">
        <f t="shared" si="139"/>
        <v>0.79999999999999993</v>
      </c>
      <c r="G115" s="9">
        <f t="shared" si="133"/>
        <v>226000</v>
      </c>
      <c r="H115" s="13">
        <f t="shared" si="82"/>
        <v>17</v>
      </c>
      <c r="N115" s="4">
        <f t="shared" si="73"/>
        <v>226000</v>
      </c>
    </row>
    <row r="116" spans="1:14" x14ac:dyDescent="0.3">
      <c r="A116" s="5">
        <f t="shared" si="74"/>
        <v>114</v>
      </c>
      <c r="B116" s="4">
        <f t="shared" si="131"/>
        <v>110</v>
      </c>
      <c r="C116" s="4">
        <f t="shared" ref="C116" si="148">C114+1</f>
        <v>57</v>
      </c>
      <c r="D116" s="8">
        <f t="shared" si="135"/>
        <v>397</v>
      </c>
      <c r="E116" s="4">
        <f t="shared" si="139"/>
        <v>0.5</v>
      </c>
      <c r="F116" s="4">
        <f t="shared" si="139"/>
        <v>0.79999999999999993</v>
      </c>
      <c r="G116" s="9">
        <f t="shared" si="133"/>
        <v>228000</v>
      </c>
      <c r="H116" s="13">
        <f t="shared" si="82"/>
        <v>17</v>
      </c>
      <c r="N116" s="4">
        <f t="shared" si="73"/>
        <v>228000</v>
      </c>
    </row>
    <row r="117" spans="1:14" x14ac:dyDescent="0.3">
      <c r="A117" s="5">
        <f t="shared" si="74"/>
        <v>115</v>
      </c>
      <c r="B117" s="4">
        <f t="shared" si="131"/>
        <v>112</v>
      </c>
      <c r="C117" s="4">
        <f t="shared" ref="C117" si="149">C115+1</f>
        <v>58</v>
      </c>
      <c r="D117" s="8">
        <f t="shared" si="135"/>
        <v>403</v>
      </c>
      <c r="E117" s="4">
        <f t="shared" si="139"/>
        <v>0.5</v>
      </c>
      <c r="F117" s="4">
        <f t="shared" si="139"/>
        <v>0.79999999999999993</v>
      </c>
      <c r="G117" s="9">
        <f t="shared" si="133"/>
        <v>230000</v>
      </c>
      <c r="H117" s="13">
        <f t="shared" si="82"/>
        <v>17</v>
      </c>
      <c r="N117" s="4">
        <f t="shared" si="73"/>
        <v>230000</v>
      </c>
    </row>
    <row r="118" spans="1:14" x14ac:dyDescent="0.3">
      <c r="A118" s="5">
        <f t="shared" si="74"/>
        <v>116</v>
      </c>
      <c r="B118" s="4">
        <f t="shared" si="131"/>
        <v>114</v>
      </c>
      <c r="C118" s="4">
        <f t="shared" ref="C118" si="150">C116+1</f>
        <v>58</v>
      </c>
      <c r="D118" s="8">
        <f t="shared" si="135"/>
        <v>409</v>
      </c>
      <c r="E118" s="4">
        <f t="shared" si="139"/>
        <v>0.5</v>
      </c>
      <c r="F118" s="4">
        <f t="shared" si="139"/>
        <v>0.79999999999999993</v>
      </c>
      <c r="G118" s="9">
        <f t="shared" si="133"/>
        <v>232000</v>
      </c>
      <c r="H118" s="13">
        <f t="shared" si="82"/>
        <v>17</v>
      </c>
      <c r="N118" s="4">
        <f t="shared" si="73"/>
        <v>232000</v>
      </c>
    </row>
    <row r="119" spans="1:14" x14ac:dyDescent="0.3">
      <c r="A119" s="5">
        <f t="shared" si="74"/>
        <v>117</v>
      </c>
      <c r="B119" s="4">
        <f t="shared" si="131"/>
        <v>116</v>
      </c>
      <c r="C119" s="4">
        <f t="shared" ref="C119" si="151">C117+1</f>
        <v>59</v>
      </c>
      <c r="D119" s="8">
        <f t="shared" si="135"/>
        <v>415</v>
      </c>
      <c r="E119" s="4">
        <f t="shared" si="139"/>
        <v>0.5</v>
      </c>
      <c r="F119" s="4">
        <f t="shared" si="139"/>
        <v>0.79999999999999993</v>
      </c>
      <c r="G119" s="9">
        <f t="shared" si="133"/>
        <v>234000</v>
      </c>
      <c r="H119" s="13">
        <f t="shared" si="82"/>
        <v>17</v>
      </c>
      <c r="N119" s="4">
        <f t="shared" si="73"/>
        <v>234000</v>
      </c>
    </row>
    <row r="120" spans="1:14" x14ac:dyDescent="0.3">
      <c r="A120" s="5">
        <f t="shared" si="74"/>
        <v>118</v>
      </c>
      <c r="B120" s="4">
        <f t="shared" si="131"/>
        <v>118</v>
      </c>
      <c r="C120" s="4">
        <f t="shared" ref="C120" si="152">C118+1</f>
        <v>59</v>
      </c>
      <c r="D120" s="8">
        <f t="shared" si="135"/>
        <v>421</v>
      </c>
      <c r="E120" s="4">
        <f t="shared" si="139"/>
        <v>0.5</v>
      </c>
      <c r="F120" s="4">
        <f t="shared" si="139"/>
        <v>0.79999999999999993</v>
      </c>
      <c r="G120" s="9">
        <f t="shared" si="133"/>
        <v>236000</v>
      </c>
      <c r="H120" s="13">
        <f t="shared" si="82"/>
        <v>17</v>
      </c>
      <c r="N120" s="4">
        <f t="shared" si="73"/>
        <v>236000</v>
      </c>
    </row>
    <row r="121" spans="1:14" x14ac:dyDescent="0.3">
      <c r="A121" s="5">
        <f t="shared" si="74"/>
        <v>119</v>
      </c>
      <c r="B121" s="4">
        <f t="shared" si="131"/>
        <v>120</v>
      </c>
      <c r="C121" s="4">
        <f t="shared" ref="C121" si="153">C119+1</f>
        <v>60</v>
      </c>
      <c r="D121" s="8">
        <f t="shared" si="135"/>
        <v>427</v>
      </c>
      <c r="E121" s="4">
        <f t="shared" si="139"/>
        <v>0.5</v>
      </c>
      <c r="F121" s="4">
        <f t="shared" si="139"/>
        <v>0.79999999999999993</v>
      </c>
      <c r="G121" s="9">
        <f t="shared" si="133"/>
        <v>238000</v>
      </c>
      <c r="H121" s="13">
        <f t="shared" si="82"/>
        <v>17</v>
      </c>
      <c r="N121" s="4">
        <f t="shared" si="73"/>
        <v>238000</v>
      </c>
    </row>
    <row r="122" spans="1:14" x14ac:dyDescent="0.3">
      <c r="A122" s="5">
        <f t="shared" si="74"/>
        <v>120</v>
      </c>
      <c r="B122" s="4">
        <f t="shared" si="131"/>
        <v>122</v>
      </c>
      <c r="C122" s="4">
        <f t="shared" ref="C122" si="154">C120+1</f>
        <v>60</v>
      </c>
      <c r="D122" s="8">
        <f>D121+7</f>
        <v>434</v>
      </c>
      <c r="E122" s="4">
        <f t="shared" si="139"/>
        <v>0.6</v>
      </c>
      <c r="F122" s="4">
        <f t="shared" si="139"/>
        <v>0.89999999999999991</v>
      </c>
      <c r="G122" s="9">
        <f t="shared" si="133"/>
        <v>240000</v>
      </c>
      <c r="H122" s="13">
        <f t="shared" si="82"/>
        <v>18</v>
      </c>
      <c r="N122" s="4">
        <f t="shared" si="73"/>
        <v>240000</v>
      </c>
    </row>
    <row r="123" spans="1:14" x14ac:dyDescent="0.3">
      <c r="A123" s="5">
        <f t="shared" si="74"/>
        <v>121</v>
      </c>
      <c r="B123" s="4">
        <f t="shared" si="131"/>
        <v>124</v>
      </c>
      <c r="C123" s="4">
        <f t="shared" ref="C123" si="155">C121+1</f>
        <v>61</v>
      </c>
      <c r="D123" s="8">
        <f t="shared" ref="D123:D141" si="156">D122+7</f>
        <v>441</v>
      </c>
      <c r="E123" s="4">
        <f t="shared" si="139"/>
        <v>0.6</v>
      </c>
      <c r="F123" s="4">
        <f t="shared" si="139"/>
        <v>0.89999999999999991</v>
      </c>
      <c r="G123" s="9">
        <f t="shared" si="133"/>
        <v>242000</v>
      </c>
      <c r="H123" s="13">
        <f t="shared" si="82"/>
        <v>18</v>
      </c>
      <c r="N123" s="4">
        <f t="shared" si="73"/>
        <v>242000</v>
      </c>
    </row>
    <row r="124" spans="1:14" x14ac:dyDescent="0.3">
      <c r="A124" s="5">
        <f t="shared" si="74"/>
        <v>122</v>
      </c>
      <c r="B124" s="4">
        <f t="shared" si="131"/>
        <v>126</v>
      </c>
      <c r="C124" s="4">
        <f t="shared" ref="C124" si="157">C122+1</f>
        <v>61</v>
      </c>
      <c r="D124" s="8">
        <f t="shared" si="156"/>
        <v>448</v>
      </c>
      <c r="E124" s="4">
        <f t="shared" si="139"/>
        <v>0.6</v>
      </c>
      <c r="F124" s="4">
        <f t="shared" si="139"/>
        <v>0.89999999999999991</v>
      </c>
      <c r="G124" s="9">
        <f t="shared" si="133"/>
        <v>244000</v>
      </c>
      <c r="H124" s="13">
        <f t="shared" si="82"/>
        <v>18</v>
      </c>
      <c r="N124" s="4">
        <f t="shared" si="73"/>
        <v>244000</v>
      </c>
    </row>
    <row r="125" spans="1:14" x14ac:dyDescent="0.3">
      <c r="A125" s="5">
        <f t="shared" si="74"/>
        <v>123</v>
      </c>
      <c r="B125" s="4">
        <f t="shared" si="131"/>
        <v>128</v>
      </c>
      <c r="C125" s="4">
        <f t="shared" ref="C125" si="158">C123+1</f>
        <v>62</v>
      </c>
      <c r="D125" s="8">
        <f t="shared" si="156"/>
        <v>455</v>
      </c>
      <c r="E125" s="4">
        <f t="shared" si="139"/>
        <v>0.6</v>
      </c>
      <c r="F125" s="4">
        <f t="shared" si="139"/>
        <v>0.89999999999999991</v>
      </c>
      <c r="G125" s="9">
        <f t="shared" si="133"/>
        <v>246000</v>
      </c>
      <c r="H125" s="13">
        <f t="shared" si="82"/>
        <v>18</v>
      </c>
      <c r="N125" s="4">
        <f t="shared" si="73"/>
        <v>246000</v>
      </c>
    </row>
    <row r="126" spans="1:14" x14ac:dyDescent="0.3">
      <c r="A126" s="5">
        <f t="shared" si="74"/>
        <v>124</v>
      </c>
      <c r="B126" s="4">
        <f t="shared" si="131"/>
        <v>130</v>
      </c>
      <c r="C126" s="4">
        <f t="shared" ref="C126" si="159">C124+1</f>
        <v>62</v>
      </c>
      <c r="D126" s="8">
        <f t="shared" si="156"/>
        <v>462</v>
      </c>
      <c r="E126" s="4">
        <f t="shared" si="139"/>
        <v>0.6</v>
      </c>
      <c r="F126" s="4">
        <f t="shared" si="139"/>
        <v>0.89999999999999991</v>
      </c>
      <c r="G126" s="9">
        <f t="shared" si="133"/>
        <v>248000</v>
      </c>
      <c r="H126" s="13">
        <f t="shared" si="82"/>
        <v>18</v>
      </c>
      <c r="N126" s="4">
        <f t="shared" si="73"/>
        <v>248000</v>
      </c>
    </row>
    <row r="127" spans="1:14" x14ac:dyDescent="0.3">
      <c r="A127" s="5">
        <f t="shared" si="74"/>
        <v>125</v>
      </c>
      <c r="B127" s="4">
        <f t="shared" si="131"/>
        <v>132</v>
      </c>
      <c r="C127" s="4">
        <f t="shared" ref="C127" si="160">C125+1</f>
        <v>63</v>
      </c>
      <c r="D127" s="8">
        <f t="shared" si="156"/>
        <v>469</v>
      </c>
      <c r="E127" s="4">
        <f t="shared" si="139"/>
        <v>0.6</v>
      </c>
      <c r="F127" s="4">
        <f t="shared" si="139"/>
        <v>0.89999999999999991</v>
      </c>
      <c r="G127" s="9">
        <f t="shared" si="133"/>
        <v>250000</v>
      </c>
      <c r="H127" s="13">
        <f t="shared" si="82"/>
        <v>18</v>
      </c>
      <c r="N127" s="4">
        <f t="shared" si="73"/>
        <v>250000</v>
      </c>
    </row>
    <row r="128" spans="1:14" x14ac:dyDescent="0.3">
      <c r="A128" s="5">
        <f t="shared" si="74"/>
        <v>126</v>
      </c>
      <c r="B128" s="4">
        <f t="shared" si="131"/>
        <v>134</v>
      </c>
      <c r="C128" s="4">
        <f t="shared" ref="C128" si="161">C126+1</f>
        <v>63</v>
      </c>
      <c r="D128" s="8">
        <f t="shared" si="156"/>
        <v>476</v>
      </c>
      <c r="E128" s="4">
        <f t="shared" si="139"/>
        <v>0.6</v>
      </c>
      <c r="F128" s="4">
        <f t="shared" si="139"/>
        <v>0.89999999999999991</v>
      </c>
      <c r="G128" s="9">
        <f t="shared" si="133"/>
        <v>252000</v>
      </c>
      <c r="H128" s="13">
        <f t="shared" si="82"/>
        <v>18</v>
      </c>
      <c r="N128" s="4">
        <f t="shared" si="73"/>
        <v>252000</v>
      </c>
    </row>
    <row r="129" spans="1:14" x14ac:dyDescent="0.3">
      <c r="A129" s="5">
        <f t="shared" si="74"/>
        <v>127</v>
      </c>
      <c r="B129" s="4">
        <f t="shared" si="131"/>
        <v>136</v>
      </c>
      <c r="C129" s="4">
        <f t="shared" ref="C129" si="162">C127+1</f>
        <v>64</v>
      </c>
      <c r="D129" s="8">
        <f t="shared" si="156"/>
        <v>483</v>
      </c>
      <c r="E129" s="4">
        <f t="shared" si="139"/>
        <v>0.6</v>
      </c>
      <c r="F129" s="4">
        <f t="shared" si="139"/>
        <v>0.89999999999999991</v>
      </c>
      <c r="G129" s="9">
        <f t="shared" si="133"/>
        <v>254000</v>
      </c>
      <c r="H129" s="13">
        <f t="shared" si="82"/>
        <v>19</v>
      </c>
      <c r="N129" s="4">
        <f t="shared" si="73"/>
        <v>254000</v>
      </c>
    </row>
    <row r="130" spans="1:14" x14ac:dyDescent="0.3">
      <c r="A130" s="5">
        <f t="shared" si="74"/>
        <v>128</v>
      </c>
      <c r="B130" s="4">
        <f t="shared" si="131"/>
        <v>138</v>
      </c>
      <c r="C130" s="4">
        <f t="shared" ref="C130" si="163">C128+1</f>
        <v>64</v>
      </c>
      <c r="D130" s="8">
        <f t="shared" si="156"/>
        <v>490</v>
      </c>
      <c r="E130" s="4">
        <f t="shared" si="139"/>
        <v>0.6</v>
      </c>
      <c r="F130" s="4">
        <f t="shared" si="139"/>
        <v>0.89999999999999991</v>
      </c>
      <c r="G130" s="9">
        <f t="shared" si="133"/>
        <v>256000</v>
      </c>
      <c r="H130" s="13">
        <f t="shared" si="82"/>
        <v>19</v>
      </c>
      <c r="N130" s="4">
        <f t="shared" si="73"/>
        <v>256000</v>
      </c>
    </row>
    <row r="131" spans="1:14" x14ac:dyDescent="0.3">
      <c r="A131" s="5">
        <f t="shared" si="74"/>
        <v>129</v>
      </c>
      <c r="B131" s="4">
        <f t="shared" si="131"/>
        <v>140</v>
      </c>
      <c r="C131" s="4">
        <f t="shared" ref="C131" si="164">C129+1</f>
        <v>65</v>
      </c>
      <c r="D131" s="8">
        <f t="shared" si="156"/>
        <v>497</v>
      </c>
      <c r="E131" s="4">
        <f t="shared" si="139"/>
        <v>0.6</v>
      </c>
      <c r="F131" s="4">
        <f t="shared" si="139"/>
        <v>0.89999999999999991</v>
      </c>
      <c r="G131" s="9">
        <f t="shared" si="133"/>
        <v>258000</v>
      </c>
      <c r="H131" s="13">
        <f t="shared" si="82"/>
        <v>19</v>
      </c>
      <c r="N131" s="4">
        <f t="shared" si="73"/>
        <v>258000</v>
      </c>
    </row>
    <row r="132" spans="1:14" x14ac:dyDescent="0.3">
      <c r="A132" s="5">
        <f t="shared" si="74"/>
        <v>130</v>
      </c>
      <c r="B132" s="4">
        <f t="shared" si="131"/>
        <v>142</v>
      </c>
      <c r="C132" s="4">
        <f t="shared" ref="C132" si="165">C130+1</f>
        <v>65</v>
      </c>
      <c r="D132" s="8">
        <f t="shared" si="156"/>
        <v>504</v>
      </c>
      <c r="E132" s="4">
        <f t="shared" si="139"/>
        <v>0.6</v>
      </c>
      <c r="F132" s="4">
        <f t="shared" si="139"/>
        <v>0.89999999999999991</v>
      </c>
      <c r="G132" s="9">
        <f t="shared" si="133"/>
        <v>260000</v>
      </c>
      <c r="H132" s="13">
        <f t="shared" si="82"/>
        <v>19</v>
      </c>
      <c r="N132" s="4">
        <f t="shared" ref="N132:N195" si="166">G132</f>
        <v>260000</v>
      </c>
    </row>
    <row r="133" spans="1:14" x14ac:dyDescent="0.3">
      <c r="A133" s="5">
        <f t="shared" ref="A133:A196" si="167">A132+1</f>
        <v>131</v>
      </c>
      <c r="B133" s="4">
        <f t="shared" si="131"/>
        <v>144</v>
      </c>
      <c r="C133" s="4">
        <f t="shared" ref="C133" si="168">C131+1</f>
        <v>66</v>
      </c>
      <c r="D133" s="8">
        <f t="shared" si="156"/>
        <v>511</v>
      </c>
      <c r="E133" s="4">
        <f t="shared" si="139"/>
        <v>0.6</v>
      </c>
      <c r="F133" s="4">
        <f t="shared" si="139"/>
        <v>0.89999999999999991</v>
      </c>
      <c r="G133" s="9">
        <f t="shared" si="133"/>
        <v>262000</v>
      </c>
      <c r="H133" s="13">
        <f t="shared" si="82"/>
        <v>19</v>
      </c>
      <c r="N133" s="4">
        <f t="shared" si="166"/>
        <v>262000</v>
      </c>
    </row>
    <row r="134" spans="1:14" x14ac:dyDescent="0.3">
      <c r="A134" s="5">
        <f t="shared" si="167"/>
        <v>132</v>
      </c>
      <c r="B134" s="4">
        <f t="shared" si="131"/>
        <v>146</v>
      </c>
      <c r="C134" s="4">
        <f t="shared" ref="C134" si="169">C132+1</f>
        <v>66</v>
      </c>
      <c r="D134" s="8">
        <f t="shared" si="156"/>
        <v>518</v>
      </c>
      <c r="E134" s="4">
        <f t="shared" si="139"/>
        <v>0.6</v>
      </c>
      <c r="F134" s="4">
        <f t="shared" si="139"/>
        <v>0.89999999999999991</v>
      </c>
      <c r="G134" s="9">
        <f t="shared" si="133"/>
        <v>264000</v>
      </c>
      <c r="H134" s="13">
        <f t="shared" si="82"/>
        <v>19</v>
      </c>
      <c r="N134" s="4">
        <f t="shared" si="166"/>
        <v>264000</v>
      </c>
    </row>
    <row r="135" spans="1:14" x14ac:dyDescent="0.3">
      <c r="A135" s="5">
        <f t="shared" si="167"/>
        <v>133</v>
      </c>
      <c r="B135" s="4">
        <f t="shared" si="131"/>
        <v>148</v>
      </c>
      <c r="C135" s="4">
        <f t="shared" ref="C135" si="170">C133+1</f>
        <v>67</v>
      </c>
      <c r="D135" s="8">
        <f t="shared" si="156"/>
        <v>525</v>
      </c>
      <c r="E135" s="4">
        <f t="shared" si="139"/>
        <v>0.6</v>
      </c>
      <c r="F135" s="4">
        <f t="shared" si="139"/>
        <v>0.89999999999999991</v>
      </c>
      <c r="G135" s="9">
        <f t="shared" si="133"/>
        <v>266000</v>
      </c>
      <c r="H135" s="13">
        <f t="shared" si="82"/>
        <v>19</v>
      </c>
      <c r="N135" s="4">
        <f t="shared" si="166"/>
        <v>266000</v>
      </c>
    </row>
    <row r="136" spans="1:14" x14ac:dyDescent="0.3">
      <c r="A136" s="5">
        <f t="shared" si="167"/>
        <v>134</v>
      </c>
      <c r="B136" s="4">
        <f t="shared" si="131"/>
        <v>150</v>
      </c>
      <c r="C136" s="4">
        <f t="shared" ref="C136" si="171">C134+1</f>
        <v>67</v>
      </c>
      <c r="D136" s="8">
        <f t="shared" si="156"/>
        <v>532</v>
      </c>
      <c r="E136" s="4">
        <f t="shared" si="139"/>
        <v>0.6</v>
      </c>
      <c r="F136" s="4">
        <f t="shared" si="139"/>
        <v>0.89999999999999991</v>
      </c>
      <c r="G136" s="9">
        <f t="shared" si="133"/>
        <v>268000</v>
      </c>
      <c r="H136" s="13">
        <f t="shared" si="82"/>
        <v>20</v>
      </c>
      <c r="N136" s="4">
        <f t="shared" si="166"/>
        <v>268000</v>
      </c>
    </row>
    <row r="137" spans="1:14" x14ac:dyDescent="0.3">
      <c r="A137" s="5">
        <f t="shared" si="167"/>
        <v>135</v>
      </c>
      <c r="B137" s="4">
        <f t="shared" si="131"/>
        <v>152</v>
      </c>
      <c r="C137" s="4">
        <f t="shared" ref="C137" si="172">C135+1</f>
        <v>68</v>
      </c>
      <c r="D137" s="8">
        <f t="shared" si="156"/>
        <v>539</v>
      </c>
      <c r="E137" s="4">
        <f t="shared" si="139"/>
        <v>0.6</v>
      </c>
      <c r="F137" s="4">
        <f t="shared" si="139"/>
        <v>0.89999999999999991</v>
      </c>
      <c r="G137" s="9">
        <f t="shared" si="133"/>
        <v>270000</v>
      </c>
      <c r="H137" s="13">
        <f t="shared" si="82"/>
        <v>20</v>
      </c>
      <c r="N137" s="4">
        <f t="shared" si="166"/>
        <v>270000</v>
      </c>
    </row>
    <row r="138" spans="1:14" x14ac:dyDescent="0.3">
      <c r="A138" s="5">
        <f t="shared" si="167"/>
        <v>136</v>
      </c>
      <c r="B138" s="4">
        <f t="shared" si="131"/>
        <v>154</v>
      </c>
      <c r="C138" s="4">
        <f t="shared" ref="C138" si="173">C136+1</f>
        <v>68</v>
      </c>
      <c r="D138" s="8">
        <f t="shared" si="156"/>
        <v>546</v>
      </c>
      <c r="E138" s="4">
        <f t="shared" si="139"/>
        <v>0.6</v>
      </c>
      <c r="F138" s="4">
        <f t="shared" si="139"/>
        <v>0.89999999999999991</v>
      </c>
      <c r="G138" s="9">
        <f t="shared" si="133"/>
        <v>272000</v>
      </c>
      <c r="H138" s="13">
        <f t="shared" si="82"/>
        <v>20</v>
      </c>
      <c r="N138" s="4">
        <f t="shared" si="166"/>
        <v>272000</v>
      </c>
    </row>
    <row r="139" spans="1:14" x14ac:dyDescent="0.3">
      <c r="A139" s="5">
        <f t="shared" si="167"/>
        <v>137</v>
      </c>
      <c r="B139" s="4">
        <f t="shared" si="131"/>
        <v>156</v>
      </c>
      <c r="C139" s="4">
        <f t="shared" ref="C139" si="174">C137+1</f>
        <v>69</v>
      </c>
      <c r="D139" s="8">
        <f t="shared" si="156"/>
        <v>553</v>
      </c>
      <c r="E139" s="4">
        <f t="shared" si="139"/>
        <v>0.6</v>
      </c>
      <c r="F139" s="4">
        <f t="shared" si="139"/>
        <v>0.89999999999999991</v>
      </c>
      <c r="G139" s="9">
        <f t="shared" si="133"/>
        <v>274000</v>
      </c>
      <c r="H139" s="13">
        <f t="shared" ref="H139:H202" si="175">H132+1</f>
        <v>20</v>
      </c>
      <c r="N139" s="4">
        <f t="shared" si="166"/>
        <v>274000</v>
      </c>
    </row>
    <row r="140" spans="1:14" x14ac:dyDescent="0.3">
      <c r="A140" s="5">
        <f t="shared" si="167"/>
        <v>138</v>
      </c>
      <c r="B140" s="4">
        <f t="shared" si="131"/>
        <v>158</v>
      </c>
      <c r="C140" s="4">
        <f t="shared" ref="C140" si="176">C138+1</f>
        <v>69</v>
      </c>
      <c r="D140" s="8">
        <f t="shared" si="156"/>
        <v>560</v>
      </c>
      <c r="E140" s="4">
        <f t="shared" si="139"/>
        <v>0.6</v>
      </c>
      <c r="F140" s="4">
        <f t="shared" si="139"/>
        <v>0.89999999999999991</v>
      </c>
      <c r="G140" s="9">
        <f t="shared" si="133"/>
        <v>276000</v>
      </c>
      <c r="H140" s="13">
        <f t="shared" si="175"/>
        <v>20</v>
      </c>
      <c r="N140" s="4">
        <f t="shared" si="166"/>
        <v>276000</v>
      </c>
    </row>
    <row r="141" spans="1:14" x14ac:dyDescent="0.3">
      <c r="A141" s="5">
        <f t="shared" si="167"/>
        <v>139</v>
      </c>
      <c r="B141" s="4">
        <f t="shared" si="131"/>
        <v>160</v>
      </c>
      <c r="C141" s="4">
        <f t="shared" ref="C141" si="177">C139+1</f>
        <v>70</v>
      </c>
      <c r="D141" s="8">
        <f t="shared" si="156"/>
        <v>567</v>
      </c>
      <c r="E141" s="4">
        <f t="shared" si="139"/>
        <v>0.6</v>
      </c>
      <c r="F141" s="4">
        <f t="shared" si="139"/>
        <v>0.89999999999999991</v>
      </c>
      <c r="G141" s="9">
        <f t="shared" si="133"/>
        <v>278000</v>
      </c>
      <c r="H141" s="13">
        <f t="shared" si="175"/>
        <v>20</v>
      </c>
      <c r="N141" s="4">
        <f t="shared" si="166"/>
        <v>278000</v>
      </c>
    </row>
    <row r="142" spans="1:14" x14ac:dyDescent="0.3">
      <c r="A142" s="5">
        <f t="shared" si="167"/>
        <v>140</v>
      </c>
      <c r="B142" s="4">
        <f t="shared" si="131"/>
        <v>162</v>
      </c>
      <c r="C142" s="4">
        <f t="shared" ref="C142" si="178">C140+1</f>
        <v>70</v>
      </c>
      <c r="D142" s="8">
        <f>D141+8</f>
        <v>575</v>
      </c>
      <c r="E142" s="4">
        <v>0.6</v>
      </c>
      <c r="F142" s="4">
        <f t="shared" ref="F142:F201" si="179">F122+0.1</f>
        <v>0.99999999999999989</v>
      </c>
      <c r="G142" s="9">
        <f t="shared" si="133"/>
        <v>280000</v>
      </c>
      <c r="H142" s="13">
        <f t="shared" si="175"/>
        <v>20</v>
      </c>
      <c r="N142" s="4">
        <f t="shared" si="166"/>
        <v>280000</v>
      </c>
    </row>
    <row r="143" spans="1:14" x14ac:dyDescent="0.3">
      <c r="A143" s="5">
        <f t="shared" si="167"/>
        <v>141</v>
      </c>
      <c r="B143" s="4">
        <f t="shared" si="131"/>
        <v>164</v>
      </c>
      <c r="C143" s="4">
        <f t="shared" ref="C143" si="180">C141+1</f>
        <v>71</v>
      </c>
      <c r="D143" s="8">
        <f t="shared" ref="D143:D161" si="181">D142+8</f>
        <v>583</v>
      </c>
      <c r="E143" s="4">
        <v>0.6</v>
      </c>
      <c r="F143" s="4">
        <f t="shared" si="179"/>
        <v>0.99999999999999989</v>
      </c>
      <c r="G143" s="9">
        <f t="shared" si="133"/>
        <v>282000</v>
      </c>
      <c r="H143" s="13">
        <f t="shared" si="175"/>
        <v>21</v>
      </c>
      <c r="N143" s="4">
        <f t="shared" si="166"/>
        <v>282000</v>
      </c>
    </row>
    <row r="144" spans="1:14" x14ac:dyDescent="0.3">
      <c r="A144" s="5">
        <f t="shared" si="167"/>
        <v>142</v>
      </c>
      <c r="B144" s="4">
        <f t="shared" si="131"/>
        <v>166</v>
      </c>
      <c r="C144" s="4">
        <f t="shared" ref="C144" si="182">C142+1</f>
        <v>71</v>
      </c>
      <c r="D144" s="8">
        <f t="shared" si="181"/>
        <v>591</v>
      </c>
      <c r="E144" s="4">
        <v>0.6</v>
      </c>
      <c r="F144" s="4">
        <f t="shared" si="179"/>
        <v>0.99999999999999989</v>
      </c>
      <c r="G144" s="9">
        <f t="shared" si="133"/>
        <v>284000</v>
      </c>
      <c r="H144" s="13">
        <f t="shared" si="175"/>
        <v>21</v>
      </c>
      <c r="N144" s="4">
        <f t="shared" si="166"/>
        <v>284000</v>
      </c>
    </row>
    <row r="145" spans="1:14" x14ac:dyDescent="0.3">
      <c r="A145" s="5">
        <f t="shared" si="167"/>
        <v>143</v>
      </c>
      <c r="B145" s="4">
        <f t="shared" si="131"/>
        <v>168</v>
      </c>
      <c r="C145" s="4">
        <f t="shared" ref="C145" si="183">C143+1</f>
        <v>72</v>
      </c>
      <c r="D145" s="8">
        <f t="shared" si="181"/>
        <v>599</v>
      </c>
      <c r="E145" s="4">
        <v>0.6</v>
      </c>
      <c r="F145" s="4">
        <f t="shared" si="179"/>
        <v>0.99999999999999989</v>
      </c>
      <c r="G145" s="9">
        <f t="shared" si="133"/>
        <v>286000</v>
      </c>
      <c r="H145" s="13">
        <f t="shared" si="175"/>
        <v>21</v>
      </c>
      <c r="N145" s="4">
        <f t="shared" si="166"/>
        <v>286000</v>
      </c>
    </row>
    <row r="146" spans="1:14" x14ac:dyDescent="0.3">
      <c r="A146" s="5">
        <f t="shared" si="167"/>
        <v>144</v>
      </c>
      <c r="B146" s="4">
        <f t="shared" si="131"/>
        <v>170</v>
      </c>
      <c r="C146" s="4">
        <f t="shared" ref="C146" si="184">C144+1</f>
        <v>72</v>
      </c>
      <c r="D146" s="8">
        <f t="shared" si="181"/>
        <v>607</v>
      </c>
      <c r="E146" s="4">
        <v>0.6</v>
      </c>
      <c r="F146" s="4">
        <f t="shared" si="179"/>
        <v>0.99999999999999989</v>
      </c>
      <c r="G146" s="9">
        <f t="shared" si="133"/>
        <v>288000</v>
      </c>
      <c r="H146" s="13">
        <f t="shared" si="175"/>
        <v>21</v>
      </c>
      <c r="N146" s="4">
        <f t="shared" si="166"/>
        <v>288000</v>
      </c>
    </row>
    <row r="147" spans="1:14" x14ac:dyDescent="0.3">
      <c r="A147" s="5">
        <f t="shared" si="167"/>
        <v>145</v>
      </c>
      <c r="B147" s="4">
        <f t="shared" si="131"/>
        <v>172</v>
      </c>
      <c r="C147" s="4">
        <f t="shared" ref="C147" si="185">C145+1</f>
        <v>73</v>
      </c>
      <c r="D147" s="8">
        <f t="shared" si="181"/>
        <v>615</v>
      </c>
      <c r="E147" s="4">
        <v>0.6</v>
      </c>
      <c r="F147" s="4">
        <f t="shared" si="179"/>
        <v>0.99999999999999989</v>
      </c>
      <c r="G147" s="9">
        <f t="shared" si="133"/>
        <v>290000</v>
      </c>
      <c r="H147" s="13">
        <f t="shared" si="175"/>
        <v>21</v>
      </c>
      <c r="N147" s="4">
        <f t="shared" si="166"/>
        <v>290000</v>
      </c>
    </row>
    <row r="148" spans="1:14" x14ac:dyDescent="0.3">
      <c r="A148" s="5">
        <f t="shared" si="167"/>
        <v>146</v>
      </c>
      <c r="B148" s="4">
        <f t="shared" si="131"/>
        <v>174</v>
      </c>
      <c r="C148" s="4">
        <f t="shared" ref="C148" si="186">C146+1</f>
        <v>73</v>
      </c>
      <c r="D148" s="8">
        <f t="shared" si="181"/>
        <v>623</v>
      </c>
      <c r="E148" s="4">
        <v>0.6</v>
      </c>
      <c r="F148" s="4">
        <f t="shared" si="179"/>
        <v>0.99999999999999989</v>
      </c>
      <c r="G148" s="9">
        <f t="shared" si="133"/>
        <v>292000</v>
      </c>
      <c r="H148" s="13">
        <f t="shared" si="175"/>
        <v>21</v>
      </c>
      <c r="N148" s="4">
        <f t="shared" si="166"/>
        <v>292000</v>
      </c>
    </row>
    <row r="149" spans="1:14" x14ac:dyDescent="0.3">
      <c r="A149" s="5">
        <f t="shared" si="167"/>
        <v>147</v>
      </c>
      <c r="B149" s="4">
        <f t="shared" si="131"/>
        <v>176</v>
      </c>
      <c r="C149" s="4">
        <f t="shared" ref="C149" si="187">C147+1</f>
        <v>74</v>
      </c>
      <c r="D149" s="8">
        <f t="shared" si="181"/>
        <v>631</v>
      </c>
      <c r="E149" s="4">
        <v>0.6</v>
      </c>
      <c r="F149" s="4">
        <f t="shared" si="179"/>
        <v>0.99999999999999989</v>
      </c>
      <c r="G149" s="9">
        <f t="shared" si="133"/>
        <v>294000</v>
      </c>
      <c r="H149" s="13">
        <f t="shared" si="175"/>
        <v>21</v>
      </c>
      <c r="N149" s="4">
        <f t="shared" si="166"/>
        <v>294000</v>
      </c>
    </row>
    <row r="150" spans="1:14" x14ac:dyDescent="0.3">
      <c r="A150" s="5">
        <f t="shared" si="167"/>
        <v>148</v>
      </c>
      <c r="B150" s="4">
        <f t="shared" si="131"/>
        <v>178</v>
      </c>
      <c r="C150" s="4">
        <f t="shared" ref="C150" si="188">C148+1</f>
        <v>74</v>
      </c>
      <c r="D150" s="8">
        <f t="shared" si="181"/>
        <v>639</v>
      </c>
      <c r="E150" s="4">
        <v>0.6</v>
      </c>
      <c r="F150" s="4">
        <f t="shared" si="179"/>
        <v>0.99999999999999989</v>
      </c>
      <c r="G150" s="9">
        <f t="shared" si="133"/>
        <v>296000</v>
      </c>
      <c r="H150" s="13">
        <f t="shared" si="175"/>
        <v>22</v>
      </c>
      <c r="N150" s="4">
        <f t="shared" si="166"/>
        <v>296000</v>
      </c>
    </row>
    <row r="151" spans="1:14" x14ac:dyDescent="0.3">
      <c r="A151" s="5">
        <f t="shared" si="167"/>
        <v>149</v>
      </c>
      <c r="B151" s="4">
        <f t="shared" si="131"/>
        <v>180</v>
      </c>
      <c r="C151" s="4">
        <f t="shared" ref="C151" si="189">C149+1</f>
        <v>75</v>
      </c>
      <c r="D151" s="8">
        <f t="shared" si="181"/>
        <v>647</v>
      </c>
      <c r="E151" s="4">
        <v>0.6</v>
      </c>
      <c r="F151" s="4">
        <f t="shared" si="179"/>
        <v>0.99999999999999989</v>
      </c>
      <c r="G151" s="9">
        <f t="shared" si="133"/>
        <v>298000</v>
      </c>
      <c r="H151" s="13">
        <f t="shared" si="175"/>
        <v>22</v>
      </c>
      <c r="N151" s="4">
        <f t="shared" si="166"/>
        <v>298000</v>
      </c>
    </row>
    <row r="152" spans="1:14" x14ac:dyDescent="0.3">
      <c r="A152" s="5">
        <f t="shared" si="167"/>
        <v>150</v>
      </c>
      <c r="B152" s="4">
        <f t="shared" si="131"/>
        <v>182</v>
      </c>
      <c r="C152" s="4">
        <f t="shared" ref="C152" si="190">C150+1</f>
        <v>75</v>
      </c>
      <c r="D152" s="8">
        <f t="shared" si="181"/>
        <v>655</v>
      </c>
      <c r="E152" s="4">
        <v>0.6</v>
      </c>
      <c r="F152" s="4">
        <f t="shared" si="179"/>
        <v>0.99999999999999989</v>
      </c>
      <c r="G152" s="9">
        <f>A152*2500</f>
        <v>375000</v>
      </c>
      <c r="H152" s="13">
        <f t="shared" si="175"/>
        <v>22</v>
      </c>
      <c r="N152" s="4">
        <f t="shared" si="166"/>
        <v>375000</v>
      </c>
    </row>
    <row r="153" spans="1:14" x14ac:dyDescent="0.3">
      <c r="A153" s="5">
        <f t="shared" si="167"/>
        <v>151</v>
      </c>
      <c r="B153" s="4">
        <f t="shared" si="131"/>
        <v>184</v>
      </c>
      <c r="C153" s="4">
        <f t="shared" ref="C153" si="191">C151+1</f>
        <v>76</v>
      </c>
      <c r="D153" s="8">
        <f t="shared" si="181"/>
        <v>663</v>
      </c>
      <c r="E153" s="4">
        <v>0.6</v>
      </c>
      <c r="F153" s="4">
        <f t="shared" si="179"/>
        <v>0.99999999999999989</v>
      </c>
      <c r="G153" s="9">
        <f t="shared" ref="G153:G201" si="192">A153*2500</f>
        <v>377500</v>
      </c>
      <c r="H153" s="13">
        <f t="shared" si="175"/>
        <v>22</v>
      </c>
      <c r="N153" s="4">
        <f t="shared" si="166"/>
        <v>377500</v>
      </c>
    </row>
    <row r="154" spans="1:14" x14ac:dyDescent="0.3">
      <c r="A154" s="5">
        <f t="shared" si="167"/>
        <v>152</v>
      </c>
      <c r="B154" s="4">
        <f t="shared" si="131"/>
        <v>186</v>
      </c>
      <c r="C154" s="4">
        <f t="shared" ref="C154" si="193">C152+1</f>
        <v>76</v>
      </c>
      <c r="D154" s="8">
        <f t="shared" si="181"/>
        <v>671</v>
      </c>
      <c r="E154" s="4">
        <v>0.6</v>
      </c>
      <c r="F154" s="4">
        <f t="shared" si="179"/>
        <v>0.99999999999999989</v>
      </c>
      <c r="G154" s="9">
        <f t="shared" si="192"/>
        <v>380000</v>
      </c>
      <c r="H154" s="13">
        <f t="shared" si="175"/>
        <v>22</v>
      </c>
      <c r="N154" s="4">
        <f t="shared" si="166"/>
        <v>380000</v>
      </c>
    </row>
    <row r="155" spans="1:14" x14ac:dyDescent="0.3">
      <c r="A155" s="5">
        <f t="shared" si="167"/>
        <v>153</v>
      </c>
      <c r="B155" s="4">
        <f t="shared" si="131"/>
        <v>188</v>
      </c>
      <c r="C155" s="4">
        <f t="shared" ref="C155" si="194">C153+1</f>
        <v>77</v>
      </c>
      <c r="D155" s="8">
        <f t="shared" si="181"/>
        <v>679</v>
      </c>
      <c r="E155" s="4">
        <v>0.6</v>
      </c>
      <c r="F155" s="4">
        <f t="shared" si="179"/>
        <v>0.99999999999999989</v>
      </c>
      <c r="G155" s="9">
        <f t="shared" si="192"/>
        <v>382500</v>
      </c>
      <c r="H155" s="13">
        <f t="shared" si="175"/>
        <v>22</v>
      </c>
      <c r="N155" s="4">
        <f t="shared" si="166"/>
        <v>382500</v>
      </c>
    </row>
    <row r="156" spans="1:14" x14ac:dyDescent="0.3">
      <c r="A156" s="5">
        <f t="shared" si="167"/>
        <v>154</v>
      </c>
      <c r="B156" s="4">
        <f t="shared" si="131"/>
        <v>190</v>
      </c>
      <c r="C156" s="4">
        <f t="shared" ref="C156" si="195">C154+1</f>
        <v>77</v>
      </c>
      <c r="D156" s="8">
        <f t="shared" si="181"/>
        <v>687</v>
      </c>
      <c r="E156" s="4">
        <v>0.6</v>
      </c>
      <c r="F156" s="4">
        <f t="shared" si="179"/>
        <v>0.99999999999999989</v>
      </c>
      <c r="G156" s="9">
        <f t="shared" si="192"/>
        <v>385000</v>
      </c>
      <c r="H156" s="13">
        <f t="shared" si="175"/>
        <v>22</v>
      </c>
      <c r="N156" s="4">
        <f t="shared" si="166"/>
        <v>385000</v>
      </c>
    </row>
    <row r="157" spans="1:14" x14ac:dyDescent="0.3">
      <c r="A157" s="5">
        <f t="shared" si="167"/>
        <v>155</v>
      </c>
      <c r="B157" s="4">
        <f t="shared" si="131"/>
        <v>192</v>
      </c>
      <c r="C157" s="4">
        <f t="shared" ref="C157" si="196">C155+1</f>
        <v>78</v>
      </c>
      <c r="D157" s="8">
        <f t="shared" si="181"/>
        <v>695</v>
      </c>
      <c r="E157" s="4">
        <v>0.6</v>
      </c>
      <c r="F157" s="4">
        <f t="shared" si="179"/>
        <v>0.99999999999999989</v>
      </c>
      <c r="G157" s="9">
        <f t="shared" si="192"/>
        <v>387500</v>
      </c>
      <c r="H157" s="13">
        <f t="shared" si="175"/>
        <v>23</v>
      </c>
      <c r="N157" s="4">
        <f t="shared" si="166"/>
        <v>387500</v>
      </c>
    </row>
    <row r="158" spans="1:14" x14ac:dyDescent="0.3">
      <c r="A158" s="5">
        <f t="shared" si="167"/>
        <v>156</v>
      </c>
      <c r="B158" s="4">
        <f t="shared" si="131"/>
        <v>194</v>
      </c>
      <c r="C158" s="4">
        <f t="shared" ref="C158" si="197">C156+1</f>
        <v>78</v>
      </c>
      <c r="D158" s="8">
        <f t="shared" si="181"/>
        <v>703</v>
      </c>
      <c r="E158" s="4">
        <v>0.6</v>
      </c>
      <c r="F158" s="4">
        <f t="shared" si="179"/>
        <v>0.99999999999999989</v>
      </c>
      <c r="G158" s="9">
        <f t="shared" si="192"/>
        <v>390000</v>
      </c>
      <c r="H158" s="13">
        <f t="shared" si="175"/>
        <v>23</v>
      </c>
      <c r="N158" s="4">
        <f t="shared" si="166"/>
        <v>390000</v>
      </c>
    </row>
    <row r="159" spans="1:14" x14ac:dyDescent="0.3">
      <c r="A159" s="5">
        <f t="shared" si="167"/>
        <v>157</v>
      </c>
      <c r="B159" s="4">
        <f t="shared" si="131"/>
        <v>196</v>
      </c>
      <c r="C159" s="4">
        <f t="shared" ref="C159" si="198">C157+1</f>
        <v>79</v>
      </c>
      <c r="D159" s="8">
        <f t="shared" si="181"/>
        <v>711</v>
      </c>
      <c r="E159" s="4">
        <v>0.6</v>
      </c>
      <c r="F159" s="4">
        <f t="shared" si="179"/>
        <v>0.99999999999999989</v>
      </c>
      <c r="G159" s="9">
        <f t="shared" si="192"/>
        <v>392500</v>
      </c>
      <c r="H159" s="13">
        <f t="shared" si="175"/>
        <v>23</v>
      </c>
      <c r="N159" s="4">
        <f t="shared" si="166"/>
        <v>392500</v>
      </c>
    </row>
    <row r="160" spans="1:14" x14ac:dyDescent="0.3">
      <c r="A160" s="5">
        <f t="shared" si="167"/>
        <v>158</v>
      </c>
      <c r="B160" s="4">
        <f t="shared" si="131"/>
        <v>198</v>
      </c>
      <c r="C160" s="4">
        <f t="shared" ref="C160" si="199">C158+1</f>
        <v>79</v>
      </c>
      <c r="D160" s="8">
        <f t="shared" si="181"/>
        <v>719</v>
      </c>
      <c r="E160" s="4">
        <v>0.6</v>
      </c>
      <c r="F160" s="4">
        <f t="shared" si="179"/>
        <v>0.99999999999999989</v>
      </c>
      <c r="G160" s="9">
        <f t="shared" si="192"/>
        <v>395000</v>
      </c>
      <c r="H160" s="13">
        <f t="shared" si="175"/>
        <v>23</v>
      </c>
      <c r="N160" s="4">
        <f t="shared" si="166"/>
        <v>395000</v>
      </c>
    </row>
    <row r="161" spans="1:14" x14ac:dyDescent="0.3">
      <c r="A161" s="5">
        <f t="shared" si="167"/>
        <v>159</v>
      </c>
      <c r="B161" s="4">
        <f t="shared" si="131"/>
        <v>200</v>
      </c>
      <c r="C161" s="4">
        <f t="shared" ref="C161" si="200">C159+1</f>
        <v>80</v>
      </c>
      <c r="D161" s="8">
        <f t="shared" si="181"/>
        <v>727</v>
      </c>
      <c r="E161" s="4">
        <v>0.6</v>
      </c>
      <c r="F161" s="4">
        <f t="shared" si="179"/>
        <v>0.99999999999999989</v>
      </c>
      <c r="G161" s="9">
        <f t="shared" si="192"/>
        <v>397500</v>
      </c>
      <c r="H161" s="13">
        <f t="shared" si="175"/>
        <v>23</v>
      </c>
      <c r="N161" s="4">
        <f t="shared" si="166"/>
        <v>397500</v>
      </c>
    </row>
    <row r="162" spans="1:14" x14ac:dyDescent="0.3">
      <c r="A162" s="5">
        <f t="shared" si="167"/>
        <v>160</v>
      </c>
      <c r="B162" s="4">
        <f t="shared" si="131"/>
        <v>202</v>
      </c>
      <c r="C162" s="4">
        <f t="shared" ref="C162" si="201">C160+1</f>
        <v>80</v>
      </c>
      <c r="D162" s="8">
        <f>D161+9</f>
        <v>736</v>
      </c>
      <c r="E162" s="4">
        <v>0.6</v>
      </c>
      <c r="F162" s="4">
        <f t="shared" si="179"/>
        <v>1.0999999999999999</v>
      </c>
      <c r="G162" s="9">
        <f t="shared" si="192"/>
        <v>400000</v>
      </c>
      <c r="H162" s="13">
        <f t="shared" si="175"/>
        <v>23</v>
      </c>
      <c r="N162" s="4">
        <f t="shared" si="166"/>
        <v>400000</v>
      </c>
    </row>
    <row r="163" spans="1:14" x14ac:dyDescent="0.3">
      <c r="A163" s="5">
        <f t="shared" si="167"/>
        <v>161</v>
      </c>
      <c r="B163" s="4">
        <f t="shared" si="131"/>
        <v>204</v>
      </c>
      <c r="C163" s="4">
        <f t="shared" ref="C163" si="202">C161+1</f>
        <v>81</v>
      </c>
      <c r="D163" s="8">
        <f t="shared" ref="D163:D181" si="203">D162+9</f>
        <v>745</v>
      </c>
      <c r="E163" s="4">
        <v>0.6</v>
      </c>
      <c r="F163" s="4">
        <f t="shared" si="179"/>
        <v>1.0999999999999999</v>
      </c>
      <c r="G163" s="9">
        <f t="shared" si="192"/>
        <v>402500</v>
      </c>
      <c r="H163" s="13">
        <f t="shared" si="175"/>
        <v>23</v>
      </c>
      <c r="N163" s="4">
        <f t="shared" si="166"/>
        <v>402500</v>
      </c>
    </row>
    <row r="164" spans="1:14" x14ac:dyDescent="0.3">
      <c r="A164" s="5">
        <f t="shared" si="167"/>
        <v>162</v>
      </c>
      <c r="B164" s="4">
        <f t="shared" si="131"/>
        <v>206</v>
      </c>
      <c r="C164" s="4">
        <f t="shared" ref="C164" si="204">C162+1</f>
        <v>81</v>
      </c>
      <c r="D164" s="8">
        <f t="shared" si="203"/>
        <v>754</v>
      </c>
      <c r="E164" s="4">
        <v>0.6</v>
      </c>
      <c r="F164" s="4">
        <f t="shared" si="179"/>
        <v>1.0999999999999999</v>
      </c>
      <c r="G164" s="9">
        <f t="shared" si="192"/>
        <v>405000</v>
      </c>
      <c r="H164" s="13">
        <f t="shared" si="175"/>
        <v>24</v>
      </c>
      <c r="N164" s="4">
        <f t="shared" si="166"/>
        <v>405000</v>
      </c>
    </row>
    <row r="165" spans="1:14" x14ac:dyDescent="0.3">
      <c r="A165" s="5">
        <f t="shared" si="167"/>
        <v>163</v>
      </c>
      <c r="B165" s="4">
        <f t="shared" si="131"/>
        <v>208</v>
      </c>
      <c r="C165" s="4">
        <f t="shared" ref="C165" si="205">C163+1</f>
        <v>82</v>
      </c>
      <c r="D165" s="8">
        <f t="shared" si="203"/>
        <v>763</v>
      </c>
      <c r="E165" s="4">
        <v>0.6</v>
      </c>
      <c r="F165" s="4">
        <f t="shared" si="179"/>
        <v>1.0999999999999999</v>
      </c>
      <c r="G165" s="9">
        <f t="shared" si="192"/>
        <v>407500</v>
      </c>
      <c r="H165" s="13">
        <f t="shared" si="175"/>
        <v>24</v>
      </c>
      <c r="N165" s="4">
        <f t="shared" si="166"/>
        <v>407500</v>
      </c>
    </row>
    <row r="166" spans="1:14" x14ac:dyDescent="0.3">
      <c r="A166" s="5">
        <f t="shared" si="167"/>
        <v>164</v>
      </c>
      <c r="B166" s="4">
        <f t="shared" si="131"/>
        <v>210</v>
      </c>
      <c r="C166" s="4">
        <f t="shared" ref="C166" si="206">C164+1</f>
        <v>82</v>
      </c>
      <c r="D166" s="8">
        <f t="shared" si="203"/>
        <v>772</v>
      </c>
      <c r="E166" s="4">
        <v>0.6</v>
      </c>
      <c r="F166" s="4">
        <f t="shared" si="179"/>
        <v>1.0999999999999999</v>
      </c>
      <c r="G166" s="9">
        <f t="shared" si="192"/>
        <v>410000</v>
      </c>
      <c r="H166" s="13">
        <f t="shared" si="175"/>
        <v>24</v>
      </c>
      <c r="N166" s="4">
        <f t="shared" si="166"/>
        <v>410000</v>
      </c>
    </row>
    <row r="167" spans="1:14" x14ac:dyDescent="0.3">
      <c r="A167" s="5">
        <f t="shared" si="167"/>
        <v>165</v>
      </c>
      <c r="B167" s="4">
        <f t="shared" ref="B167:B201" si="207">B166+2</f>
        <v>212</v>
      </c>
      <c r="C167" s="4">
        <f t="shared" ref="C167" si="208">C165+1</f>
        <v>83</v>
      </c>
      <c r="D167" s="8">
        <f t="shared" si="203"/>
        <v>781</v>
      </c>
      <c r="E167" s="4">
        <v>0.6</v>
      </c>
      <c r="F167" s="4">
        <f t="shared" si="179"/>
        <v>1.0999999999999999</v>
      </c>
      <c r="G167" s="9">
        <f t="shared" si="192"/>
        <v>412500</v>
      </c>
      <c r="H167" s="13">
        <f t="shared" si="175"/>
        <v>24</v>
      </c>
      <c r="N167" s="4">
        <f t="shared" si="166"/>
        <v>412500</v>
      </c>
    </row>
    <row r="168" spans="1:14" x14ac:dyDescent="0.3">
      <c r="A168" s="5">
        <f t="shared" si="167"/>
        <v>166</v>
      </c>
      <c r="B168" s="4">
        <f t="shared" si="207"/>
        <v>214</v>
      </c>
      <c r="C168" s="4">
        <f t="shared" ref="C168" si="209">C166+1</f>
        <v>83</v>
      </c>
      <c r="D168" s="8">
        <f t="shared" si="203"/>
        <v>790</v>
      </c>
      <c r="E168" s="4">
        <v>0.6</v>
      </c>
      <c r="F168" s="4">
        <f t="shared" si="179"/>
        <v>1.0999999999999999</v>
      </c>
      <c r="G168" s="9">
        <f t="shared" si="192"/>
        <v>415000</v>
      </c>
      <c r="H168" s="13">
        <f t="shared" si="175"/>
        <v>24</v>
      </c>
      <c r="N168" s="4">
        <f t="shared" si="166"/>
        <v>415000</v>
      </c>
    </row>
    <row r="169" spans="1:14" x14ac:dyDescent="0.3">
      <c r="A169" s="5">
        <f t="shared" si="167"/>
        <v>167</v>
      </c>
      <c r="B169" s="4">
        <f t="shared" si="207"/>
        <v>216</v>
      </c>
      <c r="C169" s="4">
        <f t="shared" ref="C169" si="210">C167+1</f>
        <v>84</v>
      </c>
      <c r="D169" s="8">
        <f t="shared" si="203"/>
        <v>799</v>
      </c>
      <c r="E169" s="4">
        <v>0.6</v>
      </c>
      <c r="F169" s="4">
        <f t="shared" si="179"/>
        <v>1.0999999999999999</v>
      </c>
      <c r="G169" s="9">
        <f t="shared" si="192"/>
        <v>417500</v>
      </c>
      <c r="H169" s="13">
        <f t="shared" si="175"/>
        <v>24</v>
      </c>
      <c r="N169" s="4">
        <f t="shared" si="166"/>
        <v>417500</v>
      </c>
    </row>
    <row r="170" spans="1:14" x14ac:dyDescent="0.3">
      <c r="A170" s="5">
        <f t="shared" si="167"/>
        <v>168</v>
      </c>
      <c r="B170" s="4">
        <f t="shared" si="207"/>
        <v>218</v>
      </c>
      <c r="C170" s="4">
        <f t="shared" ref="C170" si="211">C168+1</f>
        <v>84</v>
      </c>
      <c r="D170" s="8">
        <f t="shared" si="203"/>
        <v>808</v>
      </c>
      <c r="E170" s="4">
        <v>0.6</v>
      </c>
      <c r="F170" s="4">
        <f t="shared" si="179"/>
        <v>1.0999999999999999</v>
      </c>
      <c r="G170" s="9">
        <f t="shared" si="192"/>
        <v>420000</v>
      </c>
      <c r="H170" s="13">
        <f t="shared" si="175"/>
        <v>24</v>
      </c>
      <c r="N170" s="4">
        <f t="shared" si="166"/>
        <v>420000</v>
      </c>
    </row>
    <row r="171" spans="1:14" x14ac:dyDescent="0.3">
      <c r="A171" s="5">
        <f t="shared" si="167"/>
        <v>169</v>
      </c>
      <c r="B171" s="4">
        <f t="shared" si="207"/>
        <v>220</v>
      </c>
      <c r="C171" s="4">
        <f t="shared" ref="C171" si="212">C169+1</f>
        <v>85</v>
      </c>
      <c r="D171" s="8">
        <f t="shared" si="203"/>
        <v>817</v>
      </c>
      <c r="E171" s="4">
        <v>0.6</v>
      </c>
      <c r="F171" s="4">
        <f t="shared" si="179"/>
        <v>1.0999999999999999</v>
      </c>
      <c r="G171" s="9">
        <f t="shared" si="192"/>
        <v>422500</v>
      </c>
      <c r="H171" s="13">
        <f t="shared" si="175"/>
        <v>25</v>
      </c>
      <c r="N171" s="4">
        <f t="shared" si="166"/>
        <v>422500</v>
      </c>
    </row>
    <row r="172" spans="1:14" x14ac:dyDescent="0.3">
      <c r="A172" s="5">
        <f t="shared" si="167"/>
        <v>170</v>
      </c>
      <c r="B172" s="4">
        <f t="shared" si="207"/>
        <v>222</v>
      </c>
      <c r="C172" s="4">
        <f t="shared" ref="C172" si="213">C170+1</f>
        <v>85</v>
      </c>
      <c r="D172" s="8">
        <f t="shared" si="203"/>
        <v>826</v>
      </c>
      <c r="E172" s="4">
        <v>0.6</v>
      </c>
      <c r="F172" s="4">
        <f t="shared" si="179"/>
        <v>1.0999999999999999</v>
      </c>
      <c r="G172" s="9">
        <f t="shared" si="192"/>
        <v>425000</v>
      </c>
      <c r="H172" s="13">
        <f t="shared" si="175"/>
        <v>25</v>
      </c>
      <c r="N172" s="4">
        <f t="shared" si="166"/>
        <v>425000</v>
      </c>
    </row>
    <row r="173" spans="1:14" x14ac:dyDescent="0.3">
      <c r="A173" s="5">
        <f t="shared" si="167"/>
        <v>171</v>
      </c>
      <c r="B173" s="4">
        <f t="shared" si="207"/>
        <v>224</v>
      </c>
      <c r="C173" s="4">
        <f t="shared" ref="C173" si="214">C171+1</f>
        <v>86</v>
      </c>
      <c r="D173" s="8">
        <f t="shared" si="203"/>
        <v>835</v>
      </c>
      <c r="E173" s="4">
        <v>0.6</v>
      </c>
      <c r="F173" s="4">
        <f t="shared" si="179"/>
        <v>1.0999999999999999</v>
      </c>
      <c r="G173" s="9">
        <f t="shared" si="192"/>
        <v>427500</v>
      </c>
      <c r="H173" s="13">
        <f t="shared" si="175"/>
        <v>25</v>
      </c>
      <c r="N173" s="4">
        <f t="shared" si="166"/>
        <v>427500</v>
      </c>
    </row>
    <row r="174" spans="1:14" x14ac:dyDescent="0.3">
      <c r="A174" s="5">
        <f t="shared" si="167"/>
        <v>172</v>
      </c>
      <c r="B174" s="4">
        <f t="shared" si="207"/>
        <v>226</v>
      </c>
      <c r="C174" s="4">
        <f t="shared" ref="C174" si="215">C172+1</f>
        <v>86</v>
      </c>
      <c r="D174" s="8">
        <f t="shared" si="203"/>
        <v>844</v>
      </c>
      <c r="E174" s="4">
        <v>0.6</v>
      </c>
      <c r="F174" s="4">
        <f t="shared" si="179"/>
        <v>1.0999999999999999</v>
      </c>
      <c r="G174" s="9">
        <f t="shared" si="192"/>
        <v>430000</v>
      </c>
      <c r="H174" s="13">
        <f t="shared" si="175"/>
        <v>25</v>
      </c>
      <c r="N174" s="4">
        <f t="shared" si="166"/>
        <v>430000</v>
      </c>
    </row>
    <row r="175" spans="1:14" x14ac:dyDescent="0.3">
      <c r="A175" s="5">
        <f t="shared" si="167"/>
        <v>173</v>
      </c>
      <c r="B175" s="4">
        <f t="shared" si="207"/>
        <v>228</v>
      </c>
      <c r="C175" s="4">
        <f t="shared" ref="C175" si="216">C173+1</f>
        <v>87</v>
      </c>
      <c r="D175" s="8">
        <f t="shared" si="203"/>
        <v>853</v>
      </c>
      <c r="E175" s="4">
        <v>0.6</v>
      </c>
      <c r="F175" s="4">
        <f t="shared" si="179"/>
        <v>1.0999999999999999</v>
      </c>
      <c r="G175" s="9">
        <f t="shared" si="192"/>
        <v>432500</v>
      </c>
      <c r="H175" s="13">
        <f t="shared" si="175"/>
        <v>25</v>
      </c>
      <c r="N175" s="4">
        <f t="shared" si="166"/>
        <v>432500</v>
      </c>
    </row>
    <row r="176" spans="1:14" x14ac:dyDescent="0.3">
      <c r="A176" s="5">
        <f t="shared" si="167"/>
        <v>174</v>
      </c>
      <c r="B176" s="4">
        <f t="shared" si="207"/>
        <v>230</v>
      </c>
      <c r="C176" s="4">
        <f t="shared" ref="C176" si="217">C174+1</f>
        <v>87</v>
      </c>
      <c r="D176" s="8">
        <f t="shared" si="203"/>
        <v>862</v>
      </c>
      <c r="E176" s="4">
        <v>0.6</v>
      </c>
      <c r="F176" s="4">
        <f t="shared" si="179"/>
        <v>1.0999999999999999</v>
      </c>
      <c r="G176" s="9">
        <f t="shared" si="192"/>
        <v>435000</v>
      </c>
      <c r="H176" s="13">
        <f t="shared" si="175"/>
        <v>25</v>
      </c>
      <c r="N176" s="4">
        <f t="shared" si="166"/>
        <v>435000</v>
      </c>
    </row>
    <row r="177" spans="1:14" x14ac:dyDescent="0.3">
      <c r="A177" s="5">
        <f t="shared" si="167"/>
        <v>175</v>
      </c>
      <c r="B177" s="4">
        <f t="shared" si="207"/>
        <v>232</v>
      </c>
      <c r="C177" s="4">
        <f t="shared" ref="C177" si="218">C175+1</f>
        <v>88</v>
      </c>
      <c r="D177" s="8">
        <f t="shared" si="203"/>
        <v>871</v>
      </c>
      <c r="E177" s="4">
        <v>0.6</v>
      </c>
      <c r="F177" s="4">
        <f t="shared" si="179"/>
        <v>1.0999999999999999</v>
      </c>
      <c r="G177" s="9">
        <f t="shared" si="192"/>
        <v>437500</v>
      </c>
      <c r="H177" s="13">
        <f t="shared" si="175"/>
        <v>25</v>
      </c>
      <c r="N177" s="4">
        <f t="shared" si="166"/>
        <v>437500</v>
      </c>
    </row>
    <row r="178" spans="1:14" x14ac:dyDescent="0.3">
      <c r="A178" s="5">
        <f t="shared" si="167"/>
        <v>176</v>
      </c>
      <c r="B178" s="4">
        <f t="shared" si="207"/>
        <v>234</v>
      </c>
      <c r="C178" s="4">
        <f t="shared" ref="C178" si="219">C176+1</f>
        <v>88</v>
      </c>
      <c r="D178" s="8">
        <f t="shared" si="203"/>
        <v>880</v>
      </c>
      <c r="E178" s="4">
        <v>0.6</v>
      </c>
      <c r="F178" s="4">
        <f t="shared" si="179"/>
        <v>1.0999999999999999</v>
      </c>
      <c r="G178" s="9">
        <f t="shared" si="192"/>
        <v>440000</v>
      </c>
      <c r="H178" s="13">
        <f t="shared" si="175"/>
        <v>26</v>
      </c>
      <c r="N178" s="4">
        <f t="shared" si="166"/>
        <v>440000</v>
      </c>
    </row>
    <row r="179" spans="1:14" x14ac:dyDescent="0.3">
      <c r="A179" s="5">
        <f t="shared" si="167"/>
        <v>177</v>
      </c>
      <c r="B179" s="4">
        <f t="shared" si="207"/>
        <v>236</v>
      </c>
      <c r="C179" s="4">
        <f t="shared" ref="C179" si="220">C177+1</f>
        <v>89</v>
      </c>
      <c r="D179" s="8">
        <f t="shared" si="203"/>
        <v>889</v>
      </c>
      <c r="E179" s="4">
        <v>0.6</v>
      </c>
      <c r="F179" s="4">
        <f t="shared" si="179"/>
        <v>1.0999999999999999</v>
      </c>
      <c r="G179" s="9">
        <f t="shared" si="192"/>
        <v>442500</v>
      </c>
      <c r="H179" s="13">
        <f t="shared" si="175"/>
        <v>26</v>
      </c>
      <c r="N179" s="4">
        <f t="shared" si="166"/>
        <v>442500</v>
      </c>
    </row>
    <row r="180" spans="1:14" x14ac:dyDescent="0.3">
      <c r="A180" s="5">
        <f t="shared" si="167"/>
        <v>178</v>
      </c>
      <c r="B180" s="4">
        <f t="shared" si="207"/>
        <v>238</v>
      </c>
      <c r="C180" s="4">
        <f t="shared" ref="C180" si="221">C178+1</f>
        <v>89</v>
      </c>
      <c r="D180" s="8">
        <f t="shared" si="203"/>
        <v>898</v>
      </c>
      <c r="E180" s="4">
        <v>0.6</v>
      </c>
      <c r="F180" s="4">
        <f t="shared" si="179"/>
        <v>1.0999999999999999</v>
      </c>
      <c r="G180" s="9">
        <f t="shared" si="192"/>
        <v>445000</v>
      </c>
      <c r="H180" s="13">
        <f t="shared" si="175"/>
        <v>26</v>
      </c>
      <c r="N180" s="4">
        <f t="shared" si="166"/>
        <v>445000</v>
      </c>
    </row>
    <row r="181" spans="1:14" x14ac:dyDescent="0.3">
      <c r="A181" s="5">
        <f t="shared" si="167"/>
        <v>179</v>
      </c>
      <c r="B181" s="4">
        <f t="shared" si="207"/>
        <v>240</v>
      </c>
      <c r="C181" s="4">
        <f t="shared" ref="C181" si="222">C179+1</f>
        <v>90</v>
      </c>
      <c r="D181" s="8">
        <f t="shared" si="203"/>
        <v>907</v>
      </c>
      <c r="E181" s="4">
        <v>0.6</v>
      </c>
      <c r="F181" s="4">
        <f t="shared" si="179"/>
        <v>1.0999999999999999</v>
      </c>
      <c r="G181" s="9">
        <f t="shared" si="192"/>
        <v>447500</v>
      </c>
      <c r="H181" s="13">
        <f t="shared" si="175"/>
        <v>26</v>
      </c>
      <c r="N181" s="4">
        <f t="shared" si="166"/>
        <v>447500</v>
      </c>
    </row>
    <row r="182" spans="1:14" x14ac:dyDescent="0.3">
      <c r="A182" s="5">
        <f t="shared" si="167"/>
        <v>180</v>
      </c>
      <c r="B182" s="4">
        <f t="shared" si="207"/>
        <v>242</v>
      </c>
      <c r="C182" s="4">
        <f t="shared" ref="C182" si="223">C180+1</f>
        <v>90</v>
      </c>
      <c r="D182" s="8">
        <f>D181+10</f>
        <v>917</v>
      </c>
      <c r="E182" s="4">
        <v>0.6</v>
      </c>
      <c r="F182" s="4">
        <f t="shared" si="179"/>
        <v>1.2</v>
      </c>
      <c r="G182" s="9">
        <f t="shared" si="192"/>
        <v>450000</v>
      </c>
      <c r="H182" s="13">
        <f t="shared" si="175"/>
        <v>26</v>
      </c>
      <c r="N182" s="4">
        <f t="shared" si="166"/>
        <v>450000</v>
      </c>
    </row>
    <row r="183" spans="1:14" x14ac:dyDescent="0.3">
      <c r="A183" s="5">
        <f t="shared" si="167"/>
        <v>181</v>
      </c>
      <c r="B183" s="4">
        <f t="shared" si="207"/>
        <v>244</v>
      </c>
      <c r="C183" s="4">
        <f t="shared" ref="C183" si="224">C181+1</f>
        <v>91</v>
      </c>
      <c r="D183" s="8">
        <f t="shared" ref="D183:D201" si="225">D182+10</f>
        <v>927</v>
      </c>
      <c r="E183" s="4">
        <v>0.6</v>
      </c>
      <c r="F183" s="4">
        <f t="shared" si="179"/>
        <v>1.2</v>
      </c>
      <c r="G183" s="9">
        <f t="shared" si="192"/>
        <v>452500</v>
      </c>
      <c r="H183" s="13">
        <f t="shared" si="175"/>
        <v>26</v>
      </c>
      <c r="N183" s="4">
        <f t="shared" si="166"/>
        <v>452500</v>
      </c>
    </row>
    <row r="184" spans="1:14" x14ac:dyDescent="0.3">
      <c r="A184" s="5">
        <f t="shared" si="167"/>
        <v>182</v>
      </c>
      <c r="B184" s="4">
        <f t="shared" si="207"/>
        <v>246</v>
      </c>
      <c r="C184" s="4">
        <f t="shared" ref="C184" si="226">C182+1</f>
        <v>91</v>
      </c>
      <c r="D184" s="8">
        <f t="shared" si="225"/>
        <v>937</v>
      </c>
      <c r="E184" s="4">
        <v>0.6</v>
      </c>
      <c r="F184" s="4">
        <f t="shared" si="179"/>
        <v>1.2</v>
      </c>
      <c r="G184" s="9">
        <f t="shared" si="192"/>
        <v>455000</v>
      </c>
      <c r="H184" s="13">
        <f t="shared" si="175"/>
        <v>26</v>
      </c>
      <c r="N184" s="4">
        <f t="shared" si="166"/>
        <v>455000</v>
      </c>
    </row>
    <row r="185" spans="1:14" x14ac:dyDescent="0.3">
      <c r="A185" s="5">
        <f t="shared" si="167"/>
        <v>183</v>
      </c>
      <c r="B185" s="4">
        <f t="shared" si="207"/>
        <v>248</v>
      </c>
      <c r="C185" s="4">
        <f t="shared" ref="C185" si="227">C183+1</f>
        <v>92</v>
      </c>
      <c r="D185" s="8">
        <f t="shared" si="225"/>
        <v>947</v>
      </c>
      <c r="E185" s="4">
        <v>0.6</v>
      </c>
      <c r="F185" s="4">
        <f t="shared" si="179"/>
        <v>1.2</v>
      </c>
      <c r="G185" s="9">
        <f t="shared" si="192"/>
        <v>457500</v>
      </c>
      <c r="H185" s="13">
        <f t="shared" si="175"/>
        <v>27</v>
      </c>
      <c r="N185" s="4">
        <f t="shared" si="166"/>
        <v>457500</v>
      </c>
    </row>
    <row r="186" spans="1:14" x14ac:dyDescent="0.3">
      <c r="A186" s="5">
        <f t="shared" si="167"/>
        <v>184</v>
      </c>
      <c r="B186" s="4">
        <f t="shared" si="207"/>
        <v>250</v>
      </c>
      <c r="C186" s="4">
        <f t="shared" ref="C186" si="228">C184+1</f>
        <v>92</v>
      </c>
      <c r="D186" s="8">
        <f t="shared" si="225"/>
        <v>957</v>
      </c>
      <c r="E186" s="4">
        <v>0.6</v>
      </c>
      <c r="F186" s="4">
        <f t="shared" si="179"/>
        <v>1.2</v>
      </c>
      <c r="G186" s="9">
        <f t="shared" si="192"/>
        <v>460000</v>
      </c>
      <c r="H186" s="13">
        <f t="shared" si="175"/>
        <v>27</v>
      </c>
      <c r="N186" s="4">
        <f t="shared" si="166"/>
        <v>460000</v>
      </c>
    </row>
    <row r="187" spans="1:14" x14ac:dyDescent="0.3">
      <c r="A187" s="5">
        <f t="shared" si="167"/>
        <v>185</v>
      </c>
      <c r="B187" s="4">
        <f t="shared" si="207"/>
        <v>252</v>
      </c>
      <c r="C187" s="4">
        <f t="shared" ref="C187" si="229">C185+1</f>
        <v>93</v>
      </c>
      <c r="D187" s="8">
        <f t="shared" si="225"/>
        <v>967</v>
      </c>
      <c r="E187" s="4">
        <v>0.6</v>
      </c>
      <c r="F187" s="4">
        <f t="shared" si="179"/>
        <v>1.2</v>
      </c>
      <c r="G187" s="9">
        <f t="shared" si="192"/>
        <v>462500</v>
      </c>
      <c r="H187" s="13">
        <f t="shared" si="175"/>
        <v>27</v>
      </c>
      <c r="N187" s="4">
        <f t="shared" si="166"/>
        <v>462500</v>
      </c>
    </row>
    <row r="188" spans="1:14" x14ac:dyDescent="0.3">
      <c r="A188" s="5">
        <f t="shared" si="167"/>
        <v>186</v>
      </c>
      <c r="B188" s="4">
        <f t="shared" si="207"/>
        <v>254</v>
      </c>
      <c r="C188" s="4">
        <f t="shared" ref="C188" si="230">C186+1</f>
        <v>93</v>
      </c>
      <c r="D188" s="8">
        <f t="shared" si="225"/>
        <v>977</v>
      </c>
      <c r="E188" s="4">
        <v>0.6</v>
      </c>
      <c r="F188" s="4">
        <f t="shared" si="179"/>
        <v>1.2</v>
      </c>
      <c r="G188" s="9">
        <f t="shared" si="192"/>
        <v>465000</v>
      </c>
      <c r="H188" s="13">
        <f t="shared" si="175"/>
        <v>27</v>
      </c>
      <c r="N188" s="4">
        <f t="shared" si="166"/>
        <v>465000</v>
      </c>
    </row>
    <row r="189" spans="1:14" x14ac:dyDescent="0.3">
      <c r="A189" s="5">
        <f t="shared" si="167"/>
        <v>187</v>
      </c>
      <c r="B189" s="4">
        <f t="shared" si="207"/>
        <v>256</v>
      </c>
      <c r="C189" s="4">
        <f t="shared" ref="C189" si="231">C187+1</f>
        <v>94</v>
      </c>
      <c r="D189" s="8">
        <f t="shared" si="225"/>
        <v>987</v>
      </c>
      <c r="E189" s="4">
        <v>0.6</v>
      </c>
      <c r="F189" s="4">
        <f t="shared" si="179"/>
        <v>1.2</v>
      </c>
      <c r="G189" s="9">
        <f t="shared" si="192"/>
        <v>467500</v>
      </c>
      <c r="H189" s="13">
        <f t="shared" si="175"/>
        <v>27</v>
      </c>
      <c r="N189" s="4">
        <f t="shared" si="166"/>
        <v>467500</v>
      </c>
    </row>
    <row r="190" spans="1:14" x14ac:dyDescent="0.3">
      <c r="A190" s="5">
        <f t="shared" si="167"/>
        <v>188</v>
      </c>
      <c r="B190" s="4">
        <f t="shared" si="207"/>
        <v>258</v>
      </c>
      <c r="C190" s="4">
        <f t="shared" ref="C190" si="232">C188+1</f>
        <v>94</v>
      </c>
      <c r="D190" s="8">
        <f t="shared" si="225"/>
        <v>997</v>
      </c>
      <c r="E190" s="4">
        <v>0.6</v>
      </c>
      <c r="F190" s="4">
        <f t="shared" si="179"/>
        <v>1.2</v>
      </c>
      <c r="G190" s="9">
        <f t="shared" si="192"/>
        <v>470000</v>
      </c>
      <c r="H190" s="13">
        <f t="shared" si="175"/>
        <v>27</v>
      </c>
      <c r="N190" s="4">
        <f t="shared" si="166"/>
        <v>470000</v>
      </c>
    </row>
    <row r="191" spans="1:14" x14ac:dyDescent="0.3">
      <c r="A191" s="5">
        <f t="shared" si="167"/>
        <v>189</v>
      </c>
      <c r="B191" s="4">
        <f t="shared" si="207"/>
        <v>260</v>
      </c>
      <c r="C191" s="4">
        <f t="shared" ref="C191" si="233">C189+1</f>
        <v>95</v>
      </c>
      <c r="D191" s="8">
        <f t="shared" si="225"/>
        <v>1007</v>
      </c>
      <c r="E191" s="4">
        <v>0.6</v>
      </c>
      <c r="F191" s="4">
        <f t="shared" si="179"/>
        <v>1.2</v>
      </c>
      <c r="G191" s="9">
        <f t="shared" si="192"/>
        <v>472500</v>
      </c>
      <c r="H191" s="13">
        <f t="shared" si="175"/>
        <v>27</v>
      </c>
      <c r="N191" s="4">
        <f t="shared" si="166"/>
        <v>472500</v>
      </c>
    </row>
    <row r="192" spans="1:14" x14ac:dyDescent="0.3">
      <c r="A192" s="5">
        <f t="shared" si="167"/>
        <v>190</v>
      </c>
      <c r="B192" s="4">
        <f t="shared" si="207"/>
        <v>262</v>
      </c>
      <c r="C192" s="4">
        <f t="shared" ref="C192" si="234">C190+1</f>
        <v>95</v>
      </c>
      <c r="D192" s="8">
        <f t="shared" si="225"/>
        <v>1017</v>
      </c>
      <c r="E192" s="4">
        <v>0.6</v>
      </c>
      <c r="F192" s="4">
        <f t="shared" si="179"/>
        <v>1.2</v>
      </c>
      <c r="G192" s="9">
        <f t="shared" si="192"/>
        <v>475000</v>
      </c>
      <c r="H192" s="13">
        <f t="shared" si="175"/>
        <v>28</v>
      </c>
      <c r="N192" s="4">
        <f t="shared" si="166"/>
        <v>475000</v>
      </c>
    </row>
    <row r="193" spans="1:14" x14ac:dyDescent="0.3">
      <c r="A193" s="5">
        <f t="shared" si="167"/>
        <v>191</v>
      </c>
      <c r="B193" s="4">
        <f t="shared" si="207"/>
        <v>264</v>
      </c>
      <c r="C193" s="4">
        <f t="shared" ref="C193" si="235">C191+1</f>
        <v>96</v>
      </c>
      <c r="D193" s="8">
        <f t="shared" si="225"/>
        <v>1027</v>
      </c>
      <c r="E193" s="4">
        <v>0.6</v>
      </c>
      <c r="F193" s="4">
        <f t="shared" si="179"/>
        <v>1.2</v>
      </c>
      <c r="G193" s="9">
        <f t="shared" si="192"/>
        <v>477500</v>
      </c>
      <c r="H193" s="13">
        <f t="shared" si="175"/>
        <v>28</v>
      </c>
      <c r="N193" s="4">
        <f t="shared" si="166"/>
        <v>477500</v>
      </c>
    </row>
    <row r="194" spans="1:14" x14ac:dyDescent="0.3">
      <c r="A194" s="5">
        <f t="shared" si="167"/>
        <v>192</v>
      </c>
      <c r="B194" s="4">
        <f t="shared" si="207"/>
        <v>266</v>
      </c>
      <c r="C194" s="4">
        <f t="shared" ref="C194" si="236">C192+1</f>
        <v>96</v>
      </c>
      <c r="D194" s="8">
        <f t="shared" si="225"/>
        <v>1037</v>
      </c>
      <c r="E194" s="4">
        <v>0.6</v>
      </c>
      <c r="F194" s="4">
        <f t="shared" si="179"/>
        <v>1.2</v>
      </c>
      <c r="G194" s="9">
        <f t="shared" si="192"/>
        <v>480000</v>
      </c>
      <c r="H194" s="13">
        <f t="shared" si="175"/>
        <v>28</v>
      </c>
      <c r="N194" s="4">
        <f t="shared" si="166"/>
        <v>480000</v>
      </c>
    </row>
    <row r="195" spans="1:14" x14ac:dyDescent="0.3">
      <c r="A195" s="5">
        <f t="shared" si="167"/>
        <v>193</v>
      </c>
      <c r="B195" s="4">
        <f t="shared" si="207"/>
        <v>268</v>
      </c>
      <c r="C195" s="4">
        <f t="shared" ref="C195" si="237">C193+1</f>
        <v>97</v>
      </c>
      <c r="D195" s="8">
        <f t="shared" si="225"/>
        <v>1047</v>
      </c>
      <c r="E195" s="4">
        <v>0.6</v>
      </c>
      <c r="F195" s="4">
        <f t="shared" si="179"/>
        <v>1.2</v>
      </c>
      <c r="G195" s="9">
        <f t="shared" si="192"/>
        <v>482500</v>
      </c>
      <c r="H195" s="13">
        <f t="shared" si="175"/>
        <v>28</v>
      </c>
      <c r="N195" s="4">
        <f t="shared" si="166"/>
        <v>482500</v>
      </c>
    </row>
    <row r="196" spans="1:14" x14ac:dyDescent="0.3">
      <c r="A196" s="5">
        <f t="shared" si="167"/>
        <v>194</v>
      </c>
      <c r="B196" s="4">
        <f t="shared" si="207"/>
        <v>270</v>
      </c>
      <c r="C196" s="4">
        <f t="shared" ref="C196" si="238">C194+1</f>
        <v>97</v>
      </c>
      <c r="D196" s="8">
        <f t="shared" si="225"/>
        <v>1057</v>
      </c>
      <c r="E196" s="4">
        <v>0.6</v>
      </c>
      <c r="F196" s="4">
        <f t="shared" si="179"/>
        <v>1.2</v>
      </c>
      <c r="G196" s="9">
        <f t="shared" si="192"/>
        <v>485000</v>
      </c>
      <c r="H196" s="13">
        <f t="shared" si="175"/>
        <v>28</v>
      </c>
      <c r="N196" s="4">
        <f t="shared" ref="N196:N259" si="239">G196</f>
        <v>485000</v>
      </c>
    </row>
    <row r="197" spans="1:14" x14ac:dyDescent="0.3">
      <c r="A197" s="5">
        <f t="shared" ref="A197:A260" si="240">A196+1</f>
        <v>195</v>
      </c>
      <c r="B197" s="4">
        <f t="shared" si="207"/>
        <v>272</v>
      </c>
      <c r="C197" s="4">
        <f t="shared" ref="C197" si="241">C195+1</f>
        <v>98</v>
      </c>
      <c r="D197" s="8">
        <f t="shared" si="225"/>
        <v>1067</v>
      </c>
      <c r="E197" s="4">
        <v>0.6</v>
      </c>
      <c r="F197" s="4">
        <f t="shared" si="179"/>
        <v>1.2</v>
      </c>
      <c r="G197" s="9">
        <f t="shared" si="192"/>
        <v>487500</v>
      </c>
      <c r="H197" s="13">
        <f t="shared" si="175"/>
        <v>28</v>
      </c>
      <c r="N197" s="4">
        <f t="shared" si="239"/>
        <v>487500</v>
      </c>
    </row>
    <row r="198" spans="1:14" x14ac:dyDescent="0.3">
      <c r="A198" s="5">
        <f t="shared" si="240"/>
        <v>196</v>
      </c>
      <c r="B198" s="4">
        <f t="shared" si="207"/>
        <v>274</v>
      </c>
      <c r="C198" s="4">
        <f t="shared" ref="C198" si="242">C196+1</f>
        <v>98</v>
      </c>
      <c r="D198" s="8">
        <f t="shared" si="225"/>
        <v>1077</v>
      </c>
      <c r="E198" s="4">
        <v>0.6</v>
      </c>
      <c r="F198" s="4">
        <f t="shared" si="179"/>
        <v>1.2</v>
      </c>
      <c r="G198" s="9">
        <f t="shared" si="192"/>
        <v>490000</v>
      </c>
      <c r="H198" s="13">
        <f t="shared" si="175"/>
        <v>28</v>
      </c>
      <c r="N198" s="4">
        <f t="shared" si="239"/>
        <v>490000</v>
      </c>
    </row>
    <row r="199" spans="1:14" x14ac:dyDescent="0.3">
      <c r="A199" s="5">
        <f t="shared" si="240"/>
        <v>197</v>
      </c>
      <c r="B199" s="4">
        <f t="shared" si="207"/>
        <v>276</v>
      </c>
      <c r="C199" s="4">
        <f t="shared" ref="C199" si="243">C197+1</f>
        <v>99</v>
      </c>
      <c r="D199" s="8">
        <f t="shared" si="225"/>
        <v>1087</v>
      </c>
      <c r="E199" s="4">
        <v>0.6</v>
      </c>
      <c r="F199" s="4">
        <f t="shared" si="179"/>
        <v>1.2</v>
      </c>
      <c r="G199" s="9">
        <f t="shared" si="192"/>
        <v>492500</v>
      </c>
      <c r="H199" s="13">
        <f t="shared" si="175"/>
        <v>29</v>
      </c>
      <c r="N199" s="4">
        <f t="shared" si="239"/>
        <v>492500</v>
      </c>
    </row>
    <row r="200" spans="1:14" x14ac:dyDescent="0.3">
      <c r="A200" s="5">
        <f t="shared" si="240"/>
        <v>198</v>
      </c>
      <c r="B200" s="4">
        <f t="shared" si="207"/>
        <v>278</v>
      </c>
      <c r="C200" s="4">
        <f t="shared" ref="C200" si="244">C198+1</f>
        <v>99</v>
      </c>
      <c r="D200" s="8">
        <f t="shared" si="225"/>
        <v>1097</v>
      </c>
      <c r="E200" s="4">
        <v>0.6</v>
      </c>
      <c r="F200" s="4">
        <f t="shared" si="179"/>
        <v>1.2</v>
      </c>
      <c r="G200" s="9">
        <f t="shared" si="192"/>
        <v>495000</v>
      </c>
      <c r="H200" s="13">
        <f t="shared" si="175"/>
        <v>29</v>
      </c>
      <c r="N200" s="4">
        <f t="shared" si="239"/>
        <v>495000</v>
      </c>
    </row>
    <row r="201" spans="1:14" x14ac:dyDescent="0.3">
      <c r="A201" s="5">
        <f t="shared" si="240"/>
        <v>199</v>
      </c>
      <c r="B201" s="4">
        <f t="shared" si="207"/>
        <v>280</v>
      </c>
      <c r="C201" s="4">
        <f t="shared" ref="C201" si="245">C199+1</f>
        <v>100</v>
      </c>
      <c r="D201" s="8">
        <f t="shared" si="225"/>
        <v>1107</v>
      </c>
      <c r="E201" s="4">
        <v>0.6</v>
      </c>
      <c r="F201" s="4">
        <f t="shared" si="179"/>
        <v>1.2</v>
      </c>
      <c r="G201" s="9">
        <f t="shared" si="192"/>
        <v>497500</v>
      </c>
      <c r="H201" s="13">
        <f t="shared" si="175"/>
        <v>29</v>
      </c>
      <c r="N201" s="4">
        <f t="shared" si="239"/>
        <v>497500</v>
      </c>
    </row>
    <row r="202" spans="1:14" x14ac:dyDescent="0.3">
      <c r="A202" s="5">
        <f t="shared" si="240"/>
        <v>200</v>
      </c>
      <c r="B202" s="8">
        <f>B201+3</f>
        <v>283</v>
      </c>
      <c r="C202" s="8">
        <f>C201+1</f>
        <v>101</v>
      </c>
      <c r="D202" s="8">
        <v>1120</v>
      </c>
      <c r="E202" s="4">
        <v>0.8</v>
      </c>
      <c r="F202" s="4">
        <f>F182+0.2</f>
        <v>1.4</v>
      </c>
      <c r="G202" s="9">
        <f>A202*3000</f>
        <v>600000</v>
      </c>
      <c r="H202" s="13">
        <f t="shared" si="175"/>
        <v>29</v>
      </c>
      <c r="N202" s="4">
        <f t="shared" si="239"/>
        <v>600000</v>
      </c>
    </row>
    <row r="203" spans="1:14" x14ac:dyDescent="0.3">
      <c r="A203" s="5">
        <f t="shared" si="240"/>
        <v>201</v>
      </c>
      <c r="B203" s="8">
        <f t="shared" ref="B203:B251" si="246">B202+3</f>
        <v>286</v>
      </c>
      <c r="C203" s="8">
        <f t="shared" ref="C203:C251" si="247">C202+1</f>
        <v>102</v>
      </c>
      <c r="D203" s="8">
        <f>D202+15</f>
        <v>1135</v>
      </c>
      <c r="E203" s="4">
        <v>0.8</v>
      </c>
      <c r="F203" s="4">
        <f t="shared" ref="F203:F266" si="248">F183+0.2</f>
        <v>1.4</v>
      </c>
      <c r="G203" s="9">
        <f t="shared" ref="G203:G251" si="249">A203*3000</f>
        <v>603000</v>
      </c>
      <c r="H203" s="13">
        <f t="shared" ref="H203:H266" si="250">H196+1</f>
        <v>29</v>
      </c>
      <c r="N203" s="4">
        <f t="shared" si="239"/>
        <v>603000</v>
      </c>
    </row>
    <row r="204" spans="1:14" x14ac:dyDescent="0.3">
      <c r="A204" s="5">
        <f t="shared" si="240"/>
        <v>202</v>
      </c>
      <c r="B204" s="8">
        <f t="shared" si="246"/>
        <v>289</v>
      </c>
      <c r="C204" s="8">
        <f t="shared" si="247"/>
        <v>103</v>
      </c>
      <c r="D204" s="8">
        <f t="shared" ref="D204:D267" si="251">D203+15</f>
        <v>1150</v>
      </c>
      <c r="E204" s="4">
        <v>0.8</v>
      </c>
      <c r="F204" s="4">
        <f t="shared" si="248"/>
        <v>1.4</v>
      </c>
      <c r="G204" s="9">
        <f t="shared" si="249"/>
        <v>606000</v>
      </c>
      <c r="H204" s="13">
        <f t="shared" si="250"/>
        <v>29</v>
      </c>
      <c r="N204" s="4">
        <f t="shared" si="239"/>
        <v>606000</v>
      </c>
    </row>
    <row r="205" spans="1:14" x14ac:dyDescent="0.3">
      <c r="A205" s="5">
        <f t="shared" si="240"/>
        <v>203</v>
      </c>
      <c r="B205" s="8">
        <f t="shared" si="246"/>
        <v>292</v>
      </c>
      <c r="C205" s="8">
        <f t="shared" si="247"/>
        <v>104</v>
      </c>
      <c r="D205" s="8">
        <f t="shared" si="251"/>
        <v>1165</v>
      </c>
      <c r="E205" s="4">
        <v>0.8</v>
      </c>
      <c r="F205" s="4">
        <f t="shared" si="248"/>
        <v>1.4</v>
      </c>
      <c r="G205" s="9">
        <f t="shared" si="249"/>
        <v>609000</v>
      </c>
      <c r="H205" s="13">
        <f t="shared" si="250"/>
        <v>29</v>
      </c>
      <c r="N205" s="4">
        <f t="shared" si="239"/>
        <v>609000</v>
      </c>
    </row>
    <row r="206" spans="1:14" x14ac:dyDescent="0.3">
      <c r="A206" s="5">
        <f t="shared" si="240"/>
        <v>204</v>
      </c>
      <c r="B206" s="8">
        <f t="shared" si="246"/>
        <v>295</v>
      </c>
      <c r="C206" s="8">
        <f t="shared" si="247"/>
        <v>105</v>
      </c>
      <c r="D206" s="8">
        <f t="shared" si="251"/>
        <v>1180</v>
      </c>
      <c r="E206" s="4">
        <v>0.8</v>
      </c>
      <c r="F206" s="4">
        <f t="shared" si="248"/>
        <v>1.4</v>
      </c>
      <c r="G206" s="9">
        <f t="shared" si="249"/>
        <v>612000</v>
      </c>
      <c r="H206" s="13">
        <f t="shared" si="250"/>
        <v>30</v>
      </c>
      <c r="N206" s="4">
        <f t="shared" si="239"/>
        <v>612000</v>
      </c>
    </row>
    <row r="207" spans="1:14" x14ac:dyDescent="0.3">
      <c r="A207" s="5">
        <f t="shared" si="240"/>
        <v>205</v>
      </c>
      <c r="B207" s="8">
        <f t="shared" si="246"/>
        <v>298</v>
      </c>
      <c r="C207" s="8">
        <f t="shared" si="247"/>
        <v>106</v>
      </c>
      <c r="D207" s="8">
        <f t="shared" si="251"/>
        <v>1195</v>
      </c>
      <c r="E207" s="4">
        <v>0.8</v>
      </c>
      <c r="F207" s="4">
        <f t="shared" si="248"/>
        <v>1.4</v>
      </c>
      <c r="G207" s="9">
        <f t="shared" si="249"/>
        <v>615000</v>
      </c>
      <c r="H207" s="13">
        <f t="shared" si="250"/>
        <v>30</v>
      </c>
      <c r="N207" s="4">
        <f t="shared" si="239"/>
        <v>615000</v>
      </c>
    </row>
    <row r="208" spans="1:14" x14ac:dyDescent="0.3">
      <c r="A208" s="5">
        <f t="shared" si="240"/>
        <v>206</v>
      </c>
      <c r="B208" s="8">
        <f t="shared" si="246"/>
        <v>301</v>
      </c>
      <c r="C208" s="8">
        <f t="shared" si="247"/>
        <v>107</v>
      </c>
      <c r="D208" s="8">
        <f t="shared" si="251"/>
        <v>1210</v>
      </c>
      <c r="E208" s="4">
        <v>0.8</v>
      </c>
      <c r="F208" s="4">
        <f t="shared" si="248"/>
        <v>1.4</v>
      </c>
      <c r="G208" s="9">
        <f t="shared" si="249"/>
        <v>618000</v>
      </c>
      <c r="H208" s="13">
        <f t="shared" si="250"/>
        <v>30</v>
      </c>
      <c r="N208" s="4">
        <f t="shared" si="239"/>
        <v>618000</v>
      </c>
    </row>
    <row r="209" spans="1:14" x14ac:dyDescent="0.3">
      <c r="A209" s="5">
        <f t="shared" si="240"/>
        <v>207</v>
      </c>
      <c r="B209" s="8">
        <f t="shared" si="246"/>
        <v>304</v>
      </c>
      <c r="C209" s="8">
        <f t="shared" si="247"/>
        <v>108</v>
      </c>
      <c r="D209" s="8">
        <f t="shared" si="251"/>
        <v>1225</v>
      </c>
      <c r="E209" s="4">
        <v>0.8</v>
      </c>
      <c r="F209" s="4">
        <f t="shared" si="248"/>
        <v>1.4</v>
      </c>
      <c r="G209" s="9">
        <f t="shared" si="249"/>
        <v>621000</v>
      </c>
      <c r="H209" s="13">
        <f t="shared" si="250"/>
        <v>30</v>
      </c>
      <c r="N209" s="4">
        <f t="shared" si="239"/>
        <v>621000</v>
      </c>
    </row>
    <row r="210" spans="1:14" x14ac:dyDescent="0.3">
      <c r="A210" s="5">
        <f t="shared" si="240"/>
        <v>208</v>
      </c>
      <c r="B210" s="8">
        <f t="shared" si="246"/>
        <v>307</v>
      </c>
      <c r="C210" s="8">
        <f t="shared" si="247"/>
        <v>109</v>
      </c>
      <c r="D210" s="8">
        <f t="shared" si="251"/>
        <v>1240</v>
      </c>
      <c r="E210" s="4">
        <v>0.8</v>
      </c>
      <c r="F210" s="4">
        <f t="shared" si="248"/>
        <v>1.4</v>
      </c>
      <c r="G210" s="9">
        <f t="shared" si="249"/>
        <v>624000</v>
      </c>
      <c r="H210" s="13">
        <f t="shared" si="250"/>
        <v>30</v>
      </c>
      <c r="N210" s="4">
        <f t="shared" si="239"/>
        <v>624000</v>
      </c>
    </row>
    <row r="211" spans="1:14" x14ac:dyDescent="0.3">
      <c r="A211" s="5">
        <f t="shared" si="240"/>
        <v>209</v>
      </c>
      <c r="B211" s="8">
        <f t="shared" si="246"/>
        <v>310</v>
      </c>
      <c r="C211" s="8">
        <f t="shared" si="247"/>
        <v>110</v>
      </c>
      <c r="D211" s="8">
        <f t="shared" si="251"/>
        <v>1255</v>
      </c>
      <c r="E211" s="4">
        <v>0.8</v>
      </c>
      <c r="F211" s="4">
        <f t="shared" si="248"/>
        <v>1.4</v>
      </c>
      <c r="G211" s="9">
        <f t="shared" si="249"/>
        <v>627000</v>
      </c>
      <c r="H211" s="13">
        <f t="shared" si="250"/>
        <v>30</v>
      </c>
      <c r="N211" s="4">
        <f t="shared" si="239"/>
        <v>627000</v>
      </c>
    </row>
    <row r="212" spans="1:14" x14ac:dyDescent="0.3">
      <c r="A212" s="5">
        <f t="shared" si="240"/>
        <v>210</v>
      </c>
      <c r="B212" s="8">
        <f t="shared" si="246"/>
        <v>313</v>
      </c>
      <c r="C212" s="8">
        <f t="shared" si="247"/>
        <v>111</v>
      </c>
      <c r="D212" s="8">
        <f t="shared" si="251"/>
        <v>1270</v>
      </c>
      <c r="E212" s="4">
        <v>0.8</v>
      </c>
      <c r="F212" s="4">
        <f t="shared" si="248"/>
        <v>1.4</v>
      </c>
      <c r="G212" s="9">
        <f t="shared" si="249"/>
        <v>630000</v>
      </c>
      <c r="H212" s="13">
        <f t="shared" si="250"/>
        <v>30</v>
      </c>
      <c r="N212" s="4">
        <f t="shared" si="239"/>
        <v>630000</v>
      </c>
    </row>
    <row r="213" spans="1:14" x14ac:dyDescent="0.3">
      <c r="A213" s="5">
        <f t="shared" si="240"/>
        <v>211</v>
      </c>
      <c r="B213" s="8">
        <f t="shared" si="246"/>
        <v>316</v>
      </c>
      <c r="C213" s="8">
        <f t="shared" si="247"/>
        <v>112</v>
      </c>
      <c r="D213" s="8">
        <f t="shared" si="251"/>
        <v>1285</v>
      </c>
      <c r="E213" s="4">
        <v>0.8</v>
      </c>
      <c r="F213" s="4">
        <f t="shared" si="248"/>
        <v>1.4</v>
      </c>
      <c r="G213" s="9">
        <f t="shared" si="249"/>
        <v>633000</v>
      </c>
      <c r="H213" s="13">
        <f t="shared" si="250"/>
        <v>31</v>
      </c>
      <c r="N213" s="4">
        <f t="shared" si="239"/>
        <v>633000</v>
      </c>
    </row>
    <row r="214" spans="1:14" x14ac:dyDescent="0.3">
      <c r="A214" s="5">
        <f t="shared" si="240"/>
        <v>212</v>
      </c>
      <c r="B214" s="8">
        <f t="shared" si="246"/>
        <v>319</v>
      </c>
      <c r="C214" s="8">
        <f t="shared" si="247"/>
        <v>113</v>
      </c>
      <c r="D214" s="8">
        <f t="shared" si="251"/>
        <v>1300</v>
      </c>
      <c r="E214" s="4">
        <v>0.8</v>
      </c>
      <c r="F214" s="4">
        <f t="shared" si="248"/>
        <v>1.4</v>
      </c>
      <c r="G214" s="9">
        <f t="shared" si="249"/>
        <v>636000</v>
      </c>
      <c r="H214" s="13">
        <f t="shared" si="250"/>
        <v>31</v>
      </c>
      <c r="N214" s="4">
        <f t="shared" si="239"/>
        <v>636000</v>
      </c>
    </row>
    <row r="215" spans="1:14" x14ac:dyDescent="0.3">
      <c r="A215" s="5">
        <f t="shared" si="240"/>
        <v>213</v>
      </c>
      <c r="B215" s="8">
        <f t="shared" si="246"/>
        <v>322</v>
      </c>
      <c r="C215" s="8">
        <f t="shared" si="247"/>
        <v>114</v>
      </c>
      <c r="D215" s="8">
        <f t="shared" si="251"/>
        <v>1315</v>
      </c>
      <c r="E215" s="4">
        <v>0.8</v>
      </c>
      <c r="F215" s="4">
        <f t="shared" si="248"/>
        <v>1.4</v>
      </c>
      <c r="G215" s="9">
        <f t="shared" si="249"/>
        <v>639000</v>
      </c>
      <c r="H215" s="13">
        <f t="shared" si="250"/>
        <v>31</v>
      </c>
      <c r="N215" s="4">
        <f t="shared" si="239"/>
        <v>639000</v>
      </c>
    </row>
    <row r="216" spans="1:14" x14ac:dyDescent="0.3">
      <c r="A216" s="5">
        <f t="shared" si="240"/>
        <v>214</v>
      </c>
      <c r="B216" s="8">
        <f t="shared" si="246"/>
        <v>325</v>
      </c>
      <c r="C216" s="8">
        <f t="shared" si="247"/>
        <v>115</v>
      </c>
      <c r="D216" s="8">
        <f t="shared" si="251"/>
        <v>1330</v>
      </c>
      <c r="E216" s="4">
        <v>0.8</v>
      </c>
      <c r="F216" s="4">
        <f t="shared" si="248"/>
        <v>1.4</v>
      </c>
      <c r="G216" s="9">
        <f t="shared" si="249"/>
        <v>642000</v>
      </c>
      <c r="H216" s="13">
        <f t="shared" si="250"/>
        <v>31</v>
      </c>
      <c r="N216" s="4">
        <f t="shared" si="239"/>
        <v>642000</v>
      </c>
    </row>
    <row r="217" spans="1:14" x14ac:dyDescent="0.3">
      <c r="A217" s="5">
        <f t="shared" si="240"/>
        <v>215</v>
      </c>
      <c r="B217" s="8">
        <f t="shared" si="246"/>
        <v>328</v>
      </c>
      <c r="C217" s="8">
        <f t="shared" si="247"/>
        <v>116</v>
      </c>
      <c r="D217" s="8">
        <f t="shared" si="251"/>
        <v>1345</v>
      </c>
      <c r="E217" s="4">
        <v>0.8</v>
      </c>
      <c r="F217" s="4">
        <f t="shared" si="248"/>
        <v>1.4</v>
      </c>
      <c r="G217" s="9">
        <f t="shared" si="249"/>
        <v>645000</v>
      </c>
      <c r="H217" s="13">
        <f t="shared" si="250"/>
        <v>31</v>
      </c>
      <c r="N217" s="4">
        <f t="shared" si="239"/>
        <v>645000</v>
      </c>
    </row>
    <row r="218" spans="1:14" x14ac:dyDescent="0.3">
      <c r="A218" s="5">
        <f t="shared" si="240"/>
        <v>216</v>
      </c>
      <c r="B218" s="8">
        <f t="shared" si="246"/>
        <v>331</v>
      </c>
      <c r="C218" s="8">
        <f t="shared" si="247"/>
        <v>117</v>
      </c>
      <c r="D218" s="8">
        <f t="shared" si="251"/>
        <v>1360</v>
      </c>
      <c r="E218" s="4">
        <v>0.8</v>
      </c>
      <c r="F218" s="4">
        <f t="shared" si="248"/>
        <v>1.4</v>
      </c>
      <c r="G218" s="9">
        <f t="shared" si="249"/>
        <v>648000</v>
      </c>
      <c r="H218" s="13">
        <f t="shared" si="250"/>
        <v>31</v>
      </c>
      <c r="N218" s="4">
        <f t="shared" si="239"/>
        <v>648000</v>
      </c>
    </row>
    <row r="219" spans="1:14" x14ac:dyDescent="0.3">
      <c r="A219" s="5">
        <f t="shared" si="240"/>
        <v>217</v>
      </c>
      <c r="B219" s="8">
        <f t="shared" si="246"/>
        <v>334</v>
      </c>
      <c r="C219" s="8">
        <f t="shared" si="247"/>
        <v>118</v>
      </c>
      <c r="D219" s="8">
        <f t="shared" si="251"/>
        <v>1375</v>
      </c>
      <c r="E219" s="4">
        <v>0.8</v>
      </c>
      <c r="F219" s="4">
        <f t="shared" si="248"/>
        <v>1.4</v>
      </c>
      <c r="G219" s="9">
        <f t="shared" si="249"/>
        <v>651000</v>
      </c>
      <c r="H219" s="13">
        <f t="shared" si="250"/>
        <v>31</v>
      </c>
      <c r="N219" s="4">
        <f t="shared" si="239"/>
        <v>651000</v>
      </c>
    </row>
    <row r="220" spans="1:14" x14ac:dyDescent="0.3">
      <c r="A220" s="5">
        <f t="shared" si="240"/>
        <v>218</v>
      </c>
      <c r="B220" s="8">
        <f t="shared" si="246"/>
        <v>337</v>
      </c>
      <c r="C220" s="8">
        <f t="shared" si="247"/>
        <v>119</v>
      </c>
      <c r="D220" s="8">
        <f t="shared" si="251"/>
        <v>1390</v>
      </c>
      <c r="E220" s="4">
        <v>0.8</v>
      </c>
      <c r="F220" s="4">
        <f t="shared" si="248"/>
        <v>1.4</v>
      </c>
      <c r="G220" s="9">
        <f t="shared" si="249"/>
        <v>654000</v>
      </c>
      <c r="H220" s="13">
        <f t="shared" si="250"/>
        <v>32</v>
      </c>
      <c r="N220" s="4">
        <f t="shared" si="239"/>
        <v>654000</v>
      </c>
    </row>
    <row r="221" spans="1:14" x14ac:dyDescent="0.3">
      <c r="A221" s="5">
        <f t="shared" si="240"/>
        <v>219</v>
      </c>
      <c r="B221" s="8">
        <f t="shared" si="246"/>
        <v>340</v>
      </c>
      <c r="C221" s="8">
        <f t="shared" si="247"/>
        <v>120</v>
      </c>
      <c r="D221" s="8">
        <f t="shared" si="251"/>
        <v>1405</v>
      </c>
      <c r="E221" s="4">
        <v>0.8</v>
      </c>
      <c r="F221" s="4">
        <f t="shared" si="248"/>
        <v>1.4</v>
      </c>
      <c r="G221" s="9">
        <f t="shared" si="249"/>
        <v>657000</v>
      </c>
      <c r="H221" s="13">
        <f t="shared" si="250"/>
        <v>32</v>
      </c>
      <c r="N221" s="4">
        <f t="shared" si="239"/>
        <v>657000</v>
      </c>
    </row>
    <row r="222" spans="1:14" x14ac:dyDescent="0.3">
      <c r="A222" s="5">
        <f t="shared" si="240"/>
        <v>220</v>
      </c>
      <c r="B222" s="8">
        <f t="shared" si="246"/>
        <v>343</v>
      </c>
      <c r="C222" s="8">
        <f t="shared" si="247"/>
        <v>121</v>
      </c>
      <c r="D222" s="8">
        <f t="shared" si="251"/>
        <v>1420</v>
      </c>
      <c r="E222" s="4">
        <v>0.8</v>
      </c>
      <c r="F222" s="4">
        <f t="shared" si="248"/>
        <v>1.5999999999999999</v>
      </c>
      <c r="G222" s="9">
        <f t="shared" si="249"/>
        <v>660000</v>
      </c>
      <c r="H222" s="13">
        <f t="shared" si="250"/>
        <v>32</v>
      </c>
      <c r="N222" s="4">
        <f t="shared" si="239"/>
        <v>660000</v>
      </c>
    </row>
    <row r="223" spans="1:14" x14ac:dyDescent="0.3">
      <c r="A223" s="5">
        <f t="shared" si="240"/>
        <v>221</v>
      </c>
      <c r="B223" s="8">
        <f t="shared" si="246"/>
        <v>346</v>
      </c>
      <c r="C223" s="8">
        <f t="shared" si="247"/>
        <v>122</v>
      </c>
      <c r="D223" s="8">
        <f t="shared" si="251"/>
        <v>1435</v>
      </c>
      <c r="E223" s="4">
        <v>0.8</v>
      </c>
      <c r="F223" s="4">
        <f t="shared" si="248"/>
        <v>1.5999999999999999</v>
      </c>
      <c r="G223" s="9">
        <f t="shared" si="249"/>
        <v>663000</v>
      </c>
      <c r="H223" s="13">
        <f t="shared" si="250"/>
        <v>32</v>
      </c>
      <c r="N223" s="4">
        <f t="shared" si="239"/>
        <v>663000</v>
      </c>
    </row>
    <row r="224" spans="1:14" x14ac:dyDescent="0.3">
      <c r="A224" s="5">
        <f t="shared" si="240"/>
        <v>222</v>
      </c>
      <c r="B224" s="8">
        <f t="shared" si="246"/>
        <v>349</v>
      </c>
      <c r="C224" s="8">
        <f t="shared" si="247"/>
        <v>123</v>
      </c>
      <c r="D224" s="8">
        <f t="shared" si="251"/>
        <v>1450</v>
      </c>
      <c r="E224" s="4">
        <v>0.8</v>
      </c>
      <c r="F224" s="4">
        <f t="shared" si="248"/>
        <v>1.5999999999999999</v>
      </c>
      <c r="G224" s="9">
        <f t="shared" si="249"/>
        <v>666000</v>
      </c>
      <c r="H224" s="13">
        <f t="shared" si="250"/>
        <v>32</v>
      </c>
      <c r="N224" s="4">
        <f t="shared" si="239"/>
        <v>666000</v>
      </c>
    </row>
    <row r="225" spans="1:14" x14ac:dyDescent="0.3">
      <c r="A225" s="5">
        <f t="shared" si="240"/>
        <v>223</v>
      </c>
      <c r="B225" s="8">
        <f t="shared" si="246"/>
        <v>352</v>
      </c>
      <c r="C225" s="8">
        <f t="shared" si="247"/>
        <v>124</v>
      </c>
      <c r="D225" s="8">
        <f t="shared" si="251"/>
        <v>1465</v>
      </c>
      <c r="E225" s="4">
        <v>0.8</v>
      </c>
      <c r="F225" s="4">
        <f t="shared" si="248"/>
        <v>1.5999999999999999</v>
      </c>
      <c r="G225" s="9">
        <f t="shared" si="249"/>
        <v>669000</v>
      </c>
      <c r="H225" s="13">
        <f t="shared" si="250"/>
        <v>32</v>
      </c>
      <c r="N225" s="4">
        <f t="shared" si="239"/>
        <v>669000</v>
      </c>
    </row>
    <row r="226" spans="1:14" x14ac:dyDescent="0.3">
      <c r="A226" s="5">
        <f t="shared" si="240"/>
        <v>224</v>
      </c>
      <c r="B226" s="8">
        <f t="shared" si="246"/>
        <v>355</v>
      </c>
      <c r="C226" s="8">
        <f t="shared" si="247"/>
        <v>125</v>
      </c>
      <c r="D226" s="8">
        <f t="shared" si="251"/>
        <v>1480</v>
      </c>
      <c r="E226" s="4">
        <v>0.8</v>
      </c>
      <c r="F226" s="4">
        <f t="shared" si="248"/>
        <v>1.5999999999999999</v>
      </c>
      <c r="G226" s="9">
        <f t="shared" si="249"/>
        <v>672000</v>
      </c>
      <c r="H226" s="13">
        <f t="shared" si="250"/>
        <v>32</v>
      </c>
      <c r="N226" s="4">
        <f t="shared" si="239"/>
        <v>672000</v>
      </c>
    </row>
    <row r="227" spans="1:14" x14ac:dyDescent="0.3">
      <c r="A227" s="5">
        <f t="shared" si="240"/>
        <v>225</v>
      </c>
      <c r="B227" s="8">
        <f t="shared" si="246"/>
        <v>358</v>
      </c>
      <c r="C227" s="8">
        <f t="shared" si="247"/>
        <v>126</v>
      </c>
      <c r="D227" s="8">
        <f t="shared" si="251"/>
        <v>1495</v>
      </c>
      <c r="E227" s="4">
        <v>0.8</v>
      </c>
      <c r="F227" s="4">
        <f t="shared" si="248"/>
        <v>1.5999999999999999</v>
      </c>
      <c r="G227" s="9">
        <f t="shared" si="249"/>
        <v>675000</v>
      </c>
      <c r="H227" s="13">
        <f t="shared" si="250"/>
        <v>33</v>
      </c>
      <c r="N227" s="4">
        <f t="shared" si="239"/>
        <v>675000</v>
      </c>
    </row>
    <row r="228" spans="1:14" x14ac:dyDescent="0.3">
      <c r="A228" s="5">
        <f t="shared" si="240"/>
        <v>226</v>
      </c>
      <c r="B228" s="8">
        <f t="shared" si="246"/>
        <v>361</v>
      </c>
      <c r="C228" s="8">
        <f t="shared" si="247"/>
        <v>127</v>
      </c>
      <c r="D228" s="8">
        <f t="shared" si="251"/>
        <v>1510</v>
      </c>
      <c r="E228" s="4">
        <v>0.8</v>
      </c>
      <c r="F228" s="4">
        <f t="shared" si="248"/>
        <v>1.5999999999999999</v>
      </c>
      <c r="G228" s="9">
        <f t="shared" si="249"/>
        <v>678000</v>
      </c>
      <c r="H228" s="13">
        <f t="shared" si="250"/>
        <v>33</v>
      </c>
      <c r="N228" s="4">
        <f t="shared" si="239"/>
        <v>678000</v>
      </c>
    </row>
    <row r="229" spans="1:14" x14ac:dyDescent="0.3">
      <c r="A229" s="5">
        <f t="shared" si="240"/>
        <v>227</v>
      </c>
      <c r="B229" s="8">
        <f t="shared" si="246"/>
        <v>364</v>
      </c>
      <c r="C229" s="8">
        <f t="shared" si="247"/>
        <v>128</v>
      </c>
      <c r="D229" s="8">
        <f t="shared" si="251"/>
        <v>1525</v>
      </c>
      <c r="E229" s="4">
        <v>0.8</v>
      </c>
      <c r="F229" s="4">
        <f t="shared" si="248"/>
        <v>1.5999999999999999</v>
      </c>
      <c r="G229" s="9">
        <f t="shared" si="249"/>
        <v>681000</v>
      </c>
      <c r="H229" s="13">
        <f t="shared" si="250"/>
        <v>33</v>
      </c>
      <c r="N229" s="4">
        <f t="shared" si="239"/>
        <v>681000</v>
      </c>
    </row>
    <row r="230" spans="1:14" x14ac:dyDescent="0.3">
      <c r="A230" s="5">
        <f t="shared" si="240"/>
        <v>228</v>
      </c>
      <c r="B230" s="8">
        <f t="shared" si="246"/>
        <v>367</v>
      </c>
      <c r="C230" s="8">
        <f t="shared" si="247"/>
        <v>129</v>
      </c>
      <c r="D230" s="8">
        <f t="shared" si="251"/>
        <v>1540</v>
      </c>
      <c r="E230" s="4">
        <v>0.8</v>
      </c>
      <c r="F230" s="4">
        <f t="shared" si="248"/>
        <v>1.5999999999999999</v>
      </c>
      <c r="G230" s="9">
        <f t="shared" si="249"/>
        <v>684000</v>
      </c>
      <c r="H230" s="13">
        <f t="shared" si="250"/>
        <v>33</v>
      </c>
      <c r="N230" s="4">
        <f t="shared" si="239"/>
        <v>684000</v>
      </c>
    </row>
    <row r="231" spans="1:14" x14ac:dyDescent="0.3">
      <c r="A231" s="5">
        <f t="shared" si="240"/>
        <v>229</v>
      </c>
      <c r="B231" s="8">
        <f t="shared" si="246"/>
        <v>370</v>
      </c>
      <c r="C231" s="8">
        <f t="shared" si="247"/>
        <v>130</v>
      </c>
      <c r="D231" s="8">
        <f t="shared" si="251"/>
        <v>1555</v>
      </c>
      <c r="E231" s="4">
        <v>0.8</v>
      </c>
      <c r="F231" s="4">
        <f t="shared" si="248"/>
        <v>1.5999999999999999</v>
      </c>
      <c r="G231" s="9">
        <f t="shared" si="249"/>
        <v>687000</v>
      </c>
      <c r="H231" s="13">
        <f t="shared" si="250"/>
        <v>33</v>
      </c>
      <c r="N231" s="4">
        <f t="shared" si="239"/>
        <v>687000</v>
      </c>
    </row>
    <row r="232" spans="1:14" x14ac:dyDescent="0.3">
      <c r="A232" s="5">
        <f t="shared" si="240"/>
        <v>230</v>
      </c>
      <c r="B232" s="8">
        <f t="shared" si="246"/>
        <v>373</v>
      </c>
      <c r="C232" s="8">
        <f t="shared" si="247"/>
        <v>131</v>
      </c>
      <c r="D232" s="8">
        <f t="shared" si="251"/>
        <v>1570</v>
      </c>
      <c r="E232" s="4">
        <v>0.8</v>
      </c>
      <c r="F232" s="4">
        <f t="shared" si="248"/>
        <v>1.5999999999999999</v>
      </c>
      <c r="G232" s="9">
        <f t="shared" si="249"/>
        <v>690000</v>
      </c>
      <c r="H232" s="13">
        <f t="shared" si="250"/>
        <v>33</v>
      </c>
      <c r="N232" s="4">
        <f t="shared" si="239"/>
        <v>690000</v>
      </c>
    </row>
    <row r="233" spans="1:14" x14ac:dyDescent="0.3">
      <c r="A233" s="5">
        <f t="shared" si="240"/>
        <v>231</v>
      </c>
      <c r="B233" s="8">
        <f t="shared" si="246"/>
        <v>376</v>
      </c>
      <c r="C233" s="8">
        <f t="shared" si="247"/>
        <v>132</v>
      </c>
      <c r="D233" s="8">
        <f t="shared" si="251"/>
        <v>1585</v>
      </c>
      <c r="E233" s="4">
        <v>0.8</v>
      </c>
      <c r="F233" s="4">
        <f t="shared" si="248"/>
        <v>1.5999999999999999</v>
      </c>
      <c r="G233" s="9">
        <f t="shared" si="249"/>
        <v>693000</v>
      </c>
      <c r="H233" s="13">
        <f t="shared" si="250"/>
        <v>33</v>
      </c>
      <c r="N233" s="4">
        <f t="shared" si="239"/>
        <v>693000</v>
      </c>
    </row>
    <row r="234" spans="1:14" x14ac:dyDescent="0.3">
      <c r="A234" s="5">
        <f t="shared" si="240"/>
        <v>232</v>
      </c>
      <c r="B234" s="8">
        <f t="shared" si="246"/>
        <v>379</v>
      </c>
      <c r="C234" s="8">
        <f t="shared" si="247"/>
        <v>133</v>
      </c>
      <c r="D234" s="8">
        <f t="shared" si="251"/>
        <v>1600</v>
      </c>
      <c r="E234" s="4">
        <v>0.8</v>
      </c>
      <c r="F234" s="4">
        <f t="shared" si="248"/>
        <v>1.5999999999999999</v>
      </c>
      <c r="G234" s="9">
        <f t="shared" si="249"/>
        <v>696000</v>
      </c>
      <c r="H234" s="13">
        <f t="shared" si="250"/>
        <v>34</v>
      </c>
      <c r="N234" s="4">
        <f t="shared" si="239"/>
        <v>696000</v>
      </c>
    </row>
    <row r="235" spans="1:14" x14ac:dyDescent="0.3">
      <c r="A235" s="5">
        <f t="shared" si="240"/>
        <v>233</v>
      </c>
      <c r="B235" s="8">
        <f t="shared" si="246"/>
        <v>382</v>
      </c>
      <c r="C235" s="8">
        <f t="shared" si="247"/>
        <v>134</v>
      </c>
      <c r="D235" s="8">
        <f t="shared" si="251"/>
        <v>1615</v>
      </c>
      <c r="E235" s="4">
        <v>0.8</v>
      </c>
      <c r="F235" s="4">
        <f t="shared" si="248"/>
        <v>1.5999999999999999</v>
      </c>
      <c r="G235" s="9">
        <f t="shared" si="249"/>
        <v>699000</v>
      </c>
      <c r="H235" s="13">
        <f t="shared" si="250"/>
        <v>34</v>
      </c>
      <c r="N235" s="4">
        <f t="shared" si="239"/>
        <v>699000</v>
      </c>
    </row>
    <row r="236" spans="1:14" x14ac:dyDescent="0.3">
      <c r="A236" s="5">
        <f t="shared" si="240"/>
        <v>234</v>
      </c>
      <c r="B236" s="8">
        <f t="shared" si="246"/>
        <v>385</v>
      </c>
      <c r="C236" s="8">
        <f t="shared" si="247"/>
        <v>135</v>
      </c>
      <c r="D236" s="8">
        <f t="shared" si="251"/>
        <v>1630</v>
      </c>
      <c r="E236" s="4">
        <v>0.8</v>
      </c>
      <c r="F236" s="4">
        <f t="shared" si="248"/>
        <v>1.5999999999999999</v>
      </c>
      <c r="G236" s="9">
        <f t="shared" si="249"/>
        <v>702000</v>
      </c>
      <c r="H236" s="13">
        <f t="shared" si="250"/>
        <v>34</v>
      </c>
      <c r="N236" s="4">
        <f t="shared" si="239"/>
        <v>702000</v>
      </c>
    </row>
    <row r="237" spans="1:14" x14ac:dyDescent="0.3">
      <c r="A237" s="5">
        <f t="shared" si="240"/>
        <v>235</v>
      </c>
      <c r="B237" s="8">
        <f t="shared" si="246"/>
        <v>388</v>
      </c>
      <c r="C237" s="8">
        <f t="shared" si="247"/>
        <v>136</v>
      </c>
      <c r="D237" s="8">
        <f t="shared" si="251"/>
        <v>1645</v>
      </c>
      <c r="E237" s="4">
        <v>0.8</v>
      </c>
      <c r="F237" s="4">
        <f t="shared" si="248"/>
        <v>1.5999999999999999</v>
      </c>
      <c r="G237" s="9">
        <f t="shared" si="249"/>
        <v>705000</v>
      </c>
      <c r="H237" s="13">
        <f t="shared" si="250"/>
        <v>34</v>
      </c>
      <c r="N237" s="4">
        <f t="shared" si="239"/>
        <v>705000</v>
      </c>
    </row>
    <row r="238" spans="1:14" x14ac:dyDescent="0.3">
      <c r="A238" s="5">
        <f t="shared" si="240"/>
        <v>236</v>
      </c>
      <c r="B238" s="8">
        <f t="shared" si="246"/>
        <v>391</v>
      </c>
      <c r="C238" s="8">
        <f t="shared" si="247"/>
        <v>137</v>
      </c>
      <c r="D238" s="8">
        <f t="shared" si="251"/>
        <v>1660</v>
      </c>
      <c r="E238" s="4">
        <v>0.8</v>
      </c>
      <c r="F238" s="4">
        <f t="shared" si="248"/>
        <v>1.5999999999999999</v>
      </c>
      <c r="G238" s="9">
        <f t="shared" si="249"/>
        <v>708000</v>
      </c>
      <c r="H238" s="13">
        <f t="shared" si="250"/>
        <v>34</v>
      </c>
      <c r="N238" s="4">
        <f t="shared" si="239"/>
        <v>708000</v>
      </c>
    </row>
    <row r="239" spans="1:14" x14ac:dyDescent="0.3">
      <c r="A239" s="5">
        <f t="shared" si="240"/>
        <v>237</v>
      </c>
      <c r="B239" s="8">
        <f t="shared" si="246"/>
        <v>394</v>
      </c>
      <c r="C239" s="8">
        <f t="shared" si="247"/>
        <v>138</v>
      </c>
      <c r="D239" s="8">
        <f t="shared" si="251"/>
        <v>1675</v>
      </c>
      <c r="E239" s="4">
        <v>0.8</v>
      </c>
      <c r="F239" s="4">
        <f t="shared" si="248"/>
        <v>1.5999999999999999</v>
      </c>
      <c r="G239" s="9">
        <f t="shared" si="249"/>
        <v>711000</v>
      </c>
      <c r="H239" s="13">
        <f t="shared" si="250"/>
        <v>34</v>
      </c>
      <c r="N239" s="4">
        <f t="shared" si="239"/>
        <v>711000</v>
      </c>
    </row>
    <row r="240" spans="1:14" x14ac:dyDescent="0.3">
      <c r="A240" s="5">
        <f t="shared" si="240"/>
        <v>238</v>
      </c>
      <c r="B240" s="8">
        <f t="shared" si="246"/>
        <v>397</v>
      </c>
      <c r="C240" s="8">
        <f t="shared" si="247"/>
        <v>139</v>
      </c>
      <c r="D240" s="8">
        <f t="shared" si="251"/>
        <v>1690</v>
      </c>
      <c r="E240" s="4">
        <v>0.8</v>
      </c>
      <c r="F240" s="4">
        <f t="shared" si="248"/>
        <v>1.5999999999999999</v>
      </c>
      <c r="G240" s="9">
        <f t="shared" si="249"/>
        <v>714000</v>
      </c>
      <c r="H240" s="13">
        <f t="shared" si="250"/>
        <v>34</v>
      </c>
      <c r="N240" s="4">
        <f t="shared" si="239"/>
        <v>714000</v>
      </c>
    </row>
    <row r="241" spans="1:14" x14ac:dyDescent="0.3">
      <c r="A241" s="5">
        <f t="shared" si="240"/>
        <v>239</v>
      </c>
      <c r="B241" s="8">
        <f t="shared" si="246"/>
        <v>400</v>
      </c>
      <c r="C241" s="8">
        <f t="shared" si="247"/>
        <v>140</v>
      </c>
      <c r="D241" s="8">
        <f t="shared" si="251"/>
        <v>1705</v>
      </c>
      <c r="E241" s="4">
        <v>0.8</v>
      </c>
      <c r="F241" s="4">
        <f t="shared" si="248"/>
        <v>1.5999999999999999</v>
      </c>
      <c r="G241" s="9">
        <f t="shared" si="249"/>
        <v>717000</v>
      </c>
      <c r="H241" s="13">
        <f t="shared" si="250"/>
        <v>35</v>
      </c>
      <c r="N241" s="4">
        <f t="shared" si="239"/>
        <v>717000</v>
      </c>
    </row>
    <row r="242" spans="1:14" x14ac:dyDescent="0.3">
      <c r="A242" s="5">
        <f t="shared" si="240"/>
        <v>240</v>
      </c>
      <c r="B242" s="8">
        <f t="shared" si="246"/>
        <v>403</v>
      </c>
      <c r="C242" s="8">
        <f t="shared" si="247"/>
        <v>141</v>
      </c>
      <c r="D242" s="8">
        <f t="shared" si="251"/>
        <v>1720</v>
      </c>
      <c r="E242" s="4">
        <v>0.8</v>
      </c>
      <c r="F242" s="4">
        <f t="shared" si="248"/>
        <v>1.7999999999999998</v>
      </c>
      <c r="G242" s="9">
        <f t="shared" si="249"/>
        <v>720000</v>
      </c>
      <c r="H242" s="13">
        <f t="shared" si="250"/>
        <v>35</v>
      </c>
      <c r="N242" s="4">
        <f t="shared" si="239"/>
        <v>720000</v>
      </c>
    </row>
    <row r="243" spans="1:14" x14ac:dyDescent="0.3">
      <c r="A243" s="5">
        <f t="shared" si="240"/>
        <v>241</v>
      </c>
      <c r="B243" s="8">
        <f t="shared" si="246"/>
        <v>406</v>
      </c>
      <c r="C243" s="8">
        <f t="shared" si="247"/>
        <v>142</v>
      </c>
      <c r="D243" s="8">
        <f t="shared" si="251"/>
        <v>1735</v>
      </c>
      <c r="E243" s="4">
        <v>0.8</v>
      </c>
      <c r="F243" s="4">
        <f t="shared" si="248"/>
        <v>1.7999999999999998</v>
      </c>
      <c r="G243" s="9">
        <f t="shared" si="249"/>
        <v>723000</v>
      </c>
      <c r="H243" s="13">
        <f t="shared" si="250"/>
        <v>35</v>
      </c>
      <c r="N243" s="4">
        <f t="shared" si="239"/>
        <v>723000</v>
      </c>
    </row>
    <row r="244" spans="1:14" x14ac:dyDescent="0.3">
      <c r="A244" s="5">
        <f t="shared" si="240"/>
        <v>242</v>
      </c>
      <c r="B244" s="8">
        <f t="shared" si="246"/>
        <v>409</v>
      </c>
      <c r="C244" s="8">
        <f t="shared" si="247"/>
        <v>143</v>
      </c>
      <c r="D244" s="8">
        <f t="shared" si="251"/>
        <v>1750</v>
      </c>
      <c r="E244" s="4">
        <v>0.8</v>
      </c>
      <c r="F244" s="4">
        <f t="shared" si="248"/>
        <v>1.7999999999999998</v>
      </c>
      <c r="G244" s="9">
        <f t="shared" si="249"/>
        <v>726000</v>
      </c>
      <c r="H244" s="13">
        <f t="shared" si="250"/>
        <v>35</v>
      </c>
      <c r="N244" s="4">
        <f t="shared" si="239"/>
        <v>726000</v>
      </c>
    </row>
    <row r="245" spans="1:14" x14ac:dyDescent="0.3">
      <c r="A245" s="5">
        <f t="shared" si="240"/>
        <v>243</v>
      </c>
      <c r="B245" s="8">
        <f t="shared" si="246"/>
        <v>412</v>
      </c>
      <c r="C245" s="8">
        <f t="shared" si="247"/>
        <v>144</v>
      </c>
      <c r="D245" s="8">
        <f t="shared" si="251"/>
        <v>1765</v>
      </c>
      <c r="E245" s="4">
        <v>0.8</v>
      </c>
      <c r="F245" s="4">
        <f t="shared" si="248"/>
        <v>1.7999999999999998</v>
      </c>
      <c r="G245" s="9">
        <f t="shared" si="249"/>
        <v>729000</v>
      </c>
      <c r="H245" s="13">
        <f t="shared" si="250"/>
        <v>35</v>
      </c>
      <c r="N245" s="4">
        <f t="shared" si="239"/>
        <v>729000</v>
      </c>
    </row>
    <row r="246" spans="1:14" x14ac:dyDescent="0.3">
      <c r="A246" s="5">
        <f t="shared" si="240"/>
        <v>244</v>
      </c>
      <c r="B246" s="8">
        <f t="shared" si="246"/>
        <v>415</v>
      </c>
      <c r="C246" s="8">
        <f t="shared" si="247"/>
        <v>145</v>
      </c>
      <c r="D246" s="8">
        <f t="shared" si="251"/>
        <v>1780</v>
      </c>
      <c r="E246" s="4">
        <v>0.8</v>
      </c>
      <c r="F246" s="4">
        <f t="shared" si="248"/>
        <v>1.7999999999999998</v>
      </c>
      <c r="G246" s="9">
        <f t="shared" si="249"/>
        <v>732000</v>
      </c>
      <c r="H246" s="13">
        <f t="shared" si="250"/>
        <v>35</v>
      </c>
      <c r="N246" s="4">
        <f t="shared" si="239"/>
        <v>732000</v>
      </c>
    </row>
    <row r="247" spans="1:14" x14ac:dyDescent="0.3">
      <c r="A247" s="5">
        <f t="shared" si="240"/>
        <v>245</v>
      </c>
      <c r="B247" s="8">
        <f t="shared" si="246"/>
        <v>418</v>
      </c>
      <c r="C247" s="8">
        <f t="shared" si="247"/>
        <v>146</v>
      </c>
      <c r="D247" s="8">
        <f t="shared" si="251"/>
        <v>1795</v>
      </c>
      <c r="E247" s="4">
        <v>0.8</v>
      </c>
      <c r="F247" s="4">
        <f t="shared" si="248"/>
        <v>1.7999999999999998</v>
      </c>
      <c r="G247" s="9">
        <f t="shared" si="249"/>
        <v>735000</v>
      </c>
      <c r="H247" s="13">
        <f t="shared" si="250"/>
        <v>35</v>
      </c>
      <c r="N247" s="4">
        <f t="shared" si="239"/>
        <v>735000</v>
      </c>
    </row>
    <row r="248" spans="1:14" x14ac:dyDescent="0.3">
      <c r="A248" s="5">
        <f t="shared" si="240"/>
        <v>246</v>
      </c>
      <c r="B248" s="8">
        <f t="shared" si="246"/>
        <v>421</v>
      </c>
      <c r="C248" s="8">
        <f t="shared" si="247"/>
        <v>147</v>
      </c>
      <c r="D248" s="8">
        <f t="shared" si="251"/>
        <v>1810</v>
      </c>
      <c r="E248" s="4">
        <v>0.8</v>
      </c>
      <c r="F248" s="4">
        <f t="shared" si="248"/>
        <v>1.7999999999999998</v>
      </c>
      <c r="G248" s="9">
        <f t="shared" si="249"/>
        <v>738000</v>
      </c>
      <c r="H248" s="13">
        <f t="shared" si="250"/>
        <v>36</v>
      </c>
      <c r="N248" s="4">
        <f t="shared" si="239"/>
        <v>738000</v>
      </c>
    </row>
    <row r="249" spans="1:14" x14ac:dyDescent="0.3">
      <c r="A249" s="5">
        <f t="shared" si="240"/>
        <v>247</v>
      </c>
      <c r="B249" s="8">
        <f t="shared" si="246"/>
        <v>424</v>
      </c>
      <c r="C249" s="8">
        <f t="shared" si="247"/>
        <v>148</v>
      </c>
      <c r="D249" s="8">
        <f t="shared" si="251"/>
        <v>1825</v>
      </c>
      <c r="E249" s="4">
        <v>0.8</v>
      </c>
      <c r="F249" s="4">
        <f t="shared" si="248"/>
        <v>1.7999999999999998</v>
      </c>
      <c r="G249" s="9">
        <f t="shared" si="249"/>
        <v>741000</v>
      </c>
      <c r="H249" s="13">
        <f t="shared" si="250"/>
        <v>36</v>
      </c>
      <c r="N249" s="4">
        <f t="shared" si="239"/>
        <v>741000</v>
      </c>
    </row>
    <row r="250" spans="1:14" x14ac:dyDescent="0.3">
      <c r="A250" s="5">
        <f t="shared" si="240"/>
        <v>248</v>
      </c>
      <c r="B250" s="8">
        <f t="shared" si="246"/>
        <v>427</v>
      </c>
      <c r="C250" s="8">
        <f t="shared" si="247"/>
        <v>149</v>
      </c>
      <c r="D250" s="8">
        <f t="shared" si="251"/>
        <v>1840</v>
      </c>
      <c r="E250" s="4">
        <v>0.8</v>
      </c>
      <c r="F250" s="4">
        <f t="shared" si="248"/>
        <v>1.7999999999999998</v>
      </c>
      <c r="G250" s="9">
        <f t="shared" si="249"/>
        <v>744000</v>
      </c>
      <c r="H250" s="13">
        <f t="shared" si="250"/>
        <v>36</v>
      </c>
      <c r="N250" s="4">
        <f t="shared" si="239"/>
        <v>744000</v>
      </c>
    </row>
    <row r="251" spans="1:14" x14ac:dyDescent="0.3">
      <c r="A251" s="5">
        <f t="shared" si="240"/>
        <v>249</v>
      </c>
      <c r="B251" s="8">
        <f t="shared" si="246"/>
        <v>430</v>
      </c>
      <c r="C251" s="8">
        <f t="shared" si="247"/>
        <v>150</v>
      </c>
      <c r="D251" s="8">
        <f t="shared" si="251"/>
        <v>1855</v>
      </c>
      <c r="E251" s="4">
        <v>0.8</v>
      </c>
      <c r="F251" s="4">
        <f t="shared" si="248"/>
        <v>1.7999999999999998</v>
      </c>
      <c r="G251" s="9">
        <f t="shared" si="249"/>
        <v>747000</v>
      </c>
      <c r="H251" s="13">
        <f t="shared" si="250"/>
        <v>36</v>
      </c>
      <c r="N251" s="4">
        <f t="shared" si="239"/>
        <v>747000</v>
      </c>
    </row>
    <row r="252" spans="1:14" x14ac:dyDescent="0.3">
      <c r="A252" s="5">
        <f t="shared" si="240"/>
        <v>250</v>
      </c>
      <c r="B252" s="8">
        <f>B251+4</f>
        <v>434</v>
      </c>
      <c r="C252" s="8">
        <v>150</v>
      </c>
      <c r="D252" s="8">
        <f t="shared" si="251"/>
        <v>1870</v>
      </c>
      <c r="E252" s="4">
        <v>0.8</v>
      </c>
      <c r="F252" s="4">
        <f t="shared" si="248"/>
        <v>1.7999999999999998</v>
      </c>
      <c r="G252" s="9">
        <f>A252*(3500+A252)</f>
        <v>937500</v>
      </c>
      <c r="H252" s="13">
        <f t="shared" si="250"/>
        <v>36</v>
      </c>
      <c r="N252" s="4">
        <f t="shared" si="239"/>
        <v>937500</v>
      </c>
    </row>
    <row r="253" spans="1:14" x14ac:dyDescent="0.3">
      <c r="A253" s="5">
        <f t="shared" si="240"/>
        <v>251</v>
      </c>
      <c r="B253" s="8">
        <f t="shared" ref="B253:B302" si="252">B252+4</f>
        <v>438</v>
      </c>
      <c r="C253" s="8">
        <v>150</v>
      </c>
      <c r="D253" s="8">
        <f t="shared" si="251"/>
        <v>1885</v>
      </c>
      <c r="E253" s="4">
        <v>0.8</v>
      </c>
      <c r="F253" s="4">
        <f t="shared" si="248"/>
        <v>1.7999999999999998</v>
      </c>
      <c r="G253" s="9">
        <f t="shared" ref="G253:G302" si="253">A253*(3500+A253)</f>
        <v>941501</v>
      </c>
      <c r="H253" s="13">
        <f t="shared" si="250"/>
        <v>36</v>
      </c>
      <c r="N253" s="4">
        <f t="shared" si="239"/>
        <v>941501</v>
      </c>
    </row>
    <row r="254" spans="1:14" x14ac:dyDescent="0.3">
      <c r="A254" s="5">
        <f t="shared" si="240"/>
        <v>252</v>
      </c>
      <c r="B254" s="8">
        <f t="shared" si="252"/>
        <v>442</v>
      </c>
      <c r="C254" s="8">
        <v>150</v>
      </c>
      <c r="D254" s="8">
        <f t="shared" si="251"/>
        <v>1900</v>
      </c>
      <c r="E254" s="4">
        <v>0.8</v>
      </c>
      <c r="F254" s="4">
        <f t="shared" si="248"/>
        <v>1.7999999999999998</v>
      </c>
      <c r="G254" s="9">
        <f t="shared" si="253"/>
        <v>945504</v>
      </c>
      <c r="H254" s="13">
        <f t="shared" si="250"/>
        <v>36</v>
      </c>
      <c r="N254" s="4">
        <f t="shared" si="239"/>
        <v>945504</v>
      </c>
    </row>
    <row r="255" spans="1:14" x14ac:dyDescent="0.3">
      <c r="A255" s="5">
        <f t="shared" si="240"/>
        <v>253</v>
      </c>
      <c r="B255" s="8">
        <f t="shared" si="252"/>
        <v>446</v>
      </c>
      <c r="C255" s="8">
        <v>150</v>
      </c>
      <c r="D255" s="8">
        <f t="shared" si="251"/>
        <v>1915</v>
      </c>
      <c r="E255" s="4">
        <v>0.8</v>
      </c>
      <c r="F255" s="4">
        <f t="shared" si="248"/>
        <v>1.7999999999999998</v>
      </c>
      <c r="G255" s="9">
        <f t="shared" si="253"/>
        <v>949509</v>
      </c>
      <c r="H255" s="13">
        <f t="shared" si="250"/>
        <v>37</v>
      </c>
      <c r="N255" s="4">
        <f t="shared" si="239"/>
        <v>949509</v>
      </c>
    </row>
    <row r="256" spans="1:14" x14ac:dyDescent="0.3">
      <c r="A256" s="5">
        <f t="shared" si="240"/>
        <v>254</v>
      </c>
      <c r="B256" s="8">
        <f t="shared" si="252"/>
        <v>450</v>
      </c>
      <c r="C256" s="8">
        <v>150</v>
      </c>
      <c r="D256" s="8">
        <f t="shared" si="251"/>
        <v>1930</v>
      </c>
      <c r="E256" s="4">
        <v>0.8</v>
      </c>
      <c r="F256" s="4">
        <f t="shared" si="248"/>
        <v>1.7999999999999998</v>
      </c>
      <c r="G256" s="9">
        <f t="shared" si="253"/>
        <v>953516</v>
      </c>
      <c r="H256" s="13">
        <f t="shared" si="250"/>
        <v>37</v>
      </c>
      <c r="N256" s="4">
        <f t="shared" si="239"/>
        <v>953516</v>
      </c>
    </row>
    <row r="257" spans="1:14" x14ac:dyDescent="0.3">
      <c r="A257" s="5">
        <f t="shared" si="240"/>
        <v>255</v>
      </c>
      <c r="B257" s="8">
        <f t="shared" si="252"/>
        <v>454</v>
      </c>
      <c r="C257" s="8">
        <v>150</v>
      </c>
      <c r="D257" s="8">
        <f t="shared" si="251"/>
        <v>1945</v>
      </c>
      <c r="E257" s="4">
        <v>0.8</v>
      </c>
      <c r="F257" s="4">
        <f t="shared" si="248"/>
        <v>1.7999999999999998</v>
      </c>
      <c r="G257" s="9">
        <f t="shared" si="253"/>
        <v>957525</v>
      </c>
      <c r="H257" s="13">
        <f t="shared" si="250"/>
        <v>37</v>
      </c>
      <c r="N257" s="4">
        <f t="shared" si="239"/>
        <v>957525</v>
      </c>
    </row>
    <row r="258" spans="1:14" x14ac:dyDescent="0.3">
      <c r="A258" s="5">
        <f t="shared" si="240"/>
        <v>256</v>
      </c>
      <c r="B258" s="8">
        <f t="shared" si="252"/>
        <v>458</v>
      </c>
      <c r="C258" s="8">
        <v>150</v>
      </c>
      <c r="D258" s="8">
        <f t="shared" si="251"/>
        <v>1960</v>
      </c>
      <c r="E258" s="4">
        <v>0.8</v>
      </c>
      <c r="F258" s="4">
        <f t="shared" si="248"/>
        <v>1.7999999999999998</v>
      </c>
      <c r="G258" s="9">
        <f t="shared" si="253"/>
        <v>961536</v>
      </c>
      <c r="H258" s="13">
        <f t="shared" si="250"/>
        <v>37</v>
      </c>
      <c r="N258" s="4">
        <f t="shared" si="239"/>
        <v>961536</v>
      </c>
    </row>
    <row r="259" spans="1:14" x14ac:dyDescent="0.3">
      <c r="A259" s="5">
        <f t="shared" si="240"/>
        <v>257</v>
      </c>
      <c r="B259" s="8">
        <f t="shared" si="252"/>
        <v>462</v>
      </c>
      <c r="C259" s="8">
        <v>150</v>
      </c>
      <c r="D259" s="8">
        <f t="shared" si="251"/>
        <v>1975</v>
      </c>
      <c r="E259" s="4">
        <v>0.8</v>
      </c>
      <c r="F259" s="4">
        <f t="shared" si="248"/>
        <v>1.7999999999999998</v>
      </c>
      <c r="G259" s="9">
        <f t="shared" si="253"/>
        <v>965549</v>
      </c>
      <c r="H259" s="13">
        <f t="shared" si="250"/>
        <v>37</v>
      </c>
      <c r="N259" s="4">
        <f t="shared" si="239"/>
        <v>965549</v>
      </c>
    </row>
    <row r="260" spans="1:14" x14ac:dyDescent="0.3">
      <c r="A260" s="5">
        <f t="shared" si="240"/>
        <v>258</v>
      </c>
      <c r="B260" s="8">
        <f t="shared" si="252"/>
        <v>466</v>
      </c>
      <c r="C260" s="8">
        <v>150</v>
      </c>
      <c r="D260" s="8">
        <f t="shared" si="251"/>
        <v>1990</v>
      </c>
      <c r="E260" s="4">
        <v>0.8</v>
      </c>
      <c r="F260" s="4">
        <f t="shared" si="248"/>
        <v>1.7999999999999998</v>
      </c>
      <c r="G260" s="9">
        <f t="shared" si="253"/>
        <v>969564</v>
      </c>
      <c r="H260" s="13">
        <f t="shared" si="250"/>
        <v>37</v>
      </c>
      <c r="N260" s="4">
        <f t="shared" ref="N260:N301" si="254">G260</f>
        <v>969564</v>
      </c>
    </row>
    <row r="261" spans="1:14" x14ac:dyDescent="0.3">
      <c r="A261" s="5">
        <f t="shared" ref="A261:A302" si="255">A260+1</f>
        <v>259</v>
      </c>
      <c r="B261" s="8">
        <f t="shared" si="252"/>
        <v>470</v>
      </c>
      <c r="C261" s="8">
        <v>150</v>
      </c>
      <c r="D261" s="8">
        <f t="shared" si="251"/>
        <v>2005</v>
      </c>
      <c r="E261" s="4">
        <v>0.8</v>
      </c>
      <c r="F261" s="4">
        <f t="shared" si="248"/>
        <v>1.7999999999999998</v>
      </c>
      <c r="G261" s="9">
        <f t="shared" si="253"/>
        <v>973581</v>
      </c>
      <c r="H261" s="13">
        <f t="shared" si="250"/>
        <v>37</v>
      </c>
      <c r="N261" s="4">
        <f t="shared" si="254"/>
        <v>973581</v>
      </c>
    </row>
    <row r="262" spans="1:14" x14ac:dyDescent="0.3">
      <c r="A262" s="5">
        <f t="shared" si="255"/>
        <v>260</v>
      </c>
      <c r="B262" s="8">
        <f t="shared" si="252"/>
        <v>474</v>
      </c>
      <c r="C262" s="8">
        <v>150</v>
      </c>
      <c r="D262" s="8">
        <f t="shared" si="251"/>
        <v>2020</v>
      </c>
      <c r="E262" s="4">
        <v>0.8</v>
      </c>
      <c r="F262" s="4">
        <f t="shared" si="248"/>
        <v>1.9999999999999998</v>
      </c>
      <c r="G262" s="9">
        <f t="shared" si="253"/>
        <v>977600</v>
      </c>
      <c r="H262" s="13">
        <f t="shared" si="250"/>
        <v>38</v>
      </c>
      <c r="N262" s="4">
        <f t="shared" si="254"/>
        <v>977600</v>
      </c>
    </row>
    <row r="263" spans="1:14" x14ac:dyDescent="0.3">
      <c r="A263" s="5">
        <f t="shared" si="255"/>
        <v>261</v>
      </c>
      <c r="B263" s="8">
        <f t="shared" si="252"/>
        <v>478</v>
      </c>
      <c r="C263" s="8">
        <v>150</v>
      </c>
      <c r="D263" s="8">
        <f t="shared" si="251"/>
        <v>2035</v>
      </c>
      <c r="E263" s="4">
        <v>0.8</v>
      </c>
      <c r="F263" s="4">
        <f t="shared" si="248"/>
        <v>1.9999999999999998</v>
      </c>
      <c r="G263" s="9">
        <f t="shared" si="253"/>
        <v>981621</v>
      </c>
      <c r="H263" s="13">
        <f t="shared" si="250"/>
        <v>38</v>
      </c>
      <c r="N263" s="4">
        <f t="shared" si="254"/>
        <v>981621</v>
      </c>
    </row>
    <row r="264" spans="1:14" x14ac:dyDescent="0.3">
      <c r="A264" s="5">
        <f t="shared" si="255"/>
        <v>262</v>
      </c>
      <c r="B264" s="8">
        <f t="shared" si="252"/>
        <v>482</v>
      </c>
      <c r="C264" s="8">
        <v>150</v>
      </c>
      <c r="D264" s="8">
        <f t="shared" si="251"/>
        <v>2050</v>
      </c>
      <c r="E264" s="4">
        <v>0.8</v>
      </c>
      <c r="F264" s="4">
        <f t="shared" si="248"/>
        <v>1.9999999999999998</v>
      </c>
      <c r="G264" s="9">
        <f t="shared" si="253"/>
        <v>985644</v>
      </c>
      <c r="H264" s="13">
        <f t="shared" si="250"/>
        <v>38</v>
      </c>
      <c r="N264" s="4">
        <f t="shared" si="254"/>
        <v>985644</v>
      </c>
    </row>
    <row r="265" spans="1:14" x14ac:dyDescent="0.3">
      <c r="A265" s="5">
        <f t="shared" si="255"/>
        <v>263</v>
      </c>
      <c r="B265" s="8">
        <f t="shared" si="252"/>
        <v>486</v>
      </c>
      <c r="C265" s="8">
        <v>150</v>
      </c>
      <c r="D265" s="8">
        <f t="shared" si="251"/>
        <v>2065</v>
      </c>
      <c r="E265" s="4">
        <v>0.8</v>
      </c>
      <c r="F265" s="4">
        <f t="shared" si="248"/>
        <v>1.9999999999999998</v>
      </c>
      <c r="G265" s="9">
        <f t="shared" si="253"/>
        <v>989669</v>
      </c>
      <c r="H265" s="13">
        <f t="shared" si="250"/>
        <v>38</v>
      </c>
      <c r="N265" s="4">
        <f t="shared" si="254"/>
        <v>989669</v>
      </c>
    </row>
    <row r="266" spans="1:14" x14ac:dyDescent="0.3">
      <c r="A266" s="5">
        <f t="shared" si="255"/>
        <v>264</v>
      </c>
      <c r="B266" s="8">
        <f t="shared" si="252"/>
        <v>490</v>
      </c>
      <c r="C266" s="8">
        <v>150</v>
      </c>
      <c r="D266" s="8">
        <f t="shared" si="251"/>
        <v>2080</v>
      </c>
      <c r="E266" s="4">
        <v>0.8</v>
      </c>
      <c r="F266" s="4">
        <f t="shared" si="248"/>
        <v>1.9999999999999998</v>
      </c>
      <c r="G266" s="9">
        <f t="shared" si="253"/>
        <v>993696</v>
      </c>
      <c r="H266" s="13">
        <f t="shared" si="250"/>
        <v>38</v>
      </c>
      <c r="N266" s="4">
        <f t="shared" si="254"/>
        <v>993696</v>
      </c>
    </row>
    <row r="267" spans="1:14" x14ac:dyDescent="0.3">
      <c r="A267" s="5">
        <f t="shared" si="255"/>
        <v>265</v>
      </c>
      <c r="B267" s="8">
        <f t="shared" si="252"/>
        <v>494</v>
      </c>
      <c r="C267" s="8">
        <v>150</v>
      </c>
      <c r="D267" s="8">
        <f t="shared" si="251"/>
        <v>2095</v>
      </c>
      <c r="E267" s="4">
        <v>0.8</v>
      </c>
      <c r="F267" s="4">
        <f t="shared" ref="F267:F302" si="256">F247+0.2</f>
        <v>1.9999999999999998</v>
      </c>
      <c r="G267" s="9">
        <f t="shared" si="253"/>
        <v>997725</v>
      </c>
      <c r="H267" s="13">
        <f t="shared" ref="H267:H302" si="257">H260+1</f>
        <v>38</v>
      </c>
      <c r="N267" s="4">
        <f t="shared" si="254"/>
        <v>997725</v>
      </c>
    </row>
    <row r="268" spans="1:14" x14ac:dyDescent="0.3">
      <c r="A268" s="5">
        <f t="shared" si="255"/>
        <v>266</v>
      </c>
      <c r="B268" s="8">
        <f t="shared" si="252"/>
        <v>498</v>
      </c>
      <c r="C268" s="8">
        <v>150</v>
      </c>
      <c r="D268" s="8">
        <f t="shared" ref="D268:D302" si="258">D267+15</f>
        <v>2110</v>
      </c>
      <c r="E268" s="4">
        <v>0.8</v>
      </c>
      <c r="F268" s="4">
        <f t="shared" si="256"/>
        <v>1.9999999999999998</v>
      </c>
      <c r="G268" s="9">
        <f t="shared" si="253"/>
        <v>1001756</v>
      </c>
      <c r="H268" s="13">
        <f t="shared" si="257"/>
        <v>38</v>
      </c>
      <c r="N268" s="4">
        <f t="shared" si="254"/>
        <v>1001756</v>
      </c>
    </row>
    <row r="269" spans="1:14" x14ac:dyDescent="0.3">
      <c r="A269" s="5">
        <f t="shared" si="255"/>
        <v>267</v>
      </c>
      <c r="B269" s="8">
        <f t="shared" si="252"/>
        <v>502</v>
      </c>
      <c r="C269" s="8">
        <v>150</v>
      </c>
      <c r="D269" s="8">
        <f t="shared" si="258"/>
        <v>2125</v>
      </c>
      <c r="E269" s="4">
        <v>0.8</v>
      </c>
      <c r="F269" s="4">
        <f t="shared" si="256"/>
        <v>1.9999999999999998</v>
      </c>
      <c r="G269" s="9">
        <f t="shared" si="253"/>
        <v>1005789</v>
      </c>
      <c r="H269" s="13">
        <f t="shared" si="257"/>
        <v>39</v>
      </c>
      <c r="N269" s="4">
        <f t="shared" si="254"/>
        <v>1005789</v>
      </c>
    </row>
    <row r="270" spans="1:14" x14ac:dyDescent="0.3">
      <c r="A270" s="5">
        <f t="shared" si="255"/>
        <v>268</v>
      </c>
      <c r="B270" s="8">
        <f t="shared" si="252"/>
        <v>506</v>
      </c>
      <c r="C270" s="8">
        <v>150</v>
      </c>
      <c r="D270" s="8">
        <f t="shared" si="258"/>
        <v>2140</v>
      </c>
      <c r="E270" s="4">
        <v>0.8</v>
      </c>
      <c r="F270" s="4">
        <f t="shared" si="256"/>
        <v>1.9999999999999998</v>
      </c>
      <c r="G270" s="9">
        <f t="shared" si="253"/>
        <v>1009824</v>
      </c>
      <c r="H270" s="13">
        <f t="shared" si="257"/>
        <v>39</v>
      </c>
      <c r="N270" s="4">
        <f t="shared" si="254"/>
        <v>1009824</v>
      </c>
    </row>
    <row r="271" spans="1:14" x14ac:dyDescent="0.3">
      <c r="A271" s="5">
        <f t="shared" si="255"/>
        <v>269</v>
      </c>
      <c r="B271" s="8">
        <f t="shared" si="252"/>
        <v>510</v>
      </c>
      <c r="C271" s="8">
        <v>150</v>
      </c>
      <c r="D271" s="8">
        <f t="shared" si="258"/>
        <v>2155</v>
      </c>
      <c r="E271" s="4">
        <v>0.8</v>
      </c>
      <c r="F271" s="4">
        <f t="shared" si="256"/>
        <v>1.9999999999999998</v>
      </c>
      <c r="G271" s="9">
        <f t="shared" si="253"/>
        <v>1013861</v>
      </c>
      <c r="H271" s="13">
        <f t="shared" si="257"/>
        <v>39</v>
      </c>
      <c r="N271" s="4">
        <f t="shared" si="254"/>
        <v>1013861</v>
      </c>
    </row>
    <row r="272" spans="1:14" x14ac:dyDescent="0.3">
      <c r="A272" s="5">
        <f t="shared" si="255"/>
        <v>270</v>
      </c>
      <c r="B272" s="8">
        <f t="shared" si="252"/>
        <v>514</v>
      </c>
      <c r="C272" s="8">
        <v>150</v>
      </c>
      <c r="D272" s="8">
        <f t="shared" si="258"/>
        <v>2170</v>
      </c>
      <c r="E272" s="4">
        <v>0.8</v>
      </c>
      <c r="F272" s="4">
        <f t="shared" si="256"/>
        <v>1.9999999999999998</v>
      </c>
      <c r="G272" s="9">
        <f t="shared" si="253"/>
        <v>1017900</v>
      </c>
      <c r="H272" s="13">
        <f t="shared" si="257"/>
        <v>39</v>
      </c>
      <c r="N272" s="4">
        <f t="shared" si="254"/>
        <v>1017900</v>
      </c>
    </row>
    <row r="273" spans="1:14" x14ac:dyDescent="0.3">
      <c r="A273" s="5">
        <f t="shared" si="255"/>
        <v>271</v>
      </c>
      <c r="B273" s="8">
        <f t="shared" si="252"/>
        <v>518</v>
      </c>
      <c r="C273" s="8">
        <v>150</v>
      </c>
      <c r="D273" s="8">
        <f t="shared" si="258"/>
        <v>2185</v>
      </c>
      <c r="E273" s="4">
        <v>0.8</v>
      </c>
      <c r="F273" s="4">
        <f t="shared" si="256"/>
        <v>1.9999999999999998</v>
      </c>
      <c r="G273" s="9">
        <f t="shared" si="253"/>
        <v>1021941</v>
      </c>
      <c r="H273" s="13">
        <f t="shared" si="257"/>
        <v>39</v>
      </c>
      <c r="N273" s="4">
        <f t="shared" si="254"/>
        <v>1021941</v>
      </c>
    </row>
    <row r="274" spans="1:14" x14ac:dyDescent="0.3">
      <c r="A274" s="5">
        <f t="shared" si="255"/>
        <v>272</v>
      </c>
      <c r="B274" s="8">
        <f t="shared" si="252"/>
        <v>522</v>
      </c>
      <c r="C274" s="8">
        <v>150</v>
      </c>
      <c r="D274" s="8">
        <f t="shared" si="258"/>
        <v>2200</v>
      </c>
      <c r="E274" s="4">
        <v>0.8</v>
      </c>
      <c r="F274" s="4">
        <f t="shared" si="256"/>
        <v>1.9999999999999998</v>
      </c>
      <c r="G274" s="9">
        <f t="shared" si="253"/>
        <v>1025984</v>
      </c>
      <c r="H274" s="13">
        <f t="shared" si="257"/>
        <v>39</v>
      </c>
      <c r="N274" s="4">
        <f t="shared" si="254"/>
        <v>1025984</v>
      </c>
    </row>
    <row r="275" spans="1:14" x14ac:dyDescent="0.3">
      <c r="A275" s="5">
        <f t="shared" si="255"/>
        <v>273</v>
      </c>
      <c r="B275" s="8">
        <f t="shared" si="252"/>
        <v>526</v>
      </c>
      <c r="C275" s="8">
        <v>150</v>
      </c>
      <c r="D275" s="8">
        <f t="shared" si="258"/>
        <v>2215</v>
      </c>
      <c r="E275" s="4">
        <v>0.8</v>
      </c>
      <c r="F275" s="4">
        <f t="shared" si="256"/>
        <v>1.9999999999999998</v>
      </c>
      <c r="G275" s="9">
        <f t="shared" si="253"/>
        <v>1030029</v>
      </c>
      <c r="H275" s="13">
        <f t="shared" si="257"/>
        <v>39</v>
      </c>
      <c r="N275" s="4">
        <f t="shared" si="254"/>
        <v>1030029</v>
      </c>
    </row>
    <row r="276" spans="1:14" x14ac:dyDescent="0.3">
      <c r="A276" s="5">
        <f t="shared" si="255"/>
        <v>274</v>
      </c>
      <c r="B276" s="8">
        <f t="shared" si="252"/>
        <v>530</v>
      </c>
      <c r="C276" s="8">
        <v>150</v>
      </c>
      <c r="D276" s="8">
        <f t="shared" si="258"/>
        <v>2230</v>
      </c>
      <c r="E276" s="4">
        <v>0.8</v>
      </c>
      <c r="F276" s="4">
        <f t="shared" si="256"/>
        <v>1.9999999999999998</v>
      </c>
      <c r="G276" s="9">
        <f t="shared" si="253"/>
        <v>1034076</v>
      </c>
      <c r="H276" s="13">
        <f t="shared" si="257"/>
        <v>40</v>
      </c>
      <c r="N276" s="4">
        <f t="shared" si="254"/>
        <v>1034076</v>
      </c>
    </row>
    <row r="277" spans="1:14" x14ac:dyDescent="0.3">
      <c r="A277" s="5">
        <f t="shared" si="255"/>
        <v>275</v>
      </c>
      <c r="B277" s="8">
        <f t="shared" si="252"/>
        <v>534</v>
      </c>
      <c r="C277" s="8">
        <v>150</v>
      </c>
      <c r="D277" s="8">
        <f t="shared" si="258"/>
        <v>2245</v>
      </c>
      <c r="E277" s="4">
        <v>0.8</v>
      </c>
      <c r="F277" s="4">
        <f t="shared" si="256"/>
        <v>1.9999999999999998</v>
      </c>
      <c r="G277" s="9">
        <f t="shared" si="253"/>
        <v>1038125</v>
      </c>
      <c r="H277" s="13">
        <f t="shared" si="257"/>
        <v>40</v>
      </c>
      <c r="N277" s="4">
        <f t="shared" si="254"/>
        <v>1038125</v>
      </c>
    </row>
    <row r="278" spans="1:14" x14ac:dyDescent="0.3">
      <c r="A278" s="5">
        <f t="shared" si="255"/>
        <v>276</v>
      </c>
      <c r="B278" s="8">
        <f t="shared" si="252"/>
        <v>538</v>
      </c>
      <c r="C278" s="8">
        <v>150</v>
      </c>
      <c r="D278" s="8">
        <f t="shared" si="258"/>
        <v>2260</v>
      </c>
      <c r="E278" s="4">
        <v>0.8</v>
      </c>
      <c r="F278" s="4">
        <f t="shared" si="256"/>
        <v>1.9999999999999998</v>
      </c>
      <c r="G278" s="9">
        <f t="shared" si="253"/>
        <v>1042176</v>
      </c>
      <c r="H278" s="13">
        <f t="shared" si="257"/>
        <v>40</v>
      </c>
      <c r="N278" s="4">
        <f t="shared" si="254"/>
        <v>1042176</v>
      </c>
    </row>
    <row r="279" spans="1:14" x14ac:dyDescent="0.3">
      <c r="A279" s="5">
        <f t="shared" si="255"/>
        <v>277</v>
      </c>
      <c r="B279" s="8">
        <f t="shared" si="252"/>
        <v>542</v>
      </c>
      <c r="C279" s="8">
        <v>150</v>
      </c>
      <c r="D279" s="8">
        <f t="shared" si="258"/>
        <v>2275</v>
      </c>
      <c r="E279" s="4">
        <v>0.8</v>
      </c>
      <c r="F279" s="4">
        <f t="shared" si="256"/>
        <v>1.9999999999999998</v>
      </c>
      <c r="G279" s="9">
        <f t="shared" si="253"/>
        <v>1046229</v>
      </c>
      <c r="H279" s="13">
        <f t="shared" si="257"/>
        <v>40</v>
      </c>
      <c r="N279" s="4">
        <f t="shared" si="254"/>
        <v>1046229</v>
      </c>
    </row>
    <row r="280" spans="1:14" x14ac:dyDescent="0.3">
      <c r="A280" s="5">
        <f t="shared" si="255"/>
        <v>278</v>
      </c>
      <c r="B280" s="8">
        <f t="shared" si="252"/>
        <v>546</v>
      </c>
      <c r="C280" s="8">
        <v>150</v>
      </c>
      <c r="D280" s="8">
        <f t="shared" si="258"/>
        <v>2290</v>
      </c>
      <c r="E280" s="4">
        <v>0.8</v>
      </c>
      <c r="F280" s="4">
        <f t="shared" si="256"/>
        <v>1.9999999999999998</v>
      </c>
      <c r="G280" s="9">
        <f t="shared" si="253"/>
        <v>1050284</v>
      </c>
      <c r="H280" s="13">
        <f t="shared" si="257"/>
        <v>40</v>
      </c>
      <c r="N280" s="4">
        <f t="shared" si="254"/>
        <v>1050284</v>
      </c>
    </row>
    <row r="281" spans="1:14" x14ac:dyDescent="0.3">
      <c r="A281" s="5">
        <f t="shared" si="255"/>
        <v>279</v>
      </c>
      <c r="B281" s="8">
        <f t="shared" si="252"/>
        <v>550</v>
      </c>
      <c r="C281" s="8">
        <v>150</v>
      </c>
      <c r="D281" s="8">
        <f t="shared" si="258"/>
        <v>2305</v>
      </c>
      <c r="E281" s="4">
        <v>0.8</v>
      </c>
      <c r="F281" s="4">
        <f t="shared" si="256"/>
        <v>1.9999999999999998</v>
      </c>
      <c r="G281" s="9">
        <f t="shared" si="253"/>
        <v>1054341</v>
      </c>
      <c r="H281" s="13">
        <f t="shared" si="257"/>
        <v>40</v>
      </c>
      <c r="N281" s="4">
        <f t="shared" si="254"/>
        <v>1054341</v>
      </c>
    </row>
    <row r="282" spans="1:14" x14ac:dyDescent="0.3">
      <c r="A282" s="5">
        <f t="shared" si="255"/>
        <v>280</v>
      </c>
      <c r="B282" s="8">
        <f t="shared" si="252"/>
        <v>554</v>
      </c>
      <c r="C282" s="8">
        <v>150</v>
      </c>
      <c r="D282" s="8">
        <f t="shared" si="258"/>
        <v>2320</v>
      </c>
      <c r="E282" s="4">
        <v>0.8</v>
      </c>
      <c r="F282" s="4">
        <f t="shared" si="256"/>
        <v>2.1999999999999997</v>
      </c>
      <c r="G282" s="9">
        <f t="shared" si="253"/>
        <v>1058400</v>
      </c>
      <c r="H282" s="13">
        <f t="shared" si="257"/>
        <v>40</v>
      </c>
      <c r="N282" s="4">
        <f t="shared" si="254"/>
        <v>1058400</v>
      </c>
    </row>
    <row r="283" spans="1:14" x14ac:dyDescent="0.3">
      <c r="A283" s="5">
        <f t="shared" si="255"/>
        <v>281</v>
      </c>
      <c r="B283" s="8">
        <f t="shared" si="252"/>
        <v>558</v>
      </c>
      <c r="C283" s="8">
        <v>150</v>
      </c>
      <c r="D283" s="8">
        <f t="shared" si="258"/>
        <v>2335</v>
      </c>
      <c r="E283" s="4">
        <v>0.8</v>
      </c>
      <c r="F283" s="4">
        <f t="shared" si="256"/>
        <v>2.1999999999999997</v>
      </c>
      <c r="G283" s="9">
        <f t="shared" si="253"/>
        <v>1062461</v>
      </c>
      <c r="H283" s="13">
        <f t="shared" si="257"/>
        <v>41</v>
      </c>
      <c r="N283" s="4">
        <f t="shared" si="254"/>
        <v>1062461</v>
      </c>
    </row>
    <row r="284" spans="1:14" x14ac:dyDescent="0.3">
      <c r="A284" s="5">
        <f t="shared" si="255"/>
        <v>282</v>
      </c>
      <c r="B284" s="8">
        <f t="shared" si="252"/>
        <v>562</v>
      </c>
      <c r="C284" s="8">
        <v>150</v>
      </c>
      <c r="D284" s="8">
        <f t="shared" si="258"/>
        <v>2350</v>
      </c>
      <c r="E284" s="4">
        <v>0.8</v>
      </c>
      <c r="F284" s="4">
        <f t="shared" si="256"/>
        <v>2.1999999999999997</v>
      </c>
      <c r="G284" s="9">
        <f t="shared" si="253"/>
        <v>1066524</v>
      </c>
      <c r="H284" s="13">
        <f t="shared" si="257"/>
        <v>41</v>
      </c>
      <c r="N284" s="4">
        <f t="shared" si="254"/>
        <v>1066524</v>
      </c>
    </row>
    <row r="285" spans="1:14" x14ac:dyDescent="0.3">
      <c r="A285" s="5">
        <f t="shared" si="255"/>
        <v>283</v>
      </c>
      <c r="B285" s="8">
        <f t="shared" si="252"/>
        <v>566</v>
      </c>
      <c r="C285" s="8">
        <v>150</v>
      </c>
      <c r="D285" s="8">
        <f t="shared" si="258"/>
        <v>2365</v>
      </c>
      <c r="E285" s="4">
        <v>0.8</v>
      </c>
      <c r="F285" s="4">
        <f t="shared" si="256"/>
        <v>2.1999999999999997</v>
      </c>
      <c r="G285" s="9">
        <f t="shared" si="253"/>
        <v>1070589</v>
      </c>
      <c r="H285" s="13">
        <f t="shared" si="257"/>
        <v>41</v>
      </c>
      <c r="N285" s="4">
        <f t="shared" si="254"/>
        <v>1070589</v>
      </c>
    </row>
    <row r="286" spans="1:14" x14ac:dyDescent="0.3">
      <c r="A286" s="5">
        <f t="shared" si="255"/>
        <v>284</v>
      </c>
      <c r="B286" s="8">
        <f t="shared" si="252"/>
        <v>570</v>
      </c>
      <c r="C286" s="8">
        <v>150</v>
      </c>
      <c r="D286" s="8">
        <f t="shared" si="258"/>
        <v>2380</v>
      </c>
      <c r="E286" s="4">
        <v>0.8</v>
      </c>
      <c r="F286" s="4">
        <f t="shared" si="256"/>
        <v>2.1999999999999997</v>
      </c>
      <c r="G286" s="9">
        <f t="shared" si="253"/>
        <v>1074656</v>
      </c>
      <c r="H286" s="13">
        <f t="shared" si="257"/>
        <v>41</v>
      </c>
      <c r="N286" s="4">
        <f t="shared" si="254"/>
        <v>1074656</v>
      </c>
    </row>
    <row r="287" spans="1:14" x14ac:dyDescent="0.3">
      <c r="A287" s="5">
        <f t="shared" si="255"/>
        <v>285</v>
      </c>
      <c r="B287" s="8">
        <f t="shared" si="252"/>
        <v>574</v>
      </c>
      <c r="C287" s="8">
        <v>150</v>
      </c>
      <c r="D287" s="8">
        <f t="shared" si="258"/>
        <v>2395</v>
      </c>
      <c r="E287" s="4">
        <v>0.8</v>
      </c>
      <c r="F287" s="4">
        <f t="shared" si="256"/>
        <v>2.1999999999999997</v>
      </c>
      <c r="G287" s="9">
        <f t="shared" si="253"/>
        <v>1078725</v>
      </c>
      <c r="H287" s="13">
        <f t="shared" si="257"/>
        <v>41</v>
      </c>
      <c r="N287" s="4">
        <f t="shared" si="254"/>
        <v>1078725</v>
      </c>
    </row>
    <row r="288" spans="1:14" x14ac:dyDescent="0.3">
      <c r="A288" s="5">
        <f t="shared" si="255"/>
        <v>286</v>
      </c>
      <c r="B288" s="8">
        <f t="shared" si="252"/>
        <v>578</v>
      </c>
      <c r="C288" s="8">
        <v>150</v>
      </c>
      <c r="D288" s="8">
        <f t="shared" si="258"/>
        <v>2410</v>
      </c>
      <c r="E288" s="4">
        <v>0.8</v>
      </c>
      <c r="F288" s="4">
        <f t="shared" si="256"/>
        <v>2.1999999999999997</v>
      </c>
      <c r="G288" s="9">
        <f t="shared" si="253"/>
        <v>1082796</v>
      </c>
      <c r="H288" s="13">
        <f t="shared" si="257"/>
        <v>41</v>
      </c>
      <c r="N288" s="4">
        <f t="shared" si="254"/>
        <v>1082796</v>
      </c>
    </row>
    <row r="289" spans="1:14" x14ac:dyDescent="0.3">
      <c r="A289" s="5">
        <f t="shared" si="255"/>
        <v>287</v>
      </c>
      <c r="B289" s="8">
        <f t="shared" si="252"/>
        <v>582</v>
      </c>
      <c r="C289" s="8">
        <v>150</v>
      </c>
      <c r="D289" s="8">
        <f t="shared" si="258"/>
        <v>2425</v>
      </c>
      <c r="E289" s="4">
        <v>0.8</v>
      </c>
      <c r="F289" s="4">
        <f t="shared" si="256"/>
        <v>2.1999999999999997</v>
      </c>
      <c r="G289" s="9">
        <f t="shared" si="253"/>
        <v>1086869</v>
      </c>
      <c r="H289" s="13">
        <f t="shared" si="257"/>
        <v>41</v>
      </c>
      <c r="N289" s="4">
        <f t="shared" si="254"/>
        <v>1086869</v>
      </c>
    </row>
    <row r="290" spans="1:14" x14ac:dyDescent="0.3">
      <c r="A290" s="5">
        <f t="shared" si="255"/>
        <v>288</v>
      </c>
      <c r="B290" s="8">
        <f t="shared" si="252"/>
        <v>586</v>
      </c>
      <c r="C290" s="8">
        <v>150</v>
      </c>
      <c r="D290" s="8">
        <f t="shared" si="258"/>
        <v>2440</v>
      </c>
      <c r="E290" s="4">
        <v>0.8</v>
      </c>
      <c r="F290" s="4">
        <f t="shared" si="256"/>
        <v>2.1999999999999997</v>
      </c>
      <c r="G290" s="9">
        <f t="shared" si="253"/>
        <v>1090944</v>
      </c>
      <c r="H290" s="13">
        <f t="shared" si="257"/>
        <v>42</v>
      </c>
      <c r="N290" s="4">
        <f t="shared" si="254"/>
        <v>1090944</v>
      </c>
    </row>
    <row r="291" spans="1:14" x14ac:dyDescent="0.3">
      <c r="A291" s="5">
        <f t="shared" si="255"/>
        <v>289</v>
      </c>
      <c r="B291" s="8">
        <f t="shared" si="252"/>
        <v>590</v>
      </c>
      <c r="C291" s="8">
        <v>150</v>
      </c>
      <c r="D291" s="8">
        <f t="shared" si="258"/>
        <v>2455</v>
      </c>
      <c r="E291" s="4">
        <v>0.8</v>
      </c>
      <c r="F291" s="4">
        <f t="shared" si="256"/>
        <v>2.1999999999999997</v>
      </c>
      <c r="G291" s="9">
        <f t="shared" si="253"/>
        <v>1095021</v>
      </c>
      <c r="H291" s="13">
        <f t="shared" si="257"/>
        <v>42</v>
      </c>
      <c r="N291" s="4">
        <f t="shared" si="254"/>
        <v>1095021</v>
      </c>
    </row>
    <row r="292" spans="1:14" x14ac:dyDescent="0.3">
      <c r="A292" s="5">
        <f t="shared" si="255"/>
        <v>290</v>
      </c>
      <c r="B292" s="8">
        <f t="shared" si="252"/>
        <v>594</v>
      </c>
      <c r="C292" s="8">
        <v>150</v>
      </c>
      <c r="D292" s="8">
        <f t="shared" si="258"/>
        <v>2470</v>
      </c>
      <c r="E292" s="4">
        <v>0.8</v>
      </c>
      <c r="F292" s="4">
        <f t="shared" si="256"/>
        <v>2.1999999999999997</v>
      </c>
      <c r="G292" s="9">
        <f t="shared" si="253"/>
        <v>1099100</v>
      </c>
      <c r="H292" s="13">
        <f t="shared" si="257"/>
        <v>42</v>
      </c>
      <c r="N292" s="4">
        <f t="shared" si="254"/>
        <v>1099100</v>
      </c>
    </row>
    <row r="293" spans="1:14" x14ac:dyDescent="0.3">
      <c r="A293" s="5">
        <f t="shared" si="255"/>
        <v>291</v>
      </c>
      <c r="B293" s="8">
        <f t="shared" si="252"/>
        <v>598</v>
      </c>
      <c r="C293" s="8">
        <v>150</v>
      </c>
      <c r="D293" s="8">
        <f t="shared" si="258"/>
        <v>2485</v>
      </c>
      <c r="E293" s="4">
        <v>0.8</v>
      </c>
      <c r="F293" s="4">
        <f t="shared" si="256"/>
        <v>2.1999999999999997</v>
      </c>
      <c r="G293" s="9">
        <f t="shared" si="253"/>
        <v>1103181</v>
      </c>
      <c r="H293" s="13">
        <f t="shared" si="257"/>
        <v>42</v>
      </c>
      <c r="N293" s="4">
        <f t="shared" si="254"/>
        <v>1103181</v>
      </c>
    </row>
    <row r="294" spans="1:14" x14ac:dyDescent="0.3">
      <c r="A294" s="5">
        <f t="shared" si="255"/>
        <v>292</v>
      </c>
      <c r="B294" s="8">
        <f t="shared" si="252"/>
        <v>602</v>
      </c>
      <c r="C294" s="8">
        <v>150</v>
      </c>
      <c r="D294" s="8">
        <f t="shared" si="258"/>
        <v>2500</v>
      </c>
      <c r="E294" s="4">
        <v>0.8</v>
      </c>
      <c r="F294" s="4">
        <f t="shared" si="256"/>
        <v>2.1999999999999997</v>
      </c>
      <c r="G294" s="9">
        <f t="shared" si="253"/>
        <v>1107264</v>
      </c>
      <c r="H294" s="13">
        <f t="shared" si="257"/>
        <v>42</v>
      </c>
      <c r="N294" s="4">
        <f t="shared" si="254"/>
        <v>1107264</v>
      </c>
    </row>
    <row r="295" spans="1:14" x14ac:dyDescent="0.3">
      <c r="A295" s="5">
        <f t="shared" si="255"/>
        <v>293</v>
      </c>
      <c r="B295" s="8">
        <f t="shared" si="252"/>
        <v>606</v>
      </c>
      <c r="C295" s="8">
        <v>150</v>
      </c>
      <c r="D295" s="8">
        <f t="shared" si="258"/>
        <v>2515</v>
      </c>
      <c r="E295" s="4">
        <v>0.8</v>
      </c>
      <c r="F295" s="4">
        <f t="shared" si="256"/>
        <v>2.1999999999999997</v>
      </c>
      <c r="G295" s="9">
        <f t="shared" si="253"/>
        <v>1111349</v>
      </c>
      <c r="H295" s="13">
        <f t="shared" si="257"/>
        <v>42</v>
      </c>
      <c r="N295" s="4">
        <f t="shared" si="254"/>
        <v>1111349</v>
      </c>
    </row>
    <row r="296" spans="1:14" x14ac:dyDescent="0.3">
      <c r="A296" s="5">
        <f t="shared" si="255"/>
        <v>294</v>
      </c>
      <c r="B296" s="8">
        <f t="shared" si="252"/>
        <v>610</v>
      </c>
      <c r="C296" s="8">
        <v>150</v>
      </c>
      <c r="D296" s="8">
        <f t="shared" si="258"/>
        <v>2530</v>
      </c>
      <c r="E296" s="4">
        <v>0.8</v>
      </c>
      <c r="F296" s="4">
        <f t="shared" si="256"/>
        <v>2.1999999999999997</v>
      </c>
      <c r="G296" s="9">
        <f t="shared" si="253"/>
        <v>1115436</v>
      </c>
      <c r="H296" s="13">
        <f t="shared" si="257"/>
        <v>42</v>
      </c>
      <c r="N296" s="4">
        <f t="shared" si="254"/>
        <v>1115436</v>
      </c>
    </row>
    <row r="297" spans="1:14" x14ac:dyDescent="0.3">
      <c r="A297" s="5">
        <f t="shared" si="255"/>
        <v>295</v>
      </c>
      <c r="B297" s="8">
        <f t="shared" si="252"/>
        <v>614</v>
      </c>
      <c r="C297" s="8">
        <v>150</v>
      </c>
      <c r="D297" s="8">
        <f t="shared" si="258"/>
        <v>2545</v>
      </c>
      <c r="E297" s="4">
        <v>0.8</v>
      </c>
      <c r="F297" s="4">
        <f t="shared" si="256"/>
        <v>2.1999999999999997</v>
      </c>
      <c r="G297" s="9">
        <f t="shared" si="253"/>
        <v>1119525</v>
      </c>
      <c r="H297" s="13">
        <f t="shared" si="257"/>
        <v>43</v>
      </c>
      <c r="N297" s="4">
        <f t="shared" si="254"/>
        <v>1119525</v>
      </c>
    </row>
    <row r="298" spans="1:14" x14ac:dyDescent="0.3">
      <c r="A298" s="5">
        <f t="shared" si="255"/>
        <v>296</v>
      </c>
      <c r="B298" s="8">
        <f t="shared" si="252"/>
        <v>618</v>
      </c>
      <c r="C298" s="8">
        <v>150</v>
      </c>
      <c r="D298" s="8">
        <f t="shared" si="258"/>
        <v>2560</v>
      </c>
      <c r="E298" s="4">
        <v>0.8</v>
      </c>
      <c r="F298" s="4">
        <f t="shared" si="256"/>
        <v>2.1999999999999997</v>
      </c>
      <c r="G298" s="9">
        <f t="shared" si="253"/>
        <v>1123616</v>
      </c>
      <c r="H298" s="13">
        <f t="shared" si="257"/>
        <v>43</v>
      </c>
      <c r="N298" s="4">
        <f t="shared" si="254"/>
        <v>1123616</v>
      </c>
    </row>
    <row r="299" spans="1:14" x14ac:dyDescent="0.3">
      <c r="A299" s="5">
        <f t="shared" si="255"/>
        <v>297</v>
      </c>
      <c r="B299" s="8">
        <f t="shared" si="252"/>
        <v>622</v>
      </c>
      <c r="C299" s="8">
        <v>150</v>
      </c>
      <c r="D299" s="8">
        <f t="shared" si="258"/>
        <v>2575</v>
      </c>
      <c r="E299" s="4">
        <v>0.8</v>
      </c>
      <c r="F299" s="4">
        <f t="shared" si="256"/>
        <v>2.1999999999999997</v>
      </c>
      <c r="G299" s="9">
        <f t="shared" si="253"/>
        <v>1127709</v>
      </c>
      <c r="H299" s="13">
        <f t="shared" si="257"/>
        <v>43</v>
      </c>
      <c r="N299" s="4">
        <f t="shared" si="254"/>
        <v>1127709</v>
      </c>
    </row>
    <row r="300" spans="1:14" x14ac:dyDescent="0.3">
      <c r="A300" s="5">
        <f t="shared" si="255"/>
        <v>298</v>
      </c>
      <c r="B300" s="8">
        <f t="shared" si="252"/>
        <v>626</v>
      </c>
      <c r="C300" s="8">
        <v>150</v>
      </c>
      <c r="D300" s="8">
        <f t="shared" si="258"/>
        <v>2590</v>
      </c>
      <c r="E300" s="4">
        <v>0.8</v>
      </c>
      <c r="F300" s="4">
        <f t="shared" si="256"/>
        <v>2.1999999999999997</v>
      </c>
      <c r="G300" s="9">
        <f t="shared" si="253"/>
        <v>1131804</v>
      </c>
      <c r="H300" s="13">
        <f t="shared" si="257"/>
        <v>43</v>
      </c>
      <c r="N300" s="4">
        <f t="shared" si="254"/>
        <v>1131804</v>
      </c>
    </row>
    <row r="301" spans="1:14" x14ac:dyDescent="0.3">
      <c r="A301" s="5">
        <f t="shared" si="255"/>
        <v>299</v>
      </c>
      <c r="B301" s="8">
        <f t="shared" si="252"/>
        <v>630</v>
      </c>
      <c r="C301" s="8">
        <v>150</v>
      </c>
      <c r="D301" s="8">
        <f t="shared" si="258"/>
        <v>2605</v>
      </c>
      <c r="E301" s="4">
        <v>0.8</v>
      </c>
      <c r="F301" s="4">
        <f t="shared" si="256"/>
        <v>2.1999999999999997</v>
      </c>
      <c r="G301" s="9">
        <f t="shared" si="253"/>
        <v>1135901</v>
      </c>
      <c r="H301" s="13">
        <f t="shared" si="257"/>
        <v>43</v>
      </c>
      <c r="N301" s="4">
        <f t="shared" si="254"/>
        <v>1135901</v>
      </c>
    </row>
    <row r="302" spans="1:14" x14ac:dyDescent="0.3">
      <c r="A302" s="5">
        <f t="shared" si="255"/>
        <v>300</v>
      </c>
      <c r="B302" s="8">
        <f t="shared" si="252"/>
        <v>634</v>
      </c>
      <c r="C302" s="8">
        <v>150</v>
      </c>
      <c r="D302" s="8">
        <f t="shared" si="258"/>
        <v>2620</v>
      </c>
      <c r="E302" s="4">
        <v>0.8</v>
      </c>
      <c r="F302" s="4">
        <f t="shared" si="256"/>
        <v>2.4</v>
      </c>
      <c r="G302" s="9">
        <f t="shared" si="253"/>
        <v>1140000</v>
      </c>
      <c r="H302" s="13">
        <f t="shared" si="257"/>
        <v>43</v>
      </c>
      <c r="N302" s="4">
        <f>G302</f>
        <v>1140000</v>
      </c>
    </row>
  </sheetData>
  <phoneticPr fontId="1" type="noConversion"/>
  <conditionalFormatting sqref="N3:N302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{887DD5EC-0C06-48D9-B7F3-5CC34C5CC2A6}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7DD5EC-0C06-48D9-B7F3-5CC34C5CC2A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N3:N302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2025-09-07T19:45:32Z</dcterms:modified>
</cp:coreProperties>
</file>