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963A8B25-614B-49CD-B490-F6AC4562F0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4" i="2" l="1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303" i="2"/>
  <c r="C299" i="2"/>
  <c r="C298" i="2" s="1"/>
  <c r="C297" i="2" s="1"/>
  <c r="C296" i="2" s="1"/>
  <c r="C295" i="2" s="1"/>
  <c r="C294" i="2" s="1"/>
  <c r="C293" i="2" s="1"/>
  <c r="C292" i="2" s="1"/>
  <c r="C291" i="2" s="1"/>
  <c r="C290" i="2" s="1"/>
  <c r="C289" i="2" s="1"/>
  <c r="C288" i="2" s="1"/>
  <c r="C287" i="2" s="1"/>
  <c r="C286" i="2" s="1"/>
  <c r="C285" i="2" s="1"/>
  <c r="C284" i="2" s="1"/>
  <c r="C283" i="2" s="1"/>
  <c r="C282" i="2" s="1"/>
  <c r="C281" i="2" s="1"/>
  <c r="C280" i="2" s="1"/>
  <c r="C279" i="2" s="1"/>
  <c r="C278" i="2" s="1"/>
  <c r="C277" i="2" s="1"/>
  <c r="C276" i="2" s="1"/>
  <c r="C275" i="2" s="1"/>
  <c r="C274" i="2" s="1"/>
  <c r="C273" i="2" s="1"/>
  <c r="C272" i="2" s="1"/>
  <c r="C271" i="2" s="1"/>
  <c r="C270" i="2" s="1"/>
  <c r="C269" i="2" s="1"/>
  <c r="C268" i="2" s="1"/>
  <c r="C267" i="2" s="1"/>
  <c r="C266" i="2" s="1"/>
  <c r="C265" i="2" s="1"/>
  <c r="C264" i="2" s="1"/>
  <c r="C263" i="2" s="1"/>
  <c r="C262" i="2" s="1"/>
  <c r="C261" i="2" s="1"/>
  <c r="C260" i="2" s="1"/>
  <c r="C259" i="2" s="1"/>
  <c r="C258" i="2" s="1"/>
  <c r="C257" i="2" s="1"/>
  <c r="C256" i="2" s="1"/>
  <c r="C255" i="2" s="1"/>
  <c r="C254" i="2" s="1"/>
  <c r="C253" i="2" s="1"/>
  <c r="C252" i="2" s="1"/>
  <c r="C251" i="2" s="1"/>
  <c r="C250" i="2" s="1"/>
  <c r="C249" i="2" s="1"/>
  <c r="C248" i="2" s="1"/>
  <c r="C247" i="2" s="1"/>
  <c r="C246" i="2" s="1"/>
  <c r="C245" i="2" s="1"/>
  <c r="C244" i="2" s="1"/>
  <c r="C243" i="2" s="1"/>
  <c r="C242" i="2" s="1"/>
  <c r="C241" i="2" s="1"/>
  <c r="C240" i="2" s="1"/>
  <c r="C239" i="2" s="1"/>
  <c r="C238" i="2" s="1"/>
  <c r="C237" i="2" s="1"/>
  <c r="C236" i="2" s="1"/>
  <c r="C235" i="2" s="1"/>
  <c r="C234" i="2" s="1"/>
  <c r="C233" i="2" s="1"/>
  <c r="C232" i="2" s="1"/>
  <c r="C231" i="2" s="1"/>
  <c r="C230" i="2" s="1"/>
  <c r="C229" i="2" s="1"/>
  <c r="C228" i="2" s="1"/>
  <c r="C227" i="2" s="1"/>
  <c r="C226" i="2" s="1"/>
  <c r="C225" i="2" s="1"/>
  <c r="C224" i="2" s="1"/>
  <c r="C223" i="2" s="1"/>
  <c r="C222" i="2" s="1"/>
  <c r="C221" i="2" s="1"/>
  <c r="C220" i="2" s="1"/>
  <c r="C219" i="2" s="1"/>
  <c r="C218" i="2" s="1"/>
  <c r="C217" i="2" s="1"/>
  <c r="C216" i="2" s="1"/>
  <c r="C215" i="2" s="1"/>
  <c r="C214" i="2" s="1"/>
  <c r="C213" i="2" s="1"/>
  <c r="C212" i="2" s="1"/>
  <c r="C211" i="2" s="1"/>
  <c r="C210" i="2" s="1"/>
  <c r="C209" i="2" s="1"/>
  <c r="C208" i="2" s="1"/>
  <c r="C207" i="2" s="1"/>
  <c r="C206" i="2" s="1"/>
  <c r="C205" i="2" s="1"/>
  <c r="C204" i="2" s="1"/>
  <c r="C203" i="2" s="1"/>
  <c r="C202" i="2" s="1"/>
  <c r="C201" i="2" s="1"/>
  <c r="C200" i="2" s="1"/>
  <c r="C199" i="2" s="1"/>
  <c r="C198" i="2" s="1"/>
  <c r="C197" i="2" s="1"/>
  <c r="C196" i="2" s="1"/>
  <c r="C195" i="2" s="1"/>
  <c r="C194" i="2" s="1"/>
  <c r="C193" i="2" s="1"/>
  <c r="C192" i="2" s="1"/>
  <c r="C191" i="2" s="1"/>
  <c r="C190" i="2" s="1"/>
  <c r="C189" i="2" s="1"/>
  <c r="C188" i="2" s="1"/>
  <c r="C187" i="2" s="1"/>
  <c r="C186" i="2" s="1"/>
  <c r="C185" i="2" s="1"/>
  <c r="C184" i="2" s="1"/>
  <c r="C183" i="2" s="1"/>
  <c r="C182" i="2" s="1"/>
  <c r="C181" i="2" s="1"/>
  <c r="C180" i="2" s="1"/>
  <c r="C179" i="2" s="1"/>
  <c r="C178" i="2" s="1"/>
  <c r="C177" i="2" s="1"/>
  <c r="C176" i="2" s="1"/>
  <c r="C175" i="2" s="1"/>
  <c r="C174" i="2" s="1"/>
  <c r="C173" i="2" s="1"/>
  <c r="C172" i="2" s="1"/>
  <c r="C171" i="2" s="1"/>
  <c r="C170" i="2" s="1"/>
  <c r="C169" i="2" s="1"/>
  <c r="C168" i="2" s="1"/>
  <c r="C167" i="2" s="1"/>
  <c r="C166" i="2" s="1"/>
  <c r="C165" i="2" s="1"/>
  <c r="C164" i="2" s="1"/>
  <c r="C163" i="2" s="1"/>
  <c r="C162" i="2" s="1"/>
  <c r="C161" i="2" s="1"/>
  <c r="C160" i="2" s="1"/>
  <c r="C159" i="2" s="1"/>
  <c r="C158" i="2" s="1"/>
  <c r="C157" i="2" s="1"/>
  <c r="C156" i="2" s="1"/>
  <c r="C155" i="2" s="1"/>
  <c r="C154" i="2" s="1"/>
  <c r="C153" i="2" s="1"/>
  <c r="C152" i="2" s="1"/>
  <c r="C151" i="2" s="1"/>
  <c r="C150" i="2" s="1"/>
  <c r="C149" i="2" s="1"/>
  <c r="C148" i="2" s="1"/>
  <c r="C147" i="2" s="1"/>
  <c r="C146" i="2" s="1"/>
  <c r="C145" i="2" s="1"/>
  <c r="C144" i="2" s="1"/>
  <c r="C143" i="2" s="1"/>
  <c r="C142" i="2" s="1"/>
  <c r="C141" i="2" s="1"/>
  <c r="C140" i="2" s="1"/>
  <c r="C139" i="2" s="1"/>
  <c r="C138" i="2" s="1"/>
  <c r="C137" i="2" s="1"/>
  <c r="C136" i="2" s="1"/>
  <c r="C135" i="2" s="1"/>
  <c r="C134" i="2" s="1"/>
  <c r="C133" i="2" s="1"/>
  <c r="C132" i="2" s="1"/>
  <c r="C131" i="2" s="1"/>
  <c r="C130" i="2" s="1"/>
  <c r="C129" i="2" s="1"/>
  <c r="C128" i="2" s="1"/>
  <c r="C127" i="2" s="1"/>
  <c r="C126" i="2" s="1"/>
  <c r="C125" i="2" s="1"/>
  <c r="C124" i="2" s="1"/>
  <c r="C123" i="2" s="1"/>
  <c r="C122" i="2" s="1"/>
  <c r="C121" i="2" s="1"/>
  <c r="C120" i="2" s="1"/>
  <c r="C119" i="2" s="1"/>
  <c r="C118" i="2" s="1"/>
  <c r="C117" i="2" s="1"/>
  <c r="C116" i="2" s="1"/>
  <c r="C115" i="2" s="1"/>
  <c r="C114" i="2" s="1"/>
  <c r="C113" i="2" s="1"/>
  <c r="C112" i="2" s="1"/>
  <c r="C111" i="2" s="1"/>
  <c r="C110" i="2" s="1"/>
  <c r="C109" i="2" s="1"/>
  <c r="C108" i="2" s="1"/>
  <c r="C107" i="2" s="1"/>
  <c r="C106" i="2" s="1"/>
  <c r="C105" i="2" s="1"/>
  <c r="C104" i="2" s="1"/>
  <c r="C103" i="2" s="1"/>
  <c r="C102" i="2" s="1"/>
  <c r="C101" i="2" s="1"/>
  <c r="C100" i="2" s="1"/>
  <c r="C99" i="2" s="1"/>
  <c r="C98" i="2" s="1"/>
  <c r="C97" i="2" s="1"/>
  <c r="C96" i="2" s="1"/>
  <c r="C95" i="2" s="1"/>
  <c r="C94" i="2" s="1"/>
  <c r="C93" i="2" s="1"/>
  <c r="C92" i="2" s="1"/>
  <c r="C91" i="2" s="1"/>
  <c r="C90" i="2" s="1"/>
  <c r="C89" i="2" s="1"/>
  <c r="C88" i="2" s="1"/>
  <c r="C87" i="2" s="1"/>
  <c r="C86" i="2" s="1"/>
  <c r="C85" i="2" s="1"/>
  <c r="C84" i="2" s="1"/>
  <c r="C83" i="2" s="1"/>
  <c r="C82" i="2" s="1"/>
  <c r="C81" i="2" s="1"/>
  <c r="C80" i="2" s="1"/>
  <c r="C79" i="2" s="1"/>
  <c r="C78" i="2" s="1"/>
  <c r="C77" i="2" s="1"/>
  <c r="C76" i="2" s="1"/>
  <c r="C75" i="2" s="1"/>
  <c r="C74" i="2" s="1"/>
  <c r="C73" i="2" s="1"/>
  <c r="C72" i="2" s="1"/>
  <c r="C71" i="2" s="1"/>
  <c r="C70" i="2" s="1"/>
  <c r="C69" i="2" s="1"/>
  <c r="C68" i="2" s="1"/>
  <c r="C67" i="2" s="1"/>
  <c r="C66" i="2" s="1"/>
  <c r="C65" i="2" s="1"/>
  <c r="C64" i="2" s="1"/>
  <c r="C63" i="2" s="1"/>
  <c r="C62" i="2" s="1"/>
  <c r="C61" i="2" s="1"/>
  <c r="C60" i="2" s="1"/>
  <c r="C59" i="2" s="1"/>
  <c r="C58" i="2" s="1"/>
  <c r="C57" i="2" s="1"/>
  <c r="C56" i="2" s="1"/>
  <c r="C55" i="2" s="1"/>
  <c r="C54" i="2" s="1"/>
  <c r="C53" i="2" s="1"/>
  <c r="C52" i="2" s="1"/>
  <c r="C51" i="2" s="1"/>
  <c r="C50" i="2" s="1"/>
  <c r="C49" i="2" s="1"/>
  <c r="C48" i="2" s="1"/>
  <c r="C47" i="2" s="1"/>
  <c r="C46" i="2" s="1"/>
  <c r="C45" i="2" s="1"/>
  <c r="C44" i="2" s="1"/>
  <c r="C43" i="2" s="1"/>
  <c r="C42" i="2" s="1"/>
  <c r="C41" i="2" s="1"/>
  <c r="C40" i="2" s="1"/>
  <c r="C39" i="2" s="1"/>
  <c r="C38" i="2" s="1"/>
  <c r="C37" i="2" s="1"/>
  <c r="C36" i="2" s="1"/>
  <c r="C35" i="2" s="1"/>
  <c r="C34" i="2" s="1"/>
  <c r="C33" i="2" s="1"/>
  <c r="C32" i="2" s="1"/>
  <c r="C31" i="2" s="1"/>
  <c r="C30" i="2" s="1"/>
  <c r="C29" i="2" s="1"/>
  <c r="C28" i="2" s="1"/>
  <c r="C27" i="2" s="1"/>
  <c r="C26" i="2" s="1"/>
  <c r="C25" i="2" s="1"/>
  <c r="C24" i="2" s="1"/>
  <c r="C23" i="2" s="1"/>
  <c r="C22" i="2" s="1"/>
  <c r="C21" i="2" s="1"/>
  <c r="C20" i="2" s="1"/>
  <c r="C19" i="2" s="1"/>
  <c r="C18" i="2" s="1"/>
  <c r="C17" i="2" s="1"/>
  <c r="C16" i="2" s="1"/>
  <c r="C15" i="2" s="1"/>
  <c r="C14" i="2" s="1"/>
  <c r="C13" i="2" s="1"/>
  <c r="C12" i="2" s="1"/>
  <c r="C11" i="2" s="1"/>
  <c r="C10" i="2" s="1"/>
  <c r="C9" i="2" s="1"/>
  <c r="C8" i="2" s="1"/>
  <c r="C7" i="2" s="1"/>
  <c r="C6" i="2" s="1"/>
  <c r="C5" i="2" s="1"/>
  <c r="C4" i="2" s="1"/>
  <c r="C3" i="2" s="1"/>
  <c r="C300" i="2"/>
  <c r="C301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303" i="2"/>
  <c r="D203" i="2"/>
  <c r="D204" i="2"/>
  <c r="D205" i="2"/>
  <c r="D206" i="2"/>
  <c r="D207" i="2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202" i="2"/>
  <c r="D104" i="2"/>
  <c r="D105" i="2"/>
  <c r="D106" i="2"/>
  <c r="D107" i="2"/>
  <c r="D108" i="2"/>
  <c r="D109" i="2"/>
  <c r="D110" i="2"/>
  <c r="D111" i="2"/>
  <c r="D112" i="2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103" i="2"/>
  <c r="D53" i="2"/>
  <c r="D54" i="2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52" i="2"/>
  <c r="D34" i="2"/>
  <c r="D35" i="2"/>
  <c r="D36" i="2"/>
  <c r="D37" i="2"/>
  <c r="D38" i="2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33" i="2"/>
  <c r="D24" i="2"/>
  <c r="D25" i="2"/>
  <c r="D26" i="2"/>
  <c r="D27" i="2"/>
  <c r="D28" i="2"/>
  <c r="D29" i="2" s="1"/>
  <c r="D30" i="2" s="1"/>
  <c r="D31" i="2" s="1"/>
  <c r="D32" i="2" s="1"/>
  <c r="D23" i="2"/>
  <c r="D14" i="2"/>
  <c r="D15" i="2"/>
  <c r="D16" i="2"/>
  <c r="D17" i="2"/>
  <c r="D18" i="2"/>
  <c r="D19" i="2" s="1"/>
  <c r="D20" i="2" s="1"/>
  <c r="D21" i="2" s="1"/>
  <c r="D22" i="2" s="1"/>
  <c r="D13" i="2"/>
  <c r="D5" i="2"/>
  <c r="D6" i="2"/>
  <c r="D7" i="2" s="1"/>
  <c r="D8" i="2" s="1"/>
  <c r="D9" i="2" s="1"/>
  <c r="D10" i="2" s="1"/>
  <c r="D11" i="2" s="1"/>
  <c r="D12" i="2" s="1"/>
  <c r="D4" i="2"/>
  <c r="G103" i="2" l="1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I54" i="2"/>
  <c r="I55" i="2"/>
  <c r="I105" i="2" s="1"/>
  <c r="I155" i="2" s="1"/>
  <c r="I205" i="2" s="1"/>
  <c r="I230" i="2" s="1"/>
  <c r="I255" i="2" s="1"/>
  <c r="I280" i="2" s="1"/>
  <c r="I305" i="2" s="1"/>
  <c r="I330" i="2" s="1"/>
  <c r="I355" i="2" s="1"/>
  <c r="I380" i="2" s="1"/>
  <c r="I405" i="2" s="1"/>
  <c r="I430" i="2" s="1"/>
  <c r="I455" i="2" s="1"/>
  <c r="I480" i="2" s="1"/>
  <c r="I505" i="2" s="1"/>
  <c r="I530" i="2" s="1"/>
  <c r="I555" i="2" s="1"/>
  <c r="I580" i="2" s="1"/>
  <c r="I605" i="2" s="1"/>
  <c r="I630" i="2" s="1"/>
  <c r="I655" i="2" s="1"/>
  <c r="I680" i="2" s="1"/>
  <c r="I56" i="2"/>
  <c r="I106" i="2" s="1"/>
  <c r="I57" i="2"/>
  <c r="I58" i="2"/>
  <c r="I108" i="2" s="1"/>
  <c r="I59" i="2"/>
  <c r="I109" i="2" s="1"/>
  <c r="I159" i="2" s="1"/>
  <c r="I209" i="2" s="1"/>
  <c r="I234" i="2" s="1"/>
  <c r="I259" i="2" s="1"/>
  <c r="I284" i="2" s="1"/>
  <c r="I309" i="2" s="1"/>
  <c r="I334" i="2" s="1"/>
  <c r="I359" i="2" s="1"/>
  <c r="I384" i="2" s="1"/>
  <c r="I409" i="2" s="1"/>
  <c r="I434" i="2" s="1"/>
  <c r="I459" i="2" s="1"/>
  <c r="I484" i="2" s="1"/>
  <c r="I509" i="2" s="1"/>
  <c r="I534" i="2" s="1"/>
  <c r="I559" i="2" s="1"/>
  <c r="I584" i="2" s="1"/>
  <c r="I609" i="2" s="1"/>
  <c r="I634" i="2" s="1"/>
  <c r="I659" i="2" s="1"/>
  <c r="I684" i="2" s="1"/>
  <c r="I60" i="2"/>
  <c r="I61" i="2"/>
  <c r="I111" i="2" s="1"/>
  <c r="I161" i="2" s="1"/>
  <c r="I211" i="2" s="1"/>
  <c r="I236" i="2" s="1"/>
  <c r="I261" i="2" s="1"/>
  <c r="I286" i="2" s="1"/>
  <c r="I311" i="2" s="1"/>
  <c r="I336" i="2" s="1"/>
  <c r="I361" i="2" s="1"/>
  <c r="I386" i="2" s="1"/>
  <c r="I411" i="2" s="1"/>
  <c r="I436" i="2" s="1"/>
  <c r="I461" i="2" s="1"/>
  <c r="I486" i="2" s="1"/>
  <c r="I511" i="2" s="1"/>
  <c r="I536" i="2" s="1"/>
  <c r="I561" i="2" s="1"/>
  <c r="I586" i="2" s="1"/>
  <c r="I611" i="2" s="1"/>
  <c r="I636" i="2" s="1"/>
  <c r="I661" i="2" s="1"/>
  <c r="I686" i="2" s="1"/>
  <c r="I62" i="2"/>
  <c r="I63" i="2"/>
  <c r="I113" i="2" s="1"/>
  <c r="I163" i="2" s="1"/>
  <c r="I213" i="2" s="1"/>
  <c r="I238" i="2" s="1"/>
  <c r="I263" i="2" s="1"/>
  <c r="I288" i="2" s="1"/>
  <c r="I313" i="2" s="1"/>
  <c r="I338" i="2" s="1"/>
  <c r="I363" i="2" s="1"/>
  <c r="I388" i="2" s="1"/>
  <c r="I413" i="2" s="1"/>
  <c r="I438" i="2" s="1"/>
  <c r="I463" i="2" s="1"/>
  <c r="I488" i="2" s="1"/>
  <c r="I513" i="2" s="1"/>
  <c r="I538" i="2" s="1"/>
  <c r="I563" i="2" s="1"/>
  <c r="I588" i="2" s="1"/>
  <c r="I613" i="2" s="1"/>
  <c r="I638" i="2" s="1"/>
  <c r="I663" i="2" s="1"/>
  <c r="I688" i="2" s="1"/>
  <c r="I64" i="2"/>
  <c r="I114" i="2" s="1"/>
  <c r="I164" i="2" s="1"/>
  <c r="I214" i="2" s="1"/>
  <c r="I239" i="2" s="1"/>
  <c r="I264" i="2" s="1"/>
  <c r="I289" i="2" s="1"/>
  <c r="I314" i="2" s="1"/>
  <c r="I339" i="2" s="1"/>
  <c r="I364" i="2" s="1"/>
  <c r="I389" i="2" s="1"/>
  <c r="I414" i="2" s="1"/>
  <c r="I439" i="2" s="1"/>
  <c r="I464" i="2" s="1"/>
  <c r="I489" i="2" s="1"/>
  <c r="I514" i="2" s="1"/>
  <c r="I539" i="2" s="1"/>
  <c r="I564" i="2" s="1"/>
  <c r="I589" i="2" s="1"/>
  <c r="I614" i="2" s="1"/>
  <c r="I639" i="2" s="1"/>
  <c r="I664" i="2" s="1"/>
  <c r="I689" i="2" s="1"/>
  <c r="I65" i="2"/>
  <c r="I115" i="2" s="1"/>
  <c r="I165" i="2" s="1"/>
  <c r="I215" i="2" s="1"/>
  <c r="I240" i="2" s="1"/>
  <c r="I265" i="2" s="1"/>
  <c r="I290" i="2" s="1"/>
  <c r="I315" i="2" s="1"/>
  <c r="I340" i="2" s="1"/>
  <c r="I365" i="2" s="1"/>
  <c r="I390" i="2" s="1"/>
  <c r="I415" i="2" s="1"/>
  <c r="I440" i="2" s="1"/>
  <c r="I465" i="2" s="1"/>
  <c r="I490" i="2" s="1"/>
  <c r="I515" i="2" s="1"/>
  <c r="I540" i="2" s="1"/>
  <c r="I565" i="2" s="1"/>
  <c r="I590" i="2" s="1"/>
  <c r="I615" i="2" s="1"/>
  <c r="I640" i="2" s="1"/>
  <c r="I665" i="2" s="1"/>
  <c r="I690" i="2" s="1"/>
  <c r="I66" i="2"/>
  <c r="I116" i="2" s="1"/>
  <c r="I166" i="2" s="1"/>
  <c r="I216" i="2" s="1"/>
  <c r="I241" i="2" s="1"/>
  <c r="I266" i="2" s="1"/>
  <c r="I291" i="2" s="1"/>
  <c r="I316" i="2" s="1"/>
  <c r="I341" i="2" s="1"/>
  <c r="I366" i="2" s="1"/>
  <c r="I391" i="2" s="1"/>
  <c r="I416" i="2" s="1"/>
  <c r="I441" i="2" s="1"/>
  <c r="I466" i="2" s="1"/>
  <c r="I491" i="2" s="1"/>
  <c r="I516" i="2" s="1"/>
  <c r="I541" i="2" s="1"/>
  <c r="I566" i="2" s="1"/>
  <c r="I591" i="2" s="1"/>
  <c r="I616" i="2" s="1"/>
  <c r="I641" i="2" s="1"/>
  <c r="I666" i="2" s="1"/>
  <c r="I691" i="2" s="1"/>
  <c r="I67" i="2"/>
  <c r="I117" i="2" s="1"/>
  <c r="I167" i="2" s="1"/>
  <c r="I217" i="2" s="1"/>
  <c r="I242" i="2" s="1"/>
  <c r="I267" i="2" s="1"/>
  <c r="I292" i="2" s="1"/>
  <c r="I317" i="2" s="1"/>
  <c r="I342" i="2" s="1"/>
  <c r="I367" i="2" s="1"/>
  <c r="I392" i="2" s="1"/>
  <c r="I417" i="2" s="1"/>
  <c r="I442" i="2" s="1"/>
  <c r="I467" i="2" s="1"/>
  <c r="I492" i="2" s="1"/>
  <c r="I517" i="2" s="1"/>
  <c r="I542" i="2" s="1"/>
  <c r="I567" i="2" s="1"/>
  <c r="I592" i="2" s="1"/>
  <c r="I617" i="2" s="1"/>
  <c r="I642" i="2" s="1"/>
  <c r="I667" i="2" s="1"/>
  <c r="I692" i="2" s="1"/>
  <c r="I68" i="2"/>
  <c r="I118" i="2" s="1"/>
  <c r="I168" i="2" s="1"/>
  <c r="I218" i="2" s="1"/>
  <c r="I243" i="2" s="1"/>
  <c r="I268" i="2" s="1"/>
  <c r="I293" i="2" s="1"/>
  <c r="I318" i="2" s="1"/>
  <c r="I343" i="2" s="1"/>
  <c r="I368" i="2" s="1"/>
  <c r="I393" i="2" s="1"/>
  <c r="I418" i="2" s="1"/>
  <c r="I443" i="2" s="1"/>
  <c r="I468" i="2" s="1"/>
  <c r="I493" i="2" s="1"/>
  <c r="I518" i="2" s="1"/>
  <c r="I543" i="2" s="1"/>
  <c r="I568" i="2" s="1"/>
  <c r="I593" i="2" s="1"/>
  <c r="I618" i="2" s="1"/>
  <c r="I643" i="2" s="1"/>
  <c r="I668" i="2" s="1"/>
  <c r="I693" i="2" s="1"/>
  <c r="I69" i="2"/>
  <c r="I119" i="2" s="1"/>
  <c r="I169" i="2" s="1"/>
  <c r="I219" i="2" s="1"/>
  <c r="I244" i="2" s="1"/>
  <c r="I269" i="2" s="1"/>
  <c r="I294" i="2" s="1"/>
  <c r="I319" i="2" s="1"/>
  <c r="I344" i="2" s="1"/>
  <c r="I369" i="2" s="1"/>
  <c r="I394" i="2" s="1"/>
  <c r="I419" i="2" s="1"/>
  <c r="I444" i="2" s="1"/>
  <c r="I469" i="2" s="1"/>
  <c r="I494" i="2" s="1"/>
  <c r="I519" i="2" s="1"/>
  <c r="I544" i="2" s="1"/>
  <c r="I569" i="2" s="1"/>
  <c r="I594" i="2" s="1"/>
  <c r="I619" i="2" s="1"/>
  <c r="I644" i="2" s="1"/>
  <c r="I669" i="2" s="1"/>
  <c r="I694" i="2" s="1"/>
  <c r="I70" i="2"/>
  <c r="I120" i="2" s="1"/>
  <c r="I170" i="2" s="1"/>
  <c r="I220" i="2" s="1"/>
  <c r="I245" i="2" s="1"/>
  <c r="I270" i="2" s="1"/>
  <c r="I295" i="2" s="1"/>
  <c r="I320" i="2" s="1"/>
  <c r="I345" i="2" s="1"/>
  <c r="I370" i="2" s="1"/>
  <c r="I395" i="2" s="1"/>
  <c r="I420" i="2" s="1"/>
  <c r="I445" i="2" s="1"/>
  <c r="I470" i="2" s="1"/>
  <c r="I495" i="2" s="1"/>
  <c r="I520" i="2" s="1"/>
  <c r="I545" i="2" s="1"/>
  <c r="I570" i="2" s="1"/>
  <c r="I595" i="2" s="1"/>
  <c r="I620" i="2" s="1"/>
  <c r="I645" i="2" s="1"/>
  <c r="I670" i="2" s="1"/>
  <c r="I695" i="2" s="1"/>
  <c r="I71" i="2"/>
  <c r="I121" i="2" s="1"/>
  <c r="I171" i="2" s="1"/>
  <c r="I221" i="2" s="1"/>
  <c r="I246" i="2" s="1"/>
  <c r="I271" i="2" s="1"/>
  <c r="I296" i="2" s="1"/>
  <c r="I321" i="2" s="1"/>
  <c r="I346" i="2" s="1"/>
  <c r="I371" i="2" s="1"/>
  <c r="I396" i="2" s="1"/>
  <c r="I421" i="2" s="1"/>
  <c r="I446" i="2" s="1"/>
  <c r="I471" i="2" s="1"/>
  <c r="I496" i="2" s="1"/>
  <c r="I521" i="2" s="1"/>
  <c r="I546" i="2" s="1"/>
  <c r="I571" i="2" s="1"/>
  <c r="I596" i="2" s="1"/>
  <c r="I621" i="2" s="1"/>
  <c r="I646" i="2" s="1"/>
  <c r="I671" i="2" s="1"/>
  <c r="I696" i="2" s="1"/>
  <c r="I72" i="2"/>
  <c r="I122" i="2" s="1"/>
  <c r="I172" i="2" s="1"/>
  <c r="I222" i="2" s="1"/>
  <c r="I247" i="2" s="1"/>
  <c r="I272" i="2" s="1"/>
  <c r="I297" i="2" s="1"/>
  <c r="I322" i="2" s="1"/>
  <c r="I347" i="2" s="1"/>
  <c r="I372" i="2" s="1"/>
  <c r="I397" i="2" s="1"/>
  <c r="I422" i="2" s="1"/>
  <c r="I447" i="2" s="1"/>
  <c r="I472" i="2" s="1"/>
  <c r="I497" i="2" s="1"/>
  <c r="I522" i="2" s="1"/>
  <c r="I547" i="2" s="1"/>
  <c r="I572" i="2" s="1"/>
  <c r="I597" i="2" s="1"/>
  <c r="I622" i="2" s="1"/>
  <c r="I647" i="2" s="1"/>
  <c r="I672" i="2" s="1"/>
  <c r="I697" i="2" s="1"/>
  <c r="I73" i="2"/>
  <c r="I74" i="2"/>
  <c r="I75" i="2"/>
  <c r="I76" i="2"/>
  <c r="I126" i="2" s="1"/>
  <c r="I176" i="2" s="1"/>
  <c r="I226" i="2" s="1"/>
  <c r="I251" i="2" s="1"/>
  <c r="I276" i="2" s="1"/>
  <c r="I301" i="2" s="1"/>
  <c r="I326" i="2" s="1"/>
  <c r="I351" i="2" s="1"/>
  <c r="I376" i="2" s="1"/>
  <c r="I401" i="2" s="1"/>
  <c r="I426" i="2" s="1"/>
  <c r="I451" i="2" s="1"/>
  <c r="I476" i="2" s="1"/>
  <c r="I501" i="2" s="1"/>
  <c r="I526" i="2" s="1"/>
  <c r="I551" i="2" s="1"/>
  <c r="I576" i="2" s="1"/>
  <c r="I601" i="2" s="1"/>
  <c r="I626" i="2" s="1"/>
  <c r="I651" i="2" s="1"/>
  <c r="I676" i="2" s="1"/>
  <c r="I701" i="2" s="1"/>
  <c r="I77" i="2"/>
  <c r="I127" i="2" s="1"/>
  <c r="I177" i="2" s="1"/>
  <c r="I78" i="2"/>
  <c r="I128" i="2" s="1"/>
  <c r="I178" i="2" s="1"/>
  <c r="I79" i="2"/>
  <c r="I80" i="2"/>
  <c r="I130" i="2" s="1"/>
  <c r="I180" i="2" s="1"/>
  <c r="I81" i="2"/>
  <c r="I82" i="2"/>
  <c r="I132" i="2" s="1"/>
  <c r="I182" i="2" s="1"/>
  <c r="I83" i="2"/>
  <c r="I133" i="2" s="1"/>
  <c r="I183" i="2" s="1"/>
  <c r="I84" i="2"/>
  <c r="I134" i="2" s="1"/>
  <c r="I184" i="2" s="1"/>
  <c r="I85" i="2"/>
  <c r="I135" i="2" s="1"/>
  <c r="I185" i="2" s="1"/>
  <c r="I86" i="2"/>
  <c r="I136" i="2" s="1"/>
  <c r="I186" i="2" s="1"/>
  <c r="I87" i="2"/>
  <c r="I137" i="2" s="1"/>
  <c r="I187" i="2" s="1"/>
  <c r="I88" i="2"/>
  <c r="I138" i="2" s="1"/>
  <c r="I188" i="2" s="1"/>
  <c r="I89" i="2"/>
  <c r="I139" i="2" s="1"/>
  <c r="I189" i="2" s="1"/>
  <c r="I90" i="2"/>
  <c r="I140" i="2" s="1"/>
  <c r="I190" i="2" s="1"/>
  <c r="I91" i="2"/>
  <c r="I141" i="2" s="1"/>
  <c r="I191" i="2" s="1"/>
  <c r="I92" i="2"/>
  <c r="I142" i="2" s="1"/>
  <c r="I192" i="2" s="1"/>
  <c r="I93" i="2"/>
  <c r="I143" i="2" s="1"/>
  <c r="I193" i="2" s="1"/>
  <c r="I94" i="2"/>
  <c r="I144" i="2" s="1"/>
  <c r="I194" i="2" s="1"/>
  <c r="I95" i="2"/>
  <c r="I145" i="2" s="1"/>
  <c r="I195" i="2" s="1"/>
  <c r="I96" i="2"/>
  <c r="I146" i="2" s="1"/>
  <c r="I196" i="2" s="1"/>
  <c r="I97" i="2"/>
  <c r="I98" i="2"/>
  <c r="I148" i="2" s="1"/>
  <c r="I198" i="2" s="1"/>
  <c r="I99" i="2"/>
  <c r="I100" i="2"/>
  <c r="I150" i="2" s="1"/>
  <c r="I200" i="2" s="1"/>
  <c r="I101" i="2"/>
  <c r="I151" i="2" s="1"/>
  <c r="I201" i="2" s="1"/>
  <c r="I102" i="2"/>
  <c r="I152" i="2" s="1"/>
  <c r="I202" i="2" s="1"/>
  <c r="I227" i="2" s="1"/>
  <c r="I252" i="2" s="1"/>
  <c r="I277" i="2" s="1"/>
  <c r="I302" i="2" s="1"/>
  <c r="I327" i="2" s="1"/>
  <c r="I352" i="2" s="1"/>
  <c r="I377" i="2" s="1"/>
  <c r="I402" i="2" s="1"/>
  <c r="I427" i="2" s="1"/>
  <c r="I452" i="2" s="1"/>
  <c r="I477" i="2" s="1"/>
  <c r="I502" i="2" s="1"/>
  <c r="I527" i="2" s="1"/>
  <c r="I552" i="2" s="1"/>
  <c r="I577" i="2" s="1"/>
  <c r="I602" i="2" s="1"/>
  <c r="I627" i="2" s="1"/>
  <c r="I652" i="2" s="1"/>
  <c r="I677" i="2" s="1"/>
  <c r="I104" i="2"/>
  <c r="I107" i="2"/>
  <c r="I110" i="2"/>
  <c r="I160" i="2" s="1"/>
  <c r="I210" i="2" s="1"/>
  <c r="I235" i="2" s="1"/>
  <c r="I260" i="2" s="1"/>
  <c r="I285" i="2" s="1"/>
  <c r="I310" i="2" s="1"/>
  <c r="I335" i="2" s="1"/>
  <c r="I360" i="2" s="1"/>
  <c r="I385" i="2" s="1"/>
  <c r="I410" i="2" s="1"/>
  <c r="I435" i="2" s="1"/>
  <c r="I460" i="2" s="1"/>
  <c r="I485" i="2" s="1"/>
  <c r="I510" i="2" s="1"/>
  <c r="I535" i="2" s="1"/>
  <c r="I560" i="2" s="1"/>
  <c r="I585" i="2" s="1"/>
  <c r="I610" i="2" s="1"/>
  <c r="I635" i="2" s="1"/>
  <c r="I660" i="2" s="1"/>
  <c r="I685" i="2" s="1"/>
  <c r="I123" i="2"/>
  <c r="I124" i="2"/>
  <c r="I174" i="2" s="1"/>
  <c r="I224" i="2" s="1"/>
  <c r="I249" i="2" s="1"/>
  <c r="I274" i="2" s="1"/>
  <c r="I299" i="2" s="1"/>
  <c r="I324" i="2" s="1"/>
  <c r="I349" i="2" s="1"/>
  <c r="I374" i="2" s="1"/>
  <c r="I399" i="2" s="1"/>
  <c r="I424" i="2" s="1"/>
  <c r="I449" i="2" s="1"/>
  <c r="I474" i="2" s="1"/>
  <c r="I499" i="2" s="1"/>
  <c r="I524" i="2" s="1"/>
  <c r="I549" i="2" s="1"/>
  <c r="I574" i="2" s="1"/>
  <c r="I599" i="2" s="1"/>
  <c r="I624" i="2" s="1"/>
  <c r="I649" i="2" s="1"/>
  <c r="I674" i="2" s="1"/>
  <c r="I699" i="2" s="1"/>
  <c r="I125" i="2"/>
  <c r="I175" i="2" s="1"/>
  <c r="I225" i="2" s="1"/>
  <c r="I250" i="2" s="1"/>
  <c r="I275" i="2" s="1"/>
  <c r="I300" i="2" s="1"/>
  <c r="I325" i="2" s="1"/>
  <c r="I350" i="2" s="1"/>
  <c r="I375" i="2" s="1"/>
  <c r="I400" i="2" s="1"/>
  <c r="I425" i="2" s="1"/>
  <c r="I450" i="2" s="1"/>
  <c r="I475" i="2" s="1"/>
  <c r="I500" i="2" s="1"/>
  <c r="I525" i="2" s="1"/>
  <c r="I550" i="2" s="1"/>
  <c r="I575" i="2" s="1"/>
  <c r="I600" i="2" s="1"/>
  <c r="I625" i="2" s="1"/>
  <c r="I650" i="2" s="1"/>
  <c r="I675" i="2" s="1"/>
  <c r="I700" i="2" s="1"/>
  <c r="I129" i="2"/>
  <c r="I179" i="2" s="1"/>
  <c r="I131" i="2"/>
  <c r="I181" i="2" s="1"/>
  <c r="I147" i="2"/>
  <c r="I197" i="2" s="1"/>
  <c r="I149" i="2"/>
  <c r="I199" i="2" s="1"/>
  <c r="I154" i="2"/>
  <c r="I204" i="2" s="1"/>
  <c r="I229" i="2" s="1"/>
  <c r="I254" i="2" s="1"/>
  <c r="I279" i="2" s="1"/>
  <c r="I304" i="2" s="1"/>
  <c r="I329" i="2" s="1"/>
  <c r="I354" i="2" s="1"/>
  <c r="I379" i="2" s="1"/>
  <c r="I404" i="2" s="1"/>
  <c r="I429" i="2" s="1"/>
  <c r="I454" i="2" s="1"/>
  <c r="I479" i="2" s="1"/>
  <c r="I504" i="2" s="1"/>
  <c r="I529" i="2" s="1"/>
  <c r="I554" i="2" s="1"/>
  <c r="I579" i="2" s="1"/>
  <c r="I604" i="2" s="1"/>
  <c r="I629" i="2" s="1"/>
  <c r="I654" i="2" s="1"/>
  <c r="I679" i="2" s="1"/>
  <c r="I156" i="2"/>
  <c r="I206" i="2" s="1"/>
  <c r="I231" i="2" s="1"/>
  <c r="I256" i="2" s="1"/>
  <c r="I281" i="2" s="1"/>
  <c r="I306" i="2" s="1"/>
  <c r="I331" i="2" s="1"/>
  <c r="I356" i="2" s="1"/>
  <c r="I381" i="2" s="1"/>
  <c r="I406" i="2" s="1"/>
  <c r="I431" i="2" s="1"/>
  <c r="I456" i="2" s="1"/>
  <c r="I481" i="2" s="1"/>
  <c r="I506" i="2" s="1"/>
  <c r="I531" i="2" s="1"/>
  <c r="I556" i="2" s="1"/>
  <c r="I581" i="2" s="1"/>
  <c r="I606" i="2" s="1"/>
  <c r="I631" i="2" s="1"/>
  <c r="I656" i="2" s="1"/>
  <c r="I681" i="2" s="1"/>
  <c r="I157" i="2"/>
  <c r="I207" i="2" s="1"/>
  <c r="I232" i="2" s="1"/>
  <c r="I257" i="2" s="1"/>
  <c r="I282" i="2" s="1"/>
  <c r="I307" i="2" s="1"/>
  <c r="I332" i="2" s="1"/>
  <c r="I357" i="2" s="1"/>
  <c r="I382" i="2" s="1"/>
  <c r="I407" i="2" s="1"/>
  <c r="I432" i="2" s="1"/>
  <c r="I457" i="2" s="1"/>
  <c r="I482" i="2" s="1"/>
  <c r="I507" i="2" s="1"/>
  <c r="I532" i="2" s="1"/>
  <c r="I557" i="2" s="1"/>
  <c r="I582" i="2" s="1"/>
  <c r="I607" i="2" s="1"/>
  <c r="I632" i="2" s="1"/>
  <c r="I657" i="2" s="1"/>
  <c r="I682" i="2" s="1"/>
  <c r="I158" i="2"/>
  <c r="I208" i="2" s="1"/>
  <c r="I233" i="2" s="1"/>
  <c r="I258" i="2" s="1"/>
  <c r="I283" i="2" s="1"/>
  <c r="I308" i="2" s="1"/>
  <c r="I333" i="2" s="1"/>
  <c r="I358" i="2" s="1"/>
  <c r="I383" i="2" s="1"/>
  <c r="I408" i="2" s="1"/>
  <c r="I433" i="2" s="1"/>
  <c r="I458" i="2" s="1"/>
  <c r="I483" i="2" s="1"/>
  <c r="I508" i="2" s="1"/>
  <c r="I533" i="2" s="1"/>
  <c r="I558" i="2" s="1"/>
  <c r="I583" i="2" s="1"/>
  <c r="I608" i="2" s="1"/>
  <c r="I633" i="2" s="1"/>
  <c r="I658" i="2" s="1"/>
  <c r="I683" i="2" s="1"/>
  <c r="I173" i="2"/>
  <c r="I223" i="2" s="1"/>
  <c r="I248" i="2" s="1"/>
  <c r="I273" i="2" s="1"/>
  <c r="I298" i="2" s="1"/>
  <c r="I323" i="2" s="1"/>
  <c r="I348" i="2" s="1"/>
  <c r="I373" i="2" s="1"/>
  <c r="I398" i="2" s="1"/>
  <c r="I423" i="2" s="1"/>
  <c r="I448" i="2" s="1"/>
  <c r="I473" i="2" s="1"/>
  <c r="I498" i="2" s="1"/>
  <c r="I523" i="2" s="1"/>
  <c r="I548" i="2" s="1"/>
  <c r="I573" i="2" s="1"/>
  <c r="I598" i="2" s="1"/>
  <c r="I623" i="2" s="1"/>
  <c r="I648" i="2" s="1"/>
  <c r="I673" i="2" s="1"/>
  <c r="I698" i="2" s="1"/>
  <c r="I53" i="2"/>
  <c r="L1003" i="2"/>
  <c r="I112" i="2" l="1"/>
  <c r="I162" i="2" s="1"/>
  <c r="I212" i="2" s="1"/>
  <c r="I237" i="2" s="1"/>
  <c r="I262" i="2" s="1"/>
  <c r="I287" i="2" s="1"/>
  <c r="I312" i="2" s="1"/>
  <c r="I337" i="2" s="1"/>
  <c r="I362" i="2" s="1"/>
  <c r="I387" i="2" s="1"/>
  <c r="I412" i="2" s="1"/>
  <c r="I437" i="2" s="1"/>
  <c r="I462" i="2" s="1"/>
  <c r="I487" i="2" s="1"/>
  <c r="I512" i="2" s="1"/>
  <c r="I537" i="2" s="1"/>
  <c r="I562" i="2" s="1"/>
  <c r="I587" i="2" s="1"/>
  <c r="I612" i="2" s="1"/>
  <c r="I637" i="2" s="1"/>
  <c r="I662" i="2" s="1"/>
  <c r="I687" i="2" s="1"/>
  <c r="Q75" i="2"/>
  <c r="Q74" i="2"/>
  <c r="Q98" i="2"/>
  <c r="Q96" i="2"/>
  <c r="Q94" i="2"/>
  <c r="Q92" i="2"/>
  <c r="Q72" i="2"/>
  <c r="Q70" i="2"/>
  <c r="Q68" i="2"/>
  <c r="I103" i="2"/>
  <c r="Q117" i="2" s="1"/>
  <c r="Q145" i="2"/>
  <c r="Q121" i="2"/>
  <c r="Q97" i="2"/>
  <c r="Q73" i="2"/>
  <c r="Q143" i="2"/>
  <c r="Q119" i="2"/>
  <c r="Q95" i="2"/>
  <c r="Q71" i="2"/>
  <c r="Q141" i="2"/>
  <c r="Q93" i="2"/>
  <c r="Q69" i="2"/>
  <c r="Q91" i="2"/>
  <c r="Q67" i="2"/>
  <c r="Q90" i="2"/>
  <c r="Q66" i="2"/>
  <c r="Q89" i="2"/>
  <c r="Q65" i="2"/>
  <c r="Q88" i="2"/>
  <c r="Q64" i="2"/>
  <c r="Q87" i="2"/>
  <c r="Q63" i="2"/>
  <c r="Q110" i="2"/>
  <c r="Q86" i="2"/>
  <c r="Q62" i="2"/>
  <c r="Q133" i="2"/>
  <c r="Q85" i="2"/>
  <c r="Q61" i="2"/>
  <c r="Q84" i="2"/>
  <c r="Q60" i="2"/>
  <c r="Q83" i="2"/>
  <c r="Q59" i="2"/>
  <c r="Q82" i="2"/>
  <c r="Q58" i="2"/>
  <c r="Q129" i="2"/>
  <c r="Q105" i="2"/>
  <c r="Q81" i="2"/>
  <c r="Q57" i="2"/>
  <c r="Q80" i="2"/>
  <c r="Q56" i="2"/>
  <c r="Q79" i="2"/>
  <c r="Q55" i="2"/>
  <c r="Q102" i="2"/>
  <c r="Q78" i="2"/>
  <c r="Q54" i="2"/>
  <c r="Q101" i="2"/>
  <c r="Q77" i="2"/>
  <c r="Q53" i="2"/>
  <c r="Q148" i="2"/>
  <c r="Q124" i="2"/>
  <c r="Q100" i="2"/>
  <c r="Q76" i="2"/>
  <c r="Q147" i="2"/>
  <c r="Q123" i="2"/>
  <c r="Q99" i="2"/>
  <c r="B303" i="2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Q134" i="2" l="1"/>
  <c r="Q112" i="2"/>
  <c r="Q151" i="2"/>
  <c r="Q152" i="2"/>
  <c r="Q128" i="2"/>
  <c r="Q104" i="2"/>
  <c r="Q136" i="2"/>
  <c r="Q107" i="2"/>
  <c r="Q120" i="2"/>
  <c r="Q146" i="2"/>
  <c r="Q125" i="2"/>
  <c r="Q137" i="2"/>
  <c r="Q118" i="2"/>
  <c r="Q115" i="2"/>
  <c r="Q122" i="2"/>
  <c r="Q113" i="2"/>
  <c r="Q108" i="2"/>
  <c r="Q139" i="2"/>
  <c r="Q131" i="2"/>
  <c r="Q106" i="2"/>
  <c r="Q130" i="2"/>
  <c r="Q149" i="2"/>
  <c r="Q126" i="2"/>
  <c r="Q150" i="2"/>
  <c r="Q103" i="2"/>
  <c r="Q127" i="2"/>
  <c r="Q109" i="2"/>
  <c r="Q144" i="2"/>
  <c r="Q142" i="2"/>
  <c r="Q140" i="2"/>
  <c r="I153" i="2"/>
  <c r="Q164" i="2" s="1"/>
  <c r="Q111" i="2"/>
  <c r="Q114" i="2"/>
  <c r="Q167" i="2"/>
  <c r="Q132" i="2"/>
  <c r="Q135" i="2"/>
  <c r="Q138" i="2"/>
  <c r="Q116" i="2"/>
  <c r="Q162" i="2"/>
  <c r="H3" i="2"/>
  <c r="Q188" i="2" l="1"/>
  <c r="I203" i="2"/>
  <c r="Q159" i="2"/>
  <c r="Q156" i="2"/>
  <c r="Q153" i="2"/>
  <c r="Q171" i="2"/>
  <c r="Q154" i="2"/>
  <c r="Q180" i="2"/>
  <c r="Q194" i="2"/>
  <c r="Q195" i="2"/>
  <c r="Q198" i="2"/>
  <c r="Q176" i="2"/>
  <c r="Q226" i="2"/>
  <c r="Q174" i="2"/>
  <c r="Q211" i="2"/>
  <c r="Q205" i="2"/>
  <c r="Q202" i="2"/>
  <c r="Q187" i="2"/>
  <c r="Q184" i="2"/>
  <c r="Q181" i="2"/>
  <c r="Q178" i="2"/>
  <c r="Q163" i="2"/>
  <c r="Q160" i="2"/>
  <c r="Q157" i="2"/>
  <c r="Q197" i="2"/>
  <c r="Q223" i="2"/>
  <c r="Q199" i="2"/>
  <c r="Q196" i="2"/>
  <c r="Q172" i="2"/>
  <c r="Q217" i="2"/>
  <c r="Q227" i="2"/>
  <c r="Q175" i="2"/>
  <c r="Q203" i="2"/>
  <c r="Q193" i="2"/>
  <c r="Q209" i="2"/>
  <c r="Q206" i="2"/>
  <c r="Q214" i="2"/>
  <c r="Q169" i="2"/>
  <c r="Q213" i="2"/>
  <c r="Q185" i="2"/>
  <c r="Q182" i="2"/>
  <c r="Q179" i="2"/>
  <c r="Q192" i="2"/>
  <c r="Q189" i="2"/>
  <c r="Q161" i="2"/>
  <c r="Q158" i="2"/>
  <c r="Q155" i="2"/>
  <c r="Q190" i="2"/>
  <c r="Q165" i="2"/>
  <c r="Q177" i="2"/>
  <c r="Q186" i="2"/>
  <c r="Q221" i="2"/>
  <c r="Q173" i="2"/>
  <c r="Q168" i="2"/>
  <c r="Q225" i="2"/>
  <c r="Q224" i="2"/>
  <c r="Q183" i="2"/>
  <c r="Q170" i="2"/>
  <c r="Q210" i="2"/>
  <c r="Q207" i="2"/>
  <c r="Q204" i="2"/>
  <c r="Q201" i="2"/>
  <c r="Q200" i="2"/>
  <c r="Q166" i="2"/>
  <c r="Q191" i="2"/>
  <c r="Q212" i="2"/>
  <c r="N153" i="2"/>
  <c r="M304" i="2"/>
  <c r="M305" i="2"/>
  <c r="M303" i="2"/>
  <c r="P3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" i="2"/>
  <c r="M302" i="2"/>
  <c r="N302" i="2"/>
  <c r="O3" i="2"/>
  <c r="M3" i="2"/>
  <c r="O4" i="2"/>
  <c r="N154" i="2" l="1"/>
  <c r="I228" i="2"/>
  <c r="Q218" i="2"/>
  <c r="Q242" i="2"/>
  <c r="Q215" i="2"/>
  <c r="Q238" i="2"/>
  <c r="N162" i="2"/>
  <c r="Q219" i="2"/>
  <c r="Q245" i="2"/>
  <c r="Q216" i="2"/>
  <c r="Q251" i="2"/>
  <c r="Q220" i="2"/>
  <c r="Q222" i="2"/>
  <c r="Q208" i="2"/>
  <c r="M306" i="2"/>
  <c r="N145" i="2"/>
  <c r="N146" i="2"/>
  <c r="O9" i="2"/>
  <c r="O8" i="2"/>
  <c r="O7" i="2"/>
  <c r="O6" i="2"/>
  <c r="O5" i="2"/>
  <c r="N155" i="2" l="1"/>
  <c r="O10" i="2"/>
  <c r="I253" i="2"/>
  <c r="Q264" i="2" s="1"/>
  <c r="Q252" i="2"/>
  <c r="Q263" i="2"/>
  <c r="Q231" i="2"/>
  <c r="Q236" i="2"/>
  <c r="Q248" i="2"/>
  <c r="Q254" i="2"/>
  <c r="Q239" i="2"/>
  <c r="Q249" i="2"/>
  <c r="Q256" i="2"/>
  <c r="Q228" i="2"/>
  <c r="Q260" i="2"/>
  <c r="Q271" i="2"/>
  <c r="Q268" i="2"/>
  <c r="Q241" i="2"/>
  <c r="Q266" i="2"/>
  <c r="Q232" i="2"/>
  <c r="Q261" i="2"/>
  <c r="Q237" i="2"/>
  <c r="Q276" i="2"/>
  <c r="Q243" i="2"/>
  <c r="Q240" i="2"/>
  <c r="Q250" i="2"/>
  <c r="Q247" i="2"/>
  <c r="Q275" i="2"/>
  <c r="Q246" i="2"/>
  <c r="Q273" i="2"/>
  <c r="Q258" i="2"/>
  <c r="Q244" i="2"/>
  <c r="Q229" i="2"/>
  <c r="Q257" i="2"/>
  <c r="Q233" i="2"/>
  <c r="Q272" i="2"/>
  <c r="Q235" i="2"/>
  <c r="Q255" i="2"/>
  <c r="Q234" i="2"/>
  <c r="Q230" i="2"/>
  <c r="Q262" i="2"/>
  <c r="N163" i="2"/>
  <c r="M307" i="2"/>
  <c r="N144" i="2"/>
  <c r="N156" i="2"/>
  <c r="N147" i="2"/>
  <c r="I278" i="2" l="1"/>
  <c r="Q253" i="2"/>
  <c r="Q277" i="2"/>
  <c r="Q269" i="2"/>
  <c r="Q259" i="2"/>
  <c r="Q295" i="2"/>
  <c r="Q274" i="2"/>
  <c r="Q298" i="2"/>
  <c r="Q270" i="2"/>
  <c r="Q294" i="2"/>
  <c r="Q265" i="2"/>
  <c r="Q267" i="2"/>
  <c r="Q288" i="2"/>
  <c r="O11" i="2"/>
  <c r="Q282" i="2"/>
  <c r="N164" i="2"/>
  <c r="M308" i="2"/>
  <c r="N143" i="2"/>
  <c r="N157" i="2"/>
  <c r="N148" i="2"/>
  <c r="N137" i="2" l="1"/>
  <c r="O12" i="2"/>
  <c r="I303" i="2"/>
  <c r="Q321" i="2" s="1"/>
  <c r="Q317" i="2"/>
  <c r="Q302" i="2"/>
  <c r="Q314" i="2"/>
  <c r="Q286" i="2"/>
  <c r="Q281" i="2"/>
  <c r="Q283" i="2"/>
  <c r="Q301" i="2"/>
  <c r="Q312" i="2"/>
  <c r="Q296" i="2"/>
  <c r="Q289" i="2"/>
  <c r="Q315" i="2"/>
  <c r="Q292" i="2"/>
  <c r="Q303" i="2"/>
  <c r="Q293" i="2"/>
  <c r="Q297" i="2"/>
  <c r="Q327" i="2"/>
  <c r="Q313" i="2"/>
  <c r="Q310" i="2"/>
  <c r="Q311" i="2"/>
  <c r="Q285" i="2"/>
  <c r="Q287" i="2"/>
  <c r="Q316" i="2"/>
  <c r="Q324" i="2"/>
  <c r="Q300" i="2"/>
  <c r="Q299" i="2"/>
  <c r="Q290" i="2"/>
  <c r="Q308" i="2"/>
  <c r="Q306" i="2"/>
  <c r="Q323" i="2"/>
  <c r="Q279" i="2"/>
  <c r="Q291" i="2"/>
  <c r="Q278" i="2"/>
  <c r="Q284" i="2"/>
  <c r="Q280" i="2"/>
  <c r="N165" i="2"/>
  <c r="M309" i="2"/>
  <c r="N136" i="2"/>
  <c r="N158" i="2"/>
  <c r="N149" i="2"/>
  <c r="N138" i="2"/>
  <c r="Q320" i="2" l="1"/>
  <c r="I328" i="2"/>
  <c r="Q304" i="2"/>
  <c r="Q325" i="2"/>
  <c r="Q332" i="2"/>
  <c r="Q328" i="2"/>
  <c r="Q318" i="2"/>
  <c r="Q340" i="2"/>
  <c r="Q346" i="2"/>
  <c r="Q309" i="2"/>
  <c r="Q305" i="2"/>
  <c r="Q307" i="2"/>
  <c r="Q322" i="2"/>
  <c r="Q319" i="2"/>
  <c r="Q326" i="2"/>
  <c r="O13" i="2"/>
  <c r="N166" i="2"/>
  <c r="M310" i="2"/>
  <c r="N135" i="2"/>
  <c r="N159" i="2"/>
  <c r="N150" i="2"/>
  <c r="N139" i="2"/>
  <c r="O14" i="2" l="1"/>
  <c r="I353" i="2"/>
  <c r="Q334" i="2"/>
  <c r="Q342" i="2"/>
  <c r="Q374" i="2"/>
  <c r="Q331" i="2"/>
  <c r="Q369" i="2"/>
  <c r="Q343" i="2"/>
  <c r="Q364" i="2"/>
  <c r="Q375" i="2"/>
  <c r="Q365" i="2"/>
  <c r="Q350" i="2"/>
  <c r="Q341" i="2"/>
  <c r="Q347" i="2"/>
  <c r="Q373" i="2"/>
  <c r="Q353" i="2"/>
  <c r="Q336" i="2"/>
  <c r="Q348" i="2"/>
  <c r="Q351" i="2"/>
  <c r="Q338" i="2"/>
  <c r="Q370" i="2"/>
  <c r="Q349" i="2"/>
  <c r="Q330" i="2"/>
  <c r="Q337" i="2"/>
  <c r="Q329" i="2"/>
  <c r="Q344" i="2"/>
  <c r="Q352" i="2"/>
  <c r="Q359" i="2"/>
  <c r="Q354" i="2"/>
  <c r="Q361" i="2"/>
  <c r="Q360" i="2"/>
  <c r="Q339" i="2"/>
  <c r="Q371" i="2"/>
  <c r="Q357" i="2"/>
  <c r="Q372" i="2"/>
  <c r="Q368" i="2"/>
  <c r="Q333" i="2"/>
  <c r="Q345" i="2"/>
  <c r="Q335" i="2"/>
  <c r="Q377" i="2"/>
  <c r="N167" i="2"/>
  <c r="M311" i="2"/>
  <c r="N134" i="2"/>
  <c r="N160" i="2"/>
  <c r="N161" i="2"/>
  <c r="N151" i="2"/>
  <c r="N152" i="2"/>
  <c r="N140" i="2"/>
  <c r="I378" i="2" l="1"/>
  <c r="Q356" i="2"/>
  <c r="Q376" i="2"/>
  <c r="Q362" i="2"/>
  <c r="Q367" i="2"/>
  <c r="Q358" i="2"/>
  <c r="Q363" i="2"/>
  <c r="Q355" i="2"/>
  <c r="Q366" i="2"/>
  <c r="O15" i="2"/>
  <c r="N168" i="2"/>
  <c r="M312" i="2"/>
  <c r="N133" i="2"/>
  <c r="N141" i="2"/>
  <c r="N142" i="2"/>
  <c r="N121" i="2" l="1"/>
  <c r="O16" i="2"/>
  <c r="I403" i="2"/>
  <c r="Q380" i="2"/>
  <c r="Q386" i="2"/>
  <c r="Q384" i="2"/>
  <c r="Q398" i="2"/>
  <c r="Q395" i="2"/>
  <c r="Q385" i="2"/>
  <c r="Q392" i="2"/>
  <c r="Q382" i="2"/>
  <c r="Q391" i="2"/>
  <c r="Q387" i="2"/>
  <c r="Q397" i="2"/>
  <c r="Q400" i="2"/>
  <c r="Q390" i="2"/>
  <c r="Q378" i="2"/>
  <c r="Q399" i="2"/>
  <c r="Q389" i="2"/>
  <c r="Q402" i="2"/>
  <c r="Q379" i="2"/>
  <c r="Q393" i="2"/>
  <c r="Q394" i="2"/>
  <c r="Q388" i="2"/>
  <c r="Q401" i="2"/>
  <c r="Q381" i="2"/>
  <c r="Q383" i="2"/>
  <c r="Q396" i="2"/>
  <c r="N169" i="2"/>
  <c r="M313" i="2"/>
  <c r="N120" i="2"/>
  <c r="N122" i="2"/>
  <c r="I428" i="2" l="1"/>
  <c r="Q406" i="2"/>
  <c r="Q409" i="2"/>
  <c r="Q404" i="2"/>
  <c r="Q410" i="2"/>
  <c r="Q425" i="2"/>
  <c r="Q415" i="2"/>
  <c r="Q412" i="2"/>
  <c r="Q420" i="2"/>
  <c r="Q417" i="2"/>
  <c r="Q403" i="2"/>
  <c r="Q408" i="2"/>
  <c r="Q414" i="2"/>
  <c r="Q423" i="2"/>
  <c r="Q426" i="2"/>
  <c r="Q421" i="2"/>
  <c r="Q405" i="2"/>
  <c r="Q407" i="2"/>
  <c r="Q416" i="2"/>
  <c r="Q422" i="2"/>
  <c r="Q427" i="2"/>
  <c r="Q411" i="2"/>
  <c r="Q418" i="2"/>
  <c r="Q419" i="2"/>
  <c r="Q413" i="2"/>
  <c r="Q424" i="2"/>
  <c r="O17" i="2"/>
  <c r="N170" i="2"/>
  <c r="M314" i="2"/>
  <c r="N119" i="2"/>
  <c r="N123" i="2"/>
  <c r="O18" i="2" l="1"/>
  <c r="I453" i="2"/>
  <c r="Q430" i="2"/>
  <c r="Q437" i="2"/>
  <c r="Q434" i="2"/>
  <c r="Q449" i="2"/>
  <c r="Q435" i="2"/>
  <c r="Q436" i="2"/>
  <c r="Q447" i="2"/>
  <c r="Q429" i="2"/>
  <c r="Q433" i="2"/>
  <c r="Q452" i="2"/>
  <c r="Q450" i="2"/>
  <c r="Q444" i="2"/>
  <c r="Q432" i="2"/>
  <c r="Q448" i="2"/>
  <c r="Q440" i="2"/>
  <c r="Q446" i="2"/>
  <c r="Q442" i="2"/>
  <c r="Q439" i="2"/>
  <c r="Q438" i="2"/>
  <c r="Q431" i="2"/>
  <c r="Q445" i="2"/>
  <c r="Q451" i="2"/>
  <c r="Q441" i="2"/>
  <c r="Q428" i="2"/>
  <c r="Q443" i="2"/>
  <c r="N171" i="2"/>
  <c r="M315" i="2"/>
  <c r="N118" i="2"/>
  <c r="N124" i="2"/>
  <c r="I478" i="2" l="1"/>
  <c r="Q453" i="2"/>
  <c r="Q458" i="2"/>
  <c r="Q463" i="2"/>
  <c r="Q454" i="2"/>
  <c r="Q457" i="2"/>
  <c r="Q460" i="2"/>
  <c r="Q467" i="2"/>
  <c r="Q455" i="2"/>
  <c r="Q470" i="2"/>
  <c r="Q462" i="2"/>
  <c r="Q469" i="2"/>
  <c r="Q466" i="2"/>
  <c r="Q465" i="2"/>
  <c r="Q472" i="2"/>
  <c r="Q473" i="2"/>
  <c r="Q459" i="2"/>
  <c r="Q477" i="2"/>
  <c r="Q471" i="2"/>
  <c r="Q456" i="2"/>
  <c r="Q474" i="2"/>
  <c r="Q464" i="2"/>
  <c r="Q468" i="2"/>
  <c r="Q475" i="2"/>
  <c r="Q461" i="2"/>
  <c r="Q476" i="2"/>
  <c r="O19" i="2"/>
  <c r="N172" i="2"/>
  <c r="M316" i="2"/>
  <c r="N117" i="2"/>
  <c r="N125" i="2"/>
  <c r="O20" i="2" l="1"/>
  <c r="I503" i="2"/>
  <c r="Q479" i="2"/>
  <c r="Q481" i="2"/>
  <c r="Q482" i="2"/>
  <c r="Q491" i="2"/>
  <c r="Q498" i="2"/>
  <c r="Q484" i="2"/>
  <c r="Q487" i="2"/>
  <c r="Q497" i="2"/>
  <c r="Q478" i="2"/>
  <c r="Q488" i="2"/>
  <c r="Q480" i="2"/>
  <c r="Q495" i="2"/>
  <c r="Q485" i="2"/>
  <c r="Q500" i="2"/>
  <c r="Q496" i="2"/>
  <c r="Q483" i="2"/>
  <c r="Q493" i="2"/>
  <c r="Q486" i="2"/>
  <c r="Q494" i="2"/>
  <c r="Q502" i="2"/>
  <c r="Q490" i="2"/>
  <c r="Q492" i="2"/>
  <c r="Q501" i="2"/>
  <c r="Q489" i="2"/>
  <c r="Q499" i="2"/>
  <c r="N173" i="2"/>
  <c r="M317" i="2"/>
  <c r="N116" i="2"/>
  <c r="N126" i="2"/>
  <c r="I528" i="2" l="1"/>
  <c r="Q524" i="2"/>
  <c r="Q503" i="2"/>
  <c r="Q526" i="2"/>
  <c r="Q505" i="2"/>
  <c r="Q527" i="2"/>
  <c r="Q515" i="2"/>
  <c r="Q521" i="2"/>
  <c r="Q525" i="2"/>
  <c r="Q518" i="2"/>
  <c r="Q516" i="2"/>
  <c r="Q519" i="2"/>
  <c r="Q523" i="2"/>
  <c r="Q522" i="2"/>
  <c r="Q510" i="2"/>
  <c r="Q511" i="2"/>
  <c r="Q517" i="2"/>
  <c r="Q520" i="2"/>
  <c r="Q509" i="2"/>
  <c r="Q514" i="2"/>
  <c r="Q513" i="2"/>
  <c r="Q506" i="2"/>
  <c r="Q504" i="2"/>
  <c r="Q508" i="2"/>
  <c r="Q507" i="2"/>
  <c r="Q512" i="2"/>
  <c r="O21" i="2"/>
  <c r="N174" i="2"/>
  <c r="M318" i="2"/>
  <c r="N115" i="2"/>
  <c r="N127" i="2"/>
  <c r="O22" i="2" l="1"/>
  <c r="I553" i="2"/>
  <c r="Q552" i="2"/>
  <c r="Q548" i="2"/>
  <c r="Q549" i="2"/>
  <c r="Q550" i="2"/>
  <c r="Q545" i="2"/>
  <c r="Q543" i="2"/>
  <c r="Q551" i="2"/>
  <c r="Q529" i="2"/>
  <c r="Q537" i="2"/>
  <c r="Q533" i="2"/>
  <c r="Q542" i="2"/>
  <c r="Q540" i="2"/>
  <c r="Q538" i="2"/>
  <c r="Q541" i="2"/>
  <c r="Q531" i="2"/>
  <c r="Q547" i="2"/>
  <c r="Q536" i="2"/>
  <c r="Q539" i="2"/>
  <c r="Q532" i="2"/>
  <c r="Q546" i="2"/>
  <c r="Q535" i="2"/>
  <c r="Q544" i="2"/>
  <c r="Q528" i="2"/>
  <c r="Q530" i="2"/>
  <c r="Q534" i="2"/>
  <c r="N175" i="2"/>
  <c r="M319" i="2"/>
  <c r="N114" i="2"/>
  <c r="N128" i="2"/>
  <c r="I578" i="2" l="1"/>
  <c r="Q572" i="2"/>
  <c r="Q576" i="2"/>
  <c r="Q559" i="2"/>
  <c r="Q565" i="2"/>
  <c r="Q573" i="2"/>
  <c r="Q567" i="2"/>
  <c r="Q555" i="2"/>
  <c r="Q560" i="2"/>
  <c r="Q568" i="2"/>
  <c r="Q570" i="2"/>
  <c r="Q554" i="2"/>
  <c r="Q563" i="2"/>
  <c r="Q562" i="2"/>
  <c r="Q571" i="2"/>
  <c r="Q575" i="2"/>
  <c r="Q557" i="2"/>
  <c r="Q574" i="2"/>
  <c r="Q561" i="2"/>
  <c r="Q553" i="2"/>
  <c r="Q556" i="2"/>
  <c r="Q564" i="2"/>
  <c r="Q577" i="2"/>
  <c r="Q566" i="2"/>
  <c r="Q569" i="2"/>
  <c r="Q558" i="2"/>
  <c r="O23" i="2"/>
  <c r="N176" i="2"/>
  <c r="M320" i="2"/>
  <c r="N113" i="2"/>
  <c r="N129" i="2"/>
  <c r="O24" i="2" l="1"/>
  <c r="I603" i="2"/>
  <c r="Q599" i="2"/>
  <c r="Q591" i="2"/>
  <c r="Q584" i="2"/>
  <c r="Q579" i="2"/>
  <c r="Q578" i="2"/>
  <c r="Q597" i="2"/>
  <c r="Q582" i="2"/>
  <c r="Q585" i="2"/>
  <c r="Q587" i="2"/>
  <c r="Q595" i="2"/>
  <c r="Q583" i="2"/>
  <c r="Q601" i="2"/>
  <c r="Q596" i="2"/>
  <c r="Q581" i="2"/>
  <c r="Q600" i="2"/>
  <c r="Q598" i="2"/>
  <c r="Q590" i="2"/>
  <c r="Q586" i="2"/>
  <c r="Q593" i="2"/>
  <c r="Q588" i="2"/>
  <c r="Q580" i="2"/>
  <c r="Q592" i="2"/>
  <c r="Q589" i="2"/>
  <c r="Q594" i="2"/>
  <c r="Q602" i="2"/>
  <c r="N177" i="2"/>
  <c r="M321" i="2"/>
  <c r="N112" i="2"/>
  <c r="N130" i="2"/>
  <c r="I628" i="2" l="1"/>
  <c r="Q618" i="2"/>
  <c r="Q608" i="2"/>
  <c r="Q617" i="2"/>
  <c r="Q623" i="2"/>
  <c r="Q626" i="2"/>
  <c r="Q610" i="2"/>
  <c r="Q624" i="2"/>
  <c r="Q604" i="2"/>
  <c r="Q616" i="2"/>
  <c r="Q609" i="2"/>
  <c r="Q619" i="2"/>
  <c r="Q621" i="2"/>
  <c r="Q612" i="2"/>
  <c r="Q611" i="2"/>
  <c r="Q603" i="2"/>
  <c r="Q622" i="2"/>
  <c r="Q615" i="2"/>
  <c r="Q606" i="2"/>
  <c r="Q614" i="2"/>
  <c r="Q607" i="2"/>
  <c r="Q620" i="2"/>
  <c r="Q627" i="2"/>
  <c r="Q613" i="2"/>
  <c r="Q625" i="2"/>
  <c r="Q605" i="2"/>
  <c r="O25" i="2"/>
  <c r="N178" i="2"/>
  <c r="M322" i="2"/>
  <c r="N111" i="2"/>
  <c r="N131" i="2"/>
  <c r="N132" i="2"/>
  <c r="O26" i="2" l="1"/>
  <c r="I653" i="2"/>
  <c r="Q633" i="2"/>
  <c r="Q647" i="2"/>
  <c r="Q651" i="2"/>
  <c r="Q642" i="2"/>
  <c r="Q634" i="2"/>
  <c r="Q636" i="2"/>
  <c r="Q628" i="2"/>
  <c r="Q652" i="2"/>
  <c r="Q630" i="2"/>
  <c r="Q640" i="2"/>
  <c r="Q641" i="2"/>
  <c r="Q649" i="2"/>
  <c r="Q650" i="2"/>
  <c r="Q638" i="2"/>
  <c r="Q631" i="2"/>
  <c r="Q637" i="2"/>
  <c r="Q639" i="2"/>
  <c r="Q635" i="2"/>
  <c r="Q646" i="2"/>
  <c r="Q648" i="2"/>
  <c r="Q645" i="2"/>
  <c r="Q632" i="2"/>
  <c r="Q629" i="2"/>
  <c r="Q643" i="2"/>
  <c r="Q644" i="2"/>
  <c r="N179" i="2"/>
  <c r="M323" i="2"/>
  <c r="N110" i="2"/>
  <c r="I678" i="2" l="1"/>
  <c r="Q670" i="2"/>
  <c r="Q663" i="2"/>
  <c r="Q672" i="2"/>
  <c r="Q675" i="2"/>
  <c r="Q657" i="2"/>
  <c r="Q653" i="2"/>
  <c r="Q668" i="2"/>
  <c r="Q677" i="2"/>
  <c r="Q659" i="2"/>
  <c r="Q661" i="2"/>
  <c r="Q665" i="2"/>
  <c r="Q660" i="2"/>
  <c r="Q662" i="2"/>
  <c r="Q658" i="2"/>
  <c r="Q656" i="2"/>
  <c r="Q655" i="2"/>
  <c r="Q667" i="2"/>
  <c r="Q666" i="2"/>
  <c r="Q669" i="2"/>
  <c r="Q674" i="2"/>
  <c r="Q676" i="2"/>
  <c r="Q664" i="2"/>
  <c r="Q671" i="2"/>
  <c r="Q654" i="2"/>
  <c r="Q673" i="2"/>
  <c r="O27" i="2"/>
  <c r="N180" i="2"/>
  <c r="M324" i="2"/>
  <c r="N109" i="2"/>
  <c r="O28" i="2" l="1"/>
  <c r="Q936" i="2"/>
  <c r="Q968" i="2"/>
  <c r="Q812" i="2"/>
  <c r="Q791" i="2"/>
  <c r="Q912" i="2"/>
  <c r="Q890" i="2"/>
  <c r="Q911" i="2"/>
  <c r="Q816" i="2"/>
  <c r="Q907" i="2"/>
  <c r="Q920" i="2"/>
  <c r="Q992" i="2"/>
  <c r="Q811" i="2"/>
  <c r="Q985" i="2"/>
  <c r="Q695" i="2"/>
  <c r="Q932" i="2"/>
  <c r="Q986" i="2"/>
  <c r="Q938" i="2"/>
  <c r="Q714" i="2"/>
  <c r="Q848" i="2"/>
  <c r="Q716" i="2"/>
  <c r="Q767" i="2"/>
  <c r="Q824" i="2"/>
  <c r="Q800" i="2"/>
  <c r="Q720" i="2"/>
  <c r="Q884" i="2"/>
  <c r="Q896" i="2"/>
  <c r="Q776" i="2"/>
  <c r="Q794" i="2"/>
  <c r="Q692" i="2"/>
  <c r="Q885" i="2"/>
  <c r="Q926" i="2"/>
  <c r="Q796" i="2"/>
  <c r="Q681" i="2"/>
  <c r="Q846" i="2"/>
  <c r="Q898" i="2"/>
  <c r="Q750" i="2"/>
  <c r="Q872" i="2"/>
  <c r="Q888" i="2"/>
  <c r="Q901" i="2"/>
  <c r="Q759" i="2"/>
  <c r="Q738" i="2"/>
  <c r="Q881" i="2"/>
  <c r="Q862" i="2"/>
  <c r="Q688" i="2"/>
  <c r="Q928" i="2"/>
  <c r="Q987" i="2"/>
  <c r="Q684" i="2"/>
  <c r="Q728" i="2"/>
  <c r="Q790" i="2"/>
  <c r="Q988" i="2"/>
  <c r="Q736" i="2"/>
  <c r="Q844" i="2"/>
  <c r="Q944" i="2"/>
  <c r="Q708" i="2"/>
  <c r="Q774" i="2"/>
  <c r="Q818" i="2"/>
  <c r="Q949" i="2"/>
  <c r="Q989" i="2"/>
  <c r="Q766" i="2"/>
  <c r="Q747" i="2"/>
  <c r="Q696" i="2"/>
  <c r="Q727" i="2"/>
  <c r="Q743" i="2"/>
  <c r="Q723" i="2"/>
  <c r="Q870" i="2"/>
  <c r="Q752" i="2"/>
  <c r="Q829" i="2"/>
  <c r="Q836" i="2"/>
  <c r="Q786" i="2"/>
  <c r="Q899" i="2"/>
  <c r="Q942" i="2"/>
  <c r="Q964" i="2"/>
  <c r="Q952" i="2"/>
  <c r="Q729" i="2"/>
  <c r="Q705" i="2"/>
  <c r="Q843" i="2"/>
  <c r="Q709" i="2"/>
  <c r="Q798" i="2"/>
  <c r="Q835" i="2"/>
  <c r="Q892" i="2"/>
  <c r="Q943" i="2"/>
  <c r="Q694" i="2"/>
  <c r="Q690" i="2"/>
  <c r="Q814" i="2"/>
  <c r="Q826" i="2"/>
  <c r="Q771" i="2"/>
  <c r="Q868" i="2"/>
  <c r="Q822" i="2"/>
  <c r="Q841" i="2"/>
  <c r="Q950" i="2"/>
  <c r="Q934" i="2"/>
  <c r="Q874" i="2"/>
  <c r="Q883" i="2"/>
  <c r="Q922" i="2"/>
  <c r="Q904" i="2"/>
  <c r="Q760" i="2"/>
  <c r="Q1001" i="2"/>
  <c r="Q808" i="2"/>
  <c r="Q687" i="2"/>
  <c r="Q931" i="2"/>
  <c r="Q980" i="2"/>
  <c r="Q711" i="2"/>
  <c r="Q974" i="2"/>
  <c r="Q880" i="2"/>
  <c r="Q726" i="2"/>
  <c r="Q715" i="2"/>
  <c r="Q979" i="2"/>
  <c r="Q900" i="2"/>
  <c r="Q686" i="2"/>
  <c r="Q748" i="2"/>
  <c r="Q702" i="2"/>
  <c r="Q867" i="2"/>
  <c r="Q770" i="2"/>
  <c r="Q680" i="2"/>
  <c r="Q780" i="2"/>
  <c r="Q857" i="2"/>
  <c r="Q873" i="2"/>
  <c r="Q996" i="2"/>
  <c r="Q804" i="2"/>
  <c r="Q902" i="2"/>
  <c r="Q742" i="2"/>
  <c r="Q948" i="2"/>
  <c r="Q735" i="2"/>
  <c r="Q903" i="2"/>
  <c r="Q864" i="2"/>
  <c r="Q732" i="2"/>
  <c r="Q700" i="2"/>
  <c r="Q1002" i="2"/>
  <c r="Q845" i="2"/>
  <c r="Q725" i="2"/>
  <c r="Q784" i="2"/>
  <c r="Q984" i="2"/>
  <c r="Q823" i="2"/>
  <c r="Q763" i="2"/>
  <c r="Q995" i="2"/>
  <c r="Q697" i="2"/>
  <c r="Q722" i="2"/>
  <c r="Q967" i="2"/>
  <c r="Q785" i="2"/>
  <c r="Q998" i="2"/>
  <c r="Q894" i="2"/>
  <c r="Q793" i="2"/>
  <c r="Q739" i="2"/>
  <c r="Q877" i="2"/>
  <c r="Q712" i="2"/>
  <c r="Q929" i="2"/>
  <c r="Q718" i="2"/>
  <c r="Q698" i="2"/>
  <c r="Q955" i="2"/>
  <c r="Q746" i="2"/>
  <c r="Q819" i="2"/>
  <c r="Q909" i="2"/>
  <c r="Q993" i="2"/>
  <c r="Q975" i="2"/>
  <c r="Q973" i="2"/>
  <c r="Q724" i="2"/>
  <c r="Q851" i="2"/>
  <c r="Q854" i="2"/>
  <c r="Q689" i="2"/>
  <c r="Q713" i="2"/>
  <c r="Q737" i="2"/>
  <c r="Q886" i="2"/>
  <c r="Q983" i="2"/>
  <c r="Q795" i="2"/>
  <c r="Q769" i="2"/>
  <c r="Q937" i="2"/>
  <c r="Q865" i="2"/>
  <c r="Q817" i="2"/>
  <c r="Q972" i="2"/>
  <c r="Q783" i="2"/>
  <c r="Q923" i="2"/>
  <c r="Q945" i="2"/>
  <c r="Q978" i="2"/>
  <c r="Q871" i="2"/>
  <c r="Q954" i="2"/>
  <c r="Q855" i="2"/>
  <c r="Q797" i="2"/>
  <c r="Q788" i="2"/>
  <c r="Q787" i="2"/>
  <c r="Q810" i="2"/>
  <c r="Q740" i="2"/>
  <c r="Q951" i="2"/>
  <c r="Q882" i="2"/>
  <c r="Q997" i="2"/>
  <c r="Q921" i="2"/>
  <c r="Q858" i="2"/>
  <c r="Q685" i="2"/>
  <c r="Q889" i="2"/>
  <c r="Q775" i="2"/>
  <c r="Q777" i="2"/>
  <c r="Q917" i="2"/>
  <c r="Q744" i="2"/>
  <c r="Q863" i="2"/>
  <c r="Q731" i="2"/>
  <c r="Q733" i="2"/>
  <c r="Q906" i="2"/>
  <c r="Q749" i="2"/>
  <c r="Q820" i="2"/>
  <c r="Q830" i="2"/>
  <c r="Q908" i="2"/>
  <c r="Q693" i="2"/>
  <c r="Q946" i="2"/>
  <c r="Q982" i="2"/>
  <c r="Q991" i="2"/>
  <c r="Q825" i="2"/>
  <c r="Q821" i="2"/>
  <c r="Q807" i="2"/>
  <c r="Q792" i="2"/>
  <c r="Q765" i="2"/>
  <c r="Q801" i="2"/>
  <c r="Q856" i="2"/>
  <c r="Q947" i="2"/>
  <c r="Q834" i="2"/>
  <c r="Q976" i="2"/>
  <c r="Q941" i="2"/>
  <c r="Q764" i="2"/>
  <c r="Q837" i="2"/>
  <c r="Q969" i="2"/>
  <c r="Q933" i="2"/>
  <c r="Q730" i="2"/>
  <c r="Q887" i="2"/>
  <c r="Q683" i="2"/>
  <c r="Q703" i="2"/>
  <c r="Q939" i="2"/>
  <c r="Q866" i="2"/>
  <c r="Q893" i="2"/>
  <c r="Q916" i="2"/>
  <c r="Q966" i="2"/>
  <c r="Q869" i="2"/>
  <c r="Q704" i="2"/>
  <c r="Q679" i="2"/>
  <c r="Q813" i="2"/>
  <c r="Q802" i="2"/>
  <c r="Q891" i="2"/>
  <c r="Q803" i="2"/>
  <c r="Q805" i="2"/>
  <c r="Q905" i="2"/>
  <c r="Q682" i="2"/>
  <c r="Q781" i="2"/>
  <c r="Q970" i="2"/>
  <c r="Q990" i="2"/>
  <c r="Q815" i="2"/>
  <c r="Q707" i="2"/>
  <c r="Q755" i="2"/>
  <c r="Q833" i="2"/>
  <c r="Q832" i="2"/>
  <c r="Q782" i="2"/>
  <c r="Q717" i="2"/>
  <c r="Q762" i="2"/>
  <c r="Q852" i="2"/>
  <c r="Q806" i="2"/>
  <c r="Q957" i="2"/>
  <c r="Q930" i="2"/>
  <c r="Q994" i="2"/>
  <c r="Q940" i="2"/>
  <c r="Q925" i="2"/>
  <c r="Q927" i="2"/>
  <c r="Q710" i="2"/>
  <c r="Q914" i="2"/>
  <c r="Q878" i="2"/>
  <c r="Q745" i="2"/>
  <c r="Q778" i="2"/>
  <c r="Q1000" i="2"/>
  <c r="Q734" i="2"/>
  <c r="Q971" i="2"/>
  <c r="Q981" i="2"/>
  <c r="Q953" i="2"/>
  <c r="Q758" i="2"/>
  <c r="Q963" i="2"/>
  <c r="Q699" i="2"/>
  <c r="Q860" i="2"/>
  <c r="Q962" i="2"/>
  <c r="Q754" i="2"/>
  <c r="Q827" i="2"/>
  <c r="Q918" i="2"/>
  <c r="Q721" i="2"/>
  <c r="Q977" i="2"/>
  <c r="Q761" i="2"/>
  <c r="Q850" i="2"/>
  <c r="Q789" i="2"/>
  <c r="Q915" i="2"/>
  <c r="Q897" i="2"/>
  <c r="Q756" i="2"/>
  <c r="Q910" i="2"/>
  <c r="Q859" i="2"/>
  <c r="Q741" i="2"/>
  <c r="Q913" i="2"/>
  <c r="Q935" i="2"/>
  <c r="Q772" i="2"/>
  <c r="Q875" i="2"/>
  <c r="Q919" i="2"/>
  <c r="Q999" i="2"/>
  <c r="Q779" i="2"/>
  <c r="Q678" i="2"/>
  <c r="Q965" i="2"/>
  <c r="Q876" i="2"/>
  <c r="Q861" i="2"/>
  <c r="Q831" i="2"/>
  <c r="Q753" i="2"/>
  <c r="Q849" i="2"/>
  <c r="Q706" i="2"/>
  <c r="Q847" i="2"/>
  <c r="Q701" i="2"/>
  <c r="Q719" i="2"/>
  <c r="Q961" i="2"/>
  <c r="Q879" i="2"/>
  <c r="Q757" i="2"/>
  <c r="Q809" i="2"/>
  <c r="Q691" i="2"/>
  <c r="Q773" i="2"/>
  <c r="Q828" i="2"/>
  <c r="Q768" i="2"/>
  <c r="Q853" i="2"/>
  <c r="Q799" i="2"/>
  <c r="Q751" i="2"/>
  <c r="Q924" i="2"/>
  <c r="Q895" i="2"/>
  <c r="Q840" i="2"/>
  <c r="Q960" i="2"/>
  <c r="Q839" i="2"/>
  <c r="Q838" i="2"/>
  <c r="Q958" i="2"/>
  <c r="Q956" i="2"/>
  <c r="Q959" i="2"/>
  <c r="Q842" i="2"/>
  <c r="N181" i="2"/>
  <c r="M325" i="2"/>
  <c r="N108" i="2"/>
  <c r="O29" i="2" l="1"/>
  <c r="N182" i="2"/>
  <c r="M326" i="2"/>
  <c r="N107" i="2"/>
  <c r="O30" i="2" l="1"/>
  <c r="N183" i="2"/>
  <c r="M327" i="2"/>
  <c r="N106" i="2"/>
  <c r="O31" i="2" l="1"/>
  <c r="N184" i="2"/>
  <c r="M328" i="2"/>
  <c r="N105" i="2"/>
  <c r="O32" i="2" l="1"/>
  <c r="N185" i="2"/>
  <c r="M329" i="2"/>
  <c r="N104" i="2"/>
  <c r="O33" i="2" l="1"/>
  <c r="N186" i="2"/>
  <c r="M330" i="2"/>
  <c r="N103" i="2"/>
  <c r="O34" i="2" l="1"/>
  <c r="N187" i="2"/>
  <c r="M331" i="2"/>
  <c r="N102" i="2"/>
  <c r="N11" i="2" l="1"/>
  <c r="O35" i="2"/>
  <c r="N188" i="2"/>
  <c r="M332" i="2"/>
  <c r="O36" i="2" l="1"/>
  <c r="N10" i="2"/>
  <c r="N189" i="2"/>
  <c r="M333" i="2"/>
  <c r="N9" i="2" l="1"/>
  <c r="O37" i="2"/>
  <c r="N190" i="2"/>
  <c r="M334" i="2"/>
  <c r="O38" i="2" l="1"/>
  <c r="N8" i="2"/>
  <c r="N191" i="2"/>
  <c r="M335" i="2"/>
  <c r="N7" i="2" l="1"/>
  <c r="O39" i="2"/>
  <c r="N192" i="2"/>
  <c r="M336" i="2"/>
  <c r="O40" i="2" l="1"/>
  <c r="N6" i="2"/>
  <c r="N193" i="2"/>
  <c r="M337" i="2"/>
  <c r="N5" i="2" l="1"/>
  <c r="O41" i="2"/>
  <c r="N194" i="2"/>
  <c r="M338" i="2"/>
  <c r="O42" i="2" l="1"/>
  <c r="N3" i="2"/>
  <c r="N4" i="2"/>
  <c r="N195" i="2"/>
  <c r="M339" i="2"/>
  <c r="O43" i="2" l="1"/>
  <c r="N196" i="2"/>
  <c r="M340" i="2"/>
  <c r="O44" i="2" l="1"/>
  <c r="N197" i="2"/>
  <c r="M341" i="2"/>
  <c r="O45" i="2" l="1"/>
  <c r="N198" i="2"/>
  <c r="M342" i="2"/>
  <c r="O46" i="2" l="1"/>
  <c r="N199" i="2"/>
  <c r="M343" i="2"/>
  <c r="O47" i="2" l="1"/>
  <c r="N200" i="2"/>
  <c r="M344" i="2"/>
  <c r="O48" i="2" l="1"/>
  <c r="N201" i="2"/>
  <c r="M345" i="2"/>
  <c r="O49" i="2" l="1"/>
  <c r="N202" i="2"/>
  <c r="M346" i="2"/>
  <c r="O50" i="2" l="1"/>
  <c r="N203" i="2"/>
  <c r="M347" i="2"/>
  <c r="O51" i="2" l="1"/>
  <c r="N204" i="2"/>
  <c r="M348" i="2"/>
  <c r="O52" i="2" l="1"/>
  <c r="N205" i="2"/>
  <c r="M349" i="2"/>
  <c r="O53" i="2" l="1"/>
  <c r="N206" i="2"/>
  <c r="M350" i="2"/>
  <c r="O54" i="2" l="1"/>
  <c r="N207" i="2"/>
  <c r="M351" i="2"/>
  <c r="O55" i="2" l="1"/>
  <c r="N208" i="2"/>
  <c r="M352" i="2"/>
  <c r="O56" i="2" l="1"/>
  <c r="N209" i="2"/>
  <c r="M353" i="2"/>
  <c r="O57" i="2" l="1"/>
  <c r="N210" i="2"/>
  <c r="M354" i="2"/>
  <c r="O58" i="2" l="1"/>
  <c r="N211" i="2"/>
  <c r="M355" i="2"/>
  <c r="O59" i="2" l="1"/>
  <c r="N212" i="2"/>
  <c r="M356" i="2"/>
  <c r="O60" i="2" l="1"/>
  <c r="N213" i="2"/>
  <c r="M357" i="2"/>
  <c r="O61" i="2" l="1"/>
  <c r="N214" i="2"/>
  <c r="M358" i="2"/>
  <c r="O62" i="2" l="1"/>
  <c r="N215" i="2"/>
  <c r="M359" i="2"/>
  <c r="O63" i="2" l="1"/>
  <c r="N216" i="2"/>
  <c r="M360" i="2"/>
  <c r="O64" i="2" l="1"/>
  <c r="N217" i="2"/>
  <c r="M361" i="2"/>
  <c r="O65" i="2" l="1"/>
  <c r="N218" i="2"/>
  <c r="M362" i="2"/>
  <c r="O66" i="2" l="1"/>
  <c r="N219" i="2"/>
  <c r="M363" i="2"/>
  <c r="O67" i="2" l="1"/>
  <c r="N220" i="2"/>
  <c r="M364" i="2"/>
  <c r="O68" i="2" l="1"/>
  <c r="N221" i="2"/>
  <c r="M365" i="2"/>
  <c r="O69" i="2" l="1"/>
  <c r="N222" i="2"/>
  <c r="M366" i="2"/>
  <c r="O70" i="2" l="1"/>
  <c r="N223" i="2"/>
  <c r="M367" i="2"/>
  <c r="O71" i="2" l="1"/>
  <c r="N224" i="2"/>
  <c r="M368" i="2"/>
  <c r="O72" i="2" l="1"/>
  <c r="N225" i="2"/>
  <c r="M369" i="2"/>
  <c r="O73" i="2" l="1"/>
  <c r="N226" i="2"/>
  <c r="M370" i="2"/>
  <c r="O74" i="2" l="1"/>
  <c r="N227" i="2"/>
  <c r="M371" i="2"/>
  <c r="O75" i="2" l="1"/>
  <c r="N228" i="2"/>
  <c r="M372" i="2"/>
  <c r="O76" i="2" l="1"/>
  <c r="N229" i="2"/>
  <c r="M373" i="2"/>
  <c r="O77" i="2" l="1"/>
  <c r="N230" i="2"/>
  <c r="M374" i="2"/>
  <c r="O78" i="2" l="1"/>
  <c r="N231" i="2"/>
  <c r="M375" i="2"/>
  <c r="O79" i="2" l="1"/>
  <c r="N232" i="2"/>
  <c r="M376" i="2"/>
  <c r="O80" i="2" l="1"/>
  <c r="N233" i="2"/>
  <c r="M377" i="2"/>
  <c r="O81" i="2" l="1"/>
  <c r="N234" i="2"/>
  <c r="M378" i="2"/>
  <c r="O82" i="2" l="1"/>
  <c r="N235" i="2"/>
  <c r="M379" i="2"/>
  <c r="O83" i="2" l="1"/>
  <c r="N236" i="2"/>
  <c r="M380" i="2"/>
  <c r="O84" i="2" l="1"/>
  <c r="N237" i="2"/>
  <c r="M381" i="2"/>
  <c r="O85" i="2" l="1"/>
  <c r="N238" i="2"/>
  <c r="M382" i="2"/>
  <c r="O86" i="2" l="1"/>
  <c r="N239" i="2"/>
  <c r="M383" i="2"/>
  <c r="O87" i="2" l="1"/>
  <c r="N240" i="2"/>
  <c r="M384" i="2"/>
  <c r="O88" i="2" l="1"/>
  <c r="N241" i="2"/>
  <c r="M385" i="2"/>
  <c r="O89" i="2" l="1"/>
  <c r="N242" i="2"/>
  <c r="M386" i="2"/>
  <c r="O90" i="2" l="1"/>
  <c r="N243" i="2"/>
  <c r="M387" i="2"/>
  <c r="O91" i="2" l="1"/>
  <c r="N244" i="2"/>
  <c r="M388" i="2"/>
  <c r="O92" i="2" l="1"/>
  <c r="N245" i="2"/>
  <c r="M389" i="2"/>
  <c r="O93" i="2" l="1"/>
  <c r="N246" i="2"/>
  <c r="M390" i="2"/>
  <c r="O94" i="2" l="1"/>
  <c r="N247" i="2"/>
  <c r="M391" i="2"/>
  <c r="O95" i="2" l="1"/>
  <c r="N248" i="2"/>
  <c r="M392" i="2"/>
  <c r="O96" i="2" l="1"/>
  <c r="N249" i="2"/>
  <c r="M393" i="2"/>
  <c r="O97" i="2" l="1"/>
  <c r="N250" i="2"/>
  <c r="M394" i="2"/>
  <c r="O98" i="2" l="1"/>
  <c r="N251" i="2"/>
  <c r="M395" i="2"/>
  <c r="O99" i="2" l="1"/>
  <c r="N252" i="2"/>
  <c r="M396" i="2"/>
  <c r="O100" i="2" l="1"/>
  <c r="N253" i="2"/>
  <c r="M397" i="2"/>
  <c r="O101" i="2" l="1"/>
  <c r="N254" i="2"/>
  <c r="M398" i="2"/>
  <c r="O102" i="2" l="1"/>
  <c r="N255" i="2"/>
  <c r="M399" i="2"/>
  <c r="O103" i="2" l="1"/>
  <c r="N256" i="2"/>
  <c r="M400" i="2"/>
  <c r="O104" i="2" l="1"/>
  <c r="N257" i="2"/>
  <c r="M401" i="2"/>
  <c r="O105" i="2" l="1"/>
  <c r="N258" i="2"/>
  <c r="M402" i="2"/>
  <c r="O106" i="2" l="1"/>
  <c r="N259" i="2"/>
  <c r="M403" i="2"/>
  <c r="O107" i="2" l="1"/>
  <c r="N260" i="2"/>
  <c r="M404" i="2"/>
  <c r="O108" i="2" l="1"/>
  <c r="N261" i="2"/>
  <c r="M405" i="2"/>
  <c r="O109" i="2" l="1"/>
  <c r="N262" i="2"/>
  <c r="M406" i="2"/>
  <c r="O110" i="2" l="1"/>
  <c r="N263" i="2"/>
  <c r="M407" i="2"/>
  <c r="O111" i="2" l="1"/>
  <c r="N264" i="2"/>
  <c r="M408" i="2"/>
  <c r="O112" i="2" l="1"/>
  <c r="N265" i="2"/>
  <c r="M409" i="2"/>
  <c r="O113" i="2" l="1"/>
  <c r="N266" i="2"/>
  <c r="M410" i="2"/>
  <c r="O114" i="2" l="1"/>
  <c r="N267" i="2"/>
  <c r="M411" i="2"/>
  <c r="O115" i="2" l="1"/>
  <c r="N268" i="2"/>
  <c r="M412" i="2"/>
  <c r="O116" i="2" l="1"/>
  <c r="N269" i="2"/>
  <c r="M413" i="2"/>
  <c r="O117" i="2" l="1"/>
  <c r="N270" i="2"/>
  <c r="M414" i="2"/>
  <c r="O118" i="2" l="1"/>
  <c r="N271" i="2"/>
  <c r="M415" i="2"/>
  <c r="O119" i="2" l="1"/>
  <c r="N272" i="2"/>
  <c r="M416" i="2"/>
  <c r="O120" i="2" l="1"/>
  <c r="N273" i="2"/>
  <c r="M417" i="2"/>
  <c r="O121" i="2" l="1"/>
  <c r="N274" i="2"/>
  <c r="M418" i="2"/>
  <c r="O122" i="2" l="1"/>
  <c r="N275" i="2"/>
  <c r="M419" i="2"/>
  <c r="O123" i="2" l="1"/>
  <c r="N276" i="2"/>
  <c r="M420" i="2"/>
  <c r="O124" i="2" l="1"/>
  <c r="N277" i="2"/>
  <c r="M421" i="2"/>
  <c r="O125" i="2" l="1"/>
  <c r="N278" i="2"/>
  <c r="M422" i="2"/>
  <c r="O126" i="2" l="1"/>
  <c r="N279" i="2"/>
  <c r="M423" i="2"/>
  <c r="O127" i="2" l="1"/>
  <c r="N280" i="2"/>
  <c r="M424" i="2"/>
  <c r="O128" i="2" l="1"/>
  <c r="N281" i="2"/>
  <c r="M425" i="2"/>
  <c r="O129" i="2" l="1"/>
  <c r="N282" i="2"/>
  <c r="M426" i="2"/>
  <c r="O130" i="2" l="1"/>
  <c r="N283" i="2"/>
  <c r="M427" i="2"/>
  <c r="O131" i="2" l="1"/>
  <c r="N284" i="2"/>
  <c r="M428" i="2"/>
  <c r="O132" i="2" l="1"/>
  <c r="N285" i="2"/>
  <c r="M429" i="2"/>
  <c r="O133" i="2" l="1"/>
  <c r="N286" i="2"/>
  <c r="M430" i="2"/>
  <c r="O134" i="2" l="1"/>
  <c r="N287" i="2"/>
  <c r="M431" i="2"/>
  <c r="O135" i="2" l="1"/>
  <c r="N288" i="2"/>
  <c r="M432" i="2"/>
  <c r="O136" i="2" l="1"/>
  <c r="N289" i="2"/>
  <c r="M433" i="2"/>
  <c r="O137" i="2" l="1"/>
  <c r="N290" i="2"/>
  <c r="M434" i="2"/>
  <c r="O138" i="2" l="1"/>
  <c r="N291" i="2"/>
  <c r="M435" i="2"/>
  <c r="O139" i="2" l="1"/>
  <c r="N292" i="2"/>
  <c r="M436" i="2"/>
  <c r="O140" i="2" l="1"/>
  <c r="N293" i="2"/>
  <c r="M437" i="2"/>
  <c r="O141" i="2" l="1"/>
  <c r="N294" i="2"/>
  <c r="M438" i="2"/>
  <c r="O142" i="2" l="1"/>
  <c r="N295" i="2"/>
  <c r="M439" i="2"/>
  <c r="O143" i="2" l="1"/>
  <c r="N296" i="2"/>
  <c r="M440" i="2"/>
  <c r="O144" i="2" l="1"/>
  <c r="N297" i="2"/>
  <c r="M441" i="2"/>
  <c r="O145" i="2" l="1"/>
  <c r="N298" i="2"/>
  <c r="M442" i="2"/>
  <c r="O146" i="2" l="1"/>
  <c r="N299" i="2"/>
  <c r="M443" i="2"/>
  <c r="O147" i="2" l="1"/>
  <c r="N300" i="2"/>
  <c r="N301" i="2"/>
  <c r="M444" i="2"/>
  <c r="O148" i="2" l="1"/>
  <c r="M445" i="2"/>
  <c r="O149" i="2" l="1"/>
  <c r="M446" i="2"/>
  <c r="O150" i="2" l="1"/>
  <c r="M447" i="2"/>
  <c r="O151" i="2" l="1"/>
  <c r="M448" i="2"/>
  <c r="O152" i="2" l="1"/>
  <c r="M449" i="2"/>
  <c r="O153" i="2" l="1"/>
  <c r="M450" i="2"/>
  <c r="O154" i="2" l="1"/>
  <c r="M451" i="2"/>
  <c r="O155" i="2" l="1"/>
  <c r="M452" i="2"/>
  <c r="O156" i="2" l="1"/>
  <c r="M453" i="2"/>
  <c r="O157" i="2" l="1"/>
  <c r="M454" i="2"/>
  <c r="O158" i="2" l="1"/>
  <c r="M455" i="2"/>
  <c r="O159" i="2" l="1"/>
  <c r="M456" i="2"/>
  <c r="O160" i="2" l="1"/>
  <c r="M457" i="2"/>
  <c r="O161" i="2" l="1"/>
  <c r="M458" i="2"/>
  <c r="O162" i="2" l="1"/>
  <c r="M459" i="2"/>
  <c r="O163" i="2" l="1"/>
  <c r="M460" i="2"/>
  <c r="O164" i="2" l="1"/>
  <c r="M461" i="2"/>
  <c r="O165" i="2" l="1"/>
  <c r="M462" i="2"/>
  <c r="O166" i="2" l="1"/>
  <c r="M463" i="2"/>
  <c r="O167" i="2" l="1"/>
  <c r="M464" i="2"/>
  <c r="O168" i="2" l="1"/>
  <c r="M465" i="2"/>
  <c r="O169" i="2" l="1"/>
  <c r="M466" i="2"/>
  <c r="O170" i="2" l="1"/>
  <c r="M467" i="2"/>
  <c r="O171" i="2" l="1"/>
  <c r="M468" i="2"/>
  <c r="O172" i="2" l="1"/>
  <c r="M469" i="2"/>
  <c r="O173" i="2" l="1"/>
  <c r="M470" i="2"/>
  <c r="O174" i="2" l="1"/>
  <c r="M471" i="2"/>
  <c r="O175" i="2" l="1"/>
  <c r="M472" i="2"/>
  <c r="O176" i="2" l="1"/>
  <c r="M473" i="2"/>
  <c r="O177" i="2" l="1"/>
  <c r="M474" i="2"/>
  <c r="O178" i="2" l="1"/>
  <c r="M475" i="2"/>
  <c r="O179" i="2" l="1"/>
  <c r="M476" i="2"/>
  <c r="O180" i="2" l="1"/>
  <c r="M477" i="2"/>
  <c r="O181" i="2" l="1"/>
  <c r="M478" i="2"/>
  <c r="O182" i="2" l="1"/>
  <c r="M479" i="2"/>
  <c r="O183" i="2" l="1"/>
  <c r="M480" i="2"/>
  <c r="O184" i="2" l="1"/>
  <c r="M481" i="2"/>
  <c r="O185" i="2" l="1"/>
  <c r="M482" i="2"/>
  <c r="O186" i="2" l="1"/>
  <c r="M483" i="2"/>
  <c r="O187" i="2" l="1"/>
  <c r="M484" i="2"/>
  <c r="O188" i="2" l="1"/>
  <c r="M485" i="2"/>
  <c r="O189" i="2" l="1"/>
  <c r="M486" i="2"/>
  <c r="O190" i="2" l="1"/>
  <c r="M487" i="2"/>
  <c r="O191" i="2" l="1"/>
  <c r="M488" i="2"/>
  <c r="O192" i="2" l="1"/>
  <c r="M489" i="2"/>
  <c r="O193" i="2" l="1"/>
  <c r="M490" i="2"/>
  <c r="O194" i="2" l="1"/>
  <c r="M491" i="2"/>
  <c r="O195" i="2" l="1"/>
  <c r="M492" i="2"/>
  <c r="O196" i="2" l="1"/>
  <c r="M493" i="2"/>
  <c r="O197" i="2" l="1"/>
  <c r="M494" i="2"/>
  <c r="O198" i="2" l="1"/>
  <c r="M495" i="2"/>
  <c r="O199" i="2" l="1"/>
  <c r="M496" i="2"/>
  <c r="M4" i="2"/>
  <c r="L3" i="2"/>
  <c r="F103" i="2"/>
  <c r="F123" i="2" s="1"/>
  <c r="F143" i="2" s="1"/>
  <c r="F163" i="2" s="1"/>
  <c r="F183" i="2" s="1"/>
  <c r="F203" i="2" s="1"/>
  <c r="F223" i="2" s="1"/>
  <c r="F243" i="2" s="1"/>
  <c r="F263" i="2" s="1"/>
  <c r="F283" i="2" s="1"/>
  <c r="F303" i="2" s="1"/>
  <c r="F323" i="2" s="1"/>
  <c r="F343" i="2" s="1"/>
  <c r="F363" i="2" s="1"/>
  <c r="F383" i="2" s="1"/>
  <c r="F403" i="2" s="1"/>
  <c r="F423" i="2" s="1"/>
  <c r="F443" i="2" s="1"/>
  <c r="F463" i="2" s="1"/>
  <c r="F483" i="2" s="1"/>
  <c r="F503" i="2" s="1"/>
  <c r="F523" i="2" s="1"/>
  <c r="F543" i="2" s="1"/>
  <c r="F563" i="2" s="1"/>
  <c r="F583" i="2" s="1"/>
  <c r="F603" i="2" s="1"/>
  <c r="F623" i="2" s="1"/>
  <c r="F643" i="2" s="1"/>
  <c r="F663" i="2" s="1"/>
  <c r="F683" i="2" s="1"/>
  <c r="F703" i="2" s="1"/>
  <c r="F723" i="2" s="1"/>
  <c r="F743" i="2" s="1"/>
  <c r="F763" i="2" s="1"/>
  <c r="F783" i="2" s="1"/>
  <c r="F803" i="2" s="1"/>
  <c r="F823" i="2" s="1"/>
  <c r="F843" i="2" s="1"/>
  <c r="F863" i="2" s="1"/>
  <c r="F883" i="2" s="1"/>
  <c r="F903" i="2" s="1"/>
  <c r="F923" i="2" s="1"/>
  <c r="F943" i="2" s="1"/>
  <c r="F963" i="2" s="1"/>
  <c r="F983" i="2" s="1"/>
  <c r="F104" i="2"/>
  <c r="F124" i="2" s="1"/>
  <c r="F144" i="2" s="1"/>
  <c r="F164" i="2" s="1"/>
  <c r="F184" i="2" s="1"/>
  <c r="F204" i="2" s="1"/>
  <c r="F224" i="2" s="1"/>
  <c r="F244" i="2" s="1"/>
  <c r="F264" i="2" s="1"/>
  <c r="F284" i="2" s="1"/>
  <c r="F304" i="2" s="1"/>
  <c r="F324" i="2" s="1"/>
  <c r="F344" i="2" s="1"/>
  <c r="F364" i="2" s="1"/>
  <c r="F384" i="2" s="1"/>
  <c r="F404" i="2" s="1"/>
  <c r="F424" i="2" s="1"/>
  <c r="F444" i="2" s="1"/>
  <c r="F464" i="2" s="1"/>
  <c r="F484" i="2" s="1"/>
  <c r="F504" i="2" s="1"/>
  <c r="F524" i="2" s="1"/>
  <c r="F544" i="2" s="1"/>
  <c r="F564" i="2" s="1"/>
  <c r="F584" i="2" s="1"/>
  <c r="F604" i="2" s="1"/>
  <c r="F624" i="2" s="1"/>
  <c r="F644" i="2" s="1"/>
  <c r="F664" i="2" s="1"/>
  <c r="F684" i="2" s="1"/>
  <c r="F704" i="2" s="1"/>
  <c r="F724" i="2" s="1"/>
  <c r="F744" i="2" s="1"/>
  <c r="F764" i="2" s="1"/>
  <c r="F784" i="2" s="1"/>
  <c r="F804" i="2" s="1"/>
  <c r="F824" i="2" s="1"/>
  <c r="F844" i="2" s="1"/>
  <c r="F864" i="2" s="1"/>
  <c r="F884" i="2" s="1"/>
  <c r="F904" i="2" s="1"/>
  <c r="F924" i="2" s="1"/>
  <c r="F944" i="2" s="1"/>
  <c r="F964" i="2" s="1"/>
  <c r="F984" i="2" s="1"/>
  <c r="F105" i="2"/>
  <c r="F125" i="2" s="1"/>
  <c r="F145" i="2" s="1"/>
  <c r="F165" i="2" s="1"/>
  <c r="F185" i="2" s="1"/>
  <c r="F205" i="2" s="1"/>
  <c r="F225" i="2" s="1"/>
  <c r="F245" i="2" s="1"/>
  <c r="F265" i="2" s="1"/>
  <c r="F285" i="2" s="1"/>
  <c r="F305" i="2" s="1"/>
  <c r="F325" i="2" s="1"/>
  <c r="F345" i="2" s="1"/>
  <c r="F365" i="2" s="1"/>
  <c r="F385" i="2" s="1"/>
  <c r="F405" i="2" s="1"/>
  <c r="F425" i="2" s="1"/>
  <c r="F445" i="2" s="1"/>
  <c r="F465" i="2" s="1"/>
  <c r="F485" i="2" s="1"/>
  <c r="F505" i="2" s="1"/>
  <c r="F525" i="2" s="1"/>
  <c r="F545" i="2" s="1"/>
  <c r="F565" i="2" s="1"/>
  <c r="F585" i="2" s="1"/>
  <c r="F605" i="2" s="1"/>
  <c r="F625" i="2" s="1"/>
  <c r="F645" i="2" s="1"/>
  <c r="F665" i="2" s="1"/>
  <c r="F685" i="2" s="1"/>
  <c r="F705" i="2" s="1"/>
  <c r="F725" i="2" s="1"/>
  <c r="F745" i="2" s="1"/>
  <c r="F765" i="2" s="1"/>
  <c r="F785" i="2" s="1"/>
  <c r="F805" i="2" s="1"/>
  <c r="F825" i="2" s="1"/>
  <c r="F845" i="2" s="1"/>
  <c r="F865" i="2" s="1"/>
  <c r="F885" i="2" s="1"/>
  <c r="F905" i="2" s="1"/>
  <c r="F925" i="2" s="1"/>
  <c r="F945" i="2" s="1"/>
  <c r="F965" i="2" s="1"/>
  <c r="F985" i="2" s="1"/>
  <c r="F106" i="2"/>
  <c r="F126" i="2" s="1"/>
  <c r="F146" i="2" s="1"/>
  <c r="F166" i="2" s="1"/>
  <c r="F186" i="2" s="1"/>
  <c r="F206" i="2" s="1"/>
  <c r="F226" i="2" s="1"/>
  <c r="F246" i="2" s="1"/>
  <c r="F266" i="2" s="1"/>
  <c r="F286" i="2" s="1"/>
  <c r="F306" i="2" s="1"/>
  <c r="F326" i="2" s="1"/>
  <c r="F346" i="2" s="1"/>
  <c r="F366" i="2" s="1"/>
  <c r="F386" i="2" s="1"/>
  <c r="F406" i="2" s="1"/>
  <c r="F426" i="2" s="1"/>
  <c r="F446" i="2" s="1"/>
  <c r="F466" i="2" s="1"/>
  <c r="F486" i="2" s="1"/>
  <c r="F506" i="2" s="1"/>
  <c r="F526" i="2" s="1"/>
  <c r="F546" i="2" s="1"/>
  <c r="F566" i="2" s="1"/>
  <c r="F586" i="2" s="1"/>
  <c r="F606" i="2" s="1"/>
  <c r="F626" i="2" s="1"/>
  <c r="F646" i="2" s="1"/>
  <c r="F666" i="2" s="1"/>
  <c r="F686" i="2" s="1"/>
  <c r="F706" i="2" s="1"/>
  <c r="F726" i="2" s="1"/>
  <c r="F746" i="2" s="1"/>
  <c r="F766" i="2" s="1"/>
  <c r="F786" i="2" s="1"/>
  <c r="F806" i="2" s="1"/>
  <c r="F826" i="2" s="1"/>
  <c r="F846" i="2" s="1"/>
  <c r="F866" i="2" s="1"/>
  <c r="F886" i="2" s="1"/>
  <c r="F906" i="2" s="1"/>
  <c r="F926" i="2" s="1"/>
  <c r="F946" i="2" s="1"/>
  <c r="F966" i="2" s="1"/>
  <c r="F986" i="2" s="1"/>
  <c r="F107" i="2"/>
  <c r="F127" i="2" s="1"/>
  <c r="F147" i="2" s="1"/>
  <c r="F167" i="2" s="1"/>
  <c r="F187" i="2" s="1"/>
  <c r="F207" i="2" s="1"/>
  <c r="F227" i="2" s="1"/>
  <c r="F247" i="2" s="1"/>
  <c r="F267" i="2" s="1"/>
  <c r="F287" i="2" s="1"/>
  <c r="F307" i="2" s="1"/>
  <c r="F327" i="2" s="1"/>
  <c r="F347" i="2" s="1"/>
  <c r="F367" i="2" s="1"/>
  <c r="F387" i="2" s="1"/>
  <c r="F407" i="2" s="1"/>
  <c r="F427" i="2" s="1"/>
  <c r="F447" i="2" s="1"/>
  <c r="F467" i="2" s="1"/>
  <c r="F487" i="2" s="1"/>
  <c r="F507" i="2" s="1"/>
  <c r="F527" i="2" s="1"/>
  <c r="F547" i="2" s="1"/>
  <c r="F567" i="2" s="1"/>
  <c r="F587" i="2" s="1"/>
  <c r="F607" i="2" s="1"/>
  <c r="F627" i="2" s="1"/>
  <c r="F647" i="2" s="1"/>
  <c r="F667" i="2" s="1"/>
  <c r="F687" i="2" s="1"/>
  <c r="F707" i="2" s="1"/>
  <c r="F727" i="2" s="1"/>
  <c r="F747" i="2" s="1"/>
  <c r="F767" i="2" s="1"/>
  <c r="F787" i="2" s="1"/>
  <c r="F807" i="2" s="1"/>
  <c r="F827" i="2" s="1"/>
  <c r="F847" i="2" s="1"/>
  <c r="F867" i="2" s="1"/>
  <c r="F887" i="2" s="1"/>
  <c r="F907" i="2" s="1"/>
  <c r="F927" i="2" s="1"/>
  <c r="F947" i="2" s="1"/>
  <c r="F967" i="2" s="1"/>
  <c r="F987" i="2" s="1"/>
  <c r="F108" i="2"/>
  <c r="F128" i="2" s="1"/>
  <c r="F148" i="2" s="1"/>
  <c r="F168" i="2" s="1"/>
  <c r="F188" i="2" s="1"/>
  <c r="F208" i="2" s="1"/>
  <c r="F228" i="2" s="1"/>
  <c r="F248" i="2" s="1"/>
  <c r="F268" i="2" s="1"/>
  <c r="F288" i="2" s="1"/>
  <c r="F308" i="2" s="1"/>
  <c r="F328" i="2" s="1"/>
  <c r="F348" i="2" s="1"/>
  <c r="F368" i="2" s="1"/>
  <c r="F388" i="2" s="1"/>
  <c r="F408" i="2" s="1"/>
  <c r="F428" i="2" s="1"/>
  <c r="F448" i="2" s="1"/>
  <c r="F468" i="2" s="1"/>
  <c r="F488" i="2" s="1"/>
  <c r="F508" i="2" s="1"/>
  <c r="F528" i="2" s="1"/>
  <c r="F548" i="2" s="1"/>
  <c r="F568" i="2" s="1"/>
  <c r="F588" i="2" s="1"/>
  <c r="F608" i="2" s="1"/>
  <c r="F628" i="2" s="1"/>
  <c r="F648" i="2" s="1"/>
  <c r="F668" i="2" s="1"/>
  <c r="F688" i="2" s="1"/>
  <c r="F708" i="2" s="1"/>
  <c r="F728" i="2" s="1"/>
  <c r="F748" i="2" s="1"/>
  <c r="F768" i="2" s="1"/>
  <c r="F788" i="2" s="1"/>
  <c r="F808" i="2" s="1"/>
  <c r="F828" i="2" s="1"/>
  <c r="F848" i="2" s="1"/>
  <c r="F868" i="2" s="1"/>
  <c r="F888" i="2" s="1"/>
  <c r="F908" i="2" s="1"/>
  <c r="F928" i="2" s="1"/>
  <c r="F948" i="2" s="1"/>
  <c r="F968" i="2" s="1"/>
  <c r="F988" i="2" s="1"/>
  <c r="F109" i="2"/>
  <c r="F129" i="2" s="1"/>
  <c r="F149" i="2" s="1"/>
  <c r="F169" i="2" s="1"/>
  <c r="F189" i="2" s="1"/>
  <c r="F209" i="2" s="1"/>
  <c r="F229" i="2" s="1"/>
  <c r="F249" i="2" s="1"/>
  <c r="F269" i="2" s="1"/>
  <c r="F289" i="2" s="1"/>
  <c r="F309" i="2" s="1"/>
  <c r="F329" i="2" s="1"/>
  <c r="F349" i="2" s="1"/>
  <c r="F369" i="2" s="1"/>
  <c r="F389" i="2" s="1"/>
  <c r="F409" i="2" s="1"/>
  <c r="F429" i="2" s="1"/>
  <c r="F449" i="2" s="1"/>
  <c r="F469" i="2" s="1"/>
  <c r="F489" i="2" s="1"/>
  <c r="F509" i="2" s="1"/>
  <c r="F529" i="2" s="1"/>
  <c r="F549" i="2" s="1"/>
  <c r="F569" i="2" s="1"/>
  <c r="F589" i="2" s="1"/>
  <c r="F609" i="2" s="1"/>
  <c r="F629" i="2" s="1"/>
  <c r="F649" i="2" s="1"/>
  <c r="F669" i="2" s="1"/>
  <c r="F689" i="2" s="1"/>
  <c r="F709" i="2" s="1"/>
  <c r="F729" i="2" s="1"/>
  <c r="F749" i="2" s="1"/>
  <c r="F769" i="2" s="1"/>
  <c r="F789" i="2" s="1"/>
  <c r="F809" i="2" s="1"/>
  <c r="F829" i="2" s="1"/>
  <c r="F849" i="2" s="1"/>
  <c r="F869" i="2" s="1"/>
  <c r="F889" i="2" s="1"/>
  <c r="F909" i="2" s="1"/>
  <c r="F929" i="2" s="1"/>
  <c r="F949" i="2" s="1"/>
  <c r="F969" i="2" s="1"/>
  <c r="F989" i="2" s="1"/>
  <c r="F110" i="2"/>
  <c r="F130" i="2" s="1"/>
  <c r="F150" i="2" s="1"/>
  <c r="F170" i="2" s="1"/>
  <c r="F190" i="2" s="1"/>
  <c r="F210" i="2" s="1"/>
  <c r="F230" i="2" s="1"/>
  <c r="F250" i="2" s="1"/>
  <c r="F270" i="2" s="1"/>
  <c r="F290" i="2" s="1"/>
  <c r="F310" i="2" s="1"/>
  <c r="F330" i="2" s="1"/>
  <c r="F350" i="2" s="1"/>
  <c r="F370" i="2" s="1"/>
  <c r="F390" i="2" s="1"/>
  <c r="F410" i="2" s="1"/>
  <c r="F430" i="2" s="1"/>
  <c r="F450" i="2" s="1"/>
  <c r="F470" i="2" s="1"/>
  <c r="F490" i="2" s="1"/>
  <c r="F510" i="2" s="1"/>
  <c r="F530" i="2" s="1"/>
  <c r="F550" i="2" s="1"/>
  <c r="F570" i="2" s="1"/>
  <c r="F590" i="2" s="1"/>
  <c r="F610" i="2" s="1"/>
  <c r="F630" i="2" s="1"/>
  <c r="F650" i="2" s="1"/>
  <c r="F670" i="2" s="1"/>
  <c r="F690" i="2" s="1"/>
  <c r="F710" i="2" s="1"/>
  <c r="F730" i="2" s="1"/>
  <c r="F750" i="2" s="1"/>
  <c r="F770" i="2" s="1"/>
  <c r="F790" i="2" s="1"/>
  <c r="F810" i="2" s="1"/>
  <c r="F830" i="2" s="1"/>
  <c r="F850" i="2" s="1"/>
  <c r="F870" i="2" s="1"/>
  <c r="F890" i="2" s="1"/>
  <c r="F910" i="2" s="1"/>
  <c r="F930" i="2" s="1"/>
  <c r="F950" i="2" s="1"/>
  <c r="F970" i="2" s="1"/>
  <c r="F990" i="2" s="1"/>
  <c r="F111" i="2"/>
  <c r="F131" i="2" s="1"/>
  <c r="F151" i="2" s="1"/>
  <c r="F171" i="2" s="1"/>
  <c r="F191" i="2" s="1"/>
  <c r="F211" i="2" s="1"/>
  <c r="F231" i="2" s="1"/>
  <c r="F251" i="2" s="1"/>
  <c r="F271" i="2" s="1"/>
  <c r="F291" i="2" s="1"/>
  <c r="F311" i="2" s="1"/>
  <c r="F331" i="2" s="1"/>
  <c r="F351" i="2" s="1"/>
  <c r="F371" i="2" s="1"/>
  <c r="F391" i="2" s="1"/>
  <c r="F411" i="2" s="1"/>
  <c r="F431" i="2" s="1"/>
  <c r="F451" i="2" s="1"/>
  <c r="F471" i="2" s="1"/>
  <c r="F491" i="2" s="1"/>
  <c r="F511" i="2" s="1"/>
  <c r="F531" i="2" s="1"/>
  <c r="F551" i="2" s="1"/>
  <c r="F571" i="2" s="1"/>
  <c r="F591" i="2" s="1"/>
  <c r="F611" i="2" s="1"/>
  <c r="F631" i="2" s="1"/>
  <c r="F651" i="2" s="1"/>
  <c r="F671" i="2" s="1"/>
  <c r="F691" i="2" s="1"/>
  <c r="F711" i="2" s="1"/>
  <c r="F731" i="2" s="1"/>
  <c r="F751" i="2" s="1"/>
  <c r="F771" i="2" s="1"/>
  <c r="F791" i="2" s="1"/>
  <c r="F811" i="2" s="1"/>
  <c r="F831" i="2" s="1"/>
  <c r="F851" i="2" s="1"/>
  <c r="F871" i="2" s="1"/>
  <c r="F891" i="2" s="1"/>
  <c r="F911" i="2" s="1"/>
  <c r="F931" i="2" s="1"/>
  <c r="F951" i="2" s="1"/>
  <c r="F971" i="2" s="1"/>
  <c r="F991" i="2" s="1"/>
  <c r="F112" i="2"/>
  <c r="F132" i="2" s="1"/>
  <c r="F152" i="2" s="1"/>
  <c r="F172" i="2" s="1"/>
  <c r="F192" i="2" s="1"/>
  <c r="F212" i="2" s="1"/>
  <c r="F232" i="2" s="1"/>
  <c r="F252" i="2" s="1"/>
  <c r="F272" i="2" s="1"/>
  <c r="F292" i="2" s="1"/>
  <c r="F312" i="2" s="1"/>
  <c r="F332" i="2" s="1"/>
  <c r="F352" i="2" s="1"/>
  <c r="F372" i="2" s="1"/>
  <c r="F392" i="2" s="1"/>
  <c r="F412" i="2" s="1"/>
  <c r="F432" i="2" s="1"/>
  <c r="F452" i="2" s="1"/>
  <c r="F472" i="2" s="1"/>
  <c r="F492" i="2" s="1"/>
  <c r="F512" i="2" s="1"/>
  <c r="F532" i="2" s="1"/>
  <c r="F552" i="2" s="1"/>
  <c r="F572" i="2" s="1"/>
  <c r="F592" i="2" s="1"/>
  <c r="F612" i="2" s="1"/>
  <c r="F632" i="2" s="1"/>
  <c r="F652" i="2" s="1"/>
  <c r="F672" i="2" s="1"/>
  <c r="F692" i="2" s="1"/>
  <c r="F712" i="2" s="1"/>
  <c r="F732" i="2" s="1"/>
  <c r="F752" i="2" s="1"/>
  <c r="F772" i="2" s="1"/>
  <c r="F792" i="2" s="1"/>
  <c r="F812" i="2" s="1"/>
  <c r="F832" i="2" s="1"/>
  <c r="F852" i="2" s="1"/>
  <c r="F872" i="2" s="1"/>
  <c r="F892" i="2" s="1"/>
  <c r="F912" i="2" s="1"/>
  <c r="F932" i="2" s="1"/>
  <c r="F952" i="2" s="1"/>
  <c r="F972" i="2" s="1"/>
  <c r="F992" i="2" s="1"/>
  <c r="F113" i="2"/>
  <c r="F133" i="2" s="1"/>
  <c r="F153" i="2" s="1"/>
  <c r="F173" i="2" s="1"/>
  <c r="F193" i="2" s="1"/>
  <c r="F213" i="2" s="1"/>
  <c r="F233" i="2" s="1"/>
  <c r="F253" i="2" s="1"/>
  <c r="F273" i="2" s="1"/>
  <c r="F293" i="2" s="1"/>
  <c r="F313" i="2" s="1"/>
  <c r="F333" i="2" s="1"/>
  <c r="F353" i="2" s="1"/>
  <c r="F373" i="2" s="1"/>
  <c r="F393" i="2" s="1"/>
  <c r="F413" i="2" s="1"/>
  <c r="F433" i="2" s="1"/>
  <c r="F453" i="2" s="1"/>
  <c r="F473" i="2" s="1"/>
  <c r="F493" i="2" s="1"/>
  <c r="F513" i="2" s="1"/>
  <c r="F533" i="2" s="1"/>
  <c r="F553" i="2" s="1"/>
  <c r="F573" i="2" s="1"/>
  <c r="F593" i="2" s="1"/>
  <c r="F613" i="2" s="1"/>
  <c r="F633" i="2" s="1"/>
  <c r="F653" i="2" s="1"/>
  <c r="F673" i="2" s="1"/>
  <c r="F693" i="2" s="1"/>
  <c r="F713" i="2" s="1"/>
  <c r="F733" i="2" s="1"/>
  <c r="F753" i="2" s="1"/>
  <c r="F773" i="2" s="1"/>
  <c r="F793" i="2" s="1"/>
  <c r="F813" i="2" s="1"/>
  <c r="F833" i="2" s="1"/>
  <c r="F853" i="2" s="1"/>
  <c r="F873" i="2" s="1"/>
  <c r="F893" i="2" s="1"/>
  <c r="F913" i="2" s="1"/>
  <c r="F933" i="2" s="1"/>
  <c r="F953" i="2" s="1"/>
  <c r="F973" i="2" s="1"/>
  <c r="F993" i="2" s="1"/>
  <c r="F114" i="2"/>
  <c r="F134" i="2" s="1"/>
  <c r="F154" i="2" s="1"/>
  <c r="F174" i="2" s="1"/>
  <c r="F194" i="2" s="1"/>
  <c r="F214" i="2" s="1"/>
  <c r="F234" i="2" s="1"/>
  <c r="F254" i="2" s="1"/>
  <c r="F274" i="2" s="1"/>
  <c r="F294" i="2" s="1"/>
  <c r="F314" i="2" s="1"/>
  <c r="F334" i="2" s="1"/>
  <c r="F354" i="2" s="1"/>
  <c r="F374" i="2" s="1"/>
  <c r="F394" i="2" s="1"/>
  <c r="F414" i="2" s="1"/>
  <c r="F434" i="2" s="1"/>
  <c r="F454" i="2" s="1"/>
  <c r="F474" i="2" s="1"/>
  <c r="F494" i="2" s="1"/>
  <c r="F514" i="2" s="1"/>
  <c r="F534" i="2" s="1"/>
  <c r="F554" i="2" s="1"/>
  <c r="F574" i="2" s="1"/>
  <c r="F594" i="2" s="1"/>
  <c r="F614" i="2" s="1"/>
  <c r="F634" i="2" s="1"/>
  <c r="F654" i="2" s="1"/>
  <c r="F674" i="2" s="1"/>
  <c r="F694" i="2" s="1"/>
  <c r="F714" i="2" s="1"/>
  <c r="F734" i="2" s="1"/>
  <c r="F754" i="2" s="1"/>
  <c r="F774" i="2" s="1"/>
  <c r="F794" i="2" s="1"/>
  <c r="F814" i="2" s="1"/>
  <c r="F834" i="2" s="1"/>
  <c r="F854" i="2" s="1"/>
  <c r="F874" i="2" s="1"/>
  <c r="F894" i="2" s="1"/>
  <c r="F914" i="2" s="1"/>
  <c r="F934" i="2" s="1"/>
  <c r="F954" i="2" s="1"/>
  <c r="F974" i="2" s="1"/>
  <c r="F994" i="2" s="1"/>
  <c r="F115" i="2"/>
  <c r="F135" i="2" s="1"/>
  <c r="F155" i="2" s="1"/>
  <c r="F175" i="2" s="1"/>
  <c r="F195" i="2" s="1"/>
  <c r="F215" i="2" s="1"/>
  <c r="F235" i="2" s="1"/>
  <c r="F255" i="2" s="1"/>
  <c r="F275" i="2" s="1"/>
  <c r="F295" i="2" s="1"/>
  <c r="F315" i="2" s="1"/>
  <c r="F335" i="2" s="1"/>
  <c r="F355" i="2" s="1"/>
  <c r="F375" i="2" s="1"/>
  <c r="F395" i="2" s="1"/>
  <c r="F415" i="2" s="1"/>
  <c r="F435" i="2" s="1"/>
  <c r="F455" i="2" s="1"/>
  <c r="F475" i="2" s="1"/>
  <c r="F495" i="2" s="1"/>
  <c r="F515" i="2" s="1"/>
  <c r="F535" i="2" s="1"/>
  <c r="F555" i="2" s="1"/>
  <c r="F575" i="2" s="1"/>
  <c r="F595" i="2" s="1"/>
  <c r="F615" i="2" s="1"/>
  <c r="F635" i="2" s="1"/>
  <c r="F655" i="2" s="1"/>
  <c r="F675" i="2" s="1"/>
  <c r="F695" i="2" s="1"/>
  <c r="F715" i="2" s="1"/>
  <c r="F735" i="2" s="1"/>
  <c r="F755" i="2" s="1"/>
  <c r="F775" i="2" s="1"/>
  <c r="F795" i="2" s="1"/>
  <c r="F815" i="2" s="1"/>
  <c r="F835" i="2" s="1"/>
  <c r="F855" i="2" s="1"/>
  <c r="F875" i="2" s="1"/>
  <c r="F895" i="2" s="1"/>
  <c r="F915" i="2" s="1"/>
  <c r="F935" i="2" s="1"/>
  <c r="F955" i="2" s="1"/>
  <c r="F975" i="2" s="1"/>
  <c r="F995" i="2" s="1"/>
  <c r="F116" i="2"/>
  <c r="F136" i="2" s="1"/>
  <c r="F156" i="2" s="1"/>
  <c r="F176" i="2" s="1"/>
  <c r="F196" i="2" s="1"/>
  <c r="F216" i="2" s="1"/>
  <c r="F236" i="2" s="1"/>
  <c r="F256" i="2" s="1"/>
  <c r="F276" i="2" s="1"/>
  <c r="F296" i="2" s="1"/>
  <c r="F316" i="2" s="1"/>
  <c r="F336" i="2" s="1"/>
  <c r="F356" i="2" s="1"/>
  <c r="F376" i="2" s="1"/>
  <c r="F396" i="2" s="1"/>
  <c r="F416" i="2" s="1"/>
  <c r="F436" i="2" s="1"/>
  <c r="F456" i="2" s="1"/>
  <c r="F476" i="2" s="1"/>
  <c r="F496" i="2" s="1"/>
  <c r="F516" i="2" s="1"/>
  <c r="F536" i="2" s="1"/>
  <c r="F556" i="2" s="1"/>
  <c r="F576" i="2" s="1"/>
  <c r="F596" i="2" s="1"/>
  <c r="F616" i="2" s="1"/>
  <c r="F636" i="2" s="1"/>
  <c r="F656" i="2" s="1"/>
  <c r="F676" i="2" s="1"/>
  <c r="F696" i="2" s="1"/>
  <c r="F716" i="2" s="1"/>
  <c r="F736" i="2" s="1"/>
  <c r="F756" i="2" s="1"/>
  <c r="F776" i="2" s="1"/>
  <c r="F796" i="2" s="1"/>
  <c r="F816" i="2" s="1"/>
  <c r="F836" i="2" s="1"/>
  <c r="F856" i="2" s="1"/>
  <c r="F876" i="2" s="1"/>
  <c r="F896" i="2" s="1"/>
  <c r="F916" i="2" s="1"/>
  <c r="F936" i="2" s="1"/>
  <c r="F956" i="2" s="1"/>
  <c r="F976" i="2" s="1"/>
  <c r="F996" i="2" s="1"/>
  <c r="F117" i="2"/>
  <c r="F137" i="2" s="1"/>
  <c r="F157" i="2" s="1"/>
  <c r="F177" i="2" s="1"/>
  <c r="F197" i="2" s="1"/>
  <c r="F217" i="2" s="1"/>
  <c r="F237" i="2" s="1"/>
  <c r="F257" i="2" s="1"/>
  <c r="F277" i="2" s="1"/>
  <c r="F297" i="2" s="1"/>
  <c r="F317" i="2" s="1"/>
  <c r="F337" i="2" s="1"/>
  <c r="F357" i="2" s="1"/>
  <c r="F377" i="2" s="1"/>
  <c r="F397" i="2" s="1"/>
  <c r="F417" i="2" s="1"/>
  <c r="F437" i="2" s="1"/>
  <c r="F457" i="2" s="1"/>
  <c r="F477" i="2" s="1"/>
  <c r="F497" i="2" s="1"/>
  <c r="F517" i="2" s="1"/>
  <c r="F537" i="2" s="1"/>
  <c r="F557" i="2" s="1"/>
  <c r="F577" i="2" s="1"/>
  <c r="F597" i="2" s="1"/>
  <c r="F617" i="2" s="1"/>
  <c r="F637" i="2" s="1"/>
  <c r="F657" i="2" s="1"/>
  <c r="F677" i="2" s="1"/>
  <c r="F697" i="2" s="1"/>
  <c r="F717" i="2" s="1"/>
  <c r="F737" i="2" s="1"/>
  <c r="F757" i="2" s="1"/>
  <c r="F777" i="2" s="1"/>
  <c r="F797" i="2" s="1"/>
  <c r="F817" i="2" s="1"/>
  <c r="F837" i="2" s="1"/>
  <c r="F857" i="2" s="1"/>
  <c r="F877" i="2" s="1"/>
  <c r="F897" i="2" s="1"/>
  <c r="F917" i="2" s="1"/>
  <c r="F937" i="2" s="1"/>
  <c r="F957" i="2" s="1"/>
  <c r="F977" i="2" s="1"/>
  <c r="F997" i="2" s="1"/>
  <c r="F118" i="2"/>
  <c r="F138" i="2" s="1"/>
  <c r="F158" i="2" s="1"/>
  <c r="F178" i="2" s="1"/>
  <c r="F198" i="2" s="1"/>
  <c r="F218" i="2" s="1"/>
  <c r="F238" i="2" s="1"/>
  <c r="F258" i="2" s="1"/>
  <c r="F278" i="2" s="1"/>
  <c r="F298" i="2" s="1"/>
  <c r="F318" i="2" s="1"/>
  <c r="F338" i="2" s="1"/>
  <c r="F358" i="2" s="1"/>
  <c r="F378" i="2" s="1"/>
  <c r="F398" i="2" s="1"/>
  <c r="F418" i="2" s="1"/>
  <c r="F438" i="2" s="1"/>
  <c r="F458" i="2" s="1"/>
  <c r="F478" i="2" s="1"/>
  <c r="F498" i="2" s="1"/>
  <c r="F518" i="2" s="1"/>
  <c r="F538" i="2" s="1"/>
  <c r="F558" i="2" s="1"/>
  <c r="F578" i="2" s="1"/>
  <c r="F598" i="2" s="1"/>
  <c r="F618" i="2" s="1"/>
  <c r="F638" i="2" s="1"/>
  <c r="F658" i="2" s="1"/>
  <c r="F678" i="2" s="1"/>
  <c r="F698" i="2" s="1"/>
  <c r="F718" i="2" s="1"/>
  <c r="F738" i="2" s="1"/>
  <c r="F758" i="2" s="1"/>
  <c r="F778" i="2" s="1"/>
  <c r="F798" i="2" s="1"/>
  <c r="F818" i="2" s="1"/>
  <c r="F838" i="2" s="1"/>
  <c r="F858" i="2" s="1"/>
  <c r="F878" i="2" s="1"/>
  <c r="F898" i="2" s="1"/>
  <c r="F918" i="2" s="1"/>
  <c r="F938" i="2" s="1"/>
  <c r="F958" i="2" s="1"/>
  <c r="F978" i="2" s="1"/>
  <c r="F998" i="2" s="1"/>
  <c r="F119" i="2"/>
  <c r="F139" i="2" s="1"/>
  <c r="F159" i="2" s="1"/>
  <c r="F179" i="2" s="1"/>
  <c r="F199" i="2" s="1"/>
  <c r="F219" i="2" s="1"/>
  <c r="F239" i="2" s="1"/>
  <c r="F259" i="2" s="1"/>
  <c r="F279" i="2" s="1"/>
  <c r="F299" i="2" s="1"/>
  <c r="F319" i="2" s="1"/>
  <c r="F339" i="2" s="1"/>
  <c r="F359" i="2" s="1"/>
  <c r="F379" i="2" s="1"/>
  <c r="F399" i="2" s="1"/>
  <c r="F419" i="2" s="1"/>
  <c r="F439" i="2" s="1"/>
  <c r="F459" i="2" s="1"/>
  <c r="F479" i="2" s="1"/>
  <c r="F499" i="2" s="1"/>
  <c r="F519" i="2" s="1"/>
  <c r="F539" i="2" s="1"/>
  <c r="F559" i="2" s="1"/>
  <c r="F579" i="2" s="1"/>
  <c r="F599" i="2" s="1"/>
  <c r="F619" i="2" s="1"/>
  <c r="F639" i="2" s="1"/>
  <c r="F659" i="2" s="1"/>
  <c r="F679" i="2" s="1"/>
  <c r="F699" i="2" s="1"/>
  <c r="F719" i="2" s="1"/>
  <c r="F739" i="2" s="1"/>
  <c r="F759" i="2" s="1"/>
  <c r="F779" i="2" s="1"/>
  <c r="F799" i="2" s="1"/>
  <c r="F819" i="2" s="1"/>
  <c r="F839" i="2" s="1"/>
  <c r="F859" i="2" s="1"/>
  <c r="F879" i="2" s="1"/>
  <c r="F899" i="2" s="1"/>
  <c r="F919" i="2" s="1"/>
  <c r="F939" i="2" s="1"/>
  <c r="F959" i="2" s="1"/>
  <c r="F979" i="2" s="1"/>
  <c r="F999" i="2" s="1"/>
  <c r="F120" i="2"/>
  <c r="F140" i="2" s="1"/>
  <c r="F160" i="2" s="1"/>
  <c r="F180" i="2" s="1"/>
  <c r="F200" i="2" s="1"/>
  <c r="F220" i="2" s="1"/>
  <c r="F240" i="2" s="1"/>
  <c r="F260" i="2" s="1"/>
  <c r="F280" i="2" s="1"/>
  <c r="F300" i="2" s="1"/>
  <c r="F320" i="2" s="1"/>
  <c r="F340" i="2" s="1"/>
  <c r="F360" i="2" s="1"/>
  <c r="F380" i="2" s="1"/>
  <c r="F400" i="2" s="1"/>
  <c r="F420" i="2" s="1"/>
  <c r="F440" i="2" s="1"/>
  <c r="F460" i="2" s="1"/>
  <c r="F480" i="2" s="1"/>
  <c r="F500" i="2" s="1"/>
  <c r="F520" i="2" s="1"/>
  <c r="F540" i="2" s="1"/>
  <c r="F560" i="2" s="1"/>
  <c r="F580" i="2" s="1"/>
  <c r="F600" i="2" s="1"/>
  <c r="F620" i="2" s="1"/>
  <c r="F640" i="2" s="1"/>
  <c r="F660" i="2" s="1"/>
  <c r="F680" i="2" s="1"/>
  <c r="F700" i="2" s="1"/>
  <c r="F720" i="2" s="1"/>
  <c r="F740" i="2" s="1"/>
  <c r="F760" i="2" s="1"/>
  <c r="F780" i="2" s="1"/>
  <c r="F800" i="2" s="1"/>
  <c r="F820" i="2" s="1"/>
  <c r="F840" i="2" s="1"/>
  <c r="F860" i="2" s="1"/>
  <c r="F880" i="2" s="1"/>
  <c r="F900" i="2" s="1"/>
  <c r="F920" i="2" s="1"/>
  <c r="F940" i="2" s="1"/>
  <c r="F960" i="2" s="1"/>
  <c r="F980" i="2" s="1"/>
  <c r="F1000" i="2" s="1"/>
  <c r="F121" i="2"/>
  <c r="F141" i="2" s="1"/>
  <c r="F161" i="2" s="1"/>
  <c r="F181" i="2" s="1"/>
  <c r="F201" i="2" s="1"/>
  <c r="F221" i="2" s="1"/>
  <c r="F241" i="2" s="1"/>
  <c r="F261" i="2" s="1"/>
  <c r="F281" i="2" s="1"/>
  <c r="F301" i="2" s="1"/>
  <c r="F321" i="2" s="1"/>
  <c r="F341" i="2" s="1"/>
  <c r="F361" i="2" s="1"/>
  <c r="F381" i="2" s="1"/>
  <c r="F401" i="2" s="1"/>
  <c r="F421" i="2" s="1"/>
  <c r="F441" i="2" s="1"/>
  <c r="F461" i="2" s="1"/>
  <c r="F481" i="2" s="1"/>
  <c r="F501" i="2" s="1"/>
  <c r="F521" i="2" s="1"/>
  <c r="F541" i="2" s="1"/>
  <c r="F561" i="2" s="1"/>
  <c r="F581" i="2" s="1"/>
  <c r="F601" i="2" s="1"/>
  <c r="F621" i="2" s="1"/>
  <c r="F641" i="2" s="1"/>
  <c r="F661" i="2" s="1"/>
  <c r="F681" i="2" s="1"/>
  <c r="F701" i="2" s="1"/>
  <c r="F721" i="2" s="1"/>
  <c r="F741" i="2" s="1"/>
  <c r="F761" i="2" s="1"/>
  <c r="F781" i="2" s="1"/>
  <c r="F801" i="2" s="1"/>
  <c r="F821" i="2" s="1"/>
  <c r="F841" i="2" s="1"/>
  <c r="F861" i="2" s="1"/>
  <c r="F881" i="2" s="1"/>
  <c r="F901" i="2" s="1"/>
  <c r="F921" i="2" s="1"/>
  <c r="F941" i="2" s="1"/>
  <c r="F961" i="2" s="1"/>
  <c r="F981" i="2" s="1"/>
  <c r="F1001" i="2" s="1"/>
  <c r="F102" i="2"/>
  <c r="F122" i="2" s="1"/>
  <c r="F142" i="2" s="1"/>
  <c r="F162" i="2" s="1"/>
  <c r="F182" i="2" s="1"/>
  <c r="F202" i="2" s="1"/>
  <c r="F222" i="2" s="1"/>
  <c r="F242" i="2" s="1"/>
  <c r="F262" i="2" s="1"/>
  <c r="F282" i="2" s="1"/>
  <c r="F302" i="2" s="1"/>
  <c r="F322" i="2" s="1"/>
  <c r="F342" i="2" s="1"/>
  <c r="F362" i="2" s="1"/>
  <c r="F382" i="2" s="1"/>
  <c r="F402" i="2" s="1"/>
  <c r="F422" i="2" s="1"/>
  <c r="F442" i="2" s="1"/>
  <c r="F462" i="2" s="1"/>
  <c r="F482" i="2" s="1"/>
  <c r="F502" i="2" s="1"/>
  <c r="F522" i="2" s="1"/>
  <c r="F542" i="2" s="1"/>
  <c r="F562" i="2" s="1"/>
  <c r="F582" i="2" s="1"/>
  <c r="F602" i="2" s="1"/>
  <c r="F622" i="2" s="1"/>
  <c r="F642" i="2" s="1"/>
  <c r="F662" i="2" s="1"/>
  <c r="F682" i="2" s="1"/>
  <c r="F702" i="2" s="1"/>
  <c r="F722" i="2" s="1"/>
  <c r="F742" i="2" s="1"/>
  <c r="F762" i="2" s="1"/>
  <c r="F782" i="2" s="1"/>
  <c r="F802" i="2" s="1"/>
  <c r="F822" i="2" s="1"/>
  <c r="F842" i="2" s="1"/>
  <c r="F862" i="2" s="1"/>
  <c r="F882" i="2" s="1"/>
  <c r="F902" i="2" s="1"/>
  <c r="F922" i="2" s="1"/>
  <c r="F942" i="2" s="1"/>
  <c r="F962" i="2" s="1"/>
  <c r="F982" i="2" s="1"/>
  <c r="F1002" i="2" s="1"/>
  <c r="E43" i="2"/>
  <c r="E63" i="2" s="1"/>
  <c r="E83" i="2" s="1"/>
  <c r="E103" i="2" s="1"/>
  <c r="E123" i="2" s="1"/>
  <c r="E44" i="2"/>
  <c r="E64" i="2" s="1"/>
  <c r="E84" i="2" s="1"/>
  <c r="E104" i="2" s="1"/>
  <c r="E124" i="2" s="1"/>
  <c r="E45" i="2"/>
  <c r="E65" i="2" s="1"/>
  <c r="E85" i="2" s="1"/>
  <c r="E105" i="2" s="1"/>
  <c r="E125" i="2" s="1"/>
  <c r="E46" i="2"/>
  <c r="E66" i="2" s="1"/>
  <c r="E86" i="2" s="1"/>
  <c r="E106" i="2" s="1"/>
  <c r="E126" i="2" s="1"/>
  <c r="E47" i="2"/>
  <c r="E67" i="2" s="1"/>
  <c r="E87" i="2" s="1"/>
  <c r="E107" i="2" s="1"/>
  <c r="E127" i="2" s="1"/>
  <c r="E48" i="2"/>
  <c r="E68" i="2" s="1"/>
  <c r="E88" i="2" s="1"/>
  <c r="E108" i="2" s="1"/>
  <c r="E128" i="2" s="1"/>
  <c r="E49" i="2"/>
  <c r="E69" i="2" s="1"/>
  <c r="E89" i="2" s="1"/>
  <c r="E109" i="2" s="1"/>
  <c r="E129" i="2" s="1"/>
  <c r="E50" i="2"/>
  <c r="E70" i="2" s="1"/>
  <c r="E90" i="2" s="1"/>
  <c r="E110" i="2" s="1"/>
  <c r="E130" i="2" s="1"/>
  <c r="E51" i="2"/>
  <c r="E71" i="2" s="1"/>
  <c r="E91" i="2" s="1"/>
  <c r="E111" i="2" s="1"/>
  <c r="E131" i="2" s="1"/>
  <c r="E52" i="2"/>
  <c r="E72" i="2" s="1"/>
  <c r="E92" i="2" s="1"/>
  <c r="E112" i="2" s="1"/>
  <c r="E132" i="2" s="1"/>
  <c r="E53" i="2"/>
  <c r="E73" i="2" s="1"/>
  <c r="E93" i="2" s="1"/>
  <c r="E113" i="2" s="1"/>
  <c r="E133" i="2" s="1"/>
  <c r="E54" i="2"/>
  <c r="E74" i="2" s="1"/>
  <c r="E94" i="2" s="1"/>
  <c r="E114" i="2" s="1"/>
  <c r="E134" i="2" s="1"/>
  <c r="E55" i="2"/>
  <c r="E75" i="2" s="1"/>
  <c r="E95" i="2" s="1"/>
  <c r="E115" i="2" s="1"/>
  <c r="E135" i="2" s="1"/>
  <c r="E56" i="2"/>
  <c r="E76" i="2" s="1"/>
  <c r="E96" i="2" s="1"/>
  <c r="E116" i="2" s="1"/>
  <c r="E136" i="2" s="1"/>
  <c r="E57" i="2"/>
  <c r="E77" i="2" s="1"/>
  <c r="E97" i="2" s="1"/>
  <c r="E117" i="2" s="1"/>
  <c r="E137" i="2" s="1"/>
  <c r="E58" i="2"/>
  <c r="E78" i="2" s="1"/>
  <c r="E98" i="2" s="1"/>
  <c r="E118" i="2" s="1"/>
  <c r="E138" i="2" s="1"/>
  <c r="E59" i="2"/>
  <c r="E79" i="2" s="1"/>
  <c r="E99" i="2" s="1"/>
  <c r="E119" i="2" s="1"/>
  <c r="E139" i="2" s="1"/>
  <c r="E60" i="2"/>
  <c r="E80" i="2" s="1"/>
  <c r="E100" i="2" s="1"/>
  <c r="E120" i="2" s="1"/>
  <c r="E140" i="2" s="1"/>
  <c r="E61" i="2"/>
  <c r="E81" i="2" s="1"/>
  <c r="E101" i="2" s="1"/>
  <c r="E121" i="2" s="1"/>
  <c r="E141" i="2" s="1"/>
  <c r="E42" i="2"/>
  <c r="E62" i="2" s="1"/>
  <c r="E82" i="2" s="1"/>
  <c r="E102" i="2" s="1"/>
  <c r="E122" i="2" s="1"/>
  <c r="O200" i="2" l="1"/>
  <c r="M497" i="2"/>
  <c r="M5" i="2"/>
  <c r="N12" i="2"/>
  <c r="A4" i="2"/>
  <c r="H4" i="2" s="1"/>
  <c r="P4" i="2" l="1"/>
  <c r="O201" i="2"/>
  <c r="M498" i="2"/>
  <c r="A5" i="2"/>
  <c r="L4" i="2"/>
  <c r="N13" i="2"/>
  <c r="M6" i="2"/>
  <c r="A6" i="2"/>
  <c r="O202" i="2" l="1"/>
  <c r="H5" i="2"/>
  <c r="H6" i="2"/>
  <c r="L6" i="2" s="1"/>
  <c r="M499" i="2"/>
  <c r="M7" i="2"/>
  <c r="N14" i="2"/>
  <c r="A7" i="2"/>
  <c r="H7" i="2" l="1"/>
  <c r="L7" i="2" s="1"/>
  <c r="P5" i="2"/>
  <c r="P6" i="2"/>
  <c r="P7" i="2"/>
  <c r="L5" i="2"/>
  <c r="O203" i="2"/>
  <c r="M500" i="2"/>
  <c r="N15" i="2"/>
  <c r="M8" i="2"/>
  <c r="A8" i="2"/>
  <c r="O204" i="2" l="1"/>
  <c r="H8" i="2"/>
  <c r="M501" i="2"/>
  <c r="M9" i="2"/>
  <c r="N16" i="2"/>
  <c r="A9" i="2"/>
  <c r="H9" i="2" l="1"/>
  <c r="P8" i="2"/>
  <c r="P9" i="2"/>
  <c r="L8" i="2"/>
  <c r="O205" i="2"/>
  <c r="M502" i="2"/>
  <c r="N17" i="2"/>
  <c r="M10" i="2"/>
  <c r="A10" i="2"/>
  <c r="H10" i="2" l="1"/>
  <c r="L10" i="2" s="1"/>
  <c r="O206" i="2"/>
  <c r="L9" i="2"/>
  <c r="M503" i="2"/>
  <c r="M11" i="2"/>
  <c r="N18" i="2"/>
  <c r="A11" i="2"/>
  <c r="O207" i="2" l="1"/>
  <c r="H11" i="2"/>
  <c r="P10" i="2"/>
  <c r="P11" i="2"/>
  <c r="M504" i="2"/>
  <c r="N19" i="2"/>
  <c r="M12" i="2"/>
  <c r="A12" i="2"/>
  <c r="H12" i="2" l="1"/>
  <c r="L11" i="2"/>
  <c r="O208" i="2"/>
  <c r="M505" i="2"/>
  <c r="M13" i="2"/>
  <c r="N20" i="2"/>
  <c r="A13" i="2"/>
  <c r="O209" i="2" l="1"/>
  <c r="L12" i="2"/>
  <c r="H13" i="2"/>
  <c r="P12" i="2"/>
  <c r="M506" i="2"/>
  <c r="N21" i="2"/>
  <c r="M14" i="2"/>
  <c r="A14" i="2"/>
  <c r="P13" i="2" l="1"/>
  <c r="H14" i="2"/>
  <c r="L14" i="2" s="1"/>
  <c r="L13" i="2"/>
  <c r="O210" i="2"/>
  <c r="M507" i="2"/>
  <c r="M15" i="2"/>
  <c r="N22" i="2"/>
  <c r="A15" i="2"/>
  <c r="H15" i="2" l="1"/>
  <c r="P15" i="2" s="1"/>
  <c r="O211" i="2"/>
  <c r="P14" i="2"/>
  <c r="M508" i="2"/>
  <c r="N23" i="2"/>
  <c r="M16" i="2"/>
  <c r="A16" i="2"/>
  <c r="H16" i="2" l="1"/>
  <c r="O212" i="2"/>
  <c r="L15" i="2"/>
  <c r="M509" i="2"/>
  <c r="M17" i="2"/>
  <c r="N24" i="2"/>
  <c r="A17" i="2"/>
  <c r="O213" i="2" l="1"/>
  <c r="H17" i="2"/>
  <c r="P17" i="2" s="1"/>
  <c r="P16" i="2"/>
  <c r="L16" i="2"/>
  <c r="M510" i="2"/>
  <c r="N25" i="2"/>
  <c r="M18" i="2"/>
  <c r="A18" i="2"/>
  <c r="H18" i="2" l="1"/>
  <c r="P18" i="2" s="1"/>
  <c r="L17" i="2"/>
  <c r="O214" i="2"/>
  <c r="M511" i="2"/>
  <c r="M19" i="2"/>
  <c r="N26" i="2"/>
  <c r="A19" i="2"/>
  <c r="H19" i="2" l="1"/>
  <c r="P19" i="2" s="1"/>
  <c r="O215" i="2"/>
  <c r="L18" i="2"/>
  <c r="M512" i="2"/>
  <c r="N27" i="2"/>
  <c r="M20" i="2"/>
  <c r="A20" i="2"/>
  <c r="O216" i="2" l="1"/>
  <c r="H20" i="2"/>
  <c r="P20" i="2" s="1"/>
  <c r="L19" i="2"/>
  <c r="M513" i="2"/>
  <c r="M21" i="2"/>
  <c r="N28" i="2"/>
  <c r="A21" i="2"/>
  <c r="H21" i="2" l="1"/>
  <c r="P21" i="2" s="1"/>
  <c r="L20" i="2"/>
  <c r="O217" i="2"/>
  <c r="M514" i="2"/>
  <c r="N29" i="2"/>
  <c r="M22" i="2"/>
  <c r="A22" i="2"/>
  <c r="O218" i="2" l="1"/>
  <c r="H22" i="2"/>
  <c r="P22" i="2" s="1"/>
  <c r="L21" i="2"/>
  <c r="M515" i="2"/>
  <c r="M23" i="2"/>
  <c r="N30" i="2"/>
  <c r="A23" i="2"/>
  <c r="H23" i="2" l="1"/>
  <c r="P23" i="2" s="1"/>
  <c r="L22" i="2"/>
  <c r="O219" i="2"/>
  <c r="M516" i="2"/>
  <c r="N31" i="2"/>
  <c r="M24" i="2"/>
  <c r="A24" i="2"/>
  <c r="H24" i="2" l="1"/>
  <c r="P24" i="2" s="1"/>
  <c r="O220" i="2"/>
  <c r="L23" i="2"/>
  <c r="M517" i="2"/>
  <c r="M25" i="2"/>
  <c r="N32" i="2"/>
  <c r="A25" i="2"/>
  <c r="H25" i="2" l="1"/>
  <c r="P25" i="2" s="1"/>
  <c r="O221" i="2"/>
  <c r="L24" i="2"/>
  <c r="M518" i="2"/>
  <c r="N33" i="2"/>
  <c r="M26" i="2"/>
  <c r="A26" i="2"/>
  <c r="H26" i="2" l="1"/>
  <c r="P26" i="2" s="1"/>
  <c r="O222" i="2"/>
  <c r="L25" i="2"/>
  <c r="M519" i="2"/>
  <c r="M27" i="2"/>
  <c r="N34" i="2"/>
  <c r="A27" i="2"/>
  <c r="H27" i="2" l="1"/>
  <c r="P27" i="2" s="1"/>
  <c r="O223" i="2"/>
  <c r="L26" i="2"/>
  <c r="M520" i="2"/>
  <c r="N35" i="2"/>
  <c r="M28" i="2"/>
  <c r="A28" i="2"/>
  <c r="H28" i="2" l="1"/>
  <c r="P28" i="2" s="1"/>
  <c r="O224" i="2"/>
  <c r="L27" i="2"/>
  <c r="M521" i="2"/>
  <c r="M29" i="2"/>
  <c r="N36" i="2"/>
  <c r="A29" i="2"/>
  <c r="H29" i="2" l="1"/>
  <c r="P29" i="2" s="1"/>
  <c r="O225" i="2"/>
  <c r="L28" i="2"/>
  <c r="M522" i="2"/>
  <c r="N37" i="2"/>
  <c r="M30" i="2"/>
  <c r="A30" i="2"/>
  <c r="O226" i="2" l="1"/>
  <c r="H30" i="2"/>
  <c r="P30" i="2" s="1"/>
  <c r="L29" i="2"/>
  <c r="M523" i="2"/>
  <c r="M31" i="2"/>
  <c r="N38" i="2"/>
  <c r="A31" i="2"/>
  <c r="H31" i="2" l="1"/>
  <c r="P31" i="2" s="1"/>
  <c r="L30" i="2"/>
  <c r="O227" i="2"/>
  <c r="M524" i="2"/>
  <c r="N39" i="2"/>
  <c r="M32" i="2"/>
  <c r="A32" i="2"/>
  <c r="H32" i="2" l="1"/>
  <c r="P32" i="2" s="1"/>
  <c r="O228" i="2"/>
  <c r="L31" i="2"/>
  <c r="M525" i="2"/>
  <c r="M33" i="2"/>
  <c r="N40" i="2"/>
  <c r="A33" i="2"/>
  <c r="H33" i="2" l="1"/>
  <c r="P33" i="2" s="1"/>
  <c r="O229" i="2"/>
  <c r="L32" i="2"/>
  <c r="M526" i="2"/>
  <c r="N41" i="2"/>
  <c r="M34" i="2"/>
  <c r="A34" i="2"/>
  <c r="H34" i="2" l="1"/>
  <c r="P34" i="2" s="1"/>
  <c r="O230" i="2"/>
  <c r="L33" i="2"/>
  <c r="M527" i="2"/>
  <c r="M35" i="2"/>
  <c r="N42" i="2"/>
  <c r="A35" i="2"/>
  <c r="H35" i="2" l="1"/>
  <c r="P35" i="2" s="1"/>
  <c r="O231" i="2"/>
  <c r="L34" i="2"/>
  <c r="M528" i="2"/>
  <c r="N43" i="2"/>
  <c r="M36" i="2"/>
  <c r="A36" i="2"/>
  <c r="O232" i="2" l="1"/>
  <c r="H36" i="2"/>
  <c r="P36" i="2" s="1"/>
  <c r="L35" i="2"/>
  <c r="M529" i="2"/>
  <c r="M37" i="2"/>
  <c r="N44" i="2"/>
  <c r="A37" i="2"/>
  <c r="H37" i="2" l="1"/>
  <c r="P37" i="2" s="1"/>
  <c r="L36" i="2"/>
  <c r="O233" i="2"/>
  <c r="M530" i="2"/>
  <c r="N45" i="2"/>
  <c r="M38" i="2"/>
  <c r="A38" i="2"/>
  <c r="H38" i="2" l="1"/>
  <c r="P38" i="2" s="1"/>
  <c r="O234" i="2"/>
  <c r="L37" i="2"/>
  <c r="M531" i="2"/>
  <c r="M39" i="2"/>
  <c r="N46" i="2"/>
  <c r="A39" i="2"/>
  <c r="L38" i="2" l="1"/>
  <c r="O235" i="2"/>
  <c r="H39" i="2"/>
  <c r="P39" i="2" s="1"/>
  <c r="M532" i="2"/>
  <c r="N47" i="2"/>
  <c r="M40" i="2"/>
  <c r="A40" i="2"/>
  <c r="H40" i="2" l="1"/>
  <c r="P40" i="2" s="1"/>
  <c r="L39" i="2"/>
  <c r="O236" i="2"/>
  <c r="M533" i="2"/>
  <c r="M41" i="2"/>
  <c r="B42" i="2"/>
  <c r="N48" i="2"/>
  <c r="A41" i="2"/>
  <c r="H41" i="2" l="1"/>
  <c r="P41" i="2" s="1"/>
  <c r="O237" i="2"/>
  <c r="L40" i="2"/>
  <c r="M534" i="2"/>
  <c r="N49" i="2"/>
  <c r="M42" i="2"/>
  <c r="B43" i="2"/>
  <c r="A42" i="2"/>
  <c r="H42" i="2" l="1"/>
  <c r="P42" i="2" s="1"/>
  <c r="O238" i="2"/>
  <c r="L41" i="2"/>
  <c r="M535" i="2"/>
  <c r="B44" i="2"/>
  <c r="M43" i="2"/>
  <c r="N50" i="2"/>
  <c r="A43" i="2"/>
  <c r="O239" i="2" l="1"/>
  <c r="H43" i="2"/>
  <c r="P43" i="2" s="1"/>
  <c r="L42" i="2"/>
  <c r="M536" i="2"/>
  <c r="N51" i="2"/>
  <c r="B45" i="2"/>
  <c r="M44" i="2"/>
  <c r="A44" i="2"/>
  <c r="H44" i="2" l="1"/>
  <c r="P44" i="2" s="1"/>
  <c r="L43" i="2"/>
  <c r="O240" i="2"/>
  <c r="M537" i="2"/>
  <c r="B46" i="2"/>
  <c r="M45" i="2"/>
  <c r="N52" i="2"/>
  <c r="A45" i="2"/>
  <c r="H45" i="2" l="1"/>
  <c r="P45" i="2" s="1"/>
  <c r="O241" i="2"/>
  <c r="L44" i="2"/>
  <c r="M538" i="2"/>
  <c r="N53" i="2"/>
  <c r="B47" i="2"/>
  <c r="M46" i="2"/>
  <c r="A46" i="2"/>
  <c r="H46" i="2" l="1"/>
  <c r="P46" i="2" s="1"/>
  <c r="O242" i="2"/>
  <c r="L45" i="2"/>
  <c r="M539" i="2"/>
  <c r="B48" i="2"/>
  <c r="M47" i="2"/>
  <c r="N54" i="2"/>
  <c r="A47" i="2"/>
  <c r="O243" i="2" l="1"/>
  <c r="H47" i="2"/>
  <c r="P47" i="2" s="1"/>
  <c r="L46" i="2"/>
  <c r="M540" i="2"/>
  <c r="N55" i="2"/>
  <c r="B49" i="2"/>
  <c r="M48" i="2"/>
  <c r="A48" i="2"/>
  <c r="H48" i="2" l="1"/>
  <c r="P48" i="2" s="1"/>
  <c r="L47" i="2"/>
  <c r="O244" i="2"/>
  <c r="M541" i="2"/>
  <c r="B50" i="2"/>
  <c r="M49" i="2"/>
  <c r="N56" i="2"/>
  <c r="A49" i="2"/>
  <c r="O245" i="2" l="1"/>
  <c r="H49" i="2"/>
  <c r="P49" i="2" s="1"/>
  <c r="L48" i="2"/>
  <c r="M542" i="2"/>
  <c r="N57" i="2"/>
  <c r="B51" i="2"/>
  <c r="M50" i="2"/>
  <c r="A50" i="2"/>
  <c r="H50" i="2" l="1"/>
  <c r="P50" i="2" s="1"/>
  <c r="L49" i="2"/>
  <c r="O246" i="2"/>
  <c r="M543" i="2"/>
  <c r="B52" i="2"/>
  <c r="M51" i="2"/>
  <c r="N58" i="2"/>
  <c r="A51" i="2"/>
  <c r="H51" i="2" l="1"/>
  <c r="P51" i="2" s="1"/>
  <c r="O247" i="2"/>
  <c r="L50" i="2"/>
  <c r="M544" i="2"/>
  <c r="N59" i="2"/>
  <c r="B53" i="2"/>
  <c r="M52" i="2"/>
  <c r="A52" i="2"/>
  <c r="H52" i="2" l="1"/>
  <c r="P52" i="2" s="1"/>
  <c r="O248" i="2"/>
  <c r="L51" i="2"/>
  <c r="M545" i="2"/>
  <c r="B54" i="2"/>
  <c r="M53" i="2"/>
  <c r="N60" i="2"/>
  <c r="A53" i="2"/>
  <c r="H53" i="2" l="1"/>
  <c r="P53" i="2" s="1"/>
  <c r="O249" i="2"/>
  <c r="L52" i="2"/>
  <c r="M546" i="2"/>
  <c r="N61" i="2"/>
  <c r="B55" i="2"/>
  <c r="M54" i="2"/>
  <c r="A54" i="2"/>
  <c r="H54" i="2" l="1"/>
  <c r="P54" i="2" s="1"/>
  <c r="O250" i="2"/>
  <c r="L53" i="2"/>
  <c r="M547" i="2"/>
  <c r="B56" i="2"/>
  <c r="M55" i="2"/>
  <c r="N62" i="2"/>
  <c r="A55" i="2"/>
  <c r="O251" i="2" l="1"/>
  <c r="H55" i="2"/>
  <c r="P55" i="2" s="1"/>
  <c r="L54" i="2"/>
  <c r="M548" i="2"/>
  <c r="N63" i="2"/>
  <c r="B57" i="2"/>
  <c r="M56" i="2"/>
  <c r="A56" i="2"/>
  <c r="H56" i="2" l="1"/>
  <c r="P56" i="2" s="1"/>
  <c r="L55" i="2"/>
  <c r="O252" i="2"/>
  <c r="M549" i="2"/>
  <c r="B58" i="2"/>
  <c r="M57" i="2"/>
  <c r="N64" i="2"/>
  <c r="A57" i="2"/>
  <c r="O253" i="2" l="1"/>
  <c r="H57" i="2"/>
  <c r="P57" i="2" s="1"/>
  <c r="L56" i="2"/>
  <c r="M550" i="2"/>
  <c r="N65" i="2"/>
  <c r="B59" i="2"/>
  <c r="M58" i="2"/>
  <c r="A58" i="2"/>
  <c r="H58" i="2" l="1"/>
  <c r="P58" i="2" s="1"/>
  <c r="L57" i="2"/>
  <c r="O254" i="2"/>
  <c r="M551" i="2"/>
  <c r="B60" i="2"/>
  <c r="M59" i="2"/>
  <c r="N66" i="2"/>
  <c r="A59" i="2"/>
  <c r="O255" i="2" l="1"/>
  <c r="H59" i="2"/>
  <c r="P59" i="2" s="1"/>
  <c r="L58" i="2"/>
  <c r="M552" i="2"/>
  <c r="N67" i="2"/>
  <c r="B61" i="2"/>
  <c r="M60" i="2"/>
  <c r="A60" i="2"/>
  <c r="H60" i="2" l="1"/>
  <c r="P60" i="2" s="1"/>
  <c r="L59" i="2"/>
  <c r="O256" i="2"/>
  <c r="M553" i="2"/>
  <c r="B62" i="2"/>
  <c r="M61" i="2"/>
  <c r="N68" i="2"/>
  <c r="A61" i="2"/>
  <c r="H61" i="2" l="1"/>
  <c r="P61" i="2" s="1"/>
  <c r="O257" i="2"/>
  <c r="L60" i="2"/>
  <c r="M554" i="2"/>
  <c r="N69" i="2"/>
  <c r="B63" i="2"/>
  <c r="M62" i="2"/>
  <c r="A62" i="2"/>
  <c r="H62" i="2" l="1"/>
  <c r="P62" i="2" s="1"/>
  <c r="O258" i="2"/>
  <c r="L61" i="2"/>
  <c r="M555" i="2"/>
  <c r="B64" i="2"/>
  <c r="M63" i="2"/>
  <c r="N70" i="2"/>
  <c r="A63" i="2"/>
  <c r="H63" i="2" l="1"/>
  <c r="P63" i="2" s="1"/>
  <c r="O259" i="2"/>
  <c r="L62" i="2"/>
  <c r="M556" i="2"/>
  <c r="N71" i="2"/>
  <c r="B65" i="2"/>
  <c r="M64" i="2"/>
  <c r="A64" i="2"/>
  <c r="H64" i="2" l="1"/>
  <c r="P64" i="2" s="1"/>
  <c r="O260" i="2"/>
  <c r="L63" i="2"/>
  <c r="M557" i="2"/>
  <c r="B66" i="2"/>
  <c r="M65" i="2"/>
  <c r="N72" i="2"/>
  <c r="A65" i="2"/>
  <c r="O261" i="2" l="1"/>
  <c r="H65" i="2"/>
  <c r="P65" i="2" s="1"/>
  <c r="L64" i="2"/>
  <c r="M558" i="2"/>
  <c r="N73" i="2"/>
  <c r="B67" i="2"/>
  <c r="M66" i="2"/>
  <c r="A66" i="2"/>
  <c r="H66" i="2" l="1"/>
  <c r="P66" i="2" s="1"/>
  <c r="L65" i="2"/>
  <c r="O262" i="2"/>
  <c r="M559" i="2"/>
  <c r="B68" i="2"/>
  <c r="M67" i="2"/>
  <c r="N74" i="2"/>
  <c r="A67" i="2"/>
  <c r="H67" i="2" l="1"/>
  <c r="P67" i="2" s="1"/>
  <c r="O263" i="2"/>
  <c r="L66" i="2"/>
  <c r="M560" i="2"/>
  <c r="N75" i="2"/>
  <c r="B69" i="2"/>
  <c r="M68" i="2"/>
  <c r="A68" i="2"/>
  <c r="H68" i="2" l="1"/>
  <c r="P68" i="2" s="1"/>
  <c r="O264" i="2"/>
  <c r="L67" i="2"/>
  <c r="M561" i="2"/>
  <c r="B70" i="2"/>
  <c r="M69" i="2"/>
  <c r="N76" i="2"/>
  <c r="A69" i="2"/>
  <c r="H69" i="2" l="1"/>
  <c r="P69" i="2" s="1"/>
  <c r="O265" i="2"/>
  <c r="L68" i="2"/>
  <c r="M562" i="2"/>
  <c r="N77" i="2"/>
  <c r="B71" i="2"/>
  <c r="M70" i="2"/>
  <c r="A70" i="2"/>
  <c r="O266" i="2" l="1"/>
  <c r="H70" i="2"/>
  <c r="P70" i="2" s="1"/>
  <c r="L69" i="2"/>
  <c r="M563" i="2"/>
  <c r="B72" i="2"/>
  <c r="M71" i="2"/>
  <c r="N78" i="2"/>
  <c r="A71" i="2"/>
  <c r="H71" i="2" l="1"/>
  <c r="P71" i="2" s="1"/>
  <c r="L70" i="2"/>
  <c r="O267" i="2"/>
  <c r="M564" i="2"/>
  <c r="N79" i="2"/>
  <c r="B73" i="2"/>
  <c r="M72" i="2"/>
  <c r="A72" i="2"/>
  <c r="H72" i="2" l="1"/>
  <c r="P72" i="2" s="1"/>
  <c r="O268" i="2"/>
  <c r="L71" i="2"/>
  <c r="M565" i="2"/>
  <c r="B74" i="2"/>
  <c r="M73" i="2"/>
  <c r="N80" i="2"/>
  <c r="A73" i="2"/>
  <c r="H73" i="2" l="1"/>
  <c r="P73" i="2" s="1"/>
  <c r="O269" i="2"/>
  <c r="L72" i="2"/>
  <c r="M566" i="2"/>
  <c r="N81" i="2"/>
  <c r="B75" i="2"/>
  <c r="M74" i="2"/>
  <c r="A74" i="2"/>
  <c r="O270" i="2" l="1"/>
  <c r="H74" i="2"/>
  <c r="P74" i="2" s="1"/>
  <c r="L73" i="2"/>
  <c r="M567" i="2"/>
  <c r="B76" i="2"/>
  <c r="M75" i="2"/>
  <c r="N82" i="2"/>
  <c r="A75" i="2"/>
  <c r="H75" i="2" l="1"/>
  <c r="P75" i="2" s="1"/>
  <c r="L74" i="2"/>
  <c r="O271" i="2"/>
  <c r="M568" i="2"/>
  <c r="N83" i="2"/>
  <c r="B77" i="2"/>
  <c r="M76" i="2"/>
  <c r="A76" i="2"/>
  <c r="H76" i="2" l="1"/>
  <c r="P76" i="2" s="1"/>
  <c r="O272" i="2"/>
  <c r="L75" i="2"/>
  <c r="M569" i="2"/>
  <c r="B78" i="2"/>
  <c r="M77" i="2"/>
  <c r="N84" i="2"/>
  <c r="A77" i="2"/>
  <c r="H77" i="2" l="1"/>
  <c r="P77" i="2" s="1"/>
  <c r="O273" i="2"/>
  <c r="L76" i="2"/>
  <c r="M570" i="2"/>
  <c r="N85" i="2"/>
  <c r="B79" i="2"/>
  <c r="M78" i="2"/>
  <c r="A78" i="2"/>
  <c r="H78" i="2" l="1"/>
  <c r="P78" i="2" s="1"/>
  <c r="O274" i="2"/>
  <c r="L77" i="2"/>
  <c r="M571" i="2"/>
  <c r="B80" i="2"/>
  <c r="M79" i="2"/>
  <c r="N86" i="2"/>
  <c r="A79" i="2"/>
  <c r="O275" i="2" l="1"/>
  <c r="H79" i="2"/>
  <c r="P79" i="2" s="1"/>
  <c r="L78" i="2"/>
  <c r="M572" i="2"/>
  <c r="N87" i="2"/>
  <c r="B81" i="2"/>
  <c r="M80" i="2"/>
  <c r="A80" i="2"/>
  <c r="H80" i="2" l="1"/>
  <c r="P80" i="2" s="1"/>
  <c r="L79" i="2"/>
  <c r="O276" i="2"/>
  <c r="M573" i="2"/>
  <c r="M81" i="2"/>
  <c r="B82" i="2"/>
  <c r="N88" i="2"/>
  <c r="A81" i="2"/>
  <c r="H81" i="2" l="1"/>
  <c r="P81" i="2" s="1"/>
  <c r="O277" i="2"/>
  <c r="L80" i="2"/>
  <c r="M574" i="2"/>
  <c r="N89" i="2"/>
  <c r="M82" i="2"/>
  <c r="B83" i="2"/>
  <c r="A82" i="2"/>
  <c r="H82" i="2" l="1"/>
  <c r="P82" i="2" s="1"/>
  <c r="O278" i="2"/>
  <c r="L81" i="2"/>
  <c r="M575" i="2"/>
  <c r="M83" i="2"/>
  <c r="B84" i="2"/>
  <c r="N90" i="2"/>
  <c r="A83" i="2"/>
  <c r="H83" i="2" l="1"/>
  <c r="P83" i="2" s="1"/>
  <c r="O279" i="2"/>
  <c r="L82" i="2"/>
  <c r="M576" i="2"/>
  <c r="N91" i="2"/>
  <c r="B85" i="2"/>
  <c r="M84" i="2"/>
  <c r="A84" i="2"/>
  <c r="H84" i="2" l="1"/>
  <c r="P84" i="2" s="1"/>
  <c r="O280" i="2"/>
  <c r="L83" i="2"/>
  <c r="M577" i="2"/>
  <c r="B86" i="2"/>
  <c r="M85" i="2"/>
  <c r="N92" i="2"/>
  <c r="A85" i="2"/>
  <c r="H85" i="2" l="1"/>
  <c r="P85" i="2" s="1"/>
  <c r="O281" i="2"/>
  <c r="L84" i="2"/>
  <c r="M578" i="2"/>
  <c r="N93" i="2"/>
  <c r="B87" i="2"/>
  <c r="M86" i="2"/>
  <c r="A86" i="2"/>
  <c r="H86" i="2" l="1"/>
  <c r="P86" i="2" s="1"/>
  <c r="O282" i="2"/>
  <c r="L85" i="2"/>
  <c r="M579" i="2"/>
  <c r="B88" i="2"/>
  <c r="M87" i="2"/>
  <c r="N94" i="2"/>
  <c r="A87" i="2"/>
  <c r="H87" i="2" l="1"/>
  <c r="P87" i="2" s="1"/>
  <c r="O283" i="2"/>
  <c r="L86" i="2"/>
  <c r="M580" i="2"/>
  <c r="N95" i="2"/>
  <c r="B89" i="2"/>
  <c r="M88" i="2"/>
  <c r="A88" i="2"/>
  <c r="H88" i="2" l="1"/>
  <c r="P88" i="2" s="1"/>
  <c r="O284" i="2"/>
  <c r="L87" i="2"/>
  <c r="M581" i="2"/>
  <c r="N96" i="2"/>
  <c r="B90" i="2"/>
  <c r="M89" i="2"/>
  <c r="A89" i="2"/>
  <c r="H89" i="2" l="1"/>
  <c r="P89" i="2" s="1"/>
  <c r="O285" i="2"/>
  <c r="L88" i="2"/>
  <c r="M582" i="2"/>
  <c r="B91" i="2"/>
  <c r="M90" i="2"/>
  <c r="N97" i="2"/>
  <c r="A90" i="2"/>
  <c r="O286" i="2" l="1"/>
  <c r="H90" i="2"/>
  <c r="P90" i="2" s="1"/>
  <c r="L89" i="2"/>
  <c r="M583" i="2"/>
  <c r="N98" i="2"/>
  <c r="B92" i="2"/>
  <c r="M91" i="2"/>
  <c r="A91" i="2"/>
  <c r="H91" i="2" l="1"/>
  <c r="P91" i="2" s="1"/>
  <c r="L90" i="2"/>
  <c r="O287" i="2"/>
  <c r="M584" i="2"/>
  <c r="B93" i="2"/>
  <c r="M92" i="2"/>
  <c r="N99" i="2"/>
  <c r="A92" i="2"/>
  <c r="H92" i="2" l="1"/>
  <c r="P92" i="2" s="1"/>
  <c r="O288" i="2"/>
  <c r="L91" i="2"/>
  <c r="M585" i="2"/>
  <c r="N101" i="2"/>
  <c r="N100" i="2"/>
  <c r="B94" i="2"/>
  <c r="M93" i="2"/>
  <c r="A93" i="2"/>
  <c r="H93" i="2" l="1"/>
  <c r="P93" i="2" s="1"/>
  <c r="O289" i="2"/>
  <c r="L92" i="2"/>
  <c r="M586" i="2"/>
  <c r="B95" i="2"/>
  <c r="M94" i="2"/>
  <c r="A94" i="2"/>
  <c r="O290" i="2" l="1"/>
  <c r="H94" i="2"/>
  <c r="P94" i="2" s="1"/>
  <c r="L93" i="2"/>
  <c r="M587" i="2"/>
  <c r="B96" i="2"/>
  <c r="M95" i="2"/>
  <c r="A95" i="2"/>
  <c r="H95" i="2" l="1"/>
  <c r="P95" i="2" s="1"/>
  <c r="L94" i="2"/>
  <c r="O291" i="2"/>
  <c r="M588" i="2"/>
  <c r="B97" i="2"/>
  <c r="M96" i="2"/>
  <c r="A96" i="2"/>
  <c r="H96" i="2" l="1"/>
  <c r="P96" i="2" s="1"/>
  <c r="O292" i="2"/>
  <c r="L95" i="2"/>
  <c r="M589" i="2"/>
  <c r="B98" i="2"/>
  <c r="M97" i="2"/>
  <c r="A97" i="2"/>
  <c r="H97" i="2" l="1"/>
  <c r="P97" i="2" s="1"/>
  <c r="O293" i="2"/>
  <c r="L96" i="2"/>
  <c r="M590" i="2"/>
  <c r="B99" i="2"/>
  <c r="M98" i="2"/>
  <c r="A98" i="2"/>
  <c r="H98" i="2" l="1"/>
  <c r="P98" i="2" s="1"/>
  <c r="O294" i="2"/>
  <c r="L97" i="2"/>
  <c r="M591" i="2"/>
  <c r="B100" i="2"/>
  <c r="M99" i="2"/>
  <c r="A99" i="2"/>
  <c r="H99" i="2" l="1"/>
  <c r="P99" i="2" s="1"/>
  <c r="O295" i="2"/>
  <c r="L98" i="2"/>
  <c r="M592" i="2"/>
  <c r="B101" i="2"/>
  <c r="M100" i="2"/>
  <c r="A100" i="2"/>
  <c r="H100" i="2" l="1"/>
  <c r="P100" i="2" s="1"/>
  <c r="O296" i="2"/>
  <c r="L99" i="2"/>
  <c r="M593" i="2"/>
  <c r="M101" i="2"/>
  <c r="B102" i="2"/>
  <c r="A101" i="2"/>
  <c r="O297" i="2" l="1"/>
  <c r="H101" i="2"/>
  <c r="P101" i="2" s="1"/>
  <c r="L100" i="2"/>
  <c r="M594" i="2"/>
  <c r="M102" i="2"/>
  <c r="B103" i="2"/>
  <c r="A102" i="2"/>
  <c r="H102" i="2" s="1"/>
  <c r="P102" i="2" s="1"/>
  <c r="L101" i="2" l="1"/>
  <c r="O298" i="2"/>
  <c r="M595" i="2"/>
  <c r="B104" i="2"/>
  <c r="M103" i="2"/>
  <c r="L102" i="2"/>
  <c r="A103" i="2"/>
  <c r="H103" i="2" s="1"/>
  <c r="P103" i="2" s="1"/>
  <c r="O302" i="2"/>
  <c r="O299" i="2" l="1"/>
  <c r="M596" i="2"/>
  <c r="B105" i="2"/>
  <c r="M104" i="2"/>
  <c r="A104" i="2"/>
  <c r="H104" i="2" s="1"/>
  <c r="P104" i="2" s="1"/>
  <c r="L103" i="2"/>
  <c r="O301" i="2" l="1"/>
  <c r="O300" i="2"/>
  <c r="M597" i="2"/>
  <c r="B106" i="2"/>
  <c r="M105" i="2"/>
  <c r="A105" i="2"/>
  <c r="H105" i="2" s="1"/>
  <c r="P105" i="2" s="1"/>
  <c r="L104" i="2"/>
  <c r="M598" i="2" l="1"/>
  <c r="B107" i="2"/>
  <c r="M106" i="2"/>
  <c r="A106" i="2"/>
  <c r="H106" i="2" s="1"/>
  <c r="P106" i="2" s="1"/>
  <c r="L105" i="2"/>
  <c r="M599" i="2" l="1"/>
  <c r="M107" i="2"/>
  <c r="B108" i="2"/>
  <c r="A107" i="2"/>
  <c r="H107" i="2" s="1"/>
  <c r="P107" i="2" s="1"/>
  <c r="L106" i="2"/>
  <c r="M600" i="2" l="1"/>
  <c r="M108" i="2"/>
  <c r="B109" i="2"/>
  <c r="A108" i="2"/>
  <c r="H108" i="2" s="1"/>
  <c r="P108" i="2" s="1"/>
  <c r="L107" i="2"/>
  <c r="M601" i="2" l="1"/>
  <c r="M109" i="2"/>
  <c r="B110" i="2"/>
  <c r="A109" i="2"/>
  <c r="H109" i="2" s="1"/>
  <c r="P109" i="2" s="1"/>
  <c r="L108" i="2"/>
  <c r="M602" i="2" l="1"/>
  <c r="M110" i="2"/>
  <c r="B111" i="2"/>
  <c r="A110" i="2"/>
  <c r="H110" i="2" s="1"/>
  <c r="P110" i="2" s="1"/>
  <c r="L109" i="2"/>
  <c r="M603" i="2" l="1"/>
  <c r="M111" i="2"/>
  <c r="B112" i="2"/>
  <c r="A111" i="2"/>
  <c r="H111" i="2" s="1"/>
  <c r="P111" i="2" s="1"/>
  <c r="L110" i="2"/>
  <c r="M604" i="2" l="1"/>
  <c r="M112" i="2"/>
  <c r="B113" i="2"/>
  <c r="A112" i="2"/>
  <c r="H112" i="2" s="1"/>
  <c r="P112" i="2" s="1"/>
  <c r="L111" i="2"/>
  <c r="M605" i="2" l="1"/>
  <c r="M113" i="2"/>
  <c r="B114" i="2"/>
  <c r="A113" i="2"/>
  <c r="H113" i="2" s="1"/>
  <c r="P113" i="2" s="1"/>
  <c r="L112" i="2"/>
  <c r="M606" i="2" l="1"/>
  <c r="M114" i="2"/>
  <c r="B115" i="2"/>
  <c r="A114" i="2"/>
  <c r="H114" i="2" s="1"/>
  <c r="P114" i="2" s="1"/>
  <c r="L113" i="2"/>
  <c r="M607" i="2" l="1"/>
  <c r="B116" i="2"/>
  <c r="M115" i="2"/>
  <c r="A115" i="2"/>
  <c r="H115" i="2" s="1"/>
  <c r="P115" i="2" s="1"/>
  <c r="L114" i="2"/>
  <c r="M608" i="2" l="1"/>
  <c r="B117" i="2"/>
  <c r="M116" i="2"/>
  <c r="A116" i="2"/>
  <c r="H116" i="2" s="1"/>
  <c r="P116" i="2" s="1"/>
  <c r="L115" i="2"/>
  <c r="M609" i="2" l="1"/>
  <c r="B118" i="2"/>
  <c r="M117" i="2"/>
  <c r="A117" i="2"/>
  <c r="H117" i="2" s="1"/>
  <c r="P117" i="2" s="1"/>
  <c r="L116" i="2"/>
  <c r="M610" i="2" l="1"/>
  <c r="B119" i="2"/>
  <c r="M118" i="2"/>
  <c r="A118" i="2"/>
  <c r="H118" i="2" s="1"/>
  <c r="P118" i="2" s="1"/>
  <c r="L117" i="2"/>
  <c r="M611" i="2" l="1"/>
  <c r="M119" i="2"/>
  <c r="B120" i="2"/>
  <c r="A119" i="2"/>
  <c r="H119" i="2" s="1"/>
  <c r="P119" i="2" s="1"/>
  <c r="L118" i="2"/>
  <c r="M612" i="2" l="1"/>
  <c r="B121" i="2"/>
  <c r="M120" i="2"/>
  <c r="A120" i="2"/>
  <c r="H120" i="2" s="1"/>
  <c r="P120" i="2" s="1"/>
  <c r="L119" i="2"/>
  <c r="M613" i="2" l="1"/>
  <c r="B122" i="2"/>
  <c r="M121" i="2"/>
  <c r="A121" i="2"/>
  <c r="H121" i="2" s="1"/>
  <c r="P121" i="2" s="1"/>
  <c r="L120" i="2"/>
  <c r="M614" i="2" l="1"/>
  <c r="B123" i="2"/>
  <c r="M122" i="2"/>
  <c r="A122" i="2"/>
  <c r="H122" i="2" s="1"/>
  <c r="P122" i="2" s="1"/>
  <c r="L121" i="2"/>
  <c r="M615" i="2" l="1"/>
  <c r="B124" i="2"/>
  <c r="M123" i="2"/>
  <c r="A123" i="2"/>
  <c r="H123" i="2" s="1"/>
  <c r="P123" i="2" s="1"/>
  <c r="L122" i="2"/>
  <c r="M616" i="2" l="1"/>
  <c r="M124" i="2"/>
  <c r="B125" i="2"/>
  <c r="A124" i="2"/>
  <c r="H124" i="2" s="1"/>
  <c r="P124" i="2" s="1"/>
  <c r="L123" i="2"/>
  <c r="M617" i="2" l="1"/>
  <c r="B126" i="2"/>
  <c r="M125" i="2"/>
  <c r="A125" i="2"/>
  <c r="H125" i="2" s="1"/>
  <c r="P125" i="2" s="1"/>
  <c r="L124" i="2"/>
  <c r="M618" i="2" l="1"/>
  <c r="B127" i="2"/>
  <c r="M126" i="2"/>
  <c r="A126" i="2"/>
  <c r="H126" i="2" s="1"/>
  <c r="P126" i="2" s="1"/>
  <c r="L125" i="2"/>
  <c r="M619" i="2" l="1"/>
  <c r="M127" i="2"/>
  <c r="B128" i="2"/>
  <c r="A127" i="2"/>
  <c r="H127" i="2" s="1"/>
  <c r="P127" i="2" s="1"/>
  <c r="L126" i="2"/>
  <c r="M620" i="2" l="1"/>
  <c r="B129" i="2"/>
  <c r="M128" i="2"/>
  <c r="A128" i="2"/>
  <c r="H128" i="2" s="1"/>
  <c r="P128" i="2" s="1"/>
  <c r="L127" i="2"/>
  <c r="M621" i="2" l="1"/>
  <c r="M129" i="2"/>
  <c r="B130" i="2"/>
  <c r="A129" i="2"/>
  <c r="H129" i="2" s="1"/>
  <c r="P129" i="2" s="1"/>
  <c r="L128" i="2"/>
  <c r="M622" i="2" l="1"/>
  <c r="B131" i="2"/>
  <c r="M130" i="2"/>
  <c r="A130" i="2"/>
  <c r="H130" i="2" s="1"/>
  <c r="P130" i="2" s="1"/>
  <c r="L129" i="2"/>
  <c r="M623" i="2" l="1"/>
  <c r="B132" i="2"/>
  <c r="M131" i="2"/>
  <c r="A131" i="2"/>
  <c r="H131" i="2" s="1"/>
  <c r="P131" i="2" s="1"/>
  <c r="L130" i="2"/>
  <c r="M624" i="2" l="1"/>
  <c r="B133" i="2"/>
  <c r="M132" i="2"/>
  <c r="A132" i="2"/>
  <c r="H132" i="2" s="1"/>
  <c r="P132" i="2" s="1"/>
  <c r="L131" i="2"/>
  <c r="M625" i="2" l="1"/>
  <c r="B134" i="2"/>
  <c r="M133" i="2"/>
  <c r="A133" i="2"/>
  <c r="H133" i="2" s="1"/>
  <c r="P133" i="2" s="1"/>
  <c r="L132" i="2"/>
  <c r="M626" i="2" l="1"/>
  <c r="M134" i="2"/>
  <c r="B135" i="2"/>
  <c r="A134" i="2"/>
  <c r="H134" i="2" s="1"/>
  <c r="P134" i="2" s="1"/>
  <c r="L133" i="2"/>
  <c r="M627" i="2" l="1"/>
  <c r="M135" i="2"/>
  <c r="B136" i="2"/>
  <c r="A135" i="2"/>
  <c r="H135" i="2" s="1"/>
  <c r="P135" i="2" s="1"/>
  <c r="L134" i="2"/>
  <c r="M628" i="2" l="1"/>
  <c r="M136" i="2"/>
  <c r="B137" i="2"/>
  <c r="A136" i="2"/>
  <c r="H136" i="2" s="1"/>
  <c r="P136" i="2" s="1"/>
  <c r="L135" i="2"/>
  <c r="M629" i="2" l="1"/>
  <c r="M137" i="2"/>
  <c r="B138" i="2"/>
  <c r="A137" i="2"/>
  <c r="H137" i="2" s="1"/>
  <c r="P137" i="2" s="1"/>
  <c r="L136" i="2"/>
  <c r="M630" i="2" l="1"/>
  <c r="B139" i="2"/>
  <c r="M138" i="2"/>
  <c r="A138" i="2"/>
  <c r="H138" i="2" s="1"/>
  <c r="P138" i="2" s="1"/>
  <c r="L137" i="2"/>
  <c r="M631" i="2" l="1"/>
  <c r="M139" i="2"/>
  <c r="B140" i="2"/>
  <c r="A139" i="2"/>
  <c r="H139" i="2" s="1"/>
  <c r="P139" i="2" s="1"/>
  <c r="L138" i="2"/>
  <c r="M632" i="2" l="1"/>
  <c r="B141" i="2"/>
  <c r="M140" i="2"/>
  <c r="A140" i="2"/>
  <c r="H140" i="2" s="1"/>
  <c r="P140" i="2" s="1"/>
  <c r="L139" i="2"/>
  <c r="M633" i="2" l="1"/>
  <c r="B142" i="2"/>
  <c r="M141" i="2"/>
  <c r="A141" i="2"/>
  <c r="H141" i="2" s="1"/>
  <c r="P141" i="2" s="1"/>
  <c r="L140" i="2"/>
  <c r="M634" i="2" l="1"/>
  <c r="B143" i="2"/>
  <c r="M142" i="2"/>
  <c r="A142" i="2"/>
  <c r="H142" i="2" s="1"/>
  <c r="P142" i="2" s="1"/>
  <c r="L141" i="2"/>
  <c r="M635" i="2" l="1"/>
  <c r="B144" i="2"/>
  <c r="M143" i="2"/>
  <c r="A143" i="2"/>
  <c r="H143" i="2" s="1"/>
  <c r="P143" i="2" s="1"/>
  <c r="L142" i="2"/>
  <c r="M636" i="2" l="1"/>
  <c r="M144" i="2"/>
  <c r="B145" i="2"/>
  <c r="A144" i="2"/>
  <c r="H144" i="2" s="1"/>
  <c r="P144" i="2" s="1"/>
  <c r="L143" i="2"/>
  <c r="M637" i="2" l="1"/>
  <c r="M145" i="2"/>
  <c r="B146" i="2"/>
  <c r="A145" i="2"/>
  <c r="H145" i="2" s="1"/>
  <c r="P145" i="2" s="1"/>
  <c r="L144" i="2"/>
  <c r="M638" i="2" l="1"/>
  <c r="B147" i="2"/>
  <c r="M146" i="2"/>
  <c r="A146" i="2"/>
  <c r="H146" i="2" s="1"/>
  <c r="P146" i="2" s="1"/>
  <c r="L145" i="2"/>
  <c r="M639" i="2" l="1"/>
  <c r="M147" i="2"/>
  <c r="B148" i="2"/>
  <c r="A147" i="2"/>
  <c r="H147" i="2" s="1"/>
  <c r="P147" i="2" s="1"/>
  <c r="L146" i="2"/>
  <c r="M640" i="2" l="1"/>
  <c r="M148" i="2"/>
  <c r="B149" i="2"/>
  <c r="A148" i="2"/>
  <c r="H148" i="2" s="1"/>
  <c r="P148" i="2" s="1"/>
  <c r="L147" i="2"/>
  <c r="M641" i="2" l="1"/>
  <c r="M149" i="2"/>
  <c r="B150" i="2"/>
  <c r="A149" i="2"/>
  <c r="H149" i="2" s="1"/>
  <c r="P149" i="2" s="1"/>
  <c r="L148" i="2"/>
  <c r="M642" i="2" l="1"/>
  <c r="M150" i="2"/>
  <c r="B151" i="2"/>
  <c r="A150" i="2"/>
  <c r="H150" i="2" s="1"/>
  <c r="P150" i="2" s="1"/>
  <c r="L149" i="2"/>
  <c r="M643" i="2" l="1"/>
  <c r="B152" i="2"/>
  <c r="M151" i="2"/>
  <c r="A151" i="2"/>
  <c r="H151" i="2" s="1"/>
  <c r="P151" i="2" s="1"/>
  <c r="L150" i="2"/>
  <c r="M644" i="2" l="1"/>
  <c r="M152" i="2"/>
  <c r="B153" i="2"/>
  <c r="A152" i="2"/>
  <c r="H152" i="2" s="1"/>
  <c r="P152" i="2" s="1"/>
  <c r="L151" i="2"/>
  <c r="M645" i="2" l="1"/>
  <c r="M153" i="2"/>
  <c r="B154" i="2"/>
  <c r="A153" i="2"/>
  <c r="H153" i="2" s="1"/>
  <c r="P153" i="2" s="1"/>
  <c r="L152" i="2"/>
  <c r="M646" i="2" l="1"/>
  <c r="B155" i="2"/>
  <c r="M154" i="2"/>
  <c r="A154" i="2"/>
  <c r="H154" i="2" s="1"/>
  <c r="P154" i="2" s="1"/>
  <c r="L153" i="2"/>
  <c r="M647" i="2" l="1"/>
  <c r="M155" i="2"/>
  <c r="B156" i="2"/>
  <c r="A155" i="2"/>
  <c r="H155" i="2" s="1"/>
  <c r="P155" i="2" s="1"/>
  <c r="L154" i="2"/>
  <c r="M648" i="2" l="1"/>
  <c r="M156" i="2"/>
  <c r="B157" i="2"/>
  <c r="A156" i="2"/>
  <c r="H156" i="2" s="1"/>
  <c r="P156" i="2" s="1"/>
  <c r="L155" i="2"/>
  <c r="M649" i="2" l="1"/>
  <c r="M157" i="2"/>
  <c r="B158" i="2"/>
  <c r="A157" i="2"/>
  <c r="H157" i="2" s="1"/>
  <c r="P157" i="2" s="1"/>
  <c r="L156" i="2"/>
  <c r="M650" i="2" l="1"/>
  <c r="M158" i="2"/>
  <c r="B159" i="2"/>
  <c r="A158" i="2"/>
  <c r="H158" i="2" s="1"/>
  <c r="P158" i="2" s="1"/>
  <c r="L157" i="2"/>
  <c r="M651" i="2" l="1"/>
  <c r="M159" i="2"/>
  <c r="B160" i="2"/>
  <c r="A159" i="2"/>
  <c r="H159" i="2" s="1"/>
  <c r="P159" i="2" s="1"/>
  <c r="L158" i="2"/>
  <c r="M652" i="2" l="1"/>
  <c r="B161" i="2"/>
  <c r="M160" i="2"/>
  <c r="A160" i="2"/>
  <c r="H160" i="2" s="1"/>
  <c r="P160" i="2" s="1"/>
  <c r="L159" i="2"/>
  <c r="M653" i="2" l="1"/>
  <c r="M161" i="2"/>
  <c r="B162" i="2"/>
  <c r="A161" i="2"/>
  <c r="H161" i="2" s="1"/>
  <c r="P161" i="2" s="1"/>
  <c r="L160" i="2"/>
  <c r="M654" i="2" l="1"/>
  <c r="M162" i="2"/>
  <c r="B163" i="2"/>
  <c r="A162" i="2"/>
  <c r="H162" i="2" s="1"/>
  <c r="P162" i="2" s="1"/>
  <c r="L161" i="2"/>
  <c r="M655" i="2" l="1"/>
  <c r="M163" i="2"/>
  <c r="B164" i="2"/>
  <c r="A163" i="2"/>
  <c r="H163" i="2" s="1"/>
  <c r="P163" i="2" s="1"/>
  <c r="L162" i="2"/>
  <c r="M656" i="2" l="1"/>
  <c r="M164" i="2"/>
  <c r="B165" i="2"/>
  <c r="A164" i="2"/>
  <c r="H164" i="2" s="1"/>
  <c r="P164" i="2" s="1"/>
  <c r="L163" i="2"/>
  <c r="M657" i="2" l="1"/>
  <c r="B166" i="2"/>
  <c r="M165" i="2"/>
  <c r="A165" i="2"/>
  <c r="H165" i="2" s="1"/>
  <c r="P165" i="2" s="1"/>
  <c r="L164" i="2"/>
  <c r="M658" i="2" l="1"/>
  <c r="M166" i="2"/>
  <c r="B167" i="2"/>
  <c r="A166" i="2"/>
  <c r="H166" i="2" s="1"/>
  <c r="P166" i="2" s="1"/>
  <c r="L165" i="2"/>
  <c r="M659" i="2" l="1"/>
  <c r="M167" i="2"/>
  <c r="B168" i="2"/>
  <c r="A167" i="2"/>
  <c r="H167" i="2" s="1"/>
  <c r="P167" i="2" s="1"/>
  <c r="L166" i="2"/>
  <c r="M660" i="2" l="1"/>
  <c r="M168" i="2"/>
  <c r="B169" i="2"/>
  <c r="A168" i="2"/>
  <c r="H168" i="2" s="1"/>
  <c r="P168" i="2" s="1"/>
  <c r="L167" i="2"/>
  <c r="M661" i="2" l="1"/>
  <c r="B170" i="2"/>
  <c r="M169" i="2"/>
  <c r="A169" i="2"/>
  <c r="H169" i="2" s="1"/>
  <c r="P169" i="2" s="1"/>
  <c r="L168" i="2"/>
  <c r="M662" i="2" l="1"/>
  <c r="M170" i="2"/>
  <c r="B171" i="2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A170" i="2"/>
  <c r="H170" i="2" s="1"/>
  <c r="P170" i="2" s="1"/>
  <c r="L169" i="2"/>
  <c r="M663" i="2" l="1"/>
  <c r="M171" i="2"/>
  <c r="A171" i="2"/>
  <c r="H171" i="2" s="1"/>
  <c r="P171" i="2" s="1"/>
  <c r="L170" i="2"/>
  <c r="M664" i="2" l="1"/>
  <c r="M172" i="2"/>
  <c r="A172" i="2"/>
  <c r="H172" i="2" s="1"/>
  <c r="P172" i="2" s="1"/>
  <c r="L171" i="2"/>
  <c r="M665" i="2" l="1"/>
  <c r="M173" i="2"/>
  <c r="A173" i="2"/>
  <c r="H173" i="2" s="1"/>
  <c r="P173" i="2" s="1"/>
  <c r="L172" i="2"/>
  <c r="M666" i="2" l="1"/>
  <c r="M174" i="2"/>
  <c r="A174" i="2"/>
  <c r="H174" i="2" s="1"/>
  <c r="P174" i="2" s="1"/>
  <c r="L173" i="2"/>
  <c r="M667" i="2" l="1"/>
  <c r="M175" i="2"/>
  <c r="A175" i="2"/>
  <c r="H175" i="2" s="1"/>
  <c r="P175" i="2" s="1"/>
  <c r="L174" i="2"/>
  <c r="M668" i="2" l="1"/>
  <c r="M176" i="2"/>
  <c r="A176" i="2"/>
  <c r="H176" i="2" s="1"/>
  <c r="P176" i="2" s="1"/>
  <c r="L175" i="2"/>
  <c r="M669" i="2" l="1"/>
  <c r="M177" i="2"/>
  <c r="A177" i="2"/>
  <c r="H177" i="2" s="1"/>
  <c r="P177" i="2" s="1"/>
  <c r="L176" i="2"/>
  <c r="M670" i="2" l="1"/>
  <c r="M178" i="2"/>
  <c r="A178" i="2"/>
  <c r="H178" i="2" s="1"/>
  <c r="P178" i="2" s="1"/>
  <c r="L177" i="2"/>
  <c r="M671" i="2" l="1"/>
  <c r="M179" i="2"/>
  <c r="A179" i="2"/>
  <c r="H179" i="2" s="1"/>
  <c r="P179" i="2" s="1"/>
  <c r="L178" i="2"/>
  <c r="M672" i="2" l="1"/>
  <c r="M180" i="2"/>
  <c r="A180" i="2"/>
  <c r="H180" i="2" s="1"/>
  <c r="P180" i="2" s="1"/>
  <c r="L179" i="2"/>
  <c r="M673" i="2" l="1"/>
  <c r="M181" i="2"/>
  <c r="A181" i="2"/>
  <c r="H181" i="2" s="1"/>
  <c r="P181" i="2" s="1"/>
  <c r="L180" i="2"/>
  <c r="M674" i="2" l="1"/>
  <c r="M182" i="2"/>
  <c r="A182" i="2"/>
  <c r="H182" i="2" s="1"/>
  <c r="P182" i="2" s="1"/>
  <c r="L181" i="2"/>
  <c r="M675" i="2" l="1"/>
  <c r="M183" i="2"/>
  <c r="A183" i="2"/>
  <c r="H183" i="2" s="1"/>
  <c r="P183" i="2" s="1"/>
  <c r="L182" i="2"/>
  <c r="M676" i="2" l="1"/>
  <c r="M184" i="2"/>
  <c r="A184" i="2"/>
  <c r="H184" i="2" s="1"/>
  <c r="P184" i="2" s="1"/>
  <c r="L183" i="2"/>
  <c r="M677" i="2" l="1"/>
  <c r="M185" i="2"/>
  <c r="A185" i="2"/>
  <c r="H185" i="2" s="1"/>
  <c r="P185" i="2" s="1"/>
  <c r="L184" i="2"/>
  <c r="M678" i="2" l="1"/>
  <c r="M186" i="2"/>
  <c r="A186" i="2"/>
  <c r="H186" i="2" s="1"/>
  <c r="P186" i="2" s="1"/>
  <c r="L185" i="2"/>
  <c r="M679" i="2" l="1"/>
  <c r="M187" i="2"/>
  <c r="A187" i="2"/>
  <c r="H187" i="2" s="1"/>
  <c r="P187" i="2" s="1"/>
  <c r="L186" i="2"/>
  <c r="M680" i="2" l="1"/>
  <c r="M188" i="2"/>
  <c r="A188" i="2"/>
  <c r="H188" i="2" s="1"/>
  <c r="P188" i="2" s="1"/>
  <c r="L187" i="2"/>
  <c r="M681" i="2" l="1"/>
  <c r="M189" i="2"/>
  <c r="A189" i="2"/>
  <c r="H189" i="2" s="1"/>
  <c r="P189" i="2" s="1"/>
  <c r="L188" i="2"/>
  <c r="M682" i="2" l="1"/>
  <c r="M190" i="2"/>
  <c r="A190" i="2"/>
  <c r="H190" i="2" s="1"/>
  <c r="P190" i="2" s="1"/>
  <c r="L189" i="2"/>
  <c r="M683" i="2" l="1"/>
  <c r="M191" i="2"/>
  <c r="A191" i="2"/>
  <c r="H191" i="2" s="1"/>
  <c r="P191" i="2" s="1"/>
  <c r="L190" i="2"/>
  <c r="M684" i="2" l="1"/>
  <c r="M192" i="2"/>
  <c r="A192" i="2"/>
  <c r="H192" i="2" s="1"/>
  <c r="P192" i="2" s="1"/>
  <c r="L191" i="2"/>
  <c r="M685" i="2" l="1"/>
  <c r="M193" i="2"/>
  <c r="A193" i="2"/>
  <c r="H193" i="2" s="1"/>
  <c r="P193" i="2" s="1"/>
  <c r="L192" i="2"/>
  <c r="M686" i="2" l="1"/>
  <c r="M194" i="2"/>
  <c r="A194" i="2"/>
  <c r="H194" i="2" s="1"/>
  <c r="P194" i="2" s="1"/>
  <c r="L193" i="2"/>
  <c r="M687" i="2" l="1"/>
  <c r="M195" i="2"/>
  <c r="A195" i="2"/>
  <c r="H195" i="2" s="1"/>
  <c r="P195" i="2" s="1"/>
  <c r="L194" i="2"/>
  <c r="M688" i="2" l="1"/>
  <c r="M196" i="2"/>
  <c r="A196" i="2"/>
  <c r="H196" i="2" s="1"/>
  <c r="P196" i="2" s="1"/>
  <c r="L195" i="2"/>
  <c r="M689" i="2" l="1"/>
  <c r="M197" i="2"/>
  <c r="A197" i="2"/>
  <c r="H197" i="2" s="1"/>
  <c r="P197" i="2" s="1"/>
  <c r="L196" i="2"/>
  <c r="M690" i="2" l="1"/>
  <c r="M198" i="2"/>
  <c r="A198" i="2"/>
  <c r="H198" i="2" s="1"/>
  <c r="P198" i="2" s="1"/>
  <c r="L197" i="2"/>
  <c r="M691" i="2" l="1"/>
  <c r="M199" i="2"/>
  <c r="A199" i="2"/>
  <c r="H199" i="2" s="1"/>
  <c r="P199" i="2" s="1"/>
  <c r="L198" i="2"/>
  <c r="M692" i="2" l="1"/>
  <c r="M200" i="2"/>
  <c r="A200" i="2"/>
  <c r="H200" i="2" s="1"/>
  <c r="P200" i="2" s="1"/>
  <c r="L199" i="2"/>
  <c r="M693" i="2" l="1"/>
  <c r="M201" i="2"/>
  <c r="A201" i="2"/>
  <c r="H201" i="2" s="1"/>
  <c r="P201" i="2" s="1"/>
  <c r="L200" i="2"/>
  <c r="M694" i="2" l="1"/>
  <c r="M202" i="2"/>
  <c r="A202" i="2"/>
  <c r="H202" i="2" s="1"/>
  <c r="P202" i="2" s="1"/>
  <c r="L201" i="2"/>
  <c r="M695" i="2" l="1"/>
  <c r="M203" i="2"/>
  <c r="A203" i="2"/>
  <c r="H203" i="2" s="1"/>
  <c r="P203" i="2" s="1"/>
  <c r="L202" i="2"/>
  <c r="M696" i="2" l="1"/>
  <c r="M204" i="2"/>
  <c r="A204" i="2"/>
  <c r="H204" i="2" s="1"/>
  <c r="P204" i="2" s="1"/>
  <c r="L203" i="2"/>
  <c r="M697" i="2" l="1"/>
  <c r="M205" i="2"/>
  <c r="A205" i="2"/>
  <c r="H205" i="2" s="1"/>
  <c r="P205" i="2" s="1"/>
  <c r="L204" i="2"/>
  <c r="M698" i="2" l="1"/>
  <c r="M206" i="2"/>
  <c r="A206" i="2"/>
  <c r="H206" i="2" s="1"/>
  <c r="P206" i="2" s="1"/>
  <c r="L205" i="2"/>
  <c r="M699" i="2" l="1"/>
  <c r="M207" i="2"/>
  <c r="A207" i="2"/>
  <c r="H207" i="2" s="1"/>
  <c r="P207" i="2" s="1"/>
  <c r="L206" i="2"/>
  <c r="M700" i="2" l="1"/>
  <c r="M208" i="2"/>
  <c r="A208" i="2"/>
  <c r="H208" i="2" s="1"/>
  <c r="P208" i="2" s="1"/>
  <c r="L207" i="2"/>
  <c r="M701" i="2" l="1"/>
  <c r="M209" i="2"/>
  <c r="A209" i="2"/>
  <c r="H209" i="2" s="1"/>
  <c r="P209" i="2" s="1"/>
  <c r="L208" i="2"/>
  <c r="M702" i="2" l="1"/>
  <c r="M210" i="2"/>
  <c r="A210" i="2"/>
  <c r="H210" i="2" s="1"/>
  <c r="P210" i="2" s="1"/>
  <c r="L209" i="2"/>
  <c r="M703" i="2" l="1"/>
  <c r="M211" i="2"/>
  <c r="A211" i="2"/>
  <c r="H211" i="2" s="1"/>
  <c r="P211" i="2" s="1"/>
  <c r="L210" i="2"/>
  <c r="M704" i="2" l="1"/>
  <c r="M212" i="2"/>
  <c r="A212" i="2"/>
  <c r="H212" i="2" s="1"/>
  <c r="P212" i="2" s="1"/>
  <c r="L211" i="2"/>
  <c r="M705" i="2" l="1"/>
  <c r="M213" i="2"/>
  <c r="A213" i="2"/>
  <c r="H213" i="2" s="1"/>
  <c r="P213" i="2" s="1"/>
  <c r="L212" i="2"/>
  <c r="M706" i="2" l="1"/>
  <c r="M214" i="2"/>
  <c r="A214" i="2"/>
  <c r="H214" i="2" s="1"/>
  <c r="P214" i="2" s="1"/>
  <c r="L213" i="2"/>
  <c r="M707" i="2" l="1"/>
  <c r="M215" i="2"/>
  <c r="A215" i="2"/>
  <c r="H215" i="2" s="1"/>
  <c r="P215" i="2" s="1"/>
  <c r="L214" i="2"/>
  <c r="M708" i="2" l="1"/>
  <c r="M216" i="2"/>
  <c r="A216" i="2"/>
  <c r="H216" i="2" s="1"/>
  <c r="P216" i="2" s="1"/>
  <c r="L215" i="2"/>
  <c r="M709" i="2" l="1"/>
  <c r="M217" i="2"/>
  <c r="A217" i="2"/>
  <c r="H217" i="2" s="1"/>
  <c r="P217" i="2" s="1"/>
  <c r="L216" i="2"/>
  <c r="M710" i="2" l="1"/>
  <c r="M218" i="2"/>
  <c r="A218" i="2"/>
  <c r="H218" i="2" s="1"/>
  <c r="P218" i="2" s="1"/>
  <c r="L217" i="2"/>
  <c r="M711" i="2" l="1"/>
  <c r="M219" i="2"/>
  <c r="A219" i="2"/>
  <c r="H219" i="2" s="1"/>
  <c r="P219" i="2" s="1"/>
  <c r="L218" i="2"/>
  <c r="M712" i="2" l="1"/>
  <c r="M220" i="2"/>
  <c r="A220" i="2"/>
  <c r="H220" i="2" s="1"/>
  <c r="P220" i="2" s="1"/>
  <c r="L219" i="2"/>
  <c r="M713" i="2" l="1"/>
  <c r="M221" i="2"/>
  <c r="A221" i="2"/>
  <c r="H221" i="2" s="1"/>
  <c r="P221" i="2" s="1"/>
  <c r="L220" i="2"/>
  <c r="M714" i="2" l="1"/>
  <c r="M222" i="2"/>
  <c r="A222" i="2"/>
  <c r="H222" i="2" s="1"/>
  <c r="P222" i="2" s="1"/>
  <c r="L221" i="2"/>
  <c r="M715" i="2" l="1"/>
  <c r="M223" i="2"/>
  <c r="A223" i="2"/>
  <c r="H223" i="2" s="1"/>
  <c r="P223" i="2" s="1"/>
  <c r="L222" i="2"/>
  <c r="M716" i="2" l="1"/>
  <c r="M224" i="2"/>
  <c r="A224" i="2"/>
  <c r="H224" i="2" s="1"/>
  <c r="P224" i="2" s="1"/>
  <c r="L223" i="2"/>
  <c r="M717" i="2" l="1"/>
  <c r="M225" i="2"/>
  <c r="A225" i="2"/>
  <c r="H225" i="2" s="1"/>
  <c r="P225" i="2" s="1"/>
  <c r="L224" i="2"/>
  <c r="M718" i="2" l="1"/>
  <c r="M226" i="2"/>
  <c r="A226" i="2"/>
  <c r="H226" i="2" s="1"/>
  <c r="P226" i="2" s="1"/>
  <c r="L225" i="2"/>
  <c r="M719" i="2" l="1"/>
  <c r="M227" i="2"/>
  <c r="A227" i="2"/>
  <c r="H227" i="2" s="1"/>
  <c r="P227" i="2" s="1"/>
  <c r="L226" i="2"/>
  <c r="M720" i="2" l="1"/>
  <c r="M228" i="2"/>
  <c r="A228" i="2"/>
  <c r="H228" i="2" s="1"/>
  <c r="P228" i="2" s="1"/>
  <c r="L227" i="2"/>
  <c r="M721" i="2" l="1"/>
  <c r="M229" i="2"/>
  <c r="A229" i="2"/>
  <c r="H229" i="2" s="1"/>
  <c r="P229" i="2" s="1"/>
  <c r="L228" i="2"/>
  <c r="M722" i="2" l="1"/>
  <c r="M230" i="2"/>
  <c r="A230" i="2"/>
  <c r="H230" i="2" s="1"/>
  <c r="P230" i="2" s="1"/>
  <c r="L229" i="2"/>
  <c r="M723" i="2" l="1"/>
  <c r="M231" i="2"/>
  <c r="A231" i="2"/>
  <c r="H231" i="2" s="1"/>
  <c r="P231" i="2" s="1"/>
  <c r="L230" i="2"/>
  <c r="M724" i="2" l="1"/>
  <c r="M232" i="2"/>
  <c r="A232" i="2"/>
  <c r="H232" i="2" s="1"/>
  <c r="P232" i="2" s="1"/>
  <c r="L231" i="2"/>
  <c r="M725" i="2" l="1"/>
  <c r="M233" i="2"/>
  <c r="A233" i="2"/>
  <c r="H233" i="2" s="1"/>
  <c r="P233" i="2" s="1"/>
  <c r="L232" i="2"/>
  <c r="M726" i="2" l="1"/>
  <c r="M234" i="2"/>
  <c r="A234" i="2"/>
  <c r="H234" i="2" s="1"/>
  <c r="P234" i="2" s="1"/>
  <c r="L233" i="2"/>
  <c r="M727" i="2" l="1"/>
  <c r="M235" i="2"/>
  <c r="A235" i="2"/>
  <c r="H235" i="2" s="1"/>
  <c r="P235" i="2" s="1"/>
  <c r="L234" i="2"/>
  <c r="M728" i="2" l="1"/>
  <c r="M236" i="2"/>
  <c r="A236" i="2"/>
  <c r="H236" i="2" s="1"/>
  <c r="P236" i="2" s="1"/>
  <c r="L235" i="2"/>
  <c r="M729" i="2" l="1"/>
  <c r="M237" i="2"/>
  <c r="A237" i="2"/>
  <c r="H237" i="2" s="1"/>
  <c r="P237" i="2" s="1"/>
  <c r="L236" i="2"/>
  <c r="M730" i="2" l="1"/>
  <c r="M238" i="2"/>
  <c r="A238" i="2"/>
  <c r="H238" i="2" s="1"/>
  <c r="P238" i="2" s="1"/>
  <c r="L237" i="2"/>
  <c r="M731" i="2" l="1"/>
  <c r="M239" i="2"/>
  <c r="A239" i="2"/>
  <c r="H239" i="2" s="1"/>
  <c r="P239" i="2" s="1"/>
  <c r="L238" i="2"/>
  <c r="M732" i="2" l="1"/>
  <c r="M240" i="2"/>
  <c r="A240" i="2"/>
  <c r="H240" i="2" s="1"/>
  <c r="P240" i="2" s="1"/>
  <c r="L239" i="2"/>
  <c r="M733" i="2" l="1"/>
  <c r="M241" i="2"/>
  <c r="A241" i="2"/>
  <c r="H241" i="2" s="1"/>
  <c r="P241" i="2" s="1"/>
  <c r="L240" i="2"/>
  <c r="M734" i="2" l="1"/>
  <c r="M242" i="2"/>
  <c r="A242" i="2"/>
  <c r="H242" i="2" s="1"/>
  <c r="P242" i="2" s="1"/>
  <c r="L241" i="2"/>
  <c r="M735" i="2" l="1"/>
  <c r="M243" i="2"/>
  <c r="A243" i="2"/>
  <c r="H243" i="2" s="1"/>
  <c r="P243" i="2" s="1"/>
  <c r="L242" i="2"/>
  <c r="M736" i="2" l="1"/>
  <c r="M244" i="2"/>
  <c r="A244" i="2"/>
  <c r="H244" i="2" s="1"/>
  <c r="P244" i="2" s="1"/>
  <c r="L243" i="2"/>
  <c r="M737" i="2" l="1"/>
  <c r="M245" i="2"/>
  <c r="A245" i="2"/>
  <c r="H245" i="2" s="1"/>
  <c r="P245" i="2" s="1"/>
  <c r="L244" i="2"/>
  <c r="M738" i="2" l="1"/>
  <c r="M246" i="2"/>
  <c r="A246" i="2"/>
  <c r="H246" i="2" s="1"/>
  <c r="P246" i="2" s="1"/>
  <c r="L245" i="2"/>
  <c r="M739" i="2" l="1"/>
  <c r="M247" i="2"/>
  <c r="A247" i="2"/>
  <c r="H247" i="2" s="1"/>
  <c r="P247" i="2" s="1"/>
  <c r="L246" i="2"/>
  <c r="M740" i="2" l="1"/>
  <c r="M248" i="2"/>
  <c r="A248" i="2"/>
  <c r="H248" i="2" s="1"/>
  <c r="P248" i="2" s="1"/>
  <c r="L247" i="2"/>
  <c r="M741" i="2" l="1"/>
  <c r="M249" i="2"/>
  <c r="A249" i="2"/>
  <c r="H249" i="2" s="1"/>
  <c r="P249" i="2" s="1"/>
  <c r="L248" i="2"/>
  <c r="M742" i="2" l="1"/>
  <c r="M250" i="2"/>
  <c r="A250" i="2"/>
  <c r="H250" i="2" s="1"/>
  <c r="P250" i="2" s="1"/>
  <c r="L249" i="2"/>
  <c r="M743" i="2" l="1"/>
  <c r="M251" i="2"/>
  <c r="A251" i="2"/>
  <c r="H251" i="2" s="1"/>
  <c r="P251" i="2" s="1"/>
  <c r="L250" i="2"/>
  <c r="M744" i="2" l="1"/>
  <c r="M252" i="2"/>
  <c r="A252" i="2"/>
  <c r="H252" i="2" s="1"/>
  <c r="P252" i="2" s="1"/>
  <c r="L251" i="2"/>
  <c r="M745" i="2" l="1"/>
  <c r="M253" i="2"/>
  <c r="A253" i="2"/>
  <c r="H253" i="2" s="1"/>
  <c r="P253" i="2" s="1"/>
  <c r="L252" i="2"/>
  <c r="M746" i="2" l="1"/>
  <c r="M254" i="2"/>
  <c r="A254" i="2"/>
  <c r="H254" i="2" s="1"/>
  <c r="P254" i="2" s="1"/>
  <c r="L253" i="2"/>
  <c r="M747" i="2" l="1"/>
  <c r="M255" i="2"/>
  <c r="A255" i="2"/>
  <c r="H255" i="2" s="1"/>
  <c r="P255" i="2" s="1"/>
  <c r="L254" i="2"/>
  <c r="M748" i="2" l="1"/>
  <c r="M256" i="2"/>
  <c r="A256" i="2"/>
  <c r="H256" i="2" s="1"/>
  <c r="P256" i="2" s="1"/>
  <c r="L255" i="2"/>
  <c r="M749" i="2" l="1"/>
  <c r="M257" i="2"/>
  <c r="A257" i="2"/>
  <c r="H257" i="2" s="1"/>
  <c r="P257" i="2" s="1"/>
  <c r="L256" i="2"/>
  <c r="M750" i="2" l="1"/>
  <c r="M258" i="2"/>
  <c r="A258" i="2"/>
  <c r="H258" i="2" s="1"/>
  <c r="P258" i="2" s="1"/>
  <c r="L257" i="2"/>
  <c r="M751" i="2" l="1"/>
  <c r="M259" i="2"/>
  <c r="A259" i="2"/>
  <c r="H259" i="2" s="1"/>
  <c r="P259" i="2" s="1"/>
  <c r="L258" i="2"/>
  <c r="M752" i="2" l="1"/>
  <c r="M260" i="2"/>
  <c r="A260" i="2"/>
  <c r="H260" i="2" s="1"/>
  <c r="P260" i="2" s="1"/>
  <c r="L259" i="2"/>
  <c r="M753" i="2" l="1"/>
  <c r="M261" i="2"/>
  <c r="A261" i="2"/>
  <c r="H261" i="2" s="1"/>
  <c r="P261" i="2" s="1"/>
  <c r="L260" i="2"/>
  <c r="M754" i="2" l="1"/>
  <c r="M262" i="2"/>
  <c r="A262" i="2"/>
  <c r="H262" i="2" s="1"/>
  <c r="P262" i="2" s="1"/>
  <c r="L261" i="2"/>
  <c r="M755" i="2" l="1"/>
  <c r="M263" i="2"/>
  <c r="A263" i="2"/>
  <c r="H263" i="2" s="1"/>
  <c r="P263" i="2" s="1"/>
  <c r="L262" i="2"/>
  <c r="M756" i="2" l="1"/>
  <c r="M264" i="2"/>
  <c r="A264" i="2"/>
  <c r="H264" i="2" s="1"/>
  <c r="P264" i="2" s="1"/>
  <c r="L263" i="2"/>
  <c r="M757" i="2" l="1"/>
  <c r="M265" i="2"/>
  <c r="A265" i="2"/>
  <c r="H265" i="2" s="1"/>
  <c r="P265" i="2" s="1"/>
  <c r="L264" i="2"/>
  <c r="M758" i="2" l="1"/>
  <c r="M266" i="2"/>
  <c r="A266" i="2"/>
  <c r="H266" i="2" s="1"/>
  <c r="P266" i="2" s="1"/>
  <c r="L265" i="2"/>
  <c r="M759" i="2" l="1"/>
  <c r="M267" i="2"/>
  <c r="A267" i="2"/>
  <c r="H267" i="2" s="1"/>
  <c r="P267" i="2" s="1"/>
  <c r="L266" i="2"/>
  <c r="M760" i="2" l="1"/>
  <c r="M268" i="2"/>
  <c r="A268" i="2"/>
  <c r="H268" i="2" s="1"/>
  <c r="P268" i="2" s="1"/>
  <c r="L267" i="2"/>
  <c r="M761" i="2" l="1"/>
  <c r="M269" i="2"/>
  <c r="A269" i="2"/>
  <c r="H269" i="2" s="1"/>
  <c r="P269" i="2" s="1"/>
  <c r="L268" i="2"/>
  <c r="M762" i="2" l="1"/>
  <c r="M270" i="2"/>
  <c r="A270" i="2"/>
  <c r="H270" i="2" s="1"/>
  <c r="P270" i="2" s="1"/>
  <c r="L269" i="2"/>
  <c r="M763" i="2" l="1"/>
  <c r="M271" i="2"/>
  <c r="A271" i="2"/>
  <c r="H271" i="2" s="1"/>
  <c r="P271" i="2" s="1"/>
  <c r="L270" i="2"/>
  <c r="M764" i="2" l="1"/>
  <c r="M272" i="2"/>
  <c r="A272" i="2"/>
  <c r="H272" i="2" s="1"/>
  <c r="P272" i="2" s="1"/>
  <c r="L271" i="2"/>
  <c r="M765" i="2" l="1"/>
  <c r="M273" i="2"/>
  <c r="A273" i="2"/>
  <c r="H273" i="2" s="1"/>
  <c r="P273" i="2" s="1"/>
  <c r="L272" i="2"/>
  <c r="M766" i="2" l="1"/>
  <c r="M274" i="2"/>
  <c r="A274" i="2"/>
  <c r="H274" i="2" s="1"/>
  <c r="P274" i="2" s="1"/>
  <c r="L273" i="2"/>
  <c r="M767" i="2" l="1"/>
  <c r="M275" i="2"/>
  <c r="A275" i="2"/>
  <c r="H275" i="2" s="1"/>
  <c r="P275" i="2" s="1"/>
  <c r="L274" i="2"/>
  <c r="M768" i="2" l="1"/>
  <c r="M276" i="2"/>
  <c r="A276" i="2"/>
  <c r="H276" i="2" s="1"/>
  <c r="P276" i="2" s="1"/>
  <c r="L275" i="2"/>
  <c r="M769" i="2" l="1"/>
  <c r="M277" i="2"/>
  <c r="A277" i="2"/>
  <c r="H277" i="2" s="1"/>
  <c r="P277" i="2" s="1"/>
  <c r="L276" i="2"/>
  <c r="M770" i="2" l="1"/>
  <c r="M278" i="2"/>
  <c r="A278" i="2"/>
  <c r="H278" i="2" s="1"/>
  <c r="P278" i="2" s="1"/>
  <c r="L277" i="2"/>
  <c r="M771" i="2" l="1"/>
  <c r="M279" i="2"/>
  <c r="A279" i="2"/>
  <c r="H279" i="2" s="1"/>
  <c r="P279" i="2" s="1"/>
  <c r="L278" i="2"/>
  <c r="M772" i="2" l="1"/>
  <c r="M280" i="2"/>
  <c r="A280" i="2"/>
  <c r="H280" i="2" s="1"/>
  <c r="P280" i="2" s="1"/>
  <c r="L279" i="2"/>
  <c r="M773" i="2" l="1"/>
  <c r="M281" i="2"/>
  <c r="A281" i="2"/>
  <c r="H281" i="2" s="1"/>
  <c r="P281" i="2" s="1"/>
  <c r="L280" i="2"/>
  <c r="M774" i="2" l="1"/>
  <c r="M282" i="2"/>
  <c r="A282" i="2"/>
  <c r="H282" i="2" s="1"/>
  <c r="P282" i="2" s="1"/>
  <c r="L281" i="2"/>
  <c r="M775" i="2" l="1"/>
  <c r="M283" i="2"/>
  <c r="A283" i="2"/>
  <c r="H283" i="2" s="1"/>
  <c r="P283" i="2" s="1"/>
  <c r="L282" i="2"/>
  <c r="M776" i="2" l="1"/>
  <c r="M284" i="2"/>
  <c r="A284" i="2"/>
  <c r="H284" i="2" s="1"/>
  <c r="P284" i="2" s="1"/>
  <c r="L283" i="2"/>
  <c r="M777" i="2" l="1"/>
  <c r="M285" i="2"/>
  <c r="A285" i="2"/>
  <c r="H285" i="2" s="1"/>
  <c r="P285" i="2" s="1"/>
  <c r="L284" i="2"/>
  <c r="M778" i="2" l="1"/>
  <c r="M286" i="2"/>
  <c r="A286" i="2"/>
  <c r="H286" i="2" s="1"/>
  <c r="P286" i="2" s="1"/>
  <c r="L285" i="2"/>
  <c r="M779" i="2" l="1"/>
  <c r="M287" i="2"/>
  <c r="A287" i="2"/>
  <c r="H287" i="2" s="1"/>
  <c r="P287" i="2" s="1"/>
  <c r="L286" i="2"/>
  <c r="M780" i="2" l="1"/>
  <c r="M288" i="2"/>
  <c r="A288" i="2"/>
  <c r="H288" i="2" s="1"/>
  <c r="P288" i="2" s="1"/>
  <c r="L287" i="2"/>
  <c r="M781" i="2" l="1"/>
  <c r="M289" i="2"/>
  <c r="A289" i="2"/>
  <c r="H289" i="2" s="1"/>
  <c r="P289" i="2" s="1"/>
  <c r="L288" i="2"/>
  <c r="M782" i="2" l="1"/>
  <c r="M290" i="2"/>
  <c r="A290" i="2"/>
  <c r="H290" i="2" s="1"/>
  <c r="P290" i="2" s="1"/>
  <c r="L289" i="2"/>
  <c r="M783" i="2" l="1"/>
  <c r="M291" i="2"/>
  <c r="A291" i="2"/>
  <c r="H291" i="2" s="1"/>
  <c r="P291" i="2" s="1"/>
  <c r="L290" i="2"/>
  <c r="M784" i="2" l="1"/>
  <c r="M292" i="2"/>
  <c r="A292" i="2"/>
  <c r="H292" i="2" s="1"/>
  <c r="P292" i="2" s="1"/>
  <c r="L291" i="2"/>
  <c r="M785" i="2" l="1"/>
  <c r="M293" i="2"/>
  <c r="A293" i="2"/>
  <c r="H293" i="2" s="1"/>
  <c r="P293" i="2" s="1"/>
  <c r="L292" i="2"/>
  <c r="M786" i="2" l="1"/>
  <c r="M294" i="2"/>
  <c r="A294" i="2"/>
  <c r="H294" i="2" s="1"/>
  <c r="P294" i="2" s="1"/>
  <c r="L293" i="2"/>
  <c r="M787" i="2" l="1"/>
  <c r="M295" i="2"/>
  <c r="A295" i="2"/>
  <c r="H295" i="2" s="1"/>
  <c r="P295" i="2" s="1"/>
  <c r="L294" i="2"/>
  <c r="M788" i="2" l="1"/>
  <c r="M296" i="2"/>
  <c r="A296" i="2"/>
  <c r="H296" i="2" s="1"/>
  <c r="P296" i="2" s="1"/>
  <c r="L295" i="2"/>
  <c r="M789" i="2" l="1"/>
  <c r="M297" i="2"/>
  <c r="A297" i="2"/>
  <c r="H297" i="2" s="1"/>
  <c r="P297" i="2" s="1"/>
  <c r="L296" i="2"/>
  <c r="M790" i="2" l="1"/>
  <c r="M298" i="2"/>
  <c r="A298" i="2"/>
  <c r="H298" i="2" s="1"/>
  <c r="P298" i="2" s="1"/>
  <c r="L297" i="2"/>
  <c r="M791" i="2" l="1"/>
  <c r="M299" i="2"/>
  <c r="A299" i="2"/>
  <c r="H299" i="2" s="1"/>
  <c r="P299" i="2" s="1"/>
  <c r="L298" i="2"/>
  <c r="M792" i="2" l="1"/>
  <c r="M301" i="2"/>
  <c r="M300" i="2"/>
  <c r="A300" i="2"/>
  <c r="H300" i="2" s="1"/>
  <c r="P300" i="2" s="1"/>
  <c r="L299" i="2"/>
  <c r="M793" i="2" l="1"/>
  <c r="L300" i="2"/>
  <c r="A301" i="2"/>
  <c r="H301" i="2" s="1"/>
  <c r="P301" i="2" s="1"/>
  <c r="M794" i="2" l="1"/>
  <c r="L301" i="2"/>
  <c r="A302" i="2"/>
  <c r="H302" i="2" l="1"/>
  <c r="P302" i="2" s="1"/>
  <c r="A303" i="2"/>
  <c r="M795" i="2"/>
  <c r="H303" i="2" l="1"/>
  <c r="N303" i="2"/>
  <c r="O303" i="2"/>
  <c r="A304" i="2"/>
  <c r="L302" i="2"/>
  <c r="M796" i="2"/>
  <c r="H304" i="2" l="1"/>
  <c r="N304" i="2"/>
  <c r="O304" i="2"/>
  <c r="A305" i="2"/>
  <c r="L303" i="2"/>
  <c r="P303" i="2"/>
  <c r="M797" i="2"/>
  <c r="A306" i="2" l="1"/>
  <c r="H305" i="2"/>
  <c r="O305" i="2"/>
  <c r="N305" i="2"/>
  <c r="L304" i="2"/>
  <c r="P304" i="2"/>
  <c r="M798" i="2"/>
  <c r="L305" i="2" l="1"/>
  <c r="P305" i="2"/>
  <c r="H306" i="2"/>
  <c r="N306" i="2"/>
  <c r="O306" i="2"/>
  <c r="A307" i="2"/>
  <c r="M799" i="2"/>
  <c r="H307" i="2" l="1"/>
  <c r="O307" i="2"/>
  <c r="N307" i="2"/>
  <c r="A308" i="2"/>
  <c r="L306" i="2"/>
  <c r="P306" i="2"/>
  <c r="M800" i="2"/>
  <c r="H308" i="2" l="1"/>
  <c r="O308" i="2"/>
  <c r="N308" i="2"/>
  <c r="A309" i="2"/>
  <c r="L307" i="2"/>
  <c r="P307" i="2"/>
  <c r="M801" i="2"/>
  <c r="H309" i="2" l="1"/>
  <c r="N309" i="2"/>
  <c r="O309" i="2"/>
  <c r="A310" i="2"/>
  <c r="L308" i="2"/>
  <c r="P308" i="2"/>
  <c r="M802" i="2"/>
  <c r="H310" i="2" l="1"/>
  <c r="O310" i="2"/>
  <c r="N310" i="2"/>
  <c r="A311" i="2"/>
  <c r="L309" i="2"/>
  <c r="P309" i="2"/>
  <c r="M803" i="2"/>
  <c r="H311" i="2" l="1"/>
  <c r="O311" i="2"/>
  <c r="N311" i="2"/>
  <c r="A312" i="2"/>
  <c r="L310" i="2"/>
  <c r="P310" i="2"/>
  <c r="M804" i="2"/>
  <c r="H312" i="2" l="1"/>
  <c r="N312" i="2"/>
  <c r="O312" i="2"/>
  <c r="A313" i="2"/>
  <c r="L311" i="2"/>
  <c r="P311" i="2"/>
  <c r="M805" i="2"/>
  <c r="H313" i="2" l="1"/>
  <c r="N313" i="2"/>
  <c r="O313" i="2"/>
  <c r="A314" i="2"/>
  <c r="L312" i="2"/>
  <c r="P312" i="2"/>
  <c r="M806" i="2"/>
  <c r="H314" i="2" l="1"/>
  <c r="N314" i="2"/>
  <c r="O314" i="2"/>
  <c r="A315" i="2"/>
  <c r="L313" i="2"/>
  <c r="P313" i="2"/>
  <c r="M807" i="2"/>
  <c r="H315" i="2" l="1"/>
  <c r="N315" i="2"/>
  <c r="O315" i="2"/>
  <c r="A316" i="2"/>
  <c r="L314" i="2"/>
  <c r="P314" i="2"/>
  <c r="M808" i="2"/>
  <c r="H316" i="2" l="1"/>
  <c r="O316" i="2"/>
  <c r="N316" i="2"/>
  <c r="A317" i="2"/>
  <c r="L315" i="2"/>
  <c r="P315" i="2"/>
  <c r="M809" i="2"/>
  <c r="H317" i="2" l="1"/>
  <c r="O317" i="2"/>
  <c r="N317" i="2"/>
  <c r="A318" i="2"/>
  <c r="L316" i="2"/>
  <c r="P316" i="2"/>
  <c r="M810" i="2"/>
  <c r="H318" i="2" l="1"/>
  <c r="N318" i="2"/>
  <c r="O318" i="2"/>
  <c r="A319" i="2"/>
  <c r="L317" i="2"/>
  <c r="P317" i="2"/>
  <c r="M811" i="2"/>
  <c r="H319" i="2" l="1"/>
  <c r="N319" i="2"/>
  <c r="O319" i="2"/>
  <c r="A320" i="2"/>
  <c r="L318" i="2"/>
  <c r="P318" i="2"/>
  <c r="M812" i="2"/>
  <c r="H320" i="2" l="1"/>
  <c r="N320" i="2"/>
  <c r="O320" i="2"/>
  <c r="A321" i="2"/>
  <c r="L319" i="2"/>
  <c r="P319" i="2"/>
  <c r="M813" i="2"/>
  <c r="H321" i="2" l="1"/>
  <c r="N321" i="2"/>
  <c r="O321" i="2"/>
  <c r="A322" i="2"/>
  <c r="L320" i="2"/>
  <c r="P320" i="2"/>
  <c r="M814" i="2"/>
  <c r="H322" i="2" l="1"/>
  <c r="N322" i="2"/>
  <c r="O322" i="2"/>
  <c r="A323" i="2"/>
  <c r="L321" i="2"/>
  <c r="P321" i="2"/>
  <c r="M815" i="2"/>
  <c r="H323" i="2" l="1"/>
  <c r="N323" i="2"/>
  <c r="O323" i="2"/>
  <c r="A324" i="2"/>
  <c r="L322" i="2"/>
  <c r="P322" i="2"/>
  <c r="M816" i="2"/>
  <c r="H324" i="2" l="1"/>
  <c r="N324" i="2"/>
  <c r="O324" i="2"/>
  <c r="A325" i="2"/>
  <c r="L323" i="2"/>
  <c r="P323" i="2"/>
  <c r="M817" i="2"/>
  <c r="H325" i="2" l="1"/>
  <c r="N325" i="2"/>
  <c r="O325" i="2"/>
  <c r="A326" i="2"/>
  <c r="L324" i="2"/>
  <c r="P324" i="2"/>
  <c r="M818" i="2"/>
  <c r="H326" i="2" l="1"/>
  <c r="N326" i="2"/>
  <c r="O326" i="2"/>
  <c r="A327" i="2"/>
  <c r="L325" i="2"/>
  <c r="P325" i="2"/>
  <c r="M819" i="2"/>
  <c r="H327" i="2" l="1"/>
  <c r="N327" i="2"/>
  <c r="O327" i="2"/>
  <c r="A328" i="2"/>
  <c r="L326" i="2"/>
  <c r="P326" i="2"/>
  <c r="M820" i="2"/>
  <c r="H328" i="2" l="1"/>
  <c r="N328" i="2"/>
  <c r="O328" i="2"/>
  <c r="A329" i="2"/>
  <c r="L327" i="2"/>
  <c r="P327" i="2"/>
  <c r="M821" i="2"/>
  <c r="H329" i="2" l="1"/>
  <c r="N329" i="2"/>
  <c r="O329" i="2"/>
  <c r="A330" i="2"/>
  <c r="L328" i="2"/>
  <c r="P328" i="2"/>
  <c r="M822" i="2"/>
  <c r="H330" i="2" l="1"/>
  <c r="N330" i="2"/>
  <c r="O330" i="2"/>
  <c r="A331" i="2"/>
  <c r="L329" i="2"/>
  <c r="P329" i="2"/>
  <c r="M823" i="2"/>
  <c r="H331" i="2" l="1"/>
  <c r="N331" i="2"/>
  <c r="O331" i="2"/>
  <c r="A332" i="2"/>
  <c r="L330" i="2"/>
  <c r="P330" i="2"/>
  <c r="M824" i="2"/>
  <c r="H332" i="2" l="1"/>
  <c r="O332" i="2"/>
  <c r="N332" i="2"/>
  <c r="A333" i="2"/>
  <c r="L331" i="2"/>
  <c r="P331" i="2"/>
  <c r="M825" i="2"/>
  <c r="H333" i="2" l="1"/>
  <c r="N333" i="2"/>
  <c r="O333" i="2"/>
  <c r="A334" i="2"/>
  <c r="L332" i="2"/>
  <c r="P332" i="2"/>
  <c r="M826" i="2"/>
  <c r="H334" i="2" l="1"/>
  <c r="O334" i="2"/>
  <c r="N334" i="2"/>
  <c r="A335" i="2"/>
  <c r="L333" i="2"/>
  <c r="P333" i="2"/>
  <c r="M827" i="2"/>
  <c r="H335" i="2" l="1"/>
  <c r="O335" i="2"/>
  <c r="N335" i="2"/>
  <c r="A336" i="2"/>
  <c r="L334" i="2"/>
  <c r="P334" i="2"/>
  <c r="M828" i="2"/>
  <c r="H336" i="2" l="1"/>
  <c r="N336" i="2"/>
  <c r="O336" i="2"/>
  <c r="A337" i="2"/>
  <c r="L335" i="2"/>
  <c r="P335" i="2"/>
  <c r="M829" i="2"/>
  <c r="H337" i="2" l="1"/>
  <c r="N337" i="2"/>
  <c r="O337" i="2"/>
  <c r="A338" i="2"/>
  <c r="L336" i="2"/>
  <c r="P336" i="2"/>
  <c r="M830" i="2"/>
  <c r="H338" i="2" l="1"/>
  <c r="N338" i="2"/>
  <c r="O338" i="2"/>
  <c r="A339" i="2"/>
  <c r="L337" i="2"/>
  <c r="P337" i="2"/>
  <c r="M831" i="2"/>
  <c r="H339" i="2" l="1"/>
  <c r="N339" i="2"/>
  <c r="O339" i="2"/>
  <c r="A340" i="2"/>
  <c r="L338" i="2"/>
  <c r="P338" i="2"/>
  <c r="M832" i="2"/>
  <c r="H340" i="2" l="1"/>
  <c r="O340" i="2"/>
  <c r="N340" i="2"/>
  <c r="A341" i="2"/>
  <c r="L339" i="2"/>
  <c r="P339" i="2"/>
  <c r="M833" i="2"/>
  <c r="H341" i="2" l="1"/>
  <c r="O341" i="2"/>
  <c r="N341" i="2"/>
  <c r="A342" i="2"/>
  <c r="L340" i="2"/>
  <c r="P340" i="2"/>
  <c r="M834" i="2"/>
  <c r="H342" i="2" l="1"/>
  <c r="N342" i="2"/>
  <c r="O342" i="2"/>
  <c r="A343" i="2"/>
  <c r="L341" i="2"/>
  <c r="P341" i="2"/>
  <c r="M835" i="2"/>
  <c r="H343" i="2" l="1"/>
  <c r="N343" i="2"/>
  <c r="O343" i="2"/>
  <c r="A344" i="2"/>
  <c r="L342" i="2"/>
  <c r="P342" i="2"/>
  <c r="M836" i="2"/>
  <c r="H344" i="2" l="1"/>
  <c r="N344" i="2"/>
  <c r="O344" i="2"/>
  <c r="A345" i="2"/>
  <c r="L343" i="2"/>
  <c r="P343" i="2"/>
  <c r="M837" i="2"/>
  <c r="H345" i="2" l="1"/>
  <c r="N345" i="2"/>
  <c r="O345" i="2"/>
  <c r="A346" i="2"/>
  <c r="L344" i="2"/>
  <c r="P344" i="2"/>
  <c r="M838" i="2"/>
  <c r="H346" i="2" l="1"/>
  <c r="N346" i="2"/>
  <c r="O346" i="2"/>
  <c r="A347" i="2"/>
  <c r="L345" i="2"/>
  <c r="P345" i="2"/>
  <c r="M839" i="2"/>
  <c r="H347" i="2" l="1"/>
  <c r="N347" i="2"/>
  <c r="O347" i="2"/>
  <c r="A348" i="2"/>
  <c r="L346" i="2"/>
  <c r="P346" i="2"/>
  <c r="M840" i="2"/>
  <c r="H348" i="2" l="1"/>
  <c r="N348" i="2"/>
  <c r="O348" i="2"/>
  <c r="A349" i="2"/>
  <c r="L347" i="2"/>
  <c r="P347" i="2"/>
  <c r="M841" i="2"/>
  <c r="H349" i="2" l="1"/>
  <c r="N349" i="2"/>
  <c r="O349" i="2"/>
  <c r="A350" i="2"/>
  <c r="L348" i="2"/>
  <c r="P348" i="2"/>
  <c r="M842" i="2"/>
  <c r="H350" i="2" l="1"/>
  <c r="N350" i="2"/>
  <c r="O350" i="2"/>
  <c r="A351" i="2"/>
  <c r="L349" i="2"/>
  <c r="P349" i="2"/>
  <c r="M843" i="2"/>
  <c r="H351" i="2" l="1"/>
  <c r="N351" i="2"/>
  <c r="O351" i="2"/>
  <c r="A352" i="2"/>
  <c r="L350" i="2"/>
  <c r="P350" i="2"/>
  <c r="M844" i="2"/>
  <c r="H352" i="2" l="1"/>
  <c r="N352" i="2"/>
  <c r="O352" i="2"/>
  <c r="A353" i="2"/>
  <c r="L351" i="2"/>
  <c r="P351" i="2"/>
  <c r="M845" i="2"/>
  <c r="H353" i="2" l="1"/>
  <c r="N353" i="2"/>
  <c r="O353" i="2"/>
  <c r="A354" i="2"/>
  <c r="L352" i="2"/>
  <c r="P352" i="2"/>
  <c r="M846" i="2"/>
  <c r="H354" i="2" l="1"/>
  <c r="N354" i="2"/>
  <c r="O354" i="2"/>
  <c r="A355" i="2"/>
  <c r="L353" i="2"/>
  <c r="P353" i="2"/>
  <c r="M847" i="2"/>
  <c r="H355" i="2" l="1"/>
  <c r="N355" i="2"/>
  <c r="O355" i="2"/>
  <c r="A356" i="2"/>
  <c r="L354" i="2"/>
  <c r="P354" i="2"/>
  <c r="M848" i="2"/>
  <c r="H356" i="2" l="1"/>
  <c r="O356" i="2"/>
  <c r="N356" i="2"/>
  <c r="A357" i="2"/>
  <c r="L355" i="2"/>
  <c r="P355" i="2"/>
  <c r="M849" i="2"/>
  <c r="H357" i="2" l="1"/>
  <c r="N357" i="2"/>
  <c r="O357" i="2"/>
  <c r="A358" i="2"/>
  <c r="L356" i="2"/>
  <c r="P356" i="2"/>
  <c r="M850" i="2"/>
  <c r="H358" i="2" l="1"/>
  <c r="O358" i="2"/>
  <c r="N358" i="2"/>
  <c r="A359" i="2"/>
  <c r="L357" i="2"/>
  <c r="P357" i="2"/>
  <c r="M851" i="2"/>
  <c r="H359" i="2" l="1"/>
  <c r="O359" i="2"/>
  <c r="N359" i="2"/>
  <c r="A360" i="2"/>
  <c r="L358" i="2"/>
  <c r="P358" i="2"/>
  <c r="M852" i="2"/>
  <c r="H360" i="2" l="1"/>
  <c r="N360" i="2"/>
  <c r="O360" i="2"/>
  <c r="A361" i="2"/>
  <c r="L359" i="2"/>
  <c r="P359" i="2"/>
  <c r="M853" i="2"/>
  <c r="H361" i="2" l="1"/>
  <c r="N361" i="2"/>
  <c r="O361" i="2"/>
  <c r="A362" i="2"/>
  <c r="L360" i="2"/>
  <c r="P360" i="2"/>
  <c r="M854" i="2"/>
  <c r="H362" i="2" l="1"/>
  <c r="N362" i="2"/>
  <c r="O362" i="2"/>
  <c r="A363" i="2"/>
  <c r="L361" i="2"/>
  <c r="P361" i="2"/>
  <c r="M855" i="2"/>
  <c r="H363" i="2" l="1"/>
  <c r="N363" i="2"/>
  <c r="O363" i="2"/>
  <c r="A364" i="2"/>
  <c r="L362" i="2"/>
  <c r="P362" i="2"/>
  <c r="M856" i="2"/>
  <c r="H364" i="2" l="1"/>
  <c r="O364" i="2"/>
  <c r="N364" i="2"/>
  <c r="A365" i="2"/>
  <c r="L363" i="2"/>
  <c r="P363" i="2"/>
  <c r="M857" i="2"/>
  <c r="H365" i="2" l="1"/>
  <c r="O365" i="2"/>
  <c r="N365" i="2"/>
  <c r="A366" i="2"/>
  <c r="L364" i="2"/>
  <c r="P364" i="2"/>
  <c r="M858" i="2"/>
  <c r="H366" i="2" l="1"/>
  <c r="N366" i="2"/>
  <c r="O366" i="2"/>
  <c r="A367" i="2"/>
  <c r="L365" i="2"/>
  <c r="P365" i="2"/>
  <c r="M859" i="2"/>
  <c r="H367" i="2" l="1"/>
  <c r="N367" i="2"/>
  <c r="O367" i="2"/>
  <c r="A368" i="2"/>
  <c r="L366" i="2"/>
  <c r="P366" i="2"/>
  <c r="M860" i="2"/>
  <c r="H368" i="2" l="1"/>
  <c r="N368" i="2"/>
  <c r="O368" i="2"/>
  <c r="A369" i="2"/>
  <c r="L367" i="2"/>
  <c r="P367" i="2"/>
  <c r="M861" i="2"/>
  <c r="H369" i="2" l="1"/>
  <c r="N369" i="2"/>
  <c r="O369" i="2"/>
  <c r="A370" i="2"/>
  <c r="L368" i="2"/>
  <c r="P368" i="2"/>
  <c r="M862" i="2"/>
  <c r="H370" i="2" l="1"/>
  <c r="N370" i="2"/>
  <c r="O370" i="2"/>
  <c r="A371" i="2"/>
  <c r="L369" i="2"/>
  <c r="P369" i="2"/>
  <c r="M863" i="2"/>
  <c r="H371" i="2" l="1"/>
  <c r="N371" i="2"/>
  <c r="O371" i="2"/>
  <c r="A372" i="2"/>
  <c r="L370" i="2"/>
  <c r="P370" i="2"/>
  <c r="M864" i="2"/>
  <c r="H372" i="2" l="1"/>
  <c r="N372" i="2"/>
  <c r="O372" i="2"/>
  <c r="A373" i="2"/>
  <c r="L371" i="2"/>
  <c r="P371" i="2"/>
  <c r="M865" i="2"/>
  <c r="H373" i="2" l="1"/>
  <c r="N373" i="2"/>
  <c r="O373" i="2"/>
  <c r="A374" i="2"/>
  <c r="L372" i="2"/>
  <c r="P372" i="2"/>
  <c r="M866" i="2"/>
  <c r="H374" i="2" l="1"/>
  <c r="N374" i="2"/>
  <c r="O374" i="2"/>
  <c r="A375" i="2"/>
  <c r="L373" i="2"/>
  <c r="P373" i="2"/>
  <c r="M867" i="2"/>
  <c r="H375" i="2" l="1"/>
  <c r="N375" i="2"/>
  <c r="O375" i="2"/>
  <c r="A376" i="2"/>
  <c r="L374" i="2"/>
  <c r="P374" i="2"/>
  <c r="M868" i="2"/>
  <c r="H376" i="2" l="1"/>
  <c r="N376" i="2"/>
  <c r="O376" i="2"/>
  <c r="A377" i="2"/>
  <c r="L375" i="2"/>
  <c r="P375" i="2"/>
  <c r="M869" i="2"/>
  <c r="H377" i="2" l="1"/>
  <c r="O377" i="2"/>
  <c r="N377" i="2"/>
  <c r="A378" i="2"/>
  <c r="L376" i="2"/>
  <c r="P376" i="2"/>
  <c r="M870" i="2"/>
  <c r="H378" i="2" l="1"/>
  <c r="N378" i="2"/>
  <c r="O378" i="2"/>
  <c r="A379" i="2"/>
  <c r="L377" i="2"/>
  <c r="P377" i="2"/>
  <c r="M871" i="2"/>
  <c r="H379" i="2" l="1"/>
  <c r="O379" i="2"/>
  <c r="N379" i="2"/>
  <c r="A380" i="2"/>
  <c r="L378" i="2"/>
  <c r="P378" i="2"/>
  <c r="M872" i="2"/>
  <c r="H380" i="2" l="1"/>
  <c r="O380" i="2"/>
  <c r="N380" i="2"/>
  <c r="A381" i="2"/>
  <c r="L379" i="2"/>
  <c r="P379" i="2"/>
  <c r="M873" i="2"/>
  <c r="H381" i="2" l="1"/>
  <c r="O381" i="2"/>
  <c r="N381" i="2"/>
  <c r="A382" i="2"/>
  <c r="L380" i="2"/>
  <c r="P380" i="2"/>
  <c r="M874" i="2"/>
  <c r="H382" i="2" l="1"/>
  <c r="O382" i="2"/>
  <c r="N382" i="2"/>
  <c r="A383" i="2"/>
  <c r="L381" i="2"/>
  <c r="P381" i="2"/>
  <c r="M875" i="2"/>
  <c r="H383" i="2" l="1"/>
  <c r="O383" i="2"/>
  <c r="N383" i="2"/>
  <c r="A384" i="2"/>
  <c r="L382" i="2"/>
  <c r="P382" i="2"/>
  <c r="M876" i="2"/>
  <c r="H384" i="2" l="1"/>
  <c r="N384" i="2"/>
  <c r="O384" i="2"/>
  <c r="A385" i="2"/>
  <c r="L383" i="2"/>
  <c r="P383" i="2"/>
  <c r="M877" i="2"/>
  <c r="H385" i="2" l="1"/>
  <c r="N385" i="2"/>
  <c r="O385" i="2"/>
  <c r="A386" i="2"/>
  <c r="L384" i="2"/>
  <c r="P384" i="2"/>
  <c r="M878" i="2"/>
  <c r="H386" i="2" l="1"/>
  <c r="N386" i="2"/>
  <c r="O386" i="2"/>
  <c r="A387" i="2"/>
  <c r="L385" i="2"/>
  <c r="P385" i="2"/>
  <c r="M879" i="2"/>
  <c r="H387" i="2" l="1"/>
  <c r="N387" i="2"/>
  <c r="O387" i="2"/>
  <c r="A388" i="2"/>
  <c r="L386" i="2"/>
  <c r="P386" i="2"/>
  <c r="M880" i="2"/>
  <c r="H388" i="2" l="1"/>
  <c r="O388" i="2"/>
  <c r="N388" i="2"/>
  <c r="A389" i="2"/>
  <c r="L387" i="2"/>
  <c r="P387" i="2"/>
  <c r="M881" i="2"/>
  <c r="H389" i="2" l="1"/>
  <c r="O389" i="2"/>
  <c r="N389" i="2"/>
  <c r="A390" i="2"/>
  <c r="L388" i="2"/>
  <c r="P388" i="2"/>
  <c r="M882" i="2"/>
  <c r="H390" i="2" l="1"/>
  <c r="N390" i="2"/>
  <c r="O390" i="2"/>
  <c r="A391" i="2"/>
  <c r="L389" i="2"/>
  <c r="P389" i="2"/>
  <c r="M883" i="2"/>
  <c r="H391" i="2" l="1"/>
  <c r="N391" i="2"/>
  <c r="O391" i="2"/>
  <c r="A392" i="2"/>
  <c r="L390" i="2"/>
  <c r="P390" i="2"/>
  <c r="M884" i="2"/>
  <c r="H392" i="2" l="1"/>
  <c r="N392" i="2"/>
  <c r="O392" i="2"/>
  <c r="A393" i="2"/>
  <c r="L391" i="2"/>
  <c r="P391" i="2"/>
  <c r="M885" i="2"/>
  <c r="H393" i="2" l="1"/>
  <c r="N393" i="2"/>
  <c r="O393" i="2"/>
  <c r="A394" i="2"/>
  <c r="L392" i="2"/>
  <c r="P392" i="2"/>
  <c r="M886" i="2"/>
  <c r="H394" i="2" l="1"/>
  <c r="N394" i="2"/>
  <c r="O394" i="2"/>
  <c r="A395" i="2"/>
  <c r="L393" i="2"/>
  <c r="P393" i="2"/>
  <c r="M887" i="2"/>
  <c r="H395" i="2" l="1"/>
  <c r="N395" i="2"/>
  <c r="O395" i="2"/>
  <c r="A396" i="2"/>
  <c r="L394" i="2"/>
  <c r="P394" i="2"/>
  <c r="M888" i="2"/>
  <c r="H396" i="2" l="1"/>
  <c r="N396" i="2"/>
  <c r="O396" i="2"/>
  <c r="A397" i="2"/>
  <c r="L395" i="2"/>
  <c r="P395" i="2"/>
  <c r="M889" i="2"/>
  <c r="H397" i="2" l="1"/>
  <c r="N397" i="2"/>
  <c r="O397" i="2"/>
  <c r="A398" i="2"/>
  <c r="L396" i="2"/>
  <c r="P396" i="2"/>
  <c r="M890" i="2"/>
  <c r="H398" i="2" l="1"/>
  <c r="N398" i="2"/>
  <c r="O398" i="2"/>
  <c r="A399" i="2"/>
  <c r="L397" i="2"/>
  <c r="P397" i="2"/>
  <c r="M891" i="2"/>
  <c r="H399" i="2" l="1"/>
  <c r="N399" i="2"/>
  <c r="O399" i="2"/>
  <c r="A400" i="2"/>
  <c r="L398" i="2"/>
  <c r="P398" i="2"/>
  <c r="M892" i="2"/>
  <c r="H400" i="2" l="1"/>
  <c r="N400" i="2"/>
  <c r="O400" i="2"/>
  <c r="A401" i="2"/>
  <c r="L399" i="2"/>
  <c r="P399" i="2"/>
  <c r="M893" i="2"/>
  <c r="H401" i="2" l="1"/>
  <c r="N401" i="2"/>
  <c r="O401" i="2"/>
  <c r="A402" i="2"/>
  <c r="L400" i="2"/>
  <c r="P400" i="2"/>
  <c r="M894" i="2"/>
  <c r="H402" i="2" l="1"/>
  <c r="N402" i="2"/>
  <c r="O402" i="2"/>
  <c r="A403" i="2"/>
  <c r="L401" i="2"/>
  <c r="P401" i="2"/>
  <c r="M895" i="2"/>
  <c r="H403" i="2" l="1"/>
  <c r="N403" i="2"/>
  <c r="O403" i="2"/>
  <c r="A404" i="2"/>
  <c r="L402" i="2"/>
  <c r="P402" i="2"/>
  <c r="M896" i="2"/>
  <c r="H404" i="2" l="1"/>
  <c r="O404" i="2"/>
  <c r="N404" i="2"/>
  <c r="A405" i="2"/>
  <c r="L403" i="2"/>
  <c r="P403" i="2"/>
  <c r="M897" i="2"/>
  <c r="H405" i="2" l="1"/>
  <c r="N405" i="2"/>
  <c r="O405" i="2"/>
  <c r="A406" i="2"/>
  <c r="L404" i="2"/>
  <c r="P404" i="2"/>
  <c r="M898" i="2"/>
  <c r="H406" i="2" l="1"/>
  <c r="O406" i="2"/>
  <c r="N406" i="2"/>
  <c r="A407" i="2"/>
  <c r="L405" i="2"/>
  <c r="P405" i="2"/>
  <c r="M899" i="2"/>
  <c r="H407" i="2" l="1"/>
  <c r="O407" i="2"/>
  <c r="N407" i="2"/>
  <c r="A408" i="2"/>
  <c r="L406" i="2"/>
  <c r="P406" i="2"/>
  <c r="M900" i="2"/>
  <c r="H408" i="2" l="1"/>
  <c r="N408" i="2"/>
  <c r="O408" i="2"/>
  <c r="A409" i="2"/>
  <c r="L407" i="2"/>
  <c r="P407" i="2"/>
  <c r="M901" i="2"/>
  <c r="H409" i="2" l="1"/>
  <c r="N409" i="2"/>
  <c r="O409" i="2"/>
  <c r="A410" i="2"/>
  <c r="L408" i="2"/>
  <c r="P408" i="2"/>
  <c r="M902" i="2"/>
  <c r="H410" i="2" l="1"/>
  <c r="N410" i="2"/>
  <c r="O410" i="2"/>
  <c r="A411" i="2"/>
  <c r="L409" i="2"/>
  <c r="P409" i="2"/>
  <c r="M903" i="2"/>
  <c r="H411" i="2" l="1"/>
  <c r="N411" i="2"/>
  <c r="O411" i="2"/>
  <c r="A412" i="2"/>
  <c r="L410" i="2"/>
  <c r="P410" i="2"/>
  <c r="M904" i="2"/>
  <c r="H412" i="2" l="1"/>
  <c r="O412" i="2"/>
  <c r="N412" i="2"/>
  <c r="A413" i="2"/>
  <c r="L411" i="2"/>
  <c r="P411" i="2"/>
  <c r="M905" i="2"/>
  <c r="H413" i="2" l="1"/>
  <c r="O413" i="2"/>
  <c r="N413" i="2"/>
  <c r="A414" i="2"/>
  <c r="L412" i="2"/>
  <c r="P412" i="2"/>
  <c r="M906" i="2"/>
  <c r="H414" i="2" l="1"/>
  <c r="N414" i="2"/>
  <c r="O414" i="2"/>
  <c r="A415" i="2"/>
  <c r="L413" i="2"/>
  <c r="P413" i="2"/>
  <c r="M907" i="2"/>
  <c r="H415" i="2" l="1"/>
  <c r="N415" i="2"/>
  <c r="O415" i="2"/>
  <c r="A416" i="2"/>
  <c r="L414" i="2"/>
  <c r="P414" i="2"/>
  <c r="M908" i="2"/>
  <c r="H416" i="2" l="1"/>
  <c r="N416" i="2"/>
  <c r="O416" i="2"/>
  <c r="A417" i="2"/>
  <c r="L415" i="2"/>
  <c r="P415" i="2"/>
  <c r="M909" i="2"/>
  <c r="H417" i="2" l="1"/>
  <c r="N417" i="2"/>
  <c r="O417" i="2"/>
  <c r="A418" i="2"/>
  <c r="L416" i="2"/>
  <c r="P416" i="2"/>
  <c r="M910" i="2"/>
  <c r="H418" i="2" l="1"/>
  <c r="N418" i="2"/>
  <c r="O418" i="2"/>
  <c r="A419" i="2"/>
  <c r="L417" i="2"/>
  <c r="P417" i="2"/>
  <c r="M911" i="2"/>
  <c r="H419" i="2" l="1"/>
  <c r="N419" i="2"/>
  <c r="O419" i="2"/>
  <c r="A420" i="2"/>
  <c r="L418" i="2"/>
  <c r="P418" i="2"/>
  <c r="M912" i="2"/>
  <c r="H420" i="2" l="1"/>
  <c r="N420" i="2"/>
  <c r="O420" i="2"/>
  <c r="A421" i="2"/>
  <c r="L419" i="2"/>
  <c r="P419" i="2"/>
  <c r="M913" i="2"/>
  <c r="H421" i="2" l="1"/>
  <c r="N421" i="2"/>
  <c r="O421" i="2"/>
  <c r="A422" i="2"/>
  <c r="L420" i="2"/>
  <c r="P420" i="2"/>
  <c r="M914" i="2"/>
  <c r="H422" i="2" l="1"/>
  <c r="N422" i="2"/>
  <c r="O422" i="2"/>
  <c r="A423" i="2"/>
  <c r="L421" i="2"/>
  <c r="P421" i="2"/>
  <c r="M915" i="2"/>
  <c r="H423" i="2" l="1"/>
  <c r="N423" i="2"/>
  <c r="O423" i="2"/>
  <c r="A424" i="2"/>
  <c r="L422" i="2"/>
  <c r="P422" i="2"/>
  <c r="M916" i="2"/>
  <c r="H424" i="2" l="1"/>
  <c r="N424" i="2"/>
  <c r="O424" i="2"/>
  <c r="A425" i="2"/>
  <c r="L423" i="2"/>
  <c r="P423" i="2"/>
  <c r="M917" i="2"/>
  <c r="H425" i="2" l="1"/>
  <c r="N425" i="2"/>
  <c r="O425" i="2"/>
  <c r="A426" i="2"/>
  <c r="L424" i="2"/>
  <c r="P424" i="2"/>
  <c r="M918" i="2"/>
  <c r="H426" i="2" l="1"/>
  <c r="N426" i="2"/>
  <c r="O426" i="2"/>
  <c r="A427" i="2"/>
  <c r="L425" i="2"/>
  <c r="P425" i="2"/>
  <c r="M919" i="2"/>
  <c r="H427" i="2" l="1"/>
  <c r="N427" i="2"/>
  <c r="O427" i="2"/>
  <c r="A428" i="2"/>
  <c r="L426" i="2"/>
  <c r="P426" i="2"/>
  <c r="M920" i="2"/>
  <c r="H428" i="2" l="1"/>
  <c r="O428" i="2"/>
  <c r="N428" i="2"/>
  <c r="A429" i="2"/>
  <c r="L427" i="2"/>
  <c r="P427" i="2"/>
  <c r="M921" i="2"/>
  <c r="H429" i="2" l="1"/>
  <c r="O429" i="2"/>
  <c r="N429" i="2"/>
  <c r="A430" i="2"/>
  <c r="L428" i="2"/>
  <c r="P428" i="2"/>
  <c r="M922" i="2"/>
  <c r="H430" i="2" l="1"/>
  <c r="O430" i="2"/>
  <c r="N430" i="2"/>
  <c r="A431" i="2"/>
  <c r="L429" i="2"/>
  <c r="P429" i="2"/>
  <c r="M923" i="2"/>
  <c r="H431" i="2" l="1"/>
  <c r="O431" i="2"/>
  <c r="N431" i="2"/>
  <c r="A432" i="2"/>
  <c r="L430" i="2"/>
  <c r="P430" i="2"/>
  <c r="M924" i="2"/>
  <c r="H432" i="2" l="1"/>
  <c r="N432" i="2"/>
  <c r="O432" i="2"/>
  <c r="A433" i="2"/>
  <c r="L431" i="2"/>
  <c r="P431" i="2"/>
  <c r="M925" i="2"/>
  <c r="H433" i="2" l="1"/>
  <c r="N433" i="2"/>
  <c r="O433" i="2"/>
  <c r="A434" i="2"/>
  <c r="L432" i="2"/>
  <c r="P432" i="2"/>
  <c r="M926" i="2"/>
  <c r="H434" i="2" l="1"/>
  <c r="N434" i="2"/>
  <c r="O434" i="2"/>
  <c r="A435" i="2"/>
  <c r="L433" i="2"/>
  <c r="P433" i="2"/>
  <c r="M927" i="2"/>
  <c r="H435" i="2" l="1"/>
  <c r="N435" i="2"/>
  <c r="O435" i="2"/>
  <c r="A436" i="2"/>
  <c r="L434" i="2"/>
  <c r="P434" i="2"/>
  <c r="M928" i="2"/>
  <c r="H436" i="2" l="1"/>
  <c r="O436" i="2"/>
  <c r="N436" i="2"/>
  <c r="A437" i="2"/>
  <c r="L435" i="2"/>
  <c r="P435" i="2"/>
  <c r="M929" i="2"/>
  <c r="H437" i="2" l="1"/>
  <c r="O437" i="2"/>
  <c r="N437" i="2"/>
  <c r="A438" i="2"/>
  <c r="L436" i="2"/>
  <c r="P436" i="2"/>
  <c r="M930" i="2"/>
  <c r="H438" i="2" l="1"/>
  <c r="N438" i="2"/>
  <c r="O438" i="2"/>
  <c r="A439" i="2"/>
  <c r="L437" i="2"/>
  <c r="P437" i="2"/>
  <c r="M931" i="2"/>
  <c r="H439" i="2" l="1"/>
  <c r="N439" i="2"/>
  <c r="O439" i="2"/>
  <c r="A440" i="2"/>
  <c r="L438" i="2"/>
  <c r="P438" i="2"/>
  <c r="M932" i="2"/>
  <c r="H440" i="2" l="1"/>
  <c r="N440" i="2"/>
  <c r="O440" i="2"/>
  <c r="A441" i="2"/>
  <c r="L439" i="2"/>
  <c r="P439" i="2"/>
  <c r="M933" i="2"/>
  <c r="H441" i="2" l="1"/>
  <c r="N441" i="2"/>
  <c r="O441" i="2"/>
  <c r="A442" i="2"/>
  <c r="L440" i="2"/>
  <c r="P440" i="2"/>
  <c r="M934" i="2"/>
  <c r="H442" i="2" l="1"/>
  <c r="N442" i="2"/>
  <c r="O442" i="2"/>
  <c r="A443" i="2"/>
  <c r="L441" i="2"/>
  <c r="P441" i="2"/>
  <c r="M935" i="2"/>
  <c r="H443" i="2" l="1"/>
  <c r="N443" i="2"/>
  <c r="O443" i="2"/>
  <c r="A444" i="2"/>
  <c r="L442" i="2"/>
  <c r="P442" i="2"/>
  <c r="M936" i="2"/>
  <c r="H444" i="2" l="1"/>
  <c r="N444" i="2"/>
  <c r="O444" i="2"/>
  <c r="A445" i="2"/>
  <c r="L443" i="2"/>
  <c r="P443" i="2"/>
  <c r="M937" i="2"/>
  <c r="H445" i="2" l="1"/>
  <c r="N445" i="2"/>
  <c r="O445" i="2"/>
  <c r="A446" i="2"/>
  <c r="L444" i="2"/>
  <c r="P444" i="2"/>
  <c r="M938" i="2"/>
  <c r="H446" i="2" l="1"/>
  <c r="N446" i="2"/>
  <c r="O446" i="2"/>
  <c r="A447" i="2"/>
  <c r="L445" i="2"/>
  <c r="P445" i="2"/>
  <c r="M939" i="2"/>
  <c r="H447" i="2" l="1"/>
  <c r="N447" i="2"/>
  <c r="O447" i="2"/>
  <c r="A448" i="2"/>
  <c r="L446" i="2"/>
  <c r="P446" i="2"/>
  <c r="M940" i="2"/>
  <c r="H448" i="2" l="1"/>
  <c r="N448" i="2"/>
  <c r="O448" i="2"/>
  <c r="A449" i="2"/>
  <c r="L447" i="2"/>
  <c r="P447" i="2"/>
  <c r="M941" i="2"/>
  <c r="H449" i="2" l="1"/>
  <c r="O449" i="2"/>
  <c r="N449" i="2"/>
  <c r="A450" i="2"/>
  <c r="L448" i="2"/>
  <c r="P448" i="2"/>
  <c r="M942" i="2"/>
  <c r="H450" i="2" l="1"/>
  <c r="N450" i="2"/>
  <c r="O450" i="2"/>
  <c r="A451" i="2"/>
  <c r="L449" i="2"/>
  <c r="P449" i="2"/>
  <c r="M943" i="2"/>
  <c r="H451" i="2" l="1"/>
  <c r="O451" i="2"/>
  <c r="N451" i="2"/>
  <c r="A452" i="2"/>
  <c r="L450" i="2"/>
  <c r="P450" i="2"/>
  <c r="M944" i="2"/>
  <c r="H452" i="2" l="1"/>
  <c r="O452" i="2"/>
  <c r="N452" i="2"/>
  <c r="A453" i="2"/>
  <c r="L451" i="2"/>
  <c r="P451" i="2"/>
  <c r="M945" i="2"/>
  <c r="H453" i="2" l="1"/>
  <c r="O453" i="2"/>
  <c r="N453" i="2"/>
  <c r="A454" i="2"/>
  <c r="L452" i="2"/>
  <c r="P452" i="2"/>
  <c r="M946" i="2"/>
  <c r="H454" i="2" l="1"/>
  <c r="O454" i="2"/>
  <c r="N454" i="2"/>
  <c r="A455" i="2"/>
  <c r="L453" i="2"/>
  <c r="P453" i="2"/>
  <c r="M947" i="2"/>
  <c r="H455" i="2" l="1"/>
  <c r="O455" i="2"/>
  <c r="N455" i="2"/>
  <c r="A456" i="2"/>
  <c r="L454" i="2"/>
  <c r="P454" i="2"/>
  <c r="M948" i="2"/>
  <c r="H456" i="2" l="1"/>
  <c r="N456" i="2"/>
  <c r="O456" i="2"/>
  <c r="A457" i="2"/>
  <c r="L455" i="2"/>
  <c r="P455" i="2"/>
  <c r="M949" i="2"/>
  <c r="H457" i="2" l="1"/>
  <c r="N457" i="2"/>
  <c r="O457" i="2"/>
  <c r="A458" i="2"/>
  <c r="L456" i="2"/>
  <c r="P456" i="2"/>
  <c r="M950" i="2"/>
  <c r="H458" i="2" l="1"/>
  <c r="N458" i="2"/>
  <c r="O458" i="2"/>
  <c r="A459" i="2"/>
  <c r="L457" i="2"/>
  <c r="P457" i="2"/>
  <c r="M951" i="2"/>
  <c r="H459" i="2" l="1"/>
  <c r="N459" i="2"/>
  <c r="O459" i="2"/>
  <c r="A460" i="2"/>
  <c r="L458" i="2"/>
  <c r="P458" i="2"/>
  <c r="M952" i="2"/>
  <c r="H460" i="2" l="1"/>
  <c r="O460" i="2"/>
  <c r="N460" i="2"/>
  <c r="A461" i="2"/>
  <c r="L459" i="2"/>
  <c r="P459" i="2"/>
  <c r="M953" i="2"/>
  <c r="H461" i="2" l="1"/>
  <c r="O461" i="2"/>
  <c r="N461" i="2"/>
  <c r="A462" i="2"/>
  <c r="L460" i="2"/>
  <c r="P460" i="2"/>
  <c r="M954" i="2"/>
  <c r="H462" i="2" l="1"/>
  <c r="N462" i="2"/>
  <c r="O462" i="2"/>
  <c r="A463" i="2"/>
  <c r="L461" i="2"/>
  <c r="P461" i="2"/>
  <c r="M955" i="2"/>
  <c r="H463" i="2" l="1"/>
  <c r="N463" i="2"/>
  <c r="O463" i="2"/>
  <c r="A464" i="2"/>
  <c r="L462" i="2"/>
  <c r="P462" i="2"/>
  <c r="M956" i="2"/>
  <c r="H464" i="2" l="1"/>
  <c r="N464" i="2"/>
  <c r="O464" i="2"/>
  <c r="A465" i="2"/>
  <c r="L463" i="2"/>
  <c r="P463" i="2"/>
  <c r="M957" i="2"/>
  <c r="H465" i="2" l="1"/>
  <c r="N465" i="2"/>
  <c r="O465" i="2"/>
  <c r="A466" i="2"/>
  <c r="L464" i="2"/>
  <c r="P464" i="2"/>
  <c r="M958" i="2"/>
  <c r="H466" i="2" l="1"/>
  <c r="N466" i="2"/>
  <c r="O466" i="2"/>
  <c r="A467" i="2"/>
  <c r="L465" i="2"/>
  <c r="P465" i="2"/>
  <c r="M959" i="2"/>
  <c r="H467" i="2" l="1"/>
  <c r="N467" i="2"/>
  <c r="O467" i="2"/>
  <c r="A468" i="2"/>
  <c r="L466" i="2"/>
  <c r="P466" i="2"/>
  <c r="M960" i="2"/>
  <c r="H468" i="2" l="1"/>
  <c r="N468" i="2"/>
  <c r="O468" i="2"/>
  <c r="A469" i="2"/>
  <c r="L467" i="2"/>
  <c r="P467" i="2"/>
  <c r="M961" i="2"/>
  <c r="H469" i="2" l="1"/>
  <c r="N469" i="2"/>
  <c r="O469" i="2"/>
  <c r="A470" i="2"/>
  <c r="L468" i="2"/>
  <c r="P468" i="2"/>
  <c r="M962" i="2"/>
  <c r="H470" i="2" l="1"/>
  <c r="N470" i="2"/>
  <c r="O470" i="2"/>
  <c r="A471" i="2"/>
  <c r="L469" i="2"/>
  <c r="P469" i="2"/>
  <c r="M963" i="2"/>
  <c r="H471" i="2" l="1"/>
  <c r="N471" i="2"/>
  <c r="O471" i="2"/>
  <c r="A472" i="2"/>
  <c r="L470" i="2"/>
  <c r="P470" i="2"/>
  <c r="M964" i="2"/>
  <c r="H472" i="2" l="1"/>
  <c r="N472" i="2"/>
  <c r="O472" i="2"/>
  <c r="A473" i="2"/>
  <c r="L471" i="2"/>
  <c r="P471" i="2"/>
  <c r="M965" i="2"/>
  <c r="H473" i="2" l="1"/>
  <c r="N473" i="2"/>
  <c r="O473" i="2"/>
  <c r="A474" i="2"/>
  <c r="L472" i="2"/>
  <c r="P472" i="2"/>
  <c r="M966" i="2"/>
  <c r="H474" i="2" l="1"/>
  <c r="N474" i="2"/>
  <c r="O474" i="2"/>
  <c r="A475" i="2"/>
  <c r="L473" i="2"/>
  <c r="P473" i="2"/>
  <c r="M967" i="2"/>
  <c r="H475" i="2" l="1"/>
  <c r="N475" i="2"/>
  <c r="O475" i="2"/>
  <c r="A476" i="2"/>
  <c r="L474" i="2"/>
  <c r="P474" i="2"/>
  <c r="M968" i="2"/>
  <c r="H476" i="2" l="1"/>
  <c r="O476" i="2"/>
  <c r="N476" i="2"/>
  <c r="A477" i="2"/>
  <c r="L475" i="2"/>
  <c r="P475" i="2"/>
  <c r="M969" i="2"/>
  <c r="H477" i="2" l="1"/>
  <c r="N477" i="2"/>
  <c r="O477" i="2"/>
  <c r="A478" i="2"/>
  <c r="L476" i="2"/>
  <c r="P476" i="2"/>
  <c r="M970" i="2"/>
  <c r="H478" i="2" l="1"/>
  <c r="O478" i="2"/>
  <c r="N478" i="2"/>
  <c r="A479" i="2"/>
  <c r="L477" i="2"/>
  <c r="P477" i="2"/>
  <c r="M971" i="2"/>
  <c r="H479" i="2" l="1"/>
  <c r="O479" i="2"/>
  <c r="N479" i="2"/>
  <c r="A480" i="2"/>
  <c r="L478" i="2"/>
  <c r="P478" i="2"/>
  <c r="M972" i="2"/>
  <c r="H480" i="2" l="1"/>
  <c r="N480" i="2"/>
  <c r="O480" i="2"/>
  <c r="A481" i="2"/>
  <c r="L479" i="2"/>
  <c r="P479" i="2"/>
  <c r="M973" i="2"/>
  <c r="H481" i="2" l="1"/>
  <c r="N481" i="2"/>
  <c r="O481" i="2"/>
  <c r="A482" i="2"/>
  <c r="L480" i="2"/>
  <c r="P480" i="2"/>
  <c r="M974" i="2"/>
  <c r="H482" i="2" l="1"/>
  <c r="N482" i="2"/>
  <c r="O482" i="2"/>
  <c r="A483" i="2"/>
  <c r="L481" i="2"/>
  <c r="P481" i="2"/>
  <c r="M975" i="2"/>
  <c r="H483" i="2" l="1"/>
  <c r="N483" i="2"/>
  <c r="O483" i="2"/>
  <c r="A484" i="2"/>
  <c r="L482" i="2"/>
  <c r="P482" i="2"/>
  <c r="M976" i="2"/>
  <c r="H484" i="2" l="1"/>
  <c r="O484" i="2"/>
  <c r="N484" i="2"/>
  <c r="A485" i="2"/>
  <c r="L483" i="2"/>
  <c r="P483" i="2"/>
  <c r="M977" i="2"/>
  <c r="H485" i="2" l="1"/>
  <c r="O485" i="2"/>
  <c r="N485" i="2"/>
  <c r="A486" i="2"/>
  <c r="L484" i="2"/>
  <c r="P484" i="2"/>
  <c r="M978" i="2"/>
  <c r="H486" i="2" l="1"/>
  <c r="N486" i="2"/>
  <c r="O486" i="2"/>
  <c r="A487" i="2"/>
  <c r="L485" i="2"/>
  <c r="P485" i="2"/>
  <c r="M979" i="2"/>
  <c r="H487" i="2" l="1"/>
  <c r="N487" i="2"/>
  <c r="O487" i="2"/>
  <c r="A488" i="2"/>
  <c r="L486" i="2"/>
  <c r="P486" i="2"/>
  <c r="M980" i="2"/>
  <c r="H488" i="2" l="1"/>
  <c r="N488" i="2"/>
  <c r="O488" i="2"/>
  <c r="A489" i="2"/>
  <c r="L487" i="2"/>
  <c r="P487" i="2"/>
  <c r="M981" i="2"/>
  <c r="H489" i="2" l="1"/>
  <c r="N489" i="2"/>
  <c r="O489" i="2"/>
  <c r="A490" i="2"/>
  <c r="L488" i="2"/>
  <c r="P488" i="2"/>
  <c r="M982" i="2"/>
  <c r="H490" i="2" l="1"/>
  <c r="N490" i="2"/>
  <c r="O490" i="2"/>
  <c r="A491" i="2"/>
  <c r="L489" i="2"/>
  <c r="P489" i="2"/>
  <c r="M983" i="2"/>
  <c r="H491" i="2" l="1"/>
  <c r="N491" i="2"/>
  <c r="O491" i="2"/>
  <c r="A492" i="2"/>
  <c r="L490" i="2"/>
  <c r="P490" i="2"/>
  <c r="M984" i="2"/>
  <c r="H492" i="2" l="1"/>
  <c r="N492" i="2"/>
  <c r="O492" i="2"/>
  <c r="A493" i="2"/>
  <c r="L491" i="2"/>
  <c r="P491" i="2"/>
  <c r="M985" i="2"/>
  <c r="H493" i="2" l="1"/>
  <c r="N493" i="2"/>
  <c r="O493" i="2"/>
  <c r="A494" i="2"/>
  <c r="L492" i="2"/>
  <c r="P492" i="2"/>
  <c r="M986" i="2"/>
  <c r="H494" i="2" l="1"/>
  <c r="N494" i="2"/>
  <c r="O494" i="2"/>
  <c r="A495" i="2"/>
  <c r="L493" i="2"/>
  <c r="P493" i="2"/>
  <c r="M987" i="2"/>
  <c r="H495" i="2" l="1"/>
  <c r="N495" i="2"/>
  <c r="O495" i="2"/>
  <c r="A496" i="2"/>
  <c r="L494" i="2"/>
  <c r="P494" i="2"/>
  <c r="M988" i="2"/>
  <c r="H496" i="2" l="1"/>
  <c r="N496" i="2"/>
  <c r="O496" i="2"/>
  <c r="A497" i="2"/>
  <c r="L495" i="2"/>
  <c r="P495" i="2"/>
  <c r="M989" i="2"/>
  <c r="H497" i="2" l="1"/>
  <c r="N497" i="2"/>
  <c r="O497" i="2"/>
  <c r="A498" i="2"/>
  <c r="L496" i="2"/>
  <c r="P496" i="2"/>
  <c r="M990" i="2"/>
  <c r="H498" i="2" l="1"/>
  <c r="N498" i="2"/>
  <c r="O498" i="2"/>
  <c r="A499" i="2"/>
  <c r="L497" i="2"/>
  <c r="P497" i="2"/>
  <c r="M991" i="2"/>
  <c r="H499" i="2" l="1"/>
  <c r="N499" i="2"/>
  <c r="O499" i="2"/>
  <c r="A500" i="2"/>
  <c r="L498" i="2"/>
  <c r="P498" i="2"/>
  <c r="M992" i="2"/>
  <c r="H500" i="2" l="1"/>
  <c r="O500" i="2"/>
  <c r="N500" i="2"/>
  <c r="A501" i="2"/>
  <c r="L499" i="2"/>
  <c r="P499" i="2"/>
  <c r="M993" i="2"/>
  <c r="H501" i="2" l="1"/>
  <c r="N501" i="2"/>
  <c r="O501" i="2"/>
  <c r="A502" i="2"/>
  <c r="L500" i="2"/>
  <c r="P500" i="2"/>
  <c r="M994" i="2"/>
  <c r="H502" i="2" l="1"/>
  <c r="N502" i="2"/>
  <c r="O502" i="2"/>
  <c r="A503" i="2"/>
  <c r="L501" i="2"/>
  <c r="P501" i="2"/>
  <c r="M995" i="2"/>
  <c r="H503" i="2" l="1"/>
  <c r="O503" i="2"/>
  <c r="N503" i="2"/>
  <c r="A504" i="2"/>
  <c r="L502" i="2"/>
  <c r="P502" i="2"/>
  <c r="M996" i="2"/>
  <c r="A505" i="2" l="1"/>
  <c r="H504" i="2"/>
  <c r="N504" i="2"/>
  <c r="O504" i="2"/>
  <c r="L503" i="2"/>
  <c r="P503" i="2"/>
  <c r="M997" i="2"/>
  <c r="L504" i="2" l="1"/>
  <c r="P504" i="2"/>
  <c r="H505" i="2"/>
  <c r="N505" i="2"/>
  <c r="O505" i="2"/>
  <c r="A506" i="2"/>
  <c r="M998" i="2"/>
  <c r="H506" i="2" l="1"/>
  <c r="N506" i="2"/>
  <c r="O506" i="2"/>
  <c r="A507" i="2"/>
  <c r="L505" i="2"/>
  <c r="P505" i="2"/>
  <c r="M999" i="2"/>
  <c r="H507" i="2" l="1"/>
  <c r="N507" i="2"/>
  <c r="O507" i="2"/>
  <c r="A508" i="2"/>
  <c r="L506" i="2"/>
  <c r="P506" i="2"/>
  <c r="M1000" i="2"/>
  <c r="H508" i="2" l="1"/>
  <c r="N508" i="2"/>
  <c r="O508" i="2"/>
  <c r="A509" i="2"/>
  <c r="L507" i="2"/>
  <c r="P507" i="2"/>
  <c r="O1002" i="2"/>
  <c r="M1001" i="2"/>
  <c r="M1002" i="2"/>
  <c r="H509" i="2" l="1"/>
  <c r="N509" i="2"/>
  <c r="O509" i="2"/>
  <c r="A510" i="2"/>
  <c r="L508" i="2"/>
  <c r="P508" i="2"/>
  <c r="N1002" i="2"/>
  <c r="H510" i="2" l="1"/>
  <c r="N510" i="2"/>
  <c r="O510" i="2"/>
  <c r="A511" i="2"/>
  <c r="L509" i="2"/>
  <c r="P509" i="2"/>
  <c r="H511" i="2" l="1"/>
  <c r="N511" i="2"/>
  <c r="O511" i="2"/>
  <c r="A512" i="2"/>
  <c r="L510" i="2"/>
  <c r="P510" i="2"/>
  <c r="H512" i="2" l="1"/>
  <c r="N512" i="2"/>
  <c r="O512" i="2"/>
  <c r="A513" i="2"/>
  <c r="L511" i="2"/>
  <c r="P511" i="2"/>
  <c r="H513" i="2" l="1"/>
  <c r="N513" i="2"/>
  <c r="O513" i="2"/>
  <c r="A514" i="2"/>
  <c r="L512" i="2"/>
  <c r="P512" i="2"/>
  <c r="H514" i="2" l="1"/>
  <c r="N514" i="2"/>
  <c r="O514" i="2"/>
  <c r="A515" i="2"/>
  <c r="L513" i="2"/>
  <c r="P513" i="2"/>
  <c r="H515" i="2" l="1"/>
  <c r="N515" i="2"/>
  <c r="O515" i="2"/>
  <c r="A516" i="2"/>
  <c r="L514" i="2"/>
  <c r="P514" i="2"/>
  <c r="H516" i="2" l="1"/>
  <c r="N516" i="2"/>
  <c r="O516" i="2"/>
  <c r="A517" i="2"/>
  <c r="L515" i="2"/>
  <c r="P515" i="2"/>
  <c r="H517" i="2" l="1"/>
  <c r="N517" i="2"/>
  <c r="O517" i="2"/>
  <c r="A518" i="2"/>
  <c r="L516" i="2"/>
  <c r="P516" i="2"/>
  <c r="H518" i="2" l="1"/>
  <c r="N518" i="2"/>
  <c r="O518" i="2"/>
  <c r="A519" i="2"/>
  <c r="L517" i="2"/>
  <c r="P517" i="2"/>
  <c r="H519" i="2" l="1"/>
  <c r="N519" i="2"/>
  <c r="O519" i="2"/>
  <c r="A520" i="2"/>
  <c r="L518" i="2"/>
  <c r="P518" i="2"/>
  <c r="H520" i="2" l="1"/>
  <c r="N520" i="2"/>
  <c r="O520" i="2"/>
  <c r="A521" i="2"/>
  <c r="L519" i="2"/>
  <c r="P519" i="2"/>
  <c r="H521" i="2" l="1"/>
  <c r="O521" i="2"/>
  <c r="N521" i="2"/>
  <c r="A522" i="2"/>
  <c r="L520" i="2"/>
  <c r="P520" i="2"/>
  <c r="H522" i="2" l="1"/>
  <c r="N522" i="2"/>
  <c r="O522" i="2"/>
  <c r="A523" i="2"/>
  <c r="L521" i="2"/>
  <c r="P521" i="2"/>
  <c r="H523" i="2" l="1"/>
  <c r="O523" i="2"/>
  <c r="N523" i="2"/>
  <c r="A524" i="2"/>
  <c r="L522" i="2"/>
  <c r="P522" i="2"/>
  <c r="L523" i="2" l="1"/>
  <c r="P523" i="2"/>
  <c r="H524" i="2"/>
  <c r="O524" i="2"/>
  <c r="N524" i="2"/>
  <c r="A525" i="2"/>
  <c r="H525" i="2" l="1"/>
  <c r="O525" i="2"/>
  <c r="N525" i="2"/>
  <c r="A526" i="2"/>
  <c r="L524" i="2"/>
  <c r="P524" i="2"/>
  <c r="H526" i="2" l="1"/>
  <c r="N526" i="2"/>
  <c r="O526" i="2"/>
  <c r="A527" i="2"/>
  <c r="L525" i="2"/>
  <c r="P525" i="2"/>
  <c r="H527" i="2" l="1"/>
  <c r="O527" i="2"/>
  <c r="N527" i="2"/>
  <c r="A528" i="2"/>
  <c r="L526" i="2"/>
  <c r="P526" i="2"/>
  <c r="H528" i="2" l="1"/>
  <c r="N528" i="2"/>
  <c r="O528" i="2"/>
  <c r="A529" i="2"/>
  <c r="L527" i="2"/>
  <c r="P527" i="2"/>
  <c r="H529" i="2" l="1"/>
  <c r="N529" i="2"/>
  <c r="O529" i="2"/>
  <c r="A530" i="2"/>
  <c r="L528" i="2"/>
  <c r="P528" i="2"/>
  <c r="H530" i="2" l="1"/>
  <c r="N530" i="2"/>
  <c r="O530" i="2"/>
  <c r="A531" i="2"/>
  <c r="L529" i="2"/>
  <c r="P529" i="2"/>
  <c r="H531" i="2" l="1"/>
  <c r="N531" i="2"/>
  <c r="O531" i="2"/>
  <c r="A532" i="2"/>
  <c r="L530" i="2"/>
  <c r="P530" i="2"/>
  <c r="H532" i="2" l="1"/>
  <c r="O532" i="2"/>
  <c r="N532" i="2"/>
  <c r="A533" i="2"/>
  <c r="L531" i="2"/>
  <c r="P531" i="2"/>
  <c r="H533" i="2" l="1"/>
  <c r="O533" i="2"/>
  <c r="N533" i="2"/>
  <c r="A534" i="2"/>
  <c r="L532" i="2"/>
  <c r="P532" i="2"/>
  <c r="H534" i="2" l="1"/>
  <c r="N534" i="2"/>
  <c r="O534" i="2"/>
  <c r="A535" i="2"/>
  <c r="L533" i="2"/>
  <c r="P533" i="2"/>
  <c r="H535" i="2" l="1"/>
  <c r="N535" i="2"/>
  <c r="O535" i="2"/>
  <c r="A536" i="2"/>
  <c r="L534" i="2"/>
  <c r="P534" i="2"/>
  <c r="H536" i="2" l="1"/>
  <c r="N536" i="2"/>
  <c r="O536" i="2"/>
  <c r="A537" i="2"/>
  <c r="L535" i="2"/>
  <c r="P535" i="2"/>
  <c r="H537" i="2" l="1"/>
  <c r="N537" i="2"/>
  <c r="O537" i="2"/>
  <c r="A538" i="2"/>
  <c r="L536" i="2"/>
  <c r="P536" i="2"/>
  <c r="H538" i="2" l="1"/>
  <c r="N538" i="2"/>
  <c r="O538" i="2"/>
  <c r="A539" i="2"/>
  <c r="L537" i="2"/>
  <c r="P537" i="2"/>
  <c r="H539" i="2" l="1"/>
  <c r="N539" i="2"/>
  <c r="O539" i="2"/>
  <c r="A540" i="2"/>
  <c r="L538" i="2"/>
  <c r="P538" i="2"/>
  <c r="H540" i="2" l="1"/>
  <c r="N540" i="2"/>
  <c r="O540" i="2"/>
  <c r="A541" i="2"/>
  <c r="L539" i="2"/>
  <c r="P539" i="2"/>
  <c r="H541" i="2" l="1"/>
  <c r="N541" i="2"/>
  <c r="O541" i="2"/>
  <c r="A542" i="2"/>
  <c r="L540" i="2"/>
  <c r="P540" i="2"/>
  <c r="H542" i="2" l="1"/>
  <c r="N542" i="2"/>
  <c r="O542" i="2"/>
  <c r="A543" i="2"/>
  <c r="L541" i="2"/>
  <c r="P541" i="2"/>
  <c r="H543" i="2" l="1"/>
  <c r="N543" i="2"/>
  <c r="O543" i="2"/>
  <c r="A544" i="2"/>
  <c r="L542" i="2"/>
  <c r="P542" i="2"/>
  <c r="H544" i="2" l="1"/>
  <c r="N544" i="2"/>
  <c r="O544" i="2"/>
  <c r="A545" i="2"/>
  <c r="L543" i="2"/>
  <c r="P543" i="2"/>
  <c r="H545" i="2" l="1"/>
  <c r="O545" i="2"/>
  <c r="N545" i="2"/>
  <c r="A546" i="2"/>
  <c r="L544" i="2"/>
  <c r="P544" i="2"/>
  <c r="H546" i="2" l="1"/>
  <c r="N546" i="2"/>
  <c r="O546" i="2"/>
  <c r="A547" i="2"/>
  <c r="L545" i="2"/>
  <c r="P545" i="2"/>
  <c r="H547" i="2" l="1"/>
  <c r="O547" i="2"/>
  <c r="N547" i="2"/>
  <c r="A548" i="2"/>
  <c r="L546" i="2"/>
  <c r="P546" i="2"/>
  <c r="H548" i="2" l="1"/>
  <c r="O548" i="2"/>
  <c r="N548" i="2"/>
  <c r="A549" i="2"/>
  <c r="L547" i="2"/>
  <c r="P547" i="2"/>
  <c r="H549" i="2" l="1"/>
  <c r="O549" i="2"/>
  <c r="N549" i="2"/>
  <c r="A550" i="2"/>
  <c r="L548" i="2"/>
  <c r="P548" i="2"/>
  <c r="H550" i="2" l="1"/>
  <c r="N550" i="2"/>
  <c r="O550" i="2"/>
  <c r="A551" i="2"/>
  <c r="L549" i="2"/>
  <c r="P549" i="2"/>
  <c r="H551" i="2" l="1"/>
  <c r="N551" i="2"/>
  <c r="O551" i="2"/>
  <c r="A552" i="2"/>
  <c r="L550" i="2"/>
  <c r="P550" i="2"/>
  <c r="H552" i="2" l="1"/>
  <c r="N552" i="2"/>
  <c r="O552" i="2"/>
  <c r="A553" i="2"/>
  <c r="L551" i="2"/>
  <c r="P551" i="2"/>
  <c r="H553" i="2" l="1"/>
  <c r="N553" i="2"/>
  <c r="O553" i="2"/>
  <c r="A554" i="2"/>
  <c r="L552" i="2"/>
  <c r="P552" i="2"/>
  <c r="H554" i="2" l="1"/>
  <c r="N554" i="2"/>
  <c r="O554" i="2"/>
  <c r="A555" i="2"/>
  <c r="L553" i="2"/>
  <c r="P553" i="2"/>
  <c r="H555" i="2" l="1"/>
  <c r="N555" i="2"/>
  <c r="O555" i="2"/>
  <c r="A556" i="2"/>
  <c r="L554" i="2"/>
  <c r="P554" i="2"/>
  <c r="H556" i="2" l="1"/>
  <c r="N556" i="2"/>
  <c r="O556" i="2"/>
  <c r="A557" i="2"/>
  <c r="L555" i="2"/>
  <c r="P555" i="2"/>
  <c r="H557" i="2" l="1"/>
  <c r="N557" i="2"/>
  <c r="O557" i="2"/>
  <c r="A558" i="2"/>
  <c r="L556" i="2"/>
  <c r="P556" i="2"/>
  <c r="H558" i="2" l="1"/>
  <c r="N558" i="2"/>
  <c r="O558" i="2"/>
  <c r="A559" i="2"/>
  <c r="L557" i="2"/>
  <c r="P557" i="2"/>
  <c r="H559" i="2" l="1"/>
  <c r="N559" i="2"/>
  <c r="O559" i="2"/>
  <c r="A560" i="2"/>
  <c r="L558" i="2"/>
  <c r="P558" i="2"/>
  <c r="H560" i="2" l="1"/>
  <c r="N560" i="2"/>
  <c r="O560" i="2"/>
  <c r="A561" i="2"/>
  <c r="L559" i="2"/>
  <c r="P559" i="2"/>
  <c r="H561" i="2" l="1"/>
  <c r="N561" i="2"/>
  <c r="O561" i="2"/>
  <c r="A562" i="2"/>
  <c r="L560" i="2"/>
  <c r="P560" i="2"/>
  <c r="H562" i="2" l="1"/>
  <c r="N562" i="2"/>
  <c r="O562" i="2"/>
  <c r="A563" i="2"/>
  <c r="L561" i="2"/>
  <c r="P561" i="2"/>
  <c r="H563" i="2" l="1"/>
  <c r="N563" i="2"/>
  <c r="O563" i="2"/>
  <c r="A564" i="2"/>
  <c r="L562" i="2"/>
  <c r="P562" i="2"/>
  <c r="H564" i="2" l="1"/>
  <c r="N564" i="2"/>
  <c r="O564" i="2"/>
  <c r="A565" i="2"/>
  <c r="L563" i="2"/>
  <c r="P563" i="2"/>
  <c r="H565" i="2" l="1"/>
  <c r="N565" i="2"/>
  <c r="O565" i="2"/>
  <c r="A566" i="2"/>
  <c r="L564" i="2"/>
  <c r="P564" i="2"/>
  <c r="H566" i="2" l="1"/>
  <c r="N566" i="2"/>
  <c r="O566" i="2"/>
  <c r="A567" i="2"/>
  <c r="L565" i="2"/>
  <c r="P565" i="2"/>
  <c r="H567" i="2" l="1"/>
  <c r="N567" i="2"/>
  <c r="O567" i="2"/>
  <c r="A568" i="2"/>
  <c r="L566" i="2"/>
  <c r="P566" i="2"/>
  <c r="H568" i="2" l="1"/>
  <c r="N568" i="2"/>
  <c r="O568" i="2"/>
  <c r="A569" i="2"/>
  <c r="L567" i="2"/>
  <c r="P567" i="2"/>
  <c r="H569" i="2" l="1"/>
  <c r="O569" i="2"/>
  <c r="N569" i="2"/>
  <c r="A570" i="2"/>
  <c r="L568" i="2"/>
  <c r="P568" i="2"/>
  <c r="H570" i="2" l="1"/>
  <c r="N570" i="2"/>
  <c r="O570" i="2"/>
  <c r="A571" i="2"/>
  <c r="L569" i="2"/>
  <c r="P569" i="2"/>
  <c r="H571" i="2" l="1"/>
  <c r="O571" i="2"/>
  <c r="N571" i="2"/>
  <c r="A572" i="2"/>
  <c r="L570" i="2"/>
  <c r="P570" i="2"/>
  <c r="H572" i="2" l="1"/>
  <c r="O572" i="2"/>
  <c r="N572" i="2"/>
  <c r="A573" i="2"/>
  <c r="L571" i="2"/>
  <c r="P571" i="2"/>
  <c r="H573" i="2" l="1"/>
  <c r="O573" i="2"/>
  <c r="N573" i="2"/>
  <c r="A574" i="2"/>
  <c r="L572" i="2"/>
  <c r="P572" i="2"/>
  <c r="H574" i="2" l="1"/>
  <c r="N574" i="2"/>
  <c r="O574" i="2"/>
  <c r="A575" i="2"/>
  <c r="L573" i="2"/>
  <c r="P573" i="2"/>
  <c r="H575" i="2" l="1"/>
  <c r="O575" i="2"/>
  <c r="N575" i="2"/>
  <c r="A576" i="2"/>
  <c r="L574" i="2"/>
  <c r="P574" i="2"/>
  <c r="H576" i="2" l="1"/>
  <c r="N576" i="2"/>
  <c r="O576" i="2"/>
  <c r="A577" i="2"/>
  <c r="L575" i="2"/>
  <c r="P575" i="2"/>
  <c r="H577" i="2" l="1"/>
  <c r="N577" i="2"/>
  <c r="O577" i="2"/>
  <c r="A578" i="2"/>
  <c r="L576" i="2"/>
  <c r="P576" i="2"/>
  <c r="H578" i="2" l="1"/>
  <c r="N578" i="2"/>
  <c r="O578" i="2"/>
  <c r="A579" i="2"/>
  <c r="L577" i="2"/>
  <c r="P577" i="2"/>
  <c r="H579" i="2" l="1"/>
  <c r="N579" i="2"/>
  <c r="O579" i="2"/>
  <c r="A580" i="2"/>
  <c r="L578" i="2"/>
  <c r="P578" i="2"/>
  <c r="H580" i="2" l="1"/>
  <c r="N580" i="2"/>
  <c r="O580" i="2"/>
  <c r="A581" i="2"/>
  <c r="L579" i="2"/>
  <c r="P579" i="2"/>
  <c r="H581" i="2" l="1"/>
  <c r="O581" i="2"/>
  <c r="N581" i="2"/>
  <c r="A582" i="2"/>
  <c r="L580" i="2"/>
  <c r="P580" i="2"/>
  <c r="H582" i="2" l="1"/>
  <c r="N582" i="2"/>
  <c r="O582" i="2"/>
  <c r="A583" i="2"/>
  <c r="L581" i="2"/>
  <c r="P581" i="2"/>
  <c r="H583" i="2" l="1"/>
  <c r="N583" i="2"/>
  <c r="O583" i="2"/>
  <c r="A584" i="2"/>
  <c r="L582" i="2"/>
  <c r="P582" i="2"/>
  <c r="H584" i="2" l="1"/>
  <c r="N584" i="2"/>
  <c r="O584" i="2"/>
  <c r="A585" i="2"/>
  <c r="L583" i="2"/>
  <c r="P583" i="2"/>
  <c r="H585" i="2" l="1"/>
  <c r="N585" i="2"/>
  <c r="O585" i="2"/>
  <c r="A586" i="2"/>
  <c r="L584" i="2"/>
  <c r="P584" i="2"/>
  <c r="H586" i="2" l="1"/>
  <c r="N586" i="2"/>
  <c r="O586" i="2"/>
  <c r="A587" i="2"/>
  <c r="L585" i="2"/>
  <c r="P585" i="2"/>
  <c r="H587" i="2" l="1"/>
  <c r="N587" i="2"/>
  <c r="O587" i="2"/>
  <c r="A588" i="2"/>
  <c r="L586" i="2"/>
  <c r="P586" i="2"/>
  <c r="H588" i="2" l="1"/>
  <c r="N588" i="2"/>
  <c r="O588" i="2"/>
  <c r="A589" i="2"/>
  <c r="L587" i="2"/>
  <c r="P587" i="2"/>
  <c r="H589" i="2" l="1"/>
  <c r="N589" i="2"/>
  <c r="O589" i="2"/>
  <c r="A590" i="2"/>
  <c r="L588" i="2"/>
  <c r="P588" i="2"/>
  <c r="H590" i="2" l="1"/>
  <c r="N590" i="2"/>
  <c r="O590" i="2"/>
  <c r="A591" i="2"/>
  <c r="L589" i="2"/>
  <c r="P589" i="2"/>
  <c r="H591" i="2" l="1"/>
  <c r="N591" i="2"/>
  <c r="O591" i="2"/>
  <c r="A592" i="2"/>
  <c r="L590" i="2"/>
  <c r="P590" i="2"/>
  <c r="H592" i="2" l="1"/>
  <c r="N592" i="2"/>
  <c r="O592" i="2"/>
  <c r="A593" i="2"/>
  <c r="L591" i="2"/>
  <c r="P591" i="2"/>
  <c r="H593" i="2" l="1"/>
  <c r="O593" i="2"/>
  <c r="N593" i="2"/>
  <c r="A594" i="2"/>
  <c r="L592" i="2"/>
  <c r="P592" i="2"/>
  <c r="H594" i="2" l="1"/>
  <c r="N594" i="2"/>
  <c r="O594" i="2"/>
  <c r="A595" i="2"/>
  <c r="L593" i="2"/>
  <c r="P593" i="2"/>
  <c r="H595" i="2" l="1"/>
  <c r="O595" i="2"/>
  <c r="N595" i="2"/>
  <c r="A596" i="2"/>
  <c r="L594" i="2"/>
  <c r="P594" i="2"/>
  <c r="H596" i="2" l="1"/>
  <c r="O596" i="2"/>
  <c r="N596" i="2"/>
  <c r="A597" i="2"/>
  <c r="L595" i="2"/>
  <c r="P595" i="2"/>
  <c r="H597" i="2" l="1"/>
  <c r="O597" i="2"/>
  <c r="N597" i="2"/>
  <c r="A598" i="2"/>
  <c r="L596" i="2"/>
  <c r="P596" i="2"/>
  <c r="H598" i="2" l="1"/>
  <c r="N598" i="2"/>
  <c r="O598" i="2"/>
  <c r="A599" i="2"/>
  <c r="L597" i="2"/>
  <c r="P597" i="2"/>
  <c r="H599" i="2" l="1"/>
  <c r="O599" i="2"/>
  <c r="N599" i="2"/>
  <c r="A600" i="2"/>
  <c r="L598" i="2"/>
  <c r="P598" i="2"/>
  <c r="H600" i="2" l="1"/>
  <c r="N600" i="2"/>
  <c r="O600" i="2"/>
  <c r="A601" i="2"/>
  <c r="L599" i="2"/>
  <c r="P599" i="2"/>
  <c r="H601" i="2" l="1"/>
  <c r="N601" i="2"/>
  <c r="O601" i="2"/>
  <c r="A602" i="2"/>
  <c r="L600" i="2"/>
  <c r="P600" i="2"/>
  <c r="H602" i="2" l="1"/>
  <c r="N602" i="2"/>
  <c r="O602" i="2"/>
  <c r="A603" i="2"/>
  <c r="L601" i="2"/>
  <c r="P601" i="2"/>
  <c r="H603" i="2" l="1"/>
  <c r="N603" i="2"/>
  <c r="O603" i="2"/>
  <c r="A604" i="2"/>
  <c r="L602" i="2"/>
  <c r="P602" i="2"/>
  <c r="H604" i="2" l="1"/>
  <c r="O604" i="2"/>
  <c r="N604" i="2"/>
  <c r="A605" i="2"/>
  <c r="L603" i="2"/>
  <c r="P603" i="2"/>
  <c r="H605" i="2" l="1"/>
  <c r="O605" i="2"/>
  <c r="N605" i="2"/>
  <c r="A606" i="2"/>
  <c r="L604" i="2"/>
  <c r="P604" i="2"/>
  <c r="H606" i="2" l="1"/>
  <c r="N606" i="2"/>
  <c r="O606" i="2"/>
  <c r="A607" i="2"/>
  <c r="L605" i="2"/>
  <c r="P605" i="2"/>
  <c r="H607" i="2" l="1"/>
  <c r="N607" i="2"/>
  <c r="O607" i="2"/>
  <c r="A608" i="2"/>
  <c r="L606" i="2"/>
  <c r="P606" i="2"/>
  <c r="H608" i="2" l="1"/>
  <c r="N608" i="2"/>
  <c r="O608" i="2"/>
  <c r="A609" i="2"/>
  <c r="L607" i="2"/>
  <c r="P607" i="2"/>
  <c r="H609" i="2" l="1"/>
  <c r="N609" i="2"/>
  <c r="O609" i="2"/>
  <c r="A610" i="2"/>
  <c r="L608" i="2"/>
  <c r="P608" i="2"/>
  <c r="H610" i="2" l="1"/>
  <c r="N610" i="2"/>
  <c r="O610" i="2"/>
  <c r="A611" i="2"/>
  <c r="L609" i="2"/>
  <c r="P609" i="2"/>
  <c r="H611" i="2" l="1"/>
  <c r="N611" i="2"/>
  <c r="O611" i="2"/>
  <c r="A612" i="2"/>
  <c r="L610" i="2"/>
  <c r="P610" i="2"/>
  <c r="H612" i="2" l="1"/>
  <c r="N612" i="2"/>
  <c r="O612" i="2"/>
  <c r="A613" i="2"/>
  <c r="L611" i="2"/>
  <c r="P611" i="2"/>
  <c r="H613" i="2" l="1"/>
  <c r="N613" i="2"/>
  <c r="O613" i="2"/>
  <c r="A614" i="2"/>
  <c r="L612" i="2"/>
  <c r="P612" i="2"/>
  <c r="H614" i="2" l="1"/>
  <c r="N614" i="2"/>
  <c r="O614" i="2"/>
  <c r="A615" i="2"/>
  <c r="L613" i="2"/>
  <c r="P613" i="2"/>
  <c r="H615" i="2" l="1"/>
  <c r="N615" i="2"/>
  <c r="O615" i="2"/>
  <c r="A616" i="2"/>
  <c r="L614" i="2"/>
  <c r="P614" i="2"/>
  <c r="H616" i="2" l="1"/>
  <c r="N616" i="2"/>
  <c r="O616" i="2"/>
  <c r="A617" i="2"/>
  <c r="L615" i="2"/>
  <c r="P615" i="2"/>
  <c r="H617" i="2" l="1"/>
  <c r="O617" i="2"/>
  <c r="N617" i="2"/>
  <c r="A618" i="2"/>
  <c r="L616" i="2"/>
  <c r="P616" i="2"/>
  <c r="H618" i="2" l="1"/>
  <c r="N618" i="2"/>
  <c r="O618" i="2"/>
  <c r="A619" i="2"/>
  <c r="L617" i="2"/>
  <c r="P617" i="2"/>
  <c r="H619" i="2" l="1"/>
  <c r="O619" i="2"/>
  <c r="N619" i="2"/>
  <c r="A620" i="2"/>
  <c r="L618" i="2"/>
  <c r="P618" i="2"/>
  <c r="H620" i="2" l="1"/>
  <c r="O620" i="2"/>
  <c r="N620" i="2"/>
  <c r="A621" i="2"/>
  <c r="L619" i="2"/>
  <c r="P619" i="2"/>
  <c r="H621" i="2" l="1"/>
  <c r="O621" i="2"/>
  <c r="N621" i="2"/>
  <c r="A622" i="2"/>
  <c r="L620" i="2"/>
  <c r="P620" i="2"/>
  <c r="H622" i="2" l="1"/>
  <c r="N622" i="2"/>
  <c r="O622" i="2"/>
  <c r="A623" i="2"/>
  <c r="L621" i="2"/>
  <c r="P621" i="2"/>
  <c r="H623" i="2" l="1"/>
  <c r="O623" i="2"/>
  <c r="N623" i="2"/>
  <c r="A624" i="2"/>
  <c r="L622" i="2"/>
  <c r="P622" i="2"/>
  <c r="H624" i="2" l="1"/>
  <c r="N624" i="2"/>
  <c r="O624" i="2"/>
  <c r="A625" i="2"/>
  <c r="L623" i="2"/>
  <c r="P623" i="2"/>
  <c r="H625" i="2" l="1"/>
  <c r="N625" i="2"/>
  <c r="O625" i="2"/>
  <c r="A626" i="2"/>
  <c r="L624" i="2"/>
  <c r="P624" i="2"/>
  <c r="H626" i="2" l="1"/>
  <c r="N626" i="2"/>
  <c r="O626" i="2"/>
  <c r="A627" i="2"/>
  <c r="L625" i="2"/>
  <c r="P625" i="2"/>
  <c r="H627" i="2" l="1"/>
  <c r="N627" i="2"/>
  <c r="O627" i="2"/>
  <c r="A628" i="2"/>
  <c r="L626" i="2"/>
  <c r="P626" i="2"/>
  <c r="H628" i="2" l="1"/>
  <c r="O628" i="2"/>
  <c r="N628" i="2"/>
  <c r="A629" i="2"/>
  <c r="L627" i="2"/>
  <c r="P627" i="2"/>
  <c r="H629" i="2" l="1"/>
  <c r="N629" i="2"/>
  <c r="O629" i="2"/>
  <c r="A630" i="2"/>
  <c r="L628" i="2"/>
  <c r="P628" i="2"/>
  <c r="H630" i="2" l="1"/>
  <c r="N630" i="2"/>
  <c r="O630" i="2"/>
  <c r="A631" i="2"/>
  <c r="L629" i="2"/>
  <c r="P629" i="2"/>
  <c r="H631" i="2" l="1"/>
  <c r="N631" i="2"/>
  <c r="O631" i="2"/>
  <c r="A632" i="2"/>
  <c r="L630" i="2"/>
  <c r="P630" i="2"/>
  <c r="H632" i="2" l="1"/>
  <c r="N632" i="2"/>
  <c r="O632" i="2"/>
  <c r="A633" i="2"/>
  <c r="L631" i="2"/>
  <c r="P631" i="2"/>
  <c r="H633" i="2" l="1"/>
  <c r="N633" i="2"/>
  <c r="O633" i="2"/>
  <c r="A634" i="2"/>
  <c r="L632" i="2"/>
  <c r="P632" i="2"/>
  <c r="H634" i="2" l="1"/>
  <c r="N634" i="2"/>
  <c r="O634" i="2"/>
  <c r="A635" i="2"/>
  <c r="L633" i="2"/>
  <c r="P633" i="2"/>
  <c r="H635" i="2" l="1"/>
  <c r="N635" i="2"/>
  <c r="O635" i="2"/>
  <c r="A636" i="2"/>
  <c r="L634" i="2"/>
  <c r="P634" i="2"/>
  <c r="H636" i="2" l="1"/>
  <c r="N636" i="2"/>
  <c r="O636" i="2"/>
  <c r="A637" i="2"/>
  <c r="L635" i="2"/>
  <c r="P635" i="2"/>
  <c r="H637" i="2" l="1"/>
  <c r="N637" i="2"/>
  <c r="O637" i="2"/>
  <c r="A638" i="2"/>
  <c r="L636" i="2"/>
  <c r="P636" i="2"/>
  <c r="H638" i="2" l="1"/>
  <c r="N638" i="2"/>
  <c r="O638" i="2"/>
  <c r="A639" i="2"/>
  <c r="L637" i="2"/>
  <c r="P637" i="2"/>
  <c r="H639" i="2" l="1"/>
  <c r="N639" i="2"/>
  <c r="O639" i="2"/>
  <c r="A640" i="2"/>
  <c r="L638" i="2"/>
  <c r="P638" i="2"/>
  <c r="H640" i="2" l="1"/>
  <c r="N640" i="2"/>
  <c r="O640" i="2"/>
  <c r="A641" i="2"/>
  <c r="L639" i="2"/>
  <c r="P639" i="2"/>
  <c r="H641" i="2" l="1"/>
  <c r="O641" i="2"/>
  <c r="N641" i="2"/>
  <c r="A642" i="2"/>
  <c r="L640" i="2"/>
  <c r="P640" i="2"/>
  <c r="H642" i="2" l="1"/>
  <c r="N642" i="2"/>
  <c r="O642" i="2"/>
  <c r="A643" i="2"/>
  <c r="L641" i="2"/>
  <c r="P641" i="2"/>
  <c r="H643" i="2" l="1"/>
  <c r="O643" i="2"/>
  <c r="N643" i="2"/>
  <c r="A644" i="2"/>
  <c r="L642" i="2"/>
  <c r="P642" i="2"/>
  <c r="H644" i="2" l="1"/>
  <c r="O644" i="2"/>
  <c r="N644" i="2"/>
  <c r="A645" i="2"/>
  <c r="L643" i="2"/>
  <c r="P643" i="2"/>
  <c r="H645" i="2" l="1"/>
  <c r="O645" i="2"/>
  <c r="N645" i="2"/>
  <c r="A646" i="2"/>
  <c r="L644" i="2"/>
  <c r="P644" i="2"/>
  <c r="H646" i="2" l="1"/>
  <c r="N646" i="2"/>
  <c r="O646" i="2"/>
  <c r="A647" i="2"/>
  <c r="L645" i="2"/>
  <c r="P645" i="2"/>
  <c r="H647" i="2" l="1"/>
  <c r="N647" i="2"/>
  <c r="O647" i="2"/>
  <c r="A648" i="2"/>
  <c r="L646" i="2"/>
  <c r="P646" i="2"/>
  <c r="H648" i="2" l="1"/>
  <c r="N648" i="2"/>
  <c r="O648" i="2"/>
  <c r="A649" i="2"/>
  <c r="L647" i="2"/>
  <c r="P647" i="2"/>
  <c r="H649" i="2" l="1"/>
  <c r="N649" i="2"/>
  <c r="O649" i="2"/>
  <c r="A650" i="2"/>
  <c r="L648" i="2"/>
  <c r="P648" i="2"/>
  <c r="H650" i="2" l="1"/>
  <c r="N650" i="2"/>
  <c r="O650" i="2"/>
  <c r="A651" i="2"/>
  <c r="L649" i="2"/>
  <c r="P649" i="2"/>
  <c r="H651" i="2" l="1"/>
  <c r="N651" i="2"/>
  <c r="O651" i="2"/>
  <c r="A652" i="2"/>
  <c r="L650" i="2"/>
  <c r="P650" i="2"/>
  <c r="H652" i="2" l="1"/>
  <c r="O652" i="2"/>
  <c r="N652" i="2"/>
  <c r="A653" i="2"/>
  <c r="L651" i="2"/>
  <c r="P651" i="2"/>
  <c r="H653" i="2" l="1"/>
  <c r="O653" i="2"/>
  <c r="N653" i="2"/>
  <c r="A654" i="2"/>
  <c r="L652" i="2"/>
  <c r="P652" i="2"/>
  <c r="H654" i="2" l="1"/>
  <c r="N654" i="2"/>
  <c r="O654" i="2"/>
  <c r="A655" i="2"/>
  <c r="L653" i="2"/>
  <c r="P653" i="2"/>
  <c r="H655" i="2" l="1"/>
  <c r="N655" i="2"/>
  <c r="O655" i="2"/>
  <c r="A656" i="2"/>
  <c r="L654" i="2"/>
  <c r="P654" i="2"/>
  <c r="H656" i="2" l="1"/>
  <c r="N656" i="2"/>
  <c r="O656" i="2"/>
  <c r="A657" i="2"/>
  <c r="L655" i="2"/>
  <c r="P655" i="2"/>
  <c r="H657" i="2" l="1"/>
  <c r="N657" i="2"/>
  <c r="O657" i="2"/>
  <c r="A658" i="2"/>
  <c r="L656" i="2"/>
  <c r="P656" i="2"/>
  <c r="H658" i="2" l="1"/>
  <c r="N658" i="2"/>
  <c r="O658" i="2"/>
  <c r="A659" i="2"/>
  <c r="L657" i="2"/>
  <c r="P657" i="2"/>
  <c r="H659" i="2" l="1"/>
  <c r="N659" i="2"/>
  <c r="O659" i="2"/>
  <c r="A660" i="2"/>
  <c r="L658" i="2"/>
  <c r="P658" i="2"/>
  <c r="H660" i="2" l="1"/>
  <c r="N660" i="2"/>
  <c r="O660" i="2"/>
  <c r="A661" i="2"/>
  <c r="L659" i="2"/>
  <c r="P659" i="2"/>
  <c r="H661" i="2" l="1"/>
  <c r="N661" i="2"/>
  <c r="O661" i="2"/>
  <c r="A662" i="2"/>
  <c r="L660" i="2"/>
  <c r="P660" i="2"/>
  <c r="H662" i="2" l="1"/>
  <c r="N662" i="2"/>
  <c r="O662" i="2"/>
  <c r="A663" i="2"/>
  <c r="L661" i="2"/>
  <c r="P661" i="2"/>
  <c r="H663" i="2" l="1"/>
  <c r="N663" i="2"/>
  <c r="O663" i="2"/>
  <c r="A664" i="2"/>
  <c r="L662" i="2"/>
  <c r="P662" i="2"/>
  <c r="H664" i="2" l="1"/>
  <c r="N664" i="2"/>
  <c r="O664" i="2"/>
  <c r="A665" i="2"/>
  <c r="L663" i="2"/>
  <c r="P663" i="2"/>
  <c r="H665" i="2" l="1"/>
  <c r="O665" i="2"/>
  <c r="N665" i="2"/>
  <c r="A666" i="2"/>
  <c r="L664" i="2"/>
  <c r="P664" i="2"/>
  <c r="H666" i="2" l="1"/>
  <c r="N666" i="2"/>
  <c r="O666" i="2"/>
  <c r="A667" i="2"/>
  <c r="L665" i="2"/>
  <c r="P665" i="2"/>
  <c r="H667" i="2" l="1"/>
  <c r="O667" i="2"/>
  <c r="N667" i="2"/>
  <c r="A668" i="2"/>
  <c r="L666" i="2"/>
  <c r="P666" i="2"/>
  <c r="H668" i="2" l="1"/>
  <c r="O668" i="2"/>
  <c r="N668" i="2"/>
  <c r="A669" i="2"/>
  <c r="L667" i="2"/>
  <c r="P667" i="2"/>
  <c r="H669" i="2" l="1"/>
  <c r="O669" i="2"/>
  <c r="N669" i="2"/>
  <c r="A670" i="2"/>
  <c r="L668" i="2"/>
  <c r="P668" i="2"/>
  <c r="H670" i="2" l="1"/>
  <c r="N670" i="2"/>
  <c r="O670" i="2"/>
  <c r="A671" i="2"/>
  <c r="L669" i="2"/>
  <c r="P669" i="2"/>
  <c r="H671" i="2" l="1"/>
  <c r="O671" i="2"/>
  <c r="N671" i="2"/>
  <c r="A672" i="2"/>
  <c r="L670" i="2"/>
  <c r="P670" i="2"/>
  <c r="H672" i="2" l="1"/>
  <c r="N672" i="2"/>
  <c r="O672" i="2"/>
  <c r="A673" i="2"/>
  <c r="L671" i="2"/>
  <c r="P671" i="2"/>
  <c r="H673" i="2" l="1"/>
  <c r="N673" i="2"/>
  <c r="O673" i="2"/>
  <c r="A674" i="2"/>
  <c r="L672" i="2"/>
  <c r="P672" i="2"/>
  <c r="H674" i="2" l="1"/>
  <c r="N674" i="2"/>
  <c r="O674" i="2"/>
  <c r="A675" i="2"/>
  <c r="L673" i="2"/>
  <c r="P673" i="2"/>
  <c r="H675" i="2" l="1"/>
  <c r="N675" i="2"/>
  <c r="O675" i="2"/>
  <c r="A676" i="2"/>
  <c r="L674" i="2"/>
  <c r="P674" i="2"/>
  <c r="H676" i="2" l="1"/>
  <c r="O676" i="2"/>
  <c r="N676" i="2"/>
  <c r="A677" i="2"/>
  <c r="L675" i="2"/>
  <c r="P675" i="2"/>
  <c r="H677" i="2" l="1"/>
  <c r="O677" i="2"/>
  <c r="N677" i="2"/>
  <c r="A678" i="2"/>
  <c r="L676" i="2"/>
  <c r="P676" i="2"/>
  <c r="H678" i="2" l="1"/>
  <c r="N678" i="2"/>
  <c r="O678" i="2"/>
  <c r="A679" i="2"/>
  <c r="L677" i="2"/>
  <c r="P677" i="2"/>
  <c r="H679" i="2" l="1"/>
  <c r="N679" i="2"/>
  <c r="O679" i="2"/>
  <c r="A680" i="2"/>
  <c r="L678" i="2"/>
  <c r="P678" i="2"/>
  <c r="H680" i="2" l="1"/>
  <c r="N680" i="2"/>
  <c r="O680" i="2"/>
  <c r="A681" i="2"/>
  <c r="L679" i="2"/>
  <c r="P679" i="2"/>
  <c r="H681" i="2" l="1"/>
  <c r="N681" i="2"/>
  <c r="O681" i="2"/>
  <c r="A682" i="2"/>
  <c r="L680" i="2"/>
  <c r="P680" i="2"/>
  <c r="H682" i="2" l="1"/>
  <c r="N682" i="2"/>
  <c r="O682" i="2"/>
  <c r="A683" i="2"/>
  <c r="L681" i="2"/>
  <c r="P681" i="2"/>
  <c r="H683" i="2" l="1"/>
  <c r="N683" i="2"/>
  <c r="O683" i="2"/>
  <c r="A684" i="2"/>
  <c r="L682" i="2"/>
  <c r="P682" i="2"/>
  <c r="H684" i="2" l="1"/>
  <c r="N684" i="2"/>
  <c r="O684" i="2"/>
  <c r="A685" i="2"/>
  <c r="L683" i="2"/>
  <c r="P683" i="2"/>
  <c r="H685" i="2" l="1"/>
  <c r="N685" i="2"/>
  <c r="O685" i="2"/>
  <c r="A686" i="2"/>
  <c r="L684" i="2"/>
  <c r="P684" i="2"/>
  <c r="H686" i="2" l="1"/>
  <c r="N686" i="2"/>
  <c r="O686" i="2"/>
  <c r="A687" i="2"/>
  <c r="L685" i="2"/>
  <c r="P685" i="2"/>
  <c r="H687" i="2" l="1"/>
  <c r="N687" i="2"/>
  <c r="O687" i="2"/>
  <c r="A688" i="2"/>
  <c r="L686" i="2"/>
  <c r="P686" i="2"/>
  <c r="H688" i="2" l="1"/>
  <c r="N688" i="2"/>
  <c r="O688" i="2"/>
  <c r="A689" i="2"/>
  <c r="L687" i="2"/>
  <c r="P687" i="2"/>
  <c r="H689" i="2" l="1"/>
  <c r="O689" i="2"/>
  <c r="N689" i="2"/>
  <c r="A690" i="2"/>
  <c r="L688" i="2"/>
  <c r="P688" i="2"/>
  <c r="H690" i="2" l="1"/>
  <c r="N690" i="2"/>
  <c r="O690" i="2"/>
  <c r="A691" i="2"/>
  <c r="L689" i="2"/>
  <c r="P689" i="2"/>
  <c r="H691" i="2" l="1"/>
  <c r="O691" i="2"/>
  <c r="N691" i="2"/>
  <c r="A692" i="2"/>
  <c r="L690" i="2"/>
  <c r="P690" i="2"/>
  <c r="A693" i="2" l="1"/>
  <c r="H692" i="2"/>
  <c r="O692" i="2"/>
  <c r="N692" i="2"/>
  <c r="L691" i="2"/>
  <c r="P691" i="2"/>
  <c r="L692" i="2" l="1"/>
  <c r="P692" i="2"/>
  <c r="H693" i="2"/>
  <c r="N693" i="2"/>
  <c r="O693" i="2"/>
  <c r="A694" i="2"/>
  <c r="H694" i="2" l="1"/>
  <c r="N694" i="2"/>
  <c r="O694" i="2"/>
  <c r="A695" i="2"/>
  <c r="L693" i="2"/>
  <c r="P693" i="2"/>
  <c r="H695" i="2" l="1"/>
  <c r="O695" i="2"/>
  <c r="N695" i="2"/>
  <c r="A696" i="2"/>
  <c r="L694" i="2"/>
  <c r="P694" i="2"/>
  <c r="H696" i="2" l="1"/>
  <c r="N696" i="2"/>
  <c r="O696" i="2"/>
  <c r="A697" i="2"/>
  <c r="L695" i="2"/>
  <c r="P695" i="2"/>
  <c r="H697" i="2" l="1"/>
  <c r="N697" i="2"/>
  <c r="O697" i="2"/>
  <c r="A698" i="2"/>
  <c r="L696" i="2"/>
  <c r="P696" i="2"/>
  <c r="H698" i="2" l="1"/>
  <c r="N698" i="2"/>
  <c r="O698" i="2"/>
  <c r="A699" i="2"/>
  <c r="L697" i="2"/>
  <c r="P697" i="2"/>
  <c r="H699" i="2" l="1"/>
  <c r="N699" i="2"/>
  <c r="O699" i="2"/>
  <c r="A700" i="2"/>
  <c r="L698" i="2"/>
  <c r="P698" i="2"/>
  <c r="H700" i="2" l="1"/>
  <c r="O700" i="2"/>
  <c r="N700" i="2"/>
  <c r="A701" i="2"/>
  <c r="L699" i="2"/>
  <c r="P699" i="2"/>
  <c r="H701" i="2" l="1"/>
  <c r="N701" i="2"/>
  <c r="O701" i="2"/>
  <c r="A702" i="2"/>
  <c r="L700" i="2"/>
  <c r="P700" i="2"/>
  <c r="H702" i="2" l="1"/>
  <c r="N702" i="2"/>
  <c r="O702" i="2"/>
  <c r="A703" i="2"/>
  <c r="L701" i="2"/>
  <c r="P701" i="2"/>
  <c r="H703" i="2" l="1"/>
  <c r="N703" i="2"/>
  <c r="O703" i="2"/>
  <c r="A704" i="2"/>
  <c r="L702" i="2"/>
  <c r="P702" i="2"/>
  <c r="H704" i="2" l="1"/>
  <c r="N704" i="2"/>
  <c r="O704" i="2"/>
  <c r="A705" i="2"/>
  <c r="L703" i="2"/>
  <c r="P703" i="2"/>
  <c r="A706" i="2" l="1"/>
  <c r="H705" i="2"/>
  <c r="N705" i="2"/>
  <c r="O705" i="2"/>
  <c r="L704" i="2"/>
  <c r="P704" i="2"/>
  <c r="L705" i="2" l="1"/>
  <c r="P705" i="2"/>
  <c r="A707" i="2"/>
  <c r="H706" i="2"/>
  <c r="N706" i="2"/>
  <c r="O706" i="2"/>
  <c r="L706" i="2" l="1"/>
  <c r="P706" i="2"/>
  <c r="A708" i="2"/>
  <c r="H707" i="2"/>
  <c r="N707" i="2"/>
  <c r="O707" i="2"/>
  <c r="L707" i="2" l="1"/>
  <c r="P707" i="2"/>
  <c r="A709" i="2"/>
  <c r="H708" i="2"/>
  <c r="N708" i="2"/>
  <c r="O708" i="2"/>
  <c r="L708" i="2" l="1"/>
  <c r="P708" i="2"/>
  <c r="A710" i="2"/>
  <c r="H709" i="2"/>
  <c r="N709" i="2"/>
  <c r="O709" i="2"/>
  <c r="L709" i="2" l="1"/>
  <c r="P709" i="2"/>
  <c r="H710" i="2"/>
  <c r="N710" i="2"/>
  <c r="O710" i="2"/>
  <c r="A711" i="2"/>
  <c r="H711" i="2" l="1"/>
  <c r="N711" i="2"/>
  <c r="O711" i="2"/>
  <c r="A712" i="2"/>
  <c r="L710" i="2"/>
  <c r="P710" i="2"/>
  <c r="H712" i="2" l="1"/>
  <c r="N712" i="2"/>
  <c r="O712" i="2"/>
  <c r="A713" i="2"/>
  <c r="L711" i="2"/>
  <c r="P711" i="2"/>
  <c r="A714" i="2" l="1"/>
  <c r="H713" i="2"/>
  <c r="O713" i="2"/>
  <c r="N713" i="2"/>
  <c r="L712" i="2"/>
  <c r="P712" i="2"/>
  <c r="L713" i="2" l="1"/>
  <c r="P713" i="2"/>
  <c r="A715" i="2"/>
  <c r="H714" i="2"/>
  <c r="N714" i="2"/>
  <c r="O714" i="2"/>
  <c r="L714" i="2" l="1"/>
  <c r="P714" i="2"/>
  <c r="A716" i="2"/>
  <c r="H715" i="2"/>
  <c r="O715" i="2"/>
  <c r="N715" i="2"/>
  <c r="L715" i="2" l="1"/>
  <c r="P715" i="2"/>
  <c r="A717" i="2"/>
  <c r="H716" i="2"/>
  <c r="O716" i="2"/>
  <c r="N716" i="2"/>
  <c r="L716" i="2" l="1"/>
  <c r="P716" i="2"/>
  <c r="A718" i="2"/>
  <c r="H717" i="2"/>
  <c r="O717" i="2"/>
  <c r="N717" i="2"/>
  <c r="L717" i="2" l="1"/>
  <c r="P717" i="2"/>
  <c r="A719" i="2"/>
  <c r="H718" i="2"/>
  <c r="N718" i="2"/>
  <c r="O718" i="2"/>
  <c r="L718" i="2" l="1"/>
  <c r="P718" i="2"/>
  <c r="A720" i="2"/>
  <c r="H719" i="2"/>
  <c r="N719" i="2"/>
  <c r="O719" i="2"/>
  <c r="L719" i="2" l="1"/>
  <c r="P719" i="2"/>
  <c r="A721" i="2"/>
  <c r="H720" i="2"/>
  <c r="N720" i="2"/>
  <c r="O720" i="2"/>
  <c r="L720" i="2" l="1"/>
  <c r="P720" i="2"/>
  <c r="A722" i="2"/>
  <c r="H721" i="2"/>
  <c r="N721" i="2"/>
  <c r="O721" i="2"/>
  <c r="L721" i="2" l="1"/>
  <c r="P721" i="2"/>
  <c r="A723" i="2"/>
  <c r="H722" i="2"/>
  <c r="N722" i="2"/>
  <c r="O722" i="2"/>
  <c r="L722" i="2" l="1"/>
  <c r="P722" i="2"/>
  <c r="A724" i="2"/>
  <c r="H723" i="2"/>
  <c r="N723" i="2"/>
  <c r="O723" i="2"/>
  <c r="L723" i="2" l="1"/>
  <c r="P723" i="2"/>
  <c r="A725" i="2"/>
  <c r="H724" i="2"/>
  <c r="N724" i="2"/>
  <c r="O724" i="2"/>
  <c r="L724" i="2" l="1"/>
  <c r="P724" i="2"/>
  <c r="A726" i="2"/>
  <c r="H725" i="2"/>
  <c r="N725" i="2"/>
  <c r="O725" i="2"/>
  <c r="L725" i="2" l="1"/>
  <c r="P725" i="2"/>
  <c r="A727" i="2"/>
  <c r="H726" i="2"/>
  <c r="N726" i="2"/>
  <c r="O726" i="2"/>
  <c r="L726" i="2" l="1"/>
  <c r="P726" i="2"/>
  <c r="A728" i="2"/>
  <c r="H727" i="2"/>
  <c r="N727" i="2"/>
  <c r="O727" i="2"/>
  <c r="L727" i="2" l="1"/>
  <c r="P727" i="2"/>
  <c r="A729" i="2"/>
  <c r="H728" i="2"/>
  <c r="N728" i="2"/>
  <c r="O728" i="2"/>
  <c r="L728" i="2" l="1"/>
  <c r="P728" i="2"/>
  <c r="A730" i="2"/>
  <c r="H729" i="2"/>
  <c r="N729" i="2"/>
  <c r="O729" i="2"/>
  <c r="L729" i="2" l="1"/>
  <c r="P729" i="2"/>
  <c r="A731" i="2"/>
  <c r="H730" i="2"/>
  <c r="N730" i="2"/>
  <c r="O730" i="2"/>
  <c r="L730" i="2" l="1"/>
  <c r="P730" i="2"/>
  <c r="A732" i="2"/>
  <c r="H731" i="2"/>
  <c r="N731" i="2"/>
  <c r="O731" i="2"/>
  <c r="L731" i="2" l="1"/>
  <c r="P731" i="2"/>
  <c r="A733" i="2"/>
  <c r="H732" i="2"/>
  <c r="N732" i="2"/>
  <c r="O732" i="2"/>
  <c r="L732" i="2" l="1"/>
  <c r="P732" i="2"/>
  <c r="A734" i="2"/>
  <c r="H733" i="2"/>
  <c r="N733" i="2"/>
  <c r="O733" i="2"/>
  <c r="L733" i="2" l="1"/>
  <c r="P733" i="2"/>
  <c r="A735" i="2"/>
  <c r="H734" i="2"/>
  <c r="N734" i="2"/>
  <c r="O734" i="2"/>
  <c r="L734" i="2" l="1"/>
  <c r="P734" i="2"/>
  <c r="A736" i="2"/>
  <c r="H735" i="2"/>
  <c r="N735" i="2"/>
  <c r="O735" i="2"/>
  <c r="L735" i="2" l="1"/>
  <c r="P735" i="2"/>
  <c r="A737" i="2"/>
  <c r="H736" i="2"/>
  <c r="N736" i="2"/>
  <c r="O736" i="2"/>
  <c r="L736" i="2" l="1"/>
  <c r="P736" i="2"/>
  <c r="A738" i="2"/>
  <c r="H737" i="2"/>
  <c r="O737" i="2"/>
  <c r="N737" i="2"/>
  <c r="L737" i="2" l="1"/>
  <c r="P737" i="2"/>
  <c r="A739" i="2"/>
  <c r="H738" i="2"/>
  <c r="N738" i="2"/>
  <c r="O738" i="2"/>
  <c r="L738" i="2" l="1"/>
  <c r="P738" i="2"/>
  <c r="A740" i="2"/>
  <c r="H739" i="2"/>
  <c r="O739" i="2"/>
  <c r="N739" i="2"/>
  <c r="L739" i="2" l="1"/>
  <c r="P739" i="2"/>
  <c r="A741" i="2"/>
  <c r="H740" i="2"/>
  <c r="O740" i="2"/>
  <c r="N740" i="2"/>
  <c r="L740" i="2" l="1"/>
  <c r="P740" i="2"/>
  <c r="A742" i="2"/>
  <c r="H741" i="2"/>
  <c r="O741" i="2"/>
  <c r="N741" i="2"/>
  <c r="L741" i="2" l="1"/>
  <c r="P741" i="2"/>
  <c r="A743" i="2"/>
  <c r="H742" i="2"/>
  <c r="N742" i="2"/>
  <c r="O742" i="2"/>
  <c r="L742" i="2" l="1"/>
  <c r="P742" i="2"/>
  <c r="A744" i="2"/>
  <c r="H743" i="2"/>
  <c r="O743" i="2"/>
  <c r="N743" i="2"/>
  <c r="L743" i="2" l="1"/>
  <c r="P743" i="2"/>
  <c r="A745" i="2"/>
  <c r="H744" i="2"/>
  <c r="N744" i="2"/>
  <c r="O744" i="2"/>
  <c r="L744" i="2" l="1"/>
  <c r="P744" i="2"/>
  <c r="A746" i="2"/>
  <c r="H745" i="2"/>
  <c r="N745" i="2"/>
  <c r="O745" i="2"/>
  <c r="L745" i="2" l="1"/>
  <c r="P745" i="2"/>
  <c r="A747" i="2"/>
  <c r="H746" i="2"/>
  <c r="N746" i="2"/>
  <c r="O746" i="2"/>
  <c r="L746" i="2" l="1"/>
  <c r="P746" i="2"/>
  <c r="A748" i="2"/>
  <c r="H747" i="2"/>
  <c r="N747" i="2"/>
  <c r="O747" i="2"/>
  <c r="L747" i="2" l="1"/>
  <c r="P747" i="2"/>
  <c r="A749" i="2"/>
  <c r="H748" i="2"/>
  <c r="O748" i="2"/>
  <c r="N748" i="2"/>
  <c r="L748" i="2" l="1"/>
  <c r="P748" i="2"/>
  <c r="A750" i="2"/>
  <c r="H749" i="2"/>
  <c r="O749" i="2"/>
  <c r="N749" i="2"/>
  <c r="L749" i="2" l="1"/>
  <c r="P749" i="2"/>
  <c r="A751" i="2"/>
  <c r="H750" i="2"/>
  <c r="N750" i="2"/>
  <c r="O750" i="2"/>
  <c r="L750" i="2" l="1"/>
  <c r="P750" i="2"/>
  <c r="A752" i="2"/>
  <c r="H751" i="2"/>
  <c r="N751" i="2"/>
  <c r="O751" i="2"/>
  <c r="L751" i="2" l="1"/>
  <c r="P751" i="2"/>
  <c r="A753" i="2"/>
  <c r="H752" i="2"/>
  <c r="N752" i="2"/>
  <c r="O752" i="2"/>
  <c r="L752" i="2" l="1"/>
  <c r="P752" i="2"/>
  <c r="A754" i="2"/>
  <c r="H753" i="2"/>
  <c r="N753" i="2"/>
  <c r="O753" i="2"/>
  <c r="L753" i="2" l="1"/>
  <c r="P753" i="2"/>
  <c r="A755" i="2"/>
  <c r="H754" i="2"/>
  <c r="N754" i="2"/>
  <c r="O754" i="2"/>
  <c r="L754" i="2" l="1"/>
  <c r="P754" i="2"/>
  <c r="A756" i="2"/>
  <c r="H755" i="2"/>
  <c r="N755" i="2"/>
  <c r="O755" i="2"/>
  <c r="L755" i="2" l="1"/>
  <c r="P755" i="2"/>
  <c r="A757" i="2"/>
  <c r="H756" i="2"/>
  <c r="N756" i="2"/>
  <c r="O756" i="2"/>
  <c r="L756" i="2" l="1"/>
  <c r="P756" i="2"/>
  <c r="A758" i="2"/>
  <c r="H757" i="2"/>
  <c r="N757" i="2"/>
  <c r="O757" i="2"/>
  <c r="L757" i="2" l="1"/>
  <c r="P757" i="2"/>
  <c r="A759" i="2"/>
  <c r="H758" i="2"/>
  <c r="N758" i="2"/>
  <c r="O758" i="2"/>
  <c r="L758" i="2" l="1"/>
  <c r="P758" i="2"/>
  <c r="A760" i="2"/>
  <c r="H759" i="2"/>
  <c r="N759" i="2"/>
  <c r="O759" i="2"/>
  <c r="L759" i="2" l="1"/>
  <c r="P759" i="2"/>
  <c r="A761" i="2"/>
  <c r="H760" i="2"/>
  <c r="N760" i="2"/>
  <c r="O760" i="2"/>
  <c r="L760" i="2" l="1"/>
  <c r="P760" i="2"/>
  <c r="A762" i="2"/>
  <c r="H761" i="2"/>
  <c r="O761" i="2"/>
  <c r="N761" i="2"/>
  <c r="L761" i="2" l="1"/>
  <c r="P761" i="2"/>
  <c r="A763" i="2"/>
  <c r="H762" i="2"/>
  <c r="N762" i="2"/>
  <c r="O762" i="2"/>
  <c r="L762" i="2" l="1"/>
  <c r="P762" i="2"/>
  <c r="A764" i="2"/>
  <c r="H763" i="2"/>
  <c r="O763" i="2"/>
  <c r="N763" i="2"/>
  <c r="L763" i="2" l="1"/>
  <c r="P763" i="2"/>
  <c r="A765" i="2"/>
  <c r="H764" i="2"/>
  <c r="O764" i="2"/>
  <c r="N764" i="2"/>
  <c r="L764" i="2" l="1"/>
  <c r="P764" i="2"/>
  <c r="A766" i="2"/>
  <c r="H765" i="2"/>
  <c r="O765" i="2"/>
  <c r="N765" i="2"/>
  <c r="L765" i="2" l="1"/>
  <c r="P765" i="2"/>
  <c r="A767" i="2"/>
  <c r="H766" i="2"/>
  <c r="N766" i="2"/>
  <c r="O766" i="2"/>
  <c r="L766" i="2" l="1"/>
  <c r="P766" i="2"/>
  <c r="A768" i="2"/>
  <c r="H767" i="2"/>
  <c r="O767" i="2"/>
  <c r="N767" i="2"/>
  <c r="L767" i="2" l="1"/>
  <c r="P767" i="2"/>
  <c r="A769" i="2"/>
  <c r="H768" i="2"/>
  <c r="N768" i="2"/>
  <c r="O768" i="2"/>
  <c r="L768" i="2" l="1"/>
  <c r="P768" i="2"/>
  <c r="A770" i="2"/>
  <c r="H769" i="2"/>
  <c r="N769" i="2"/>
  <c r="O769" i="2"/>
  <c r="L769" i="2" l="1"/>
  <c r="P769" i="2"/>
  <c r="A771" i="2"/>
  <c r="H770" i="2"/>
  <c r="N770" i="2"/>
  <c r="O770" i="2"/>
  <c r="L770" i="2" l="1"/>
  <c r="P770" i="2"/>
  <c r="A772" i="2"/>
  <c r="H771" i="2"/>
  <c r="N771" i="2"/>
  <c r="O771" i="2"/>
  <c r="L771" i="2" l="1"/>
  <c r="P771" i="2"/>
  <c r="A773" i="2"/>
  <c r="H772" i="2"/>
  <c r="O772" i="2"/>
  <c r="N772" i="2"/>
  <c r="L772" i="2" l="1"/>
  <c r="P772" i="2"/>
  <c r="A774" i="2"/>
  <c r="H773" i="2"/>
  <c r="N773" i="2"/>
  <c r="O773" i="2"/>
  <c r="L773" i="2" l="1"/>
  <c r="P773" i="2"/>
  <c r="A775" i="2"/>
  <c r="H774" i="2"/>
  <c r="N774" i="2"/>
  <c r="O774" i="2"/>
  <c r="L774" i="2" l="1"/>
  <c r="P774" i="2"/>
  <c r="A776" i="2"/>
  <c r="H775" i="2"/>
  <c r="N775" i="2"/>
  <c r="O775" i="2"/>
  <c r="L775" i="2" l="1"/>
  <c r="P775" i="2"/>
  <c r="A777" i="2"/>
  <c r="H776" i="2"/>
  <c r="N776" i="2"/>
  <c r="O776" i="2"/>
  <c r="L776" i="2" l="1"/>
  <c r="P776" i="2"/>
  <c r="A778" i="2"/>
  <c r="H777" i="2"/>
  <c r="N777" i="2"/>
  <c r="O777" i="2"/>
  <c r="L777" i="2" l="1"/>
  <c r="P777" i="2"/>
  <c r="A779" i="2"/>
  <c r="H778" i="2"/>
  <c r="N778" i="2"/>
  <c r="O778" i="2"/>
  <c r="L778" i="2" l="1"/>
  <c r="P778" i="2"/>
  <c r="A780" i="2"/>
  <c r="H779" i="2"/>
  <c r="N779" i="2"/>
  <c r="O779" i="2"/>
  <c r="L779" i="2" l="1"/>
  <c r="P779" i="2"/>
  <c r="A781" i="2"/>
  <c r="H780" i="2"/>
  <c r="N780" i="2"/>
  <c r="O780" i="2"/>
  <c r="L780" i="2" l="1"/>
  <c r="P780" i="2"/>
  <c r="A782" i="2"/>
  <c r="H781" i="2"/>
  <c r="N781" i="2"/>
  <c r="O781" i="2"/>
  <c r="L781" i="2" l="1"/>
  <c r="P781" i="2"/>
  <c r="A783" i="2"/>
  <c r="H782" i="2"/>
  <c r="N782" i="2"/>
  <c r="O782" i="2"/>
  <c r="L782" i="2" l="1"/>
  <c r="P782" i="2"/>
  <c r="A784" i="2"/>
  <c r="H783" i="2"/>
  <c r="N783" i="2"/>
  <c r="O783" i="2"/>
  <c r="L783" i="2" l="1"/>
  <c r="P783" i="2"/>
  <c r="A785" i="2"/>
  <c r="H784" i="2"/>
  <c r="N784" i="2"/>
  <c r="O784" i="2"/>
  <c r="L784" i="2" l="1"/>
  <c r="P784" i="2"/>
  <c r="H785" i="2"/>
  <c r="O785" i="2"/>
  <c r="N785" i="2"/>
  <c r="A786" i="2"/>
  <c r="H786" i="2" l="1"/>
  <c r="N786" i="2"/>
  <c r="O786" i="2"/>
  <c r="A787" i="2"/>
  <c r="L785" i="2"/>
  <c r="P785" i="2"/>
  <c r="H787" i="2" l="1"/>
  <c r="O787" i="2"/>
  <c r="N787" i="2"/>
  <c r="A788" i="2"/>
  <c r="L786" i="2"/>
  <c r="P786" i="2"/>
  <c r="A789" i="2" l="1"/>
  <c r="H788" i="2"/>
  <c r="O788" i="2"/>
  <c r="N788" i="2"/>
  <c r="L787" i="2"/>
  <c r="P787" i="2"/>
  <c r="L788" i="2" l="1"/>
  <c r="P788" i="2"/>
  <c r="A790" i="2"/>
  <c r="H789" i="2"/>
  <c r="O789" i="2"/>
  <c r="N789" i="2"/>
  <c r="L789" i="2" l="1"/>
  <c r="P789" i="2"/>
  <c r="A791" i="2"/>
  <c r="H790" i="2"/>
  <c r="N790" i="2"/>
  <c r="O790" i="2"/>
  <c r="A792" i="2" l="1"/>
  <c r="H791" i="2"/>
  <c r="N791" i="2"/>
  <c r="O791" i="2"/>
  <c r="L790" i="2"/>
  <c r="P790" i="2"/>
  <c r="L791" i="2" l="1"/>
  <c r="P791" i="2"/>
  <c r="A793" i="2"/>
  <c r="H792" i="2"/>
  <c r="N792" i="2"/>
  <c r="O792" i="2"/>
  <c r="L792" i="2" l="1"/>
  <c r="P792" i="2"/>
  <c r="A794" i="2"/>
  <c r="H793" i="2"/>
  <c r="N793" i="2"/>
  <c r="O793" i="2"/>
  <c r="L793" i="2" l="1"/>
  <c r="P793" i="2"/>
  <c r="A795" i="2"/>
  <c r="H794" i="2"/>
  <c r="N794" i="2"/>
  <c r="O794" i="2"/>
  <c r="L794" i="2" l="1"/>
  <c r="P794" i="2"/>
  <c r="A796" i="2"/>
  <c r="H795" i="2"/>
  <c r="N795" i="2"/>
  <c r="O795" i="2"/>
  <c r="L795" i="2" l="1"/>
  <c r="P795" i="2"/>
  <c r="A797" i="2"/>
  <c r="H796" i="2"/>
  <c r="N796" i="2"/>
  <c r="O796" i="2"/>
  <c r="L796" i="2" l="1"/>
  <c r="P796" i="2"/>
  <c r="A798" i="2"/>
  <c r="H797" i="2"/>
  <c r="O797" i="2"/>
  <c r="N797" i="2"/>
  <c r="L797" i="2" l="1"/>
  <c r="P797" i="2"/>
  <c r="A799" i="2"/>
  <c r="H798" i="2"/>
  <c r="N798" i="2"/>
  <c r="O798" i="2"/>
  <c r="L798" i="2" l="1"/>
  <c r="P798" i="2"/>
  <c r="A800" i="2"/>
  <c r="H799" i="2"/>
  <c r="N799" i="2"/>
  <c r="O799" i="2"/>
  <c r="L799" i="2" l="1"/>
  <c r="P799" i="2"/>
  <c r="A801" i="2"/>
  <c r="H800" i="2"/>
  <c r="N800" i="2"/>
  <c r="O800" i="2"/>
  <c r="L800" i="2" l="1"/>
  <c r="P800" i="2"/>
  <c r="A802" i="2"/>
  <c r="H801" i="2"/>
  <c r="N801" i="2"/>
  <c r="O801" i="2"/>
  <c r="L801" i="2" l="1"/>
  <c r="P801" i="2"/>
  <c r="A803" i="2"/>
  <c r="H802" i="2"/>
  <c r="N802" i="2"/>
  <c r="O802" i="2"/>
  <c r="L802" i="2" l="1"/>
  <c r="P802" i="2"/>
  <c r="A804" i="2"/>
  <c r="H803" i="2"/>
  <c r="N803" i="2"/>
  <c r="O803" i="2"/>
  <c r="L803" i="2" l="1"/>
  <c r="P803" i="2"/>
  <c r="A805" i="2"/>
  <c r="H804" i="2"/>
  <c r="N804" i="2"/>
  <c r="O804" i="2"/>
  <c r="L804" i="2" l="1"/>
  <c r="P804" i="2"/>
  <c r="A806" i="2"/>
  <c r="H805" i="2"/>
  <c r="N805" i="2"/>
  <c r="O805" i="2"/>
  <c r="L805" i="2" l="1"/>
  <c r="P805" i="2"/>
  <c r="A807" i="2"/>
  <c r="H806" i="2"/>
  <c r="N806" i="2"/>
  <c r="O806" i="2"/>
  <c r="L806" i="2" l="1"/>
  <c r="P806" i="2"/>
  <c r="A808" i="2"/>
  <c r="H807" i="2"/>
  <c r="N807" i="2"/>
  <c r="O807" i="2"/>
  <c r="L807" i="2" l="1"/>
  <c r="P807" i="2"/>
  <c r="A809" i="2"/>
  <c r="H808" i="2"/>
  <c r="N808" i="2"/>
  <c r="O808" i="2"/>
  <c r="L808" i="2" l="1"/>
  <c r="P808" i="2"/>
  <c r="A810" i="2"/>
  <c r="H809" i="2"/>
  <c r="O809" i="2"/>
  <c r="N809" i="2"/>
  <c r="L809" i="2" l="1"/>
  <c r="P809" i="2"/>
  <c r="A811" i="2"/>
  <c r="H810" i="2"/>
  <c r="N810" i="2"/>
  <c r="O810" i="2"/>
  <c r="L810" i="2" l="1"/>
  <c r="P810" i="2"/>
  <c r="A812" i="2"/>
  <c r="H811" i="2"/>
  <c r="O811" i="2"/>
  <c r="N811" i="2"/>
  <c r="L811" i="2" l="1"/>
  <c r="P811" i="2"/>
  <c r="A813" i="2"/>
  <c r="H812" i="2"/>
  <c r="O812" i="2"/>
  <c r="N812" i="2"/>
  <c r="L812" i="2" l="1"/>
  <c r="P812" i="2"/>
  <c r="A814" i="2"/>
  <c r="H813" i="2"/>
  <c r="O813" i="2"/>
  <c r="N813" i="2"/>
  <c r="L813" i="2" l="1"/>
  <c r="P813" i="2"/>
  <c r="A815" i="2"/>
  <c r="H814" i="2"/>
  <c r="N814" i="2"/>
  <c r="O814" i="2"/>
  <c r="L814" i="2" l="1"/>
  <c r="P814" i="2"/>
  <c r="A816" i="2"/>
  <c r="H815" i="2"/>
  <c r="O815" i="2"/>
  <c r="N815" i="2"/>
  <c r="L815" i="2" l="1"/>
  <c r="P815" i="2"/>
  <c r="A817" i="2"/>
  <c r="H816" i="2"/>
  <c r="N816" i="2"/>
  <c r="O816" i="2"/>
  <c r="L816" i="2" l="1"/>
  <c r="P816" i="2"/>
  <c r="A818" i="2"/>
  <c r="H817" i="2"/>
  <c r="N817" i="2"/>
  <c r="O817" i="2"/>
  <c r="L817" i="2" l="1"/>
  <c r="P817" i="2"/>
  <c r="A819" i="2"/>
  <c r="H818" i="2"/>
  <c r="N818" i="2"/>
  <c r="O818" i="2"/>
  <c r="L818" i="2" l="1"/>
  <c r="P818" i="2"/>
  <c r="A820" i="2"/>
  <c r="H819" i="2"/>
  <c r="N819" i="2"/>
  <c r="O819" i="2"/>
  <c r="L819" i="2" l="1"/>
  <c r="P819" i="2"/>
  <c r="A821" i="2"/>
  <c r="H820" i="2"/>
  <c r="O820" i="2"/>
  <c r="N820" i="2"/>
  <c r="L820" i="2" l="1"/>
  <c r="P820" i="2"/>
  <c r="A822" i="2"/>
  <c r="H821" i="2"/>
  <c r="O821" i="2"/>
  <c r="N821" i="2"/>
  <c r="L821" i="2" l="1"/>
  <c r="P821" i="2"/>
  <c r="A823" i="2"/>
  <c r="H822" i="2"/>
  <c r="N822" i="2"/>
  <c r="O822" i="2"/>
  <c r="L822" i="2" l="1"/>
  <c r="P822" i="2"/>
  <c r="A824" i="2"/>
  <c r="H823" i="2"/>
  <c r="N823" i="2"/>
  <c r="O823" i="2"/>
  <c r="L823" i="2" l="1"/>
  <c r="P823" i="2"/>
  <c r="A825" i="2"/>
  <c r="H824" i="2"/>
  <c r="N824" i="2"/>
  <c r="O824" i="2"/>
  <c r="L824" i="2" l="1"/>
  <c r="P824" i="2"/>
  <c r="A826" i="2"/>
  <c r="H825" i="2"/>
  <c r="N825" i="2"/>
  <c r="O825" i="2"/>
  <c r="L825" i="2" l="1"/>
  <c r="P825" i="2"/>
  <c r="A827" i="2"/>
  <c r="H826" i="2"/>
  <c r="N826" i="2"/>
  <c r="O826" i="2"/>
  <c r="L826" i="2" l="1"/>
  <c r="P826" i="2"/>
  <c r="A828" i="2"/>
  <c r="H827" i="2"/>
  <c r="N827" i="2"/>
  <c r="O827" i="2"/>
  <c r="L827" i="2" l="1"/>
  <c r="P827" i="2"/>
  <c r="A829" i="2"/>
  <c r="H828" i="2"/>
  <c r="N828" i="2"/>
  <c r="O828" i="2"/>
  <c r="L828" i="2" l="1"/>
  <c r="P828" i="2"/>
  <c r="A830" i="2"/>
  <c r="H829" i="2"/>
  <c r="N829" i="2"/>
  <c r="O829" i="2"/>
  <c r="L829" i="2" l="1"/>
  <c r="P829" i="2"/>
  <c r="A831" i="2"/>
  <c r="H830" i="2"/>
  <c r="N830" i="2"/>
  <c r="O830" i="2"/>
  <c r="L830" i="2" l="1"/>
  <c r="P830" i="2"/>
  <c r="A832" i="2"/>
  <c r="H831" i="2"/>
  <c r="N831" i="2"/>
  <c r="O831" i="2"/>
  <c r="L831" i="2" l="1"/>
  <c r="P831" i="2"/>
  <c r="A833" i="2"/>
  <c r="H832" i="2"/>
  <c r="N832" i="2"/>
  <c r="O832" i="2"/>
  <c r="L832" i="2" l="1"/>
  <c r="P832" i="2"/>
  <c r="A834" i="2"/>
  <c r="H833" i="2"/>
  <c r="O833" i="2"/>
  <c r="N833" i="2"/>
  <c r="L833" i="2" l="1"/>
  <c r="P833" i="2"/>
  <c r="A835" i="2"/>
  <c r="H834" i="2"/>
  <c r="N834" i="2"/>
  <c r="O834" i="2"/>
  <c r="L834" i="2" l="1"/>
  <c r="P834" i="2"/>
  <c r="A836" i="2"/>
  <c r="H835" i="2"/>
  <c r="O835" i="2"/>
  <c r="N835" i="2"/>
  <c r="L835" i="2" l="1"/>
  <c r="P835" i="2"/>
  <c r="A837" i="2"/>
  <c r="H836" i="2"/>
  <c r="O836" i="2"/>
  <c r="N836" i="2"/>
  <c r="L836" i="2" l="1"/>
  <c r="P836" i="2"/>
  <c r="A838" i="2"/>
  <c r="H837" i="2"/>
  <c r="N837" i="2"/>
  <c r="O837" i="2"/>
  <c r="L837" i="2" l="1"/>
  <c r="P837" i="2"/>
  <c r="A839" i="2"/>
  <c r="H838" i="2"/>
  <c r="N838" i="2"/>
  <c r="O838" i="2"/>
  <c r="L838" i="2" l="1"/>
  <c r="P838" i="2"/>
  <c r="A840" i="2"/>
  <c r="H839" i="2"/>
  <c r="O839" i="2"/>
  <c r="N839" i="2"/>
  <c r="L839" i="2" l="1"/>
  <c r="P839" i="2"/>
  <c r="A841" i="2"/>
  <c r="H840" i="2"/>
  <c r="N840" i="2"/>
  <c r="O840" i="2"/>
  <c r="L840" i="2" l="1"/>
  <c r="P840" i="2"/>
  <c r="A842" i="2"/>
  <c r="H841" i="2"/>
  <c r="N841" i="2"/>
  <c r="O841" i="2"/>
  <c r="L841" i="2" l="1"/>
  <c r="P841" i="2"/>
  <c r="A843" i="2"/>
  <c r="H842" i="2"/>
  <c r="N842" i="2"/>
  <c r="O842" i="2"/>
  <c r="L842" i="2" l="1"/>
  <c r="P842" i="2"/>
  <c r="A844" i="2"/>
  <c r="H843" i="2"/>
  <c r="N843" i="2"/>
  <c r="O843" i="2"/>
  <c r="L843" i="2" l="1"/>
  <c r="P843" i="2"/>
  <c r="A845" i="2"/>
  <c r="H844" i="2"/>
  <c r="O844" i="2"/>
  <c r="N844" i="2"/>
  <c r="L844" i="2" l="1"/>
  <c r="P844" i="2"/>
  <c r="A846" i="2"/>
  <c r="H845" i="2"/>
  <c r="N845" i="2"/>
  <c r="O845" i="2"/>
  <c r="L845" i="2" l="1"/>
  <c r="P845" i="2"/>
  <c r="A847" i="2"/>
  <c r="H846" i="2"/>
  <c r="N846" i="2"/>
  <c r="O846" i="2"/>
  <c r="L846" i="2" l="1"/>
  <c r="P846" i="2"/>
  <c r="A848" i="2"/>
  <c r="H847" i="2"/>
  <c r="N847" i="2"/>
  <c r="O847" i="2"/>
  <c r="L847" i="2" l="1"/>
  <c r="P847" i="2"/>
  <c r="A849" i="2"/>
  <c r="H848" i="2"/>
  <c r="N848" i="2"/>
  <c r="O848" i="2"/>
  <c r="L848" i="2" l="1"/>
  <c r="P848" i="2"/>
  <c r="A850" i="2"/>
  <c r="H849" i="2"/>
  <c r="N849" i="2"/>
  <c r="O849" i="2"/>
  <c r="L849" i="2" l="1"/>
  <c r="P849" i="2"/>
  <c r="A851" i="2"/>
  <c r="H850" i="2"/>
  <c r="N850" i="2"/>
  <c r="O850" i="2"/>
  <c r="L850" i="2" l="1"/>
  <c r="P850" i="2"/>
  <c r="A852" i="2"/>
  <c r="H851" i="2"/>
  <c r="N851" i="2"/>
  <c r="O851" i="2"/>
  <c r="L851" i="2" l="1"/>
  <c r="P851" i="2"/>
  <c r="A853" i="2"/>
  <c r="H852" i="2"/>
  <c r="N852" i="2"/>
  <c r="O852" i="2"/>
  <c r="L852" i="2" l="1"/>
  <c r="P852" i="2"/>
  <c r="A854" i="2"/>
  <c r="H853" i="2"/>
  <c r="N853" i="2"/>
  <c r="O853" i="2"/>
  <c r="L853" i="2" l="1"/>
  <c r="P853" i="2"/>
  <c r="A855" i="2"/>
  <c r="H854" i="2"/>
  <c r="N854" i="2"/>
  <c r="O854" i="2"/>
  <c r="L854" i="2" l="1"/>
  <c r="P854" i="2"/>
  <c r="A856" i="2"/>
  <c r="H855" i="2"/>
  <c r="N855" i="2"/>
  <c r="O855" i="2"/>
  <c r="L855" i="2" l="1"/>
  <c r="P855" i="2"/>
  <c r="A857" i="2"/>
  <c r="H856" i="2"/>
  <c r="N856" i="2"/>
  <c r="O856" i="2"/>
  <c r="L856" i="2" l="1"/>
  <c r="P856" i="2"/>
  <c r="A858" i="2"/>
  <c r="H857" i="2"/>
  <c r="O857" i="2"/>
  <c r="N857" i="2"/>
  <c r="L857" i="2" l="1"/>
  <c r="P857" i="2"/>
  <c r="A859" i="2"/>
  <c r="H858" i="2"/>
  <c r="N858" i="2"/>
  <c r="O858" i="2"/>
  <c r="L858" i="2" l="1"/>
  <c r="P858" i="2"/>
  <c r="A860" i="2"/>
  <c r="H859" i="2"/>
  <c r="O859" i="2"/>
  <c r="N859" i="2"/>
  <c r="L859" i="2" l="1"/>
  <c r="P859" i="2"/>
  <c r="A861" i="2"/>
  <c r="H860" i="2"/>
  <c r="O860" i="2"/>
  <c r="N860" i="2"/>
  <c r="L860" i="2" l="1"/>
  <c r="P860" i="2"/>
  <c r="A862" i="2"/>
  <c r="H861" i="2"/>
  <c r="N861" i="2"/>
  <c r="O861" i="2"/>
  <c r="L861" i="2" l="1"/>
  <c r="P861" i="2"/>
  <c r="A863" i="2"/>
  <c r="H862" i="2"/>
  <c r="N862" i="2"/>
  <c r="O862" i="2"/>
  <c r="L862" i="2" l="1"/>
  <c r="P862" i="2"/>
  <c r="A864" i="2"/>
  <c r="H863" i="2"/>
  <c r="N863" i="2"/>
  <c r="O863" i="2"/>
  <c r="L863" i="2" l="1"/>
  <c r="P863" i="2"/>
  <c r="A865" i="2"/>
  <c r="H864" i="2"/>
  <c r="N864" i="2"/>
  <c r="O864" i="2"/>
  <c r="L864" i="2" l="1"/>
  <c r="P864" i="2"/>
  <c r="A866" i="2"/>
  <c r="H865" i="2"/>
  <c r="N865" i="2"/>
  <c r="O865" i="2"/>
  <c r="L865" i="2" l="1"/>
  <c r="P865" i="2"/>
  <c r="A867" i="2"/>
  <c r="H866" i="2"/>
  <c r="N866" i="2"/>
  <c r="O866" i="2"/>
  <c r="L866" i="2" l="1"/>
  <c r="P866" i="2"/>
  <c r="A868" i="2"/>
  <c r="H867" i="2"/>
  <c r="N867" i="2"/>
  <c r="O867" i="2"/>
  <c r="L867" i="2" l="1"/>
  <c r="P867" i="2"/>
  <c r="A869" i="2"/>
  <c r="H868" i="2"/>
  <c r="N868" i="2"/>
  <c r="O868" i="2"/>
  <c r="L868" i="2" l="1"/>
  <c r="P868" i="2"/>
  <c r="A870" i="2"/>
  <c r="H869" i="2"/>
  <c r="N869" i="2"/>
  <c r="O869" i="2"/>
  <c r="L869" i="2" l="1"/>
  <c r="P869" i="2"/>
  <c r="A871" i="2"/>
  <c r="H870" i="2"/>
  <c r="N870" i="2"/>
  <c r="O870" i="2"/>
  <c r="L870" i="2" l="1"/>
  <c r="P870" i="2"/>
  <c r="A872" i="2"/>
  <c r="H871" i="2"/>
  <c r="N871" i="2"/>
  <c r="O871" i="2"/>
  <c r="L871" i="2" l="1"/>
  <c r="P871" i="2"/>
  <c r="A873" i="2"/>
  <c r="H872" i="2"/>
  <c r="N872" i="2"/>
  <c r="O872" i="2"/>
  <c r="L872" i="2" l="1"/>
  <c r="P872" i="2"/>
  <c r="A874" i="2"/>
  <c r="H873" i="2"/>
  <c r="N873" i="2"/>
  <c r="O873" i="2"/>
  <c r="L873" i="2" l="1"/>
  <c r="P873" i="2"/>
  <c r="A875" i="2"/>
  <c r="H874" i="2"/>
  <c r="N874" i="2"/>
  <c r="O874" i="2"/>
  <c r="L874" i="2" l="1"/>
  <c r="P874" i="2"/>
  <c r="A876" i="2"/>
  <c r="H875" i="2"/>
  <c r="N875" i="2"/>
  <c r="O875" i="2"/>
  <c r="L875" i="2" l="1"/>
  <c r="P875" i="2"/>
  <c r="A877" i="2"/>
  <c r="H876" i="2"/>
  <c r="N876" i="2"/>
  <c r="O876" i="2"/>
  <c r="L876" i="2" l="1"/>
  <c r="P876" i="2"/>
  <c r="A878" i="2"/>
  <c r="H877" i="2"/>
  <c r="N877" i="2"/>
  <c r="O877" i="2"/>
  <c r="L877" i="2" l="1"/>
  <c r="P877" i="2"/>
  <c r="A879" i="2"/>
  <c r="H878" i="2"/>
  <c r="N878" i="2"/>
  <c r="O878" i="2"/>
  <c r="L878" i="2" l="1"/>
  <c r="P878" i="2"/>
  <c r="A880" i="2"/>
  <c r="H879" i="2"/>
  <c r="N879" i="2"/>
  <c r="O879" i="2"/>
  <c r="L879" i="2" l="1"/>
  <c r="P879" i="2"/>
  <c r="A881" i="2"/>
  <c r="H880" i="2"/>
  <c r="N880" i="2"/>
  <c r="O880" i="2"/>
  <c r="L880" i="2" l="1"/>
  <c r="P880" i="2"/>
  <c r="A882" i="2"/>
  <c r="H881" i="2"/>
  <c r="O881" i="2"/>
  <c r="N881" i="2"/>
  <c r="L881" i="2" l="1"/>
  <c r="P881" i="2"/>
  <c r="A883" i="2"/>
  <c r="H882" i="2"/>
  <c r="N882" i="2"/>
  <c r="O882" i="2"/>
  <c r="L882" i="2" l="1"/>
  <c r="P882" i="2"/>
  <c r="A884" i="2"/>
  <c r="H883" i="2"/>
  <c r="O883" i="2"/>
  <c r="N883" i="2"/>
  <c r="L883" i="2" l="1"/>
  <c r="P883" i="2"/>
  <c r="A885" i="2"/>
  <c r="H884" i="2"/>
  <c r="O884" i="2"/>
  <c r="N884" i="2"/>
  <c r="L884" i="2" l="1"/>
  <c r="P884" i="2"/>
  <c r="A886" i="2"/>
  <c r="H885" i="2"/>
  <c r="N885" i="2"/>
  <c r="O885" i="2"/>
  <c r="L885" i="2" l="1"/>
  <c r="P885" i="2"/>
  <c r="A887" i="2"/>
  <c r="H886" i="2"/>
  <c r="N886" i="2"/>
  <c r="O886" i="2"/>
  <c r="L886" i="2" l="1"/>
  <c r="P886" i="2"/>
  <c r="A888" i="2"/>
  <c r="H887" i="2"/>
  <c r="O887" i="2"/>
  <c r="N887" i="2"/>
  <c r="L887" i="2" l="1"/>
  <c r="P887" i="2"/>
  <c r="A889" i="2"/>
  <c r="H888" i="2"/>
  <c r="N888" i="2"/>
  <c r="O888" i="2"/>
  <c r="L888" i="2" l="1"/>
  <c r="P888" i="2"/>
  <c r="A890" i="2"/>
  <c r="H889" i="2"/>
  <c r="N889" i="2"/>
  <c r="O889" i="2"/>
  <c r="L889" i="2" l="1"/>
  <c r="P889" i="2"/>
  <c r="A891" i="2"/>
  <c r="H890" i="2"/>
  <c r="N890" i="2"/>
  <c r="O890" i="2"/>
  <c r="L890" i="2" l="1"/>
  <c r="P890" i="2"/>
  <c r="A892" i="2"/>
  <c r="H891" i="2"/>
  <c r="N891" i="2"/>
  <c r="O891" i="2"/>
  <c r="L891" i="2" l="1"/>
  <c r="P891" i="2"/>
  <c r="A893" i="2"/>
  <c r="H892" i="2"/>
  <c r="O892" i="2"/>
  <c r="N892" i="2"/>
  <c r="L892" i="2" l="1"/>
  <c r="P892" i="2"/>
  <c r="A894" i="2"/>
  <c r="H893" i="2"/>
  <c r="N893" i="2"/>
  <c r="O893" i="2"/>
  <c r="L893" i="2" l="1"/>
  <c r="P893" i="2"/>
  <c r="A895" i="2"/>
  <c r="H894" i="2"/>
  <c r="N894" i="2"/>
  <c r="O894" i="2"/>
  <c r="L894" i="2" l="1"/>
  <c r="P894" i="2"/>
  <c r="A896" i="2"/>
  <c r="H895" i="2"/>
  <c r="N895" i="2"/>
  <c r="O895" i="2"/>
  <c r="L895" i="2" l="1"/>
  <c r="P895" i="2"/>
  <c r="A897" i="2"/>
  <c r="H896" i="2"/>
  <c r="N896" i="2"/>
  <c r="O896" i="2"/>
  <c r="L896" i="2" l="1"/>
  <c r="P896" i="2"/>
  <c r="A898" i="2"/>
  <c r="H897" i="2"/>
  <c r="N897" i="2"/>
  <c r="O897" i="2"/>
  <c r="L897" i="2" l="1"/>
  <c r="P897" i="2"/>
  <c r="A899" i="2"/>
  <c r="H898" i="2"/>
  <c r="N898" i="2"/>
  <c r="O898" i="2"/>
  <c r="L898" i="2" l="1"/>
  <c r="P898" i="2"/>
  <c r="A900" i="2"/>
  <c r="H899" i="2"/>
  <c r="O899" i="2"/>
  <c r="N899" i="2"/>
  <c r="L899" i="2" l="1"/>
  <c r="P899" i="2"/>
  <c r="A901" i="2"/>
  <c r="H900" i="2"/>
  <c r="N900" i="2"/>
  <c r="O900" i="2"/>
  <c r="L900" i="2" l="1"/>
  <c r="P900" i="2"/>
  <c r="A902" i="2"/>
  <c r="H901" i="2"/>
  <c r="N901" i="2"/>
  <c r="O901" i="2"/>
  <c r="L901" i="2" l="1"/>
  <c r="P901" i="2"/>
  <c r="A903" i="2"/>
  <c r="H902" i="2"/>
  <c r="N902" i="2"/>
  <c r="O902" i="2"/>
  <c r="L902" i="2" l="1"/>
  <c r="P902" i="2"/>
  <c r="A904" i="2"/>
  <c r="H903" i="2"/>
  <c r="N903" i="2"/>
  <c r="O903" i="2"/>
  <c r="L903" i="2" l="1"/>
  <c r="P903" i="2"/>
  <c r="A905" i="2"/>
  <c r="H904" i="2"/>
  <c r="N904" i="2"/>
  <c r="O904" i="2"/>
  <c r="L904" i="2" l="1"/>
  <c r="P904" i="2"/>
  <c r="A906" i="2"/>
  <c r="H905" i="2"/>
  <c r="O905" i="2"/>
  <c r="N905" i="2"/>
  <c r="L905" i="2" l="1"/>
  <c r="P905" i="2"/>
  <c r="A907" i="2"/>
  <c r="H906" i="2"/>
  <c r="N906" i="2"/>
  <c r="O906" i="2"/>
  <c r="L906" i="2" l="1"/>
  <c r="P906" i="2"/>
  <c r="A908" i="2"/>
  <c r="H907" i="2"/>
  <c r="O907" i="2"/>
  <c r="N907" i="2"/>
  <c r="L907" i="2" l="1"/>
  <c r="P907" i="2"/>
  <c r="A909" i="2"/>
  <c r="H908" i="2"/>
  <c r="O908" i="2"/>
  <c r="N908" i="2"/>
  <c r="L908" i="2" l="1"/>
  <c r="P908" i="2"/>
  <c r="A910" i="2"/>
  <c r="H909" i="2"/>
  <c r="N909" i="2"/>
  <c r="O909" i="2"/>
  <c r="L909" i="2" l="1"/>
  <c r="P909" i="2"/>
  <c r="A911" i="2"/>
  <c r="H910" i="2"/>
  <c r="N910" i="2"/>
  <c r="O910" i="2"/>
  <c r="L910" i="2" l="1"/>
  <c r="P910" i="2"/>
  <c r="A912" i="2"/>
  <c r="H911" i="2"/>
  <c r="O911" i="2"/>
  <c r="N911" i="2"/>
  <c r="L911" i="2" l="1"/>
  <c r="P911" i="2"/>
  <c r="A913" i="2"/>
  <c r="H912" i="2"/>
  <c r="N912" i="2"/>
  <c r="O912" i="2"/>
  <c r="L912" i="2" l="1"/>
  <c r="P912" i="2"/>
  <c r="A914" i="2"/>
  <c r="H913" i="2"/>
  <c r="N913" i="2"/>
  <c r="O913" i="2"/>
  <c r="L913" i="2" l="1"/>
  <c r="P913" i="2"/>
  <c r="A915" i="2"/>
  <c r="H914" i="2"/>
  <c r="N914" i="2"/>
  <c r="O914" i="2"/>
  <c r="L914" i="2" l="1"/>
  <c r="P914" i="2"/>
  <c r="A916" i="2"/>
  <c r="H915" i="2"/>
  <c r="N915" i="2"/>
  <c r="O915" i="2"/>
  <c r="L915" i="2" l="1"/>
  <c r="P915" i="2"/>
  <c r="A917" i="2"/>
  <c r="H916" i="2"/>
  <c r="O916" i="2"/>
  <c r="N916" i="2"/>
  <c r="L916" i="2" l="1"/>
  <c r="P916" i="2"/>
  <c r="A918" i="2"/>
  <c r="H917" i="2"/>
  <c r="N917" i="2"/>
  <c r="O917" i="2"/>
  <c r="L917" i="2" l="1"/>
  <c r="P917" i="2"/>
  <c r="A919" i="2"/>
  <c r="H918" i="2"/>
  <c r="N918" i="2"/>
  <c r="O918" i="2"/>
  <c r="L918" i="2" l="1"/>
  <c r="P918" i="2"/>
  <c r="A920" i="2"/>
  <c r="H919" i="2"/>
  <c r="N919" i="2"/>
  <c r="O919" i="2"/>
  <c r="L919" i="2" l="1"/>
  <c r="P919" i="2"/>
  <c r="A921" i="2"/>
  <c r="H920" i="2"/>
  <c r="N920" i="2"/>
  <c r="O920" i="2"/>
  <c r="L920" i="2" l="1"/>
  <c r="P920" i="2"/>
  <c r="A922" i="2"/>
  <c r="H921" i="2"/>
  <c r="N921" i="2"/>
  <c r="O921" i="2"/>
  <c r="L921" i="2" l="1"/>
  <c r="P921" i="2"/>
  <c r="A923" i="2"/>
  <c r="H922" i="2"/>
  <c r="N922" i="2"/>
  <c r="O922" i="2"/>
  <c r="L922" i="2" l="1"/>
  <c r="P922" i="2"/>
  <c r="A924" i="2"/>
  <c r="H923" i="2"/>
  <c r="N923" i="2"/>
  <c r="O923" i="2"/>
  <c r="L923" i="2" l="1"/>
  <c r="P923" i="2"/>
  <c r="A925" i="2"/>
  <c r="H924" i="2"/>
  <c r="N924" i="2"/>
  <c r="O924" i="2"/>
  <c r="L924" i="2" l="1"/>
  <c r="P924" i="2"/>
  <c r="A926" i="2"/>
  <c r="H925" i="2"/>
  <c r="N925" i="2"/>
  <c r="O925" i="2"/>
  <c r="L925" i="2" l="1"/>
  <c r="P925" i="2"/>
  <c r="A927" i="2"/>
  <c r="H926" i="2"/>
  <c r="N926" i="2"/>
  <c r="O926" i="2"/>
  <c r="L926" i="2" l="1"/>
  <c r="P926" i="2"/>
  <c r="A928" i="2"/>
  <c r="H927" i="2"/>
  <c r="N927" i="2"/>
  <c r="O927" i="2"/>
  <c r="L927" i="2" l="1"/>
  <c r="P927" i="2"/>
  <c r="A929" i="2"/>
  <c r="H928" i="2"/>
  <c r="N928" i="2"/>
  <c r="O928" i="2"/>
  <c r="L928" i="2" l="1"/>
  <c r="P928" i="2"/>
  <c r="A930" i="2"/>
  <c r="H929" i="2"/>
  <c r="O929" i="2"/>
  <c r="N929" i="2"/>
  <c r="L929" i="2" l="1"/>
  <c r="P929" i="2"/>
  <c r="A931" i="2"/>
  <c r="H930" i="2"/>
  <c r="N930" i="2"/>
  <c r="O930" i="2"/>
  <c r="L930" i="2" l="1"/>
  <c r="P930" i="2"/>
  <c r="A932" i="2"/>
  <c r="H931" i="2"/>
  <c r="O931" i="2"/>
  <c r="N931" i="2"/>
  <c r="L931" i="2" l="1"/>
  <c r="P931" i="2"/>
  <c r="A933" i="2"/>
  <c r="H932" i="2"/>
  <c r="O932" i="2"/>
  <c r="N932" i="2"/>
  <c r="L932" i="2" l="1"/>
  <c r="P932" i="2"/>
  <c r="A934" i="2"/>
  <c r="H933" i="2"/>
  <c r="N933" i="2"/>
  <c r="O933" i="2"/>
  <c r="L933" i="2" l="1"/>
  <c r="P933" i="2"/>
  <c r="A935" i="2"/>
  <c r="H934" i="2"/>
  <c r="N934" i="2"/>
  <c r="O934" i="2"/>
  <c r="L934" i="2" l="1"/>
  <c r="P934" i="2"/>
  <c r="A936" i="2"/>
  <c r="H935" i="2"/>
  <c r="N935" i="2"/>
  <c r="O935" i="2"/>
  <c r="L935" i="2" l="1"/>
  <c r="P935" i="2"/>
  <c r="A937" i="2"/>
  <c r="H936" i="2"/>
  <c r="N936" i="2"/>
  <c r="O936" i="2"/>
  <c r="L936" i="2" l="1"/>
  <c r="P936" i="2"/>
  <c r="A938" i="2"/>
  <c r="H937" i="2"/>
  <c r="N937" i="2"/>
  <c r="O937" i="2"/>
  <c r="L937" i="2" l="1"/>
  <c r="P937" i="2"/>
  <c r="A939" i="2"/>
  <c r="H938" i="2"/>
  <c r="N938" i="2"/>
  <c r="O938" i="2"/>
  <c r="L938" i="2" l="1"/>
  <c r="P938" i="2"/>
  <c r="A940" i="2"/>
  <c r="H939" i="2"/>
  <c r="N939" i="2"/>
  <c r="O939" i="2"/>
  <c r="L939" i="2" l="1"/>
  <c r="P939" i="2"/>
  <c r="A941" i="2"/>
  <c r="H940" i="2"/>
  <c r="N940" i="2"/>
  <c r="O940" i="2"/>
  <c r="L940" i="2" l="1"/>
  <c r="P940" i="2"/>
  <c r="A942" i="2"/>
  <c r="H941" i="2"/>
  <c r="N941" i="2"/>
  <c r="O941" i="2"/>
  <c r="L941" i="2" l="1"/>
  <c r="P941" i="2"/>
  <c r="A943" i="2"/>
  <c r="H942" i="2"/>
  <c r="N942" i="2"/>
  <c r="O942" i="2"/>
  <c r="L942" i="2" l="1"/>
  <c r="P942" i="2"/>
  <c r="A944" i="2"/>
  <c r="H943" i="2"/>
  <c r="N943" i="2"/>
  <c r="O943" i="2"/>
  <c r="L943" i="2" l="1"/>
  <c r="P943" i="2"/>
  <c r="A945" i="2"/>
  <c r="H944" i="2"/>
  <c r="N944" i="2"/>
  <c r="O944" i="2"/>
  <c r="L944" i="2" l="1"/>
  <c r="P944" i="2"/>
  <c r="A946" i="2"/>
  <c r="H945" i="2"/>
  <c r="N945" i="2"/>
  <c r="O945" i="2"/>
  <c r="L945" i="2" l="1"/>
  <c r="P945" i="2"/>
  <c r="A947" i="2"/>
  <c r="H946" i="2"/>
  <c r="N946" i="2"/>
  <c r="O946" i="2"/>
  <c r="L946" i="2" l="1"/>
  <c r="P946" i="2"/>
  <c r="A948" i="2"/>
  <c r="H947" i="2"/>
  <c r="N947" i="2"/>
  <c r="O947" i="2"/>
  <c r="L947" i="2" l="1"/>
  <c r="P947" i="2"/>
  <c r="A949" i="2"/>
  <c r="H948" i="2"/>
  <c r="N948" i="2"/>
  <c r="O948" i="2"/>
  <c r="L948" i="2" l="1"/>
  <c r="P948" i="2"/>
  <c r="A950" i="2"/>
  <c r="H949" i="2"/>
  <c r="N949" i="2"/>
  <c r="O949" i="2"/>
  <c r="L949" i="2" l="1"/>
  <c r="P949" i="2"/>
  <c r="A951" i="2"/>
  <c r="H950" i="2"/>
  <c r="N950" i="2"/>
  <c r="O950" i="2"/>
  <c r="L950" i="2" l="1"/>
  <c r="P950" i="2"/>
  <c r="A952" i="2"/>
  <c r="H951" i="2"/>
  <c r="N951" i="2"/>
  <c r="O951" i="2"/>
  <c r="L951" i="2" l="1"/>
  <c r="P951" i="2"/>
  <c r="A953" i="2"/>
  <c r="H952" i="2"/>
  <c r="N952" i="2"/>
  <c r="O952" i="2"/>
  <c r="L952" i="2" l="1"/>
  <c r="P952" i="2"/>
  <c r="A954" i="2"/>
  <c r="H953" i="2"/>
  <c r="O953" i="2"/>
  <c r="N953" i="2"/>
  <c r="L953" i="2" l="1"/>
  <c r="P953" i="2"/>
  <c r="A955" i="2"/>
  <c r="H954" i="2"/>
  <c r="N954" i="2"/>
  <c r="O954" i="2"/>
  <c r="L954" i="2" l="1"/>
  <c r="P954" i="2"/>
  <c r="A956" i="2"/>
  <c r="H955" i="2"/>
  <c r="O955" i="2"/>
  <c r="N955" i="2"/>
  <c r="L955" i="2" l="1"/>
  <c r="P955" i="2"/>
  <c r="A957" i="2"/>
  <c r="H956" i="2"/>
  <c r="O956" i="2"/>
  <c r="N956" i="2"/>
  <c r="L956" i="2" l="1"/>
  <c r="P956" i="2"/>
  <c r="A958" i="2"/>
  <c r="H957" i="2"/>
  <c r="N957" i="2"/>
  <c r="O957" i="2"/>
  <c r="L957" i="2" l="1"/>
  <c r="P957" i="2"/>
  <c r="A959" i="2"/>
  <c r="H958" i="2"/>
  <c r="N958" i="2"/>
  <c r="O958" i="2"/>
  <c r="L958" i="2" l="1"/>
  <c r="P958" i="2"/>
  <c r="A960" i="2"/>
  <c r="H959" i="2"/>
  <c r="O959" i="2"/>
  <c r="N959" i="2"/>
  <c r="L959" i="2" l="1"/>
  <c r="P959" i="2"/>
  <c r="A961" i="2"/>
  <c r="H960" i="2"/>
  <c r="N960" i="2"/>
  <c r="O960" i="2"/>
  <c r="L960" i="2" l="1"/>
  <c r="P960" i="2"/>
  <c r="A962" i="2"/>
  <c r="H961" i="2"/>
  <c r="N961" i="2"/>
  <c r="O961" i="2"/>
  <c r="L961" i="2" l="1"/>
  <c r="P961" i="2"/>
  <c r="A963" i="2"/>
  <c r="H962" i="2"/>
  <c r="N962" i="2"/>
  <c r="O962" i="2"/>
  <c r="L962" i="2" l="1"/>
  <c r="P962" i="2"/>
  <c r="A964" i="2"/>
  <c r="H963" i="2"/>
  <c r="N963" i="2"/>
  <c r="O963" i="2"/>
  <c r="L963" i="2" l="1"/>
  <c r="P963" i="2"/>
  <c r="A965" i="2"/>
  <c r="H964" i="2"/>
  <c r="O964" i="2"/>
  <c r="N964" i="2"/>
  <c r="L964" i="2" l="1"/>
  <c r="P964" i="2"/>
  <c r="A966" i="2"/>
  <c r="H965" i="2"/>
  <c r="N965" i="2"/>
  <c r="O965" i="2"/>
  <c r="L965" i="2" l="1"/>
  <c r="P965" i="2"/>
  <c r="A967" i="2"/>
  <c r="H966" i="2"/>
  <c r="N966" i="2"/>
  <c r="O966" i="2"/>
  <c r="L966" i="2" l="1"/>
  <c r="P966" i="2"/>
  <c r="A968" i="2"/>
  <c r="H967" i="2"/>
  <c r="N967" i="2"/>
  <c r="O967" i="2"/>
  <c r="L967" i="2" l="1"/>
  <c r="P967" i="2"/>
  <c r="A969" i="2"/>
  <c r="H968" i="2"/>
  <c r="N968" i="2"/>
  <c r="O968" i="2"/>
  <c r="L968" i="2" l="1"/>
  <c r="P968" i="2"/>
  <c r="A970" i="2"/>
  <c r="H969" i="2"/>
  <c r="N969" i="2"/>
  <c r="O969" i="2"/>
  <c r="L969" i="2" l="1"/>
  <c r="P969" i="2"/>
  <c r="A971" i="2"/>
  <c r="H970" i="2"/>
  <c r="N970" i="2"/>
  <c r="O970" i="2"/>
  <c r="L970" i="2" l="1"/>
  <c r="P970" i="2"/>
  <c r="A972" i="2"/>
  <c r="H971" i="2"/>
  <c r="O971" i="2"/>
  <c r="N971" i="2"/>
  <c r="L971" i="2" l="1"/>
  <c r="P971" i="2"/>
  <c r="A973" i="2"/>
  <c r="H972" i="2"/>
  <c r="N972" i="2"/>
  <c r="O972" i="2"/>
  <c r="L972" i="2" l="1"/>
  <c r="P972" i="2"/>
  <c r="A974" i="2"/>
  <c r="H973" i="2"/>
  <c r="N973" i="2"/>
  <c r="O973" i="2"/>
  <c r="L973" i="2" l="1"/>
  <c r="P973" i="2"/>
  <c r="A975" i="2"/>
  <c r="H974" i="2"/>
  <c r="N974" i="2"/>
  <c r="O974" i="2"/>
  <c r="L974" i="2" l="1"/>
  <c r="P974" i="2"/>
  <c r="A976" i="2"/>
  <c r="H975" i="2"/>
  <c r="N975" i="2"/>
  <c r="O975" i="2"/>
  <c r="L975" i="2" l="1"/>
  <c r="P975" i="2"/>
  <c r="A977" i="2"/>
  <c r="H976" i="2"/>
  <c r="N976" i="2"/>
  <c r="O976" i="2"/>
  <c r="L976" i="2" l="1"/>
  <c r="P976" i="2"/>
  <c r="A978" i="2"/>
  <c r="H977" i="2"/>
  <c r="O977" i="2"/>
  <c r="N977" i="2"/>
  <c r="L977" i="2" l="1"/>
  <c r="P977" i="2"/>
  <c r="A979" i="2"/>
  <c r="H978" i="2"/>
  <c r="N978" i="2"/>
  <c r="O978" i="2"/>
  <c r="L978" i="2" l="1"/>
  <c r="P978" i="2"/>
  <c r="A980" i="2"/>
  <c r="H979" i="2"/>
  <c r="O979" i="2"/>
  <c r="N979" i="2"/>
  <c r="L979" i="2" l="1"/>
  <c r="P979" i="2"/>
  <c r="A981" i="2"/>
  <c r="H980" i="2"/>
  <c r="O980" i="2"/>
  <c r="N980" i="2"/>
  <c r="L980" i="2" l="1"/>
  <c r="P980" i="2"/>
  <c r="A982" i="2"/>
  <c r="H981" i="2"/>
  <c r="N981" i="2"/>
  <c r="O981" i="2"/>
  <c r="L981" i="2" l="1"/>
  <c r="P981" i="2"/>
  <c r="A983" i="2"/>
  <c r="H982" i="2"/>
  <c r="N982" i="2"/>
  <c r="O982" i="2"/>
  <c r="L982" i="2" l="1"/>
  <c r="P982" i="2"/>
  <c r="A984" i="2"/>
  <c r="H983" i="2"/>
  <c r="O983" i="2"/>
  <c r="N983" i="2"/>
  <c r="L983" i="2" l="1"/>
  <c r="P983" i="2"/>
  <c r="A985" i="2"/>
  <c r="H984" i="2"/>
  <c r="N984" i="2"/>
  <c r="O984" i="2"/>
  <c r="L984" i="2" l="1"/>
  <c r="P984" i="2"/>
  <c r="A986" i="2"/>
  <c r="H985" i="2"/>
  <c r="N985" i="2"/>
  <c r="O985" i="2"/>
  <c r="L985" i="2" l="1"/>
  <c r="P985" i="2"/>
  <c r="A987" i="2"/>
  <c r="H986" i="2"/>
  <c r="N986" i="2"/>
  <c r="O986" i="2"/>
  <c r="L986" i="2" l="1"/>
  <c r="P986" i="2"/>
  <c r="A988" i="2"/>
  <c r="H987" i="2"/>
  <c r="N987" i="2"/>
  <c r="O987" i="2"/>
  <c r="L987" i="2" l="1"/>
  <c r="P987" i="2"/>
  <c r="A989" i="2"/>
  <c r="H988" i="2"/>
  <c r="O988" i="2"/>
  <c r="N988" i="2"/>
  <c r="L988" i="2" l="1"/>
  <c r="P988" i="2"/>
  <c r="A990" i="2"/>
  <c r="H989" i="2"/>
  <c r="N989" i="2"/>
  <c r="O989" i="2"/>
  <c r="L989" i="2" l="1"/>
  <c r="P989" i="2"/>
  <c r="A991" i="2"/>
  <c r="H990" i="2"/>
  <c r="N990" i="2"/>
  <c r="O990" i="2"/>
  <c r="L990" i="2" l="1"/>
  <c r="P990" i="2"/>
  <c r="A992" i="2"/>
  <c r="H991" i="2"/>
  <c r="N991" i="2"/>
  <c r="O991" i="2"/>
  <c r="L991" i="2" l="1"/>
  <c r="P991" i="2"/>
  <c r="A993" i="2"/>
  <c r="H992" i="2"/>
  <c r="N992" i="2"/>
  <c r="O992" i="2"/>
  <c r="L992" i="2" l="1"/>
  <c r="P992" i="2"/>
  <c r="A994" i="2"/>
  <c r="H993" i="2"/>
  <c r="N993" i="2"/>
  <c r="O993" i="2"/>
  <c r="L993" i="2" l="1"/>
  <c r="P993" i="2"/>
  <c r="A995" i="2"/>
  <c r="H994" i="2"/>
  <c r="N994" i="2"/>
  <c r="O994" i="2"/>
  <c r="L994" i="2" l="1"/>
  <c r="P994" i="2"/>
  <c r="A996" i="2"/>
  <c r="H995" i="2"/>
  <c r="N995" i="2"/>
  <c r="O995" i="2"/>
  <c r="L995" i="2" l="1"/>
  <c r="P995" i="2"/>
  <c r="A997" i="2"/>
  <c r="H996" i="2"/>
  <c r="N996" i="2"/>
  <c r="O996" i="2"/>
  <c r="L996" i="2" l="1"/>
  <c r="P996" i="2"/>
  <c r="A998" i="2"/>
  <c r="H997" i="2"/>
  <c r="N997" i="2"/>
  <c r="O997" i="2"/>
  <c r="L997" i="2" l="1"/>
  <c r="P997" i="2"/>
  <c r="A999" i="2"/>
  <c r="H998" i="2"/>
  <c r="N998" i="2"/>
  <c r="O998" i="2"/>
  <c r="L998" i="2" l="1"/>
  <c r="P998" i="2"/>
  <c r="A1000" i="2"/>
  <c r="H999" i="2"/>
  <c r="N999" i="2"/>
  <c r="O999" i="2"/>
  <c r="L999" i="2" l="1"/>
  <c r="P999" i="2"/>
  <c r="A1001" i="2"/>
  <c r="H1000" i="2"/>
  <c r="N1000" i="2"/>
  <c r="O1000" i="2"/>
  <c r="L1000" i="2" l="1"/>
  <c r="P1000" i="2"/>
  <c r="A1002" i="2"/>
  <c r="H1002" i="2" s="1"/>
  <c r="H1001" i="2"/>
  <c r="O1001" i="2"/>
  <c r="N1001" i="2"/>
  <c r="L1001" i="2" l="1"/>
  <c r="P1001" i="2"/>
  <c r="L1002" i="2"/>
  <c r="P1002" i="2"/>
</calcChain>
</file>

<file path=xl/sharedStrings.xml><?xml version="1.0" encoding="utf-8"?>
<sst xmlns="http://schemas.openxmlformats.org/spreadsheetml/2006/main" count="11" uniqueCount="11">
  <si>
    <t>level</t>
    <phoneticPr fontId="1" type="noConversion"/>
  </si>
  <si>
    <t>atk</t>
    <phoneticPr fontId="1" type="noConversion"/>
  </si>
  <si>
    <t>criDmg</t>
    <phoneticPr fontId="1" type="noConversion"/>
  </si>
  <si>
    <t>def</t>
    <phoneticPr fontId="1" type="noConversion"/>
  </si>
  <si>
    <t>hp</t>
    <phoneticPr fontId="1" type="noConversion"/>
  </si>
  <si>
    <t>criRate</t>
    <phoneticPr fontId="1" type="noConversion"/>
  </si>
  <si>
    <t>rewardCoin</t>
    <phoneticPr fontId="1" type="noConversion"/>
  </si>
  <si>
    <t>rewardExp</t>
    <phoneticPr fontId="1" type="noConversion"/>
  </si>
  <si>
    <t>expsum</t>
    <phoneticPr fontId="1" type="noConversion"/>
  </si>
  <si>
    <t>coinsum</t>
    <phoneticPr fontId="1" type="noConversion"/>
  </si>
  <si>
    <t>avoid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</si>
</sst>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"/>
    <numFmt numFmtId="178" formatCode="0.0_);[Red]\(0.0\)"/>
    <numFmt numFmtId="179" formatCode="#,##0_);[Red]\(#,##0\)"/>
    <numFmt numFmtId="180" formatCode="0.000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558ED5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8F8A-A8C0-451B-89A0-5920898B8CBF}">
  <dimension ref="A1:Q1167"/>
  <sheetViews>
    <sheetView tabSelected="1" workbookViewId="0">
      <pane ySplit="1" topLeftCell="A958" activePane="bottomLeft" state="frozen"/>
      <selection pane="bottomLeft" activeCell="C1003" sqref="C1003"/>
    </sheetView>
  </sheetViews>
  <sheetFormatPr defaultColWidth="17.625" defaultRowHeight="17.25" x14ac:dyDescent="0.3"/>
  <cols>
    <col min="1" max="1" width="18.875" style="3" customWidth="1"/>
    <col min="2" max="5" width="19" style="4" customWidth="1"/>
    <col min="6" max="7" width="19" style="2" customWidth="1"/>
    <col min="8" max="8" width="18.375" style="2" customWidth="1"/>
    <col min="9" max="9" width="17.625" style="5"/>
    <col min="10" max="10" width="5.125" style="2" bestFit="1" customWidth="1"/>
    <col min="11" max="11" width="7.375" bestFit="1" customWidth="1"/>
    <col min="12" max="15" width="24" style="2" customWidth="1"/>
    <col min="16" max="16384" width="17.625" style="2"/>
  </cols>
  <sheetData>
    <row r="1" spans="1:1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10</v>
      </c>
      <c r="H1" s="1" t="s">
        <v>6</v>
      </c>
      <c r="I1" s="6" t="s">
        <v>7</v>
      </c>
      <c r="P1" s="2" t="s">
        <v>9</v>
      </c>
      <c r="Q1" s="2" t="s">
        <v>8</v>
      </c>
    </row>
    <row r="2" spans="1:17" x14ac:dyDescent="0.3">
      <c r="A2" s="7">
        <v>0</v>
      </c>
      <c r="B2" s="2">
        <v>0</v>
      </c>
      <c r="C2" s="2">
        <v>0</v>
      </c>
      <c r="D2" s="2">
        <v>0</v>
      </c>
      <c r="E2" s="2">
        <v>0</v>
      </c>
      <c r="F2" s="7">
        <v>0</v>
      </c>
      <c r="G2" s="7">
        <v>0</v>
      </c>
      <c r="H2" s="8">
        <v>0</v>
      </c>
      <c r="I2" s="2">
        <v>0</v>
      </c>
      <c r="K2" s="2"/>
      <c r="N2" s="15"/>
      <c r="O2" s="15"/>
    </row>
    <row r="3" spans="1:17" x14ac:dyDescent="0.3">
      <c r="A3" s="7">
        <v>1</v>
      </c>
      <c r="B3" s="2">
        <v>1</v>
      </c>
      <c r="C3" s="2">
        <f t="shared" ref="C3:C66" si="0">C4-2</f>
        <v>2</v>
      </c>
      <c r="D3" s="2">
        <v>10</v>
      </c>
      <c r="E3" s="2">
        <v>0</v>
      </c>
      <c r="F3" s="7">
        <v>0.3</v>
      </c>
      <c r="G3" s="7">
        <v>0</v>
      </c>
      <c r="H3" s="8">
        <f t="shared" ref="H3:H66" si="1">ROUNDUP(500 + (150000-500) * ((A3-1)/(300-1))^2, -1)</f>
        <v>500</v>
      </c>
      <c r="I3" s="2">
        <v>1</v>
      </c>
      <c r="K3" s="2"/>
      <c r="L3" s="2">
        <f t="shared" ref="L3:L67" si="2">H3</f>
        <v>500</v>
      </c>
      <c r="M3" s="2">
        <f>B3</f>
        <v>1</v>
      </c>
      <c r="N3" s="15">
        <f>C3</f>
        <v>2</v>
      </c>
      <c r="O3" s="15">
        <f>D3</f>
        <v>10</v>
      </c>
      <c r="P3" s="16">
        <f>SUM($H$3:H3)</f>
        <v>500</v>
      </c>
      <c r="Q3" s="2">
        <f>SUM($I$3:I3)</f>
        <v>1</v>
      </c>
    </row>
    <row r="4" spans="1:17" x14ac:dyDescent="0.3">
      <c r="A4" s="7">
        <f>A3+1</f>
        <v>2</v>
      </c>
      <c r="B4" s="2">
        <f>B3+1</f>
        <v>2</v>
      </c>
      <c r="C4" s="2">
        <f t="shared" si="0"/>
        <v>4</v>
      </c>
      <c r="D4" s="2">
        <f>D3+5</f>
        <v>15</v>
      </c>
      <c r="E4" s="2">
        <v>0</v>
      </c>
      <c r="F4" s="7">
        <v>0.3</v>
      </c>
      <c r="G4" s="7">
        <v>0</v>
      </c>
      <c r="H4" s="8">
        <f t="shared" si="1"/>
        <v>510</v>
      </c>
      <c r="I4" s="2">
        <v>1</v>
      </c>
      <c r="K4" s="2"/>
      <c r="L4" s="2">
        <f t="shared" si="2"/>
        <v>510</v>
      </c>
      <c r="M4" s="2">
        <f t="shared" ref="M4:M67" si="3">B4</f>
        <v>2</v>
      </c>
      <c r="N4" s="15">
        <f t="shared" ref="N4:N67" si="4">C4</f>
        <v>4</v>
      </c>
      <c r="O4" s="15">
        <f t="shared" ref="O4:O67" si="5">D4</f>
        <v>15</v>
      </c>
      <c r="P4" s="16">
        <f>SUM($H$3:H4)</f>
        <v>1010</v>
      </c>
      <c r="Q4" s="2">
        <f>SUM($I$3:I4)</f>
        <v>2</v>
      </c>
    </row>
    <row r="5" spans="1:17" x14ac:dyDescent="0.3">
      <c r="A5" s="7">
        <f t="shared" ref="A5:B68" si="6">A4+1</f>
        <v>3</v>
      </c>
      <c r="B5" s="2">
        <f t="shared" si="6"/>
        <v>3</v>
      </c>
      <c r="C5" s="2">
        <f t="shared" si="0"/>
        <v>6</v>
      </c>
      <c r="D5" s="2">
        <f t="shared" ref="D5:D12" si="7">D4+5</f>
        <v>20</v>
      </c>
      <c r="E5" s="2">
        <v>0</v>
      </c>
      <c r="F5" s="7">
        <v>0.3</v>
      </c>
      <c r="G5" s="7">
        <v>0</v>
      </c>
      <c r="H5" s="8">
        <f t="shared" si="1"/>
        <v>510</v>
      </c>
      <c r="I5" s="2">
        <v>1</v>
      </c>
      <c r="K5" s="2"/>
      <c r="L5" s="2">
        <f t="shared" si="2"/>
        <v>510</v>
      </c>
      <c r="M5" s="2">
        <f t="shared" si="3"/>
        <v>3</v>
      </c>
      <c r="N5" s="15">
        <f t="shared" si="4"/>
        <v>6</v>
      </c>
      <c r="O5" s="15">
        <f t="shared" si="5"/>
        <v>20</v>
      </c>
      <c r="P5" s="16">
        <f>SUM($H$3:H5)</f>
        <v>1520</v>
      </c>
      <c r="Q5" s="2">
        <f>SUM($I$3:I5)</f>
        <v>3</v>
      </c>
    </row>
    <row r="6" spans="1:17" x14ac:dyDescent="0.3">
      <c r="A6" s="7">
        <f t="shared" si="6"/>
        <v>4</v>
      </c>
      <c r="B6" s="2">
        <f t="shared" si="6"/>
        <v>4</v>
      </c>
      <c r="C6" s="2">
        <f t="shared" si="0"/>
        <v>8</v>
      </c>
      <c r="D6" s="2">
        <f t="shared" si="7"/>
        <v>25</v>
      </c>
      <c r="E6" s="2">
        <v>0</v>
      </c>
      <c r="F6" s="7">
        <v>0.3</v>
      </c>
      <c r="G6" s="7">
        <v>0</v>
      </c>
      <c r="H6" s="8">
        <f t="shared" si="1"/>
        <v>520</v>
      </c>
      <c r="I6" s="2">
        <v>1</v>
      </c>
      <c r="K6" s="2"/>
      <c r="L6" s="2">
        <f t="shared" si="2"/>
        <v>520</v>
      </c>
      <c r="M6" s="2">
        <f t="shared" si="3"/>
        <v>4</v>
      </c>
      <c r="N6" s="15">
        <f t="shared" si="4"/>
        <v>8</v>
      </c>
      <c r="O6" s="15">
        <f t="shared" si="5"/>
        <v>25</v>
      </c>
      <c r="P6" s="16">
        <f>SUM($H$3:H6)</f>
        <v>2040</v>
      </c>
      <c r="Q6" s="2">
        <f>SUM($I$3:I6)</f>
        <v>4</v>
      </c>
    </row>
    <row r="7" spans="1:17" x14ac:dyDescent="0.3">
      <c r="A7" s="7">
        <f t="shared" si="6"/>
        <v>5</v>
      </c>
      <c r="B7" s="2">
        <f t="shared" si="6"/>
        <v>5</v>
      </c>
      <c r="C7" s="2">
        <f t="shared" si="0"/>
        <v>10</v>
      </c>
      <c r="D7" s="2">
        <f t="shared" si="7"/>
        <v>30</v>
      </c>
      <c r="E7" s="2">
        <v>0</v>
      </c>
      <c r="F7" s="7">
        <v>0.3</v>
      </c>
      <c r="G7" s="7">
        <v>0</v>
      </c>
      <c r="H7" s="8">
        <f t="shared" si="1"/>
        <v>530</v>
      </c>
      <c r="I7" s="2">
        <v>1</v>
      </c>
      <c r="K7" s="2"/>
      <c r="L7" s="2">
        <f t="shared" si="2"/>
        <v>530</v>
      </c>
      <c r="M7" s="2">
        <f t="shared" si="3"/>
        <v>5</v>
      </c>
      <c r="N7" s="15">
        <f t="shared" si="4"/>
        <v>10</v>
      </c>
      <c r="O7" s="15">
        <f t="shared" si="5"/>
        <v>30</v>
      </c>
      <c r="P7" s="16">
        <f>SUM($H$3:H7)</f>
        <v>2570</v>
      </c>
      <c r="Q7" s="2">
        <f>SUM($I$3:I7)</f>
        <v>5</v>
      </c>
    </row>
    <row r="8" spans="1:17" x14ac:dyDescent="0.3">
      <c r="A8" s="7">
        <f t="shared" si="6"/>
        <v>6</v>
      </c>
      <c r="B8" s="2">
        <f t="shared" si="6"/>
        <v>6</v>
      </c>
      <c r="C8" s="2">
        <f t="shared" si="0"/>
        <v>12</v>
      </c>
      <c r="D8" s="2">
        <f t="shared" si="7"/>
        <v>35</v>
      </c>
      <c r="E8" s="2">
        <v>0</v>
      </c>
      <c r="F8" s="7">
        <v>0.3</v>
      </c>
      <c r="G8" s="7">
        <v>0</v>
      </c>
      <c r="H8" s="8">
        <f t="shared" si="1"/>
        <v>550</v>
      </c>
      <c r="I8" s="2">
        <v>1</v>
      </c>
      <c r="K8" s="2"/>
      <c r="L8" s="2">
        <f t="shared" si="2"/>
        <v>550</v>
      </c>
      <c r="M8" s="2">
        <f t="shared" si="3"/>
        <v>6</v>
      </c>
      <c r="N8" s="15">
        <f t="shared" si="4"/>
        <v>12</v>
      </c>
      <c r="O8" s="15">
        <f t="shared" si="5"/>
        <v>35</v>
      </c>
      <c r="P8" s="16">
        <f>SUM($H$3:H8)</f>
        <v>3120</v>
      </c>
      <c r="Q8" s="2">
        <f>SUM($I$3:I8)</f>
        <v>6</v>
      </c>
    </row>
    <row r="9" spans="1:17" x14ac:dyDescent="0.3">
      <c r="A9" s="7">
        <f t="shared" si="6"/>
        <v>7</v>
      </c>
      <c r="B9" s="2">
        <f t="shared" si="6"/>
        <v>7</v>
      </c>
      <c r="C9" s="2">
        <f t="shared" si="0"/>
        <v>14</v>
      </c>
      <c r="D9" s="2">
        <f t="shared" si="7"/>
        <v>40</v>
      </c>
      <c r="E9" s="2">
        <v>0</v>
      </c>
      <c r="F9" s="7">
        <v>0.3</v>
      </c>
      <c r="G9" s="7">
        <v>0</v>
      </c>
      <c r="H9" s="8">
        <f t="shared" si="1"/>
        <v>570</v>
      </c>
      <c r="I9" s="2">
        <v>1</v>
      </c>
      <c r="K9" s="2"/>
      <c r="L9" s="2">
        <f t="shared" si="2"/>
        <v>570</v>
      </c>
      <c r="M9" s="2">
        <f t="shared" si="3"/>
        <v>7</v>
      </c>
      <c r="N9" s="15">
        <f t="shared" si="4"/>
        <v>14</v>
      </c>
      <c r="O9" s="15">
        <f t="shared" si="5"/>
        <v>40</v>
      </c>
      <c r="P9" s="16">
        <f>SUM($H$3:H9)</f>
        <v>3690</v>
      </c>
      <c r="Q9" s="2">
        <f>SUM($I$3:I9)</f>
        <v>7</v>
      </c>
    </row>
    <row r="10" spans="1:17" x14ac:dyDescent="0.3">
      <c r="A10" s="7">
        <f t="shared" si="6"/>
        <v>8</v>
      </c>
      <c r="B10" s="2">
        <f t="shared" si="6"/>
        <v>8</v>
      </c>
      <c r="C10" s="2">
        <f t="shared" si="0"/>
        <v>16</v>
      </c>
      <c r="D10" s="2">
        <f t="shared" si="7"/>
        <v>45</v>
      </c>
      <c r="E10" s="2">
        <v>0</v>
      </c>
      <c r="F10" s="7">
        <v>0.3</v>
      </c>
      <c r="G10" s="7">
        <v>0</v>
      </c>
      <c r="H10" s="8">
        <f t="shared" si="1"/>
        <v>590</v>
      </c>
      <c r="I10" s="2">
        <v>1</v>
      </c>
      <c r="K10" s="2"/>
      <c r="L10" s="2">
        <f t="shared" si="2"/>
        <v>590</v>
      </c>
      <c r="M10" s="2">
        <f t="shared" si="3"/>
        <v>8</v>
      </c>
      <c r="N10" s="15">
        <f t="shared" si="4"/>
        <v>16</v>
      </c>
      <c r="O10" s="15">
        <f t="shared" si="5"/>
        <v>45</v>
      </c>
      <c r="P10" s="16">
        <f>SUM($H$3:H10)</f>
        <v>4280</v>
      </c>
      <c r="Q10" s="2">
        <f>SUM($I$3:I10)</f>
        <v>8</v>
      </c>
    </row>
    <row r="11" spans="1:17" x14ac:dyDescent="0.3">
      <c r="A11" s="7">
        <f t="shared" si="6"/>
        <v>9</v>
      </c>
      <c r="B11" s="2">
        <f t="shared" si="6"/>
        <v>9</v>
      </c>
      <c r="C11" s="2">
        <f t="shared" si="0"/>
        <v>18</v>
      </c>
      <c r="D11" s="2">
        <f t="shared" si="7"/>
        <v>50</v>
      </c>
      <c r="E11" s="2">
        <v>0</v>
      </c>
      <c r="F11" s="7">
        <v>0.3</v>
      </c>
      <c r="G11" s="7">
        <v>0</v>
      </c>
      <c r="H11" s="8">
        <f t="shared" si="1"/>
        <v>610</v>
      </c>
      <c r="I11" s="2">
        <v>1</v>
      </c>
      <c r="K11" s="2"/>
      <c r="L11" s="2">
        <f t="shared" si="2"/>
        <v>610</v>
      </c>
      <c r="M11" s="2">
        <f t="shared" si="3"/>
        <v>9</v>
      </c>
      <c r="N11" s="15">
        <f t="shared" si="4"/>
        <v>18</v>
      </c>
      <c r="O11" s="15">
        <f t="shared" si="5"/>
        <v>50</v>
      </c>
      <c r="P11" s="16">
        <f>SUM($H$3:H11)</f>
        <v>4890</v>
      </c>
      <c r="Q11" s="2">
        <f>SUM($I$3:I11)</f>
        <v>9</v>
      </c>
    </row>
    <row r="12" spans="1:17" x14ac:dyDescent="0.3">
      <c r="A12" s="7">
        <f t="shared" si="6"/>
        <v>10</v>
      </c>
      <c r="B12" s="2">
        <f>B11+1</f>
        <v>10</v>
      </c>
      <c r="C12" s="2">
        <f t="shared" si="0"/>
        <v>20</v>
      </c>
      <c r="D12" s="2">
        <f t="shared" si="7"/>
        <v>55</v>
      </c>
      <c r="E12" s="2">
        <v>0</v>
      </c>
      <c r="F12" s="7">
        <v>0.3</v>
      </c>
      <c r="G12" s="7">
        <v>0</v>
      </c>
      <c r="H12" s="8">
        <f t="shared" si="1"/>
        <v>640</v>
      </c>
      <c r="I12" s="2">
        <v>1</v>
      </c>
      <c r="K12" s="2"/>
      <c r="L12" s="2">
        <f t="shared" si="2"/>
        <v>640</v>
      </c>
      <c r="M12" s="2">
        <f t="shared" si="3"/>
        <v>10</v>
      </c>
      <c r="N12" s="15">
        <f t="shared" si="4"/>
        <v>20</v>
      </c>
      <c r="O12" s="15">
        <f t="shared" si="5"/>
        <v>55</v>
      </c>
      <c r="P12" s="16">
        <f>SUM($H$3:H12)</f>
        <v>5530</v>
      </c>
      <c r="Q12" s="2">
        <f>SUM($I$3:I12)</f>
        <v>10</v>
      </c>
    </row>
    <row r="13" spans="1:17" x14ac:dyDescent="0.3">
      <c r="A13" s="7">
        <f t="shared" si="6"/>
        <v>11</v>
      </c>
      <c r="B13" s="2">
        <f t="shared" si="6"/>
        <v>11</v>
      </c>
      <c r="C13" s="2">
        <f t="shared" si="0"/>
        <v>22</v>
      </c>
      <c r="D13" s="2">
        <f>D12+8</f>
        <v>63</v>
      </c>
      <c r="E13" s="2">
        <v>0</v>
      </c>
      <c r="F13" s="7">
        <v>0.3</v>
      </c>
      <c r="G13" s="7">
        <v>0</v>
      </c>
      <c r="H13" s="8">
        <f t="shared" si="1"/>
        <v>670</v>
      </c>
      <c r="I13" s="2">
        <v>1</v>
      </c>
      <c r="K13" s="2"/>
      <c r="L13" s="2">
        <f t="shared" si="2"/>
        <v>670</v>
      </c>
      <c r="M13" s="2">
        <f t="shared" si="3"/>
        <v>11</v>
      </c>
      <c r="N13" s="15">
        <f t="shared" si="4"/>
        <v>22</v>
      </c>
      <c r="O13" s="15">
        <f t="shared" si="5"/>
        <v>63</v>
      </c>
      <c r="P13" s="16">
        <f>SUM($H$3:H13)</f>
        <v>6200</v>
      </c>
      <c r="Q13" s="2">
        <f>SUM($I$3:I13)</f>
        <v>11</v>
      </c>
    </row>
    <row r="14" spans="1:17" x14ac:dyDescent="0.3">
      <c r="A14" s="7">
        <f t="shared" si="6"/>
        <v>12</v>
      </c>
      <c r="B14" s="2">
        <f t="shared" si="6"/>
        <v>12</v>
      </c>
      <c r="C14" s="2">
        <f t="shared" si="0"/>
        <v>24</v>
      </c>
      <c r="D14" s="2">
        <f t="shared" ref="D14:D22" si="8">D13+8</f>
        <v>71</v>
      </c>
      <c r="E14" s="2">
        <v>0</v>
      </c>
      <c r="F14" s="7">
        <v>0.3</v>
      </c>
      <c r="G14" s="7">
        <v>0</v>
      </c>
      <c r="H14" s="8">
        <f t="shared" si="1"/>
        <v>710</v>
      </c>
      <c r="I14" s="2">
        <v>1</v>
      </c>
      <c r="K14" s="2"/>
      <c r="L14" s="2">
        <f t="shared" si="2"/>
        <v>710</v>
      </c>
      <c r="M14" s="2">
        <f t="shared" si="3"/>
        <v>12</v>
      </c>
      <c r="N14" s="15">
        <f t="shared" si="4"/>
        <v>24</v>
      </c>
      <c r="O14" s="15">
        <f t="shared" si="5"/>
        <v>71</v>
      </c>
      <c r="P14" s="16">
        <f>SUM($H$3:H14)</f>
        <v>6910</v>
      </c>
      <c r="Q14" s="2">
        <f>SUM($I$3:I14)</f>
        <v>12</v>
      </c>
    </row>
    <row r="15" spans="1:17" x14ac:dyDescent="0.3">
      <c r="A15" s="7">
        <f t="shared" si="6"/>
        <v>13</v>
      </c>
      <c r="B15" s="2">
        <f t="shared" si="6"/>
        <v>13</v>
      </c>
      <c r="C15" s="2">
        <f t="shared" si="0"/>
        <v>26</v>
      </c>
      <c r="D15" s="2">
        <f t="shared" si="8"/>
        <v>79</v>
      </c>
      <c r="E15" s="2">
        <v>0</v>
      </c>
      <c r="F15" s="7">
        <v>0.3</v>
      </c>
      <c r="G15" s="7">
        <v>0</v>
      </c>
      <c r="H15" s="8">
        <f t="shared" si="1"/>
        <v>750</v>
      </c>
      <c r="I15" s="2">
        <v>1</v>
      </c>
      <c r="K15" s="2"/>
      <c r="L15" s="2">
        <f t="shared" si="2"/>
        <v>750</v>
      </c>
      <c r="M15" s="2">
        <f t="shared" si="3"/>
        <v>13</v>
      </c>
      <c r="N15" s="15">
        <f t="shared" si="4"/>
        <v>26</v>
      </c>
      <c r="O15" s="15">
        <f t="shared" si="5"/>
        <v>79</v>
      </c>
      <c r="P15" s="16">
        <f>SUM($H$3:H15)</f>
        <v>7660</v>
      </c>
      <c r="Q15" s="2">
        <f>SUM($I$3:I15)</f>
        <v>13</v>
      </c>
    </row>
    <row r="16" spans="1:17" x14ac:dyDescent="0.3">
      <c r="A16" s="7">
        <f t="shared" si="6"/>
        <v>14</v>
      </c>
      <c r="B16" s="2">
        <f t="shared" si="6"/>
        <v>14</v>
      </c>
      <c r="C16" s="2">
        <f t="shared" si="0"/>
        <v>28</v>
      </c>
      <c r="D16" s="2">
        <f t="shared" si="8"/>
        <v>87</v>
      </c>
      <c r="E16" s="2">
        <v>0</v>
      </c>
      <c r="F16" s="7">
        <v>0.3</v>
      </c>
      <c r="G16" s="7">
        <v>0</v>
      </c>
      <c r="H16" s="8">
        <f t="shared" si="1"/>
        <v>790</v>
      </c>
      <c r="I16" s="2">
        <v>1</v>
      </c>
      <c r="K16" s="2"/>
      <c r="L16" s="2">
        <f t="shared" si="2"/>
        <v>790</v>
      </c>
      <c r="M16" s="2">
        <f t="shared" si="3"/>
        <v>14</v>
      </c>
      <c r="N16" s="15">
        <f t="shared" si="4"/>
        <v>28</v>
      </c>
      <c r="O16" s="15">
        <f t="shared" si="5"/>
        <v>87</v>
      </c>
      <c r="P16" s="16">
        <f>SUM($H$3:H16)</f>
        <v>8450</v>
      </c>
      <c r="Q16" s="2">
        <f>SUM($I$3:I16)</f>
        <v>14</v>
      </c>
    </row>
    <row r="17" spans="1:17" x14ac:dyDescent="0.3">
      <c r="A17" s="7">
        <f t="shared" si="6"/>
        <v>15</v>
      </c>
      <c r="B17" s="2">
        <f t="shared" si="6"/>
        <v>15</v>
      </c>
      <c r="C17" s="2">
        <f t="shared" si="0"/>
        <v>30</v>
      </c>
      <c r="D17" s="2">
        <f t="shared" si="8"/>
        <v>95</v>
      </c>
      <c r="E17" s="2">
        <v>0</v>
      </c>
      <c r="F17" s="7">
        <v>0.3</v>
      </c>
      <c r="G17" s="7">
        <v>0</v>
      </c>
      <c r="H17" s="8">
        <f t="shared" si="1"/>
        <v>830</v>
      </c>
      <c r="I17" s="2">
        <v>1</v>
      </c>
      <c r="K17" s="2"/>
      <c r="L17" s="2">
        <f t="shared" si="2"/>
        <v>830</v>
      </c>
      <c r="M17" s="2">
        <f t="shared" si="3"/>
        <v>15</v>
      </c>
      <c r="N17" s="15">
        <f t="shared" si="4"/>
        <v>30</v>
      </c>
      <c r="O17" s="15">
        <f t="shared" si="5"/>
        <v>95</v>
      </c>
      <c r="P17" s="16">
        <f>SUM($H$3:H17)</f>
        <v>9280</v>
      </c>
      <c r="Q17" s="2">
        <f>SUM($I$3:I17)</f>
        <v>15</v>
      </c>
    </row>
    <row r="18" spans="1:17" x14ac:dyDescent="0.3">
      <c r="A18" s="7">
        <f t="shared" si="6"/>
        <v>16</v>
      </c>
      <c r="B18" s="2">
        <f t="shared" si="6"/>
        <v>16</v>
      </c>
      <c r="C18" s="2">
        <f t="shared" si="0"/>
        <v>32</v>
      </c>
      <c r="D18" s="2">
        <f t="shared" si="8"/>
        <v>103</v>
      </c>
      <c r="E18" s="2">
        <v>0</v>
      </c>
      <c r="F18" s="7">
        <v>0.3</v>
      </c>
      <c r="G18" s="7">
        <v>0</v>
      </c>
      <c r="H18" s="8">
        <f t="shared" si="1"/>
        <v>880</v>
      </c>
      <c r="I18" s="2">
        <v>1</v>
      </c>
      <c r="K18" s="2"/>
      <c r="L18" s="2">
        <f t="shared" si="2"/>
        <v>880</v>
      </c>
      <c r="M18" s="2">
        <f t="shared" si="3"/>
        <v>16</v>
      </c>
      <c r="N18" s="15">
        <f t="shared" si="4"/>
        <v>32</v>
      </c>
      <c r="O18" s="15">
        <f t="shared" si="5"/>
        <v>103</v>
      </c>
      <c r="P18" s="16">
        <f>SUM($H$3:H18)</f>
        <v>10160</v>
      </c>
      <c r="Q18" s="2">
        <f>SUM($I$3:I18)</f>
        <v>16</v>
      </c>
    </row>
    <row r="19" spans="1:17" x14ac:dyDescent="0.3">
      <c r="A19" s="7">
        <f t="shared" si="6"/>
        <v>17</v>
      </c>
      <c r="B19" s="2">
        <f t="shared" si="6"/>
        <v>17</v>
      </c>
      <c r="C19" s="2">
        <f t="shared" si="0"/>
        <v>34</v>
      </c>
      <c r="D19" s="2">
        <f t="shared" si="8"/>
        <v>111</v>
      </c>
      <c r="E19" s="2">
        <v>0</v>
      </c>
      <c r="F19" s="7">
        <v>0.3</v>
      </c>
      <c r="G19" s="7">
        <v>0</v>
      </c>
      <c r="H19" s="8">
        <f t="shared" si="1"/>
        <v>930</v>
      </c>
      <c r="I19" s="2">
        <v>1</v>
      </c>
      <c r="K19" s="2"/>
      <c r="L19" s="2">
        <f t="shared" si="2"/>
        <v>930</v>
      </c>
      <c r="M19" s="2">
        <f t="shared" si="3"/>
        <v>17</v>
      </c>
      <c r="N19" s="15">
        <f t="shared" si="4"/>
        <v>34</v>
      </c>
      <c r="O19" s="15">
        <f t="shared" si="5"/>
        <v>111</v>
      </c>
      <c r="P19" s="16">
        <f>SUM($H$3:H19)</f>
        <v>11090</v>
      </c>
      <c r="Q19" s="2">
        <f>SUM($I$3:I19)</f>
        <v>17</v>
      </c>
    </row>
    <row r="20" spans="1:17" x14ac:dyDescent="0.3">
      <c r="A20" s="7">
        <f t="shared" si="6"/>
        <v>18</v>
      </c>
      <c r="B20" s="2">
        <f t="shared" si="6"/>
        <v>18</v>
      </c>
      <c r="C20" s="2">
        <f t="shared" si="0"/>
        <v>36</v>
      </c>
      <c r="D20" s="2">
        <f t="shared" si="8"/>
        <v>119</v>
      </c>
      <c r="E20" s="2">
        <v>0</v>
      </c>
      <c r="F20" s="7">
        <v>0.3</v>
      </c>
      <c r="G20" s="7">
        <v>0</v>
      </c>
      <c r="H20" s="8">
        <f t="shared" si="1"/>
        <v>990</v>
      </c>
      <c r="I20" s="2">
        <v>1</v>
      </c>
      <c r="K20" s="2"/>
      <c r="L20" s="2">
        <f t="shared" si="2"/>
        <v>990</v>
      </c>
      <c r="M20" s="2">
        <f t="shared" si="3"/>
        <v>18</v>
      </c>
      <c r="N20" s="15">
        <f t="shared" si="4"/>
        <v>36</v>
      </c>
      <c r="O20" s="15">
        <f t="shared" si="5"/>
        <v>119</v>
      </c>
      <c r="P20" s="16">
        <f>SUM($H$3:H20)</f>
        <v>12080</v>
      </c>
      <c r="Q20" s="2">
        <f>SUM($I$3:I20)</f>
        <v>18</v>
      </c>
    </row>
    <row r="21" spans="1:17" x14ac:dyDescent="0.3">
      <c r="A21" s="7">
        <f t="shared" si="6"/>
        <v>19</v>
      </c>
      <c r="B21" s="2">
        <f t="shared" si="6"/>
        <v>19</v>
      </c>
      <c r="C21" s="2">
        <f t="shared" si="0"/>
        <v>38</v>
      </c>
      <c r="D21" s="2">
        <f t="shared" si="8"/>
        <v>127</v>
      </c>
      <c r="E21" s="2">
        <v>0</v>
      </c>
      <c r="F21" s="7">
        <v>0.3</v>
      </c>
      <c r="G21" s="7">
        <v>0</v>
      </c>
      <c r="H21" s="8">
        <f t="shared" si="1"/>
        <v>1050</v>
      </c>
      <c r="I21" s="2">
        <v>1</v>
      </c>
      <c r="K21" s="2"/>
      <c r="L21" s="2">
        <f t="shared" si="2"/>
        <v>1050</v>
      </c>
      <c r="M21" s="2">
        <f t="shared" si="3"/>
        <v>19</v>
      </c>
      <c r="N21" s="15">
        <f t="shared" si="4"/>
        <v>38</v>
      </c>
      <c r="O21" s="15">
        <f t="shared" si="5"/>
        <v>127</v>
      </c>
      <c r="P21" s="16">
        <f>SUM($H$3:H21)</f>
        <v>13130</v>
      </c>
      <c r="Q21" s="2">
        <f>SUM($I$3:I21)</f>
        <v>19</v>
      </c>
    </row>
    <row r="22" spans="1:17" x14ac:dyDescent="0.3">
      <c r="A22" s="7">
        <f t="shared" si="6"/>
        <v>20</v>
      </c>
      <c r="B22" s="2">
        <f t="shared" si="6"/>
        <v>20</v>
      </c>
      <c r="C22" s="2">
        <f t="shared" si="0"/>
        <v>40</v>
      </c>
      <c r="D22" s="2">
        <f t="shared" si="8"/>
        <v>135</v>
      </c>
      <c r="E22" s="2">
        <v>0.1</v>
      </c>
      <c r="F22" s="9">
        <v>0.4</v>
      </c>
      <c r="G22" s="9">
        <v>0</v>
      </c>
      <c r="H22" s="8">
        <f t="shared" si="1"/>
        <v>1110</v>
      </c>
      <c r="I22" s="2">
        <v>1</v>
      </c>
      <c r="K22" s="2"/>
      <c r="L22" s="2">
        <f t="shared" si="2"/>
        <v>1110</v>
      </c>
      <c r="M22" s="2">
        <f t="shared" si="3"/>
        <v>20</v>
      </c>
      <c r="N22" s="15">
        <f t="shared" si="4"/>
        <v>40</v>
      </c>
      <c r="O22" s="15">
        <f t="shared" si="5"/>
        <v>135</v>
      </c>
      <c r="P22" s="16">
        <f>SUM($H$3:H22)</f>
        <v>14240</v>
      </c>
      <c r="Q22" s="2">
        <f>SUM($I$3:I22)</f>
        <v>20</v>
      </c>
    </row>
    <row r="23" spans="1:17" x14ac:dyDescent="0.3">
      <c r="A23" s="7">
        <f t="shared" si="6"/>
        <v>21</v>
      </c>
      <c r="B23" s="2">
        <f t="shared" si="6"/>
        <v>21</v>
      </c>
      <c r="C23" s="2">
        <f t="shared" si="0"/>
        <v>42</v>
      </c>
      <c r="D23" s="2">
        <f>D22+15</f>
        <v>150</v>
      </c>
      <c r="E23" s="2">
        <v>0.1</v>
      </c>
      <c r="F23" s="9">
        <v>0.4</v>
      </c>
      <c r="G23" s="9">
        <v>0</v>
      </c>
      <c r="H23" s="8">
        <f t="shared" si="1"/>
        <v>1170</v>
      </c>
      <c r="I23" s="2">
        <v>1</v>
      </c>
      <c r="K23" s="2"/>
      <c r="L23" s="2">
        <f t="shared" si="2"/>
        <v>1170</v>
      </c>
      <c r="M23" s="2">
        <f t="shared" si="3"/>
        <v>21</v>
      </c>
      <c r="N23" s="15">
        <f t="shared" si="4"/>
        <v>42</v>
      </c>
      <c r="O23" s="15">
        <f t="shared" si="5"/>
        <v>150</v>
      </c>
      <c r="P23" s="16">
        <f>SUM($H$3:H23)</f>
        <v>15410</v>
      </c>
      <c r="Q23" s="2">
        <f>SUM($I$3:I23)</f>
        <v>21</v>
      </c>
    </row>
    <row r="24" spans="1:17" x14ac:dyDescent="0.3">
      <c r="A24" s="7">
        <f t="shared" si="6"/>
        <v>22</v>
      </c>
      <c r="B24" s="2">
        <f t="shared" si="6"/>
        <v>22</v>
      </c>
      <c r="C24" s="2">
        <f t="shared" si="0"/>
        <v>44</v>
      </c>
      <c r="D24" s="2">
        <f t="shared" ref="D24:D52" si="9">D23+15</f>
        <v>165</v>
      </c>
      <c r="E24" s="2">
        <v>0.1</v>
      </c>
      <c r="F24" s="9">
        <v>0.4</v>
      </c>
      <c r="G24" s="9">
        <v>0</v>
      </c>
      <c r="H24" s="8">
        <f t="shared" si="1"/>
        <v>1240</v>
      </c>
      <c r="I24" s="2">
        <v>1</v>
      </c>
      <c r="K24" s="2"/>
      <c r="L24" s="2">
        <f t="shared" si="2"/>
        <v>1240</v>
      </c>
      <c r="M24" s="2">
        <f t="shared" si="3"/>
        <v>22</v>
      </c>
      <c r="N24" s="15">
        <f t="shared" si="4"/>
        <v>44</v>
      </c>
      <c r="O24" s="15">
        <f t="shared" si="5"/>
        <v>165</v>
      </c>
      <c r="P24" s="16">
        <f>SUM($H$3:H24)</f>
        <v>16650</v>
      </c>
      <c r="Q24" s="2">
        <f>SUM($I$3:I24)</f>
        <v>22</v>
      </c>
    </row>
    <row r="25" spans="1:17" x14ac:dyDescent="0.3">
      <c r="A25" s="7">
        <f t="shared" si="6"/>
        <v>23</v>
      </c>
      <c r="B25" s="2">
        <f t="shared" si="6"/>
        <v>23</v>
      </c>
      <c r="C25" s="2">
        <f t="shared" si="0"/>
        <v>46</v>
      </c>
      <c r="D25" s="2">
        <f t="shared" si="9"/>
        <v>180</v>
      </c>
      <c r="E25" s="2">
        <v>0.1</v>
      </c>
      <c r="F25" s="9">
        <v>0.4</v>
      </c>
      <c r="G25" s="9">
        <v>0</v>
      </c>
      <c r="H25" s="8">
        <f t="shared" si="1"/>
        <v>1310</v>
      </c>
      <c r="I25" s="2">
        <v>1</v>
      </c>
      <c r="K25" s="2"/>
      <c r="L25" s="2">
        <f t="shared" si="2"/>
        <v>1310</v>
      </c>
      <c r="M25" s="2">
        <f t="shared" si="3"/>
        <v>23</v>
      </c>
      <c r="N25" s="15">
        <f t="shared" si="4"/>
        <v>46</v>
      </c>
      <c r="O25" s="15">
        <f t="shared" si="5"/>
        <v>180</v>
      </c>
      <c r="P25" s="16">
        <f>SUM($H$3:H25)</f>
        <v>17960</v>
      </c>
      <c r="Q25" s="2">
        <f>SUM($I$3:I25)</f>
        <v>23</v>
      </c>
    </row>
    <row r="26" spans="1:17" x14ac:dyDescent="0.3">
      <c r="A26" s="7">
        <f t="shared" si="6"/>
        <v>24</v>
      </c>
      <c r="B26" s="2">
        <f t="shared" si="6"/>
        <v>24</v>
      </c>
      <c r="C26" s="2">
        <f t="shared" si="0"/>
        <v>48</v>
      </c>
      <c r="D26" s="2">
        <f t="shared" si="9"/>
        <v>195</v>
      </c>
      <c r="E26" s="2">
        <v>0.1</v>
      </c>
      <c r="F26" s="9">
        <v>0.4</v>
      </c>
      <c r="G26" s="9">
        <v>0</v>
      </c>
      <c r="H26" s="8">
        <f t="shared" si="1"/>
        <v>1390</v>
      </c>
      <c r="I26" s="2">
        <v>1</v>
      </c>
      <c r="K26" s="2"/>
      <c r="L26" s="2">
        <f t="shared" si="2"/>
        <v>1390</v>
      </c>
      <c r="M26" s="2">
        <f t="shared" si="3"/>
        <v>24</v>
      </c>
      <c r="N26" s="15">
        <f t="shared" si="4"/>
        <v>48</v>
      </c>
      <c r="O26" s="15">
        <f t="shared" si="5"/>
        <v>195</v>
      </c>
      <c r="P26" s="16">
        <f>SUM($H$3:H26)</f>
        <v>19350</v>
      </c>
      <c r="Q26" s="2">
        <f>SUM($I$3:I26)</f>
        <v>24</v>
      </c>
    </row>
    <row r="27" spans="1:17" x14ac:dyDescent="0.3">
      <c r="A27" s="7">
        <f t="shared" si="6"/>
        <v>25</v>
      </c>
      <c r="B27" s="2">
        <f t="shared" si="6"/>
        <v>25</v>
      </c>
      <c r="C27" s="2">
        <f t="shared" si="0"/>
        <v>50</v>
      </c>
      <c r="D27" s="2">
        <f t="shared" si="9"/>
        <v>210</v>
      </c>
      <c r="E27" s="2">
        <v>0.1</v>
      </c>
      <c r="F27" s="9">
        <v>0.4</v>
      </c>
      <c r="G27" s="9">
        <v>0</v>
      </c>
      <c r="H27" s="8">
        <f t="shared" si="1"/>
        <v>1470</v>
      </c>
      <c r="I27" s="2">
        <v>1</v>
      </c>
      <c r="K27" s="2"/>
      <c r="L27" s="2">
        <f t="shared" si="2"/>
        <v>1470</v>
      </c>
      <c r="M27" s="2">
        <f t="shared" si="3"/>
        <v>25</v>
      </c>
      <c r="N27" s="15">
        <f t="shared" si="4"/>
        <v>50</v>
      </c>
      <c r="O27" s="15">
        <f t="shared" si="5"/>
        <v>210</v>
      </c>
      <c r="P27" s="16">
        <f>SUM($H$3:H27)</f>
        <v>20820</v>
      </c>
      <c r="Q27" s="2">
        <f>SUM($I$3:I27)</f>
        <v>25</v>
      </c>
    </row>
    <row r="28" spans="1:17" x14ac:dyDescent="0.3">
      <c r="A28" s="7">
        <f t="shared" si="6"/>
        <v>26</v>
      </c>
      <c r="B28" s="2">
        <f t="shared" si="6"/>
        <v>26</v>
      </c>
      <c r="C28" s="2">
        <f t="shared" si="0"/>
        <v>52</v>
      </c>
      <c r="D28" s="2">
        <f t="shared" si="9"/>
        <v>225</v>
      </c>
      <c r="E28" s="2">
        <v>0.1</v>
      </c>
      <c r="F28" s="9">
        <v>0.4</v>
      </c>
      <c r="G28" s="9">
        <v>0</v>
      </c>
      <c r="H28" s="8">
        <f t="shared" si="1"/>
        <v>1550</v>
      </c>
      <c r="I28" s="2">
        <v>1</v>
      </c>
      <c r="K28" s="2"/>
      <c r="L28" s="2">
        <f t="shared" si="2"/>
        <v>1550</v>
      </c>
      <c r="M28" s="2">
        <f t="shared" si="3"/>
        <v>26</v>
      </c>
      <c r="N28" s="15">
        <f t="shared" si="4"/>
        <v>52</v>
      </c>
      <c r="O28" s="15">
        <f t="shared" si="5"/>
        <v>225</v>
      </c>
      <c r="P28" s="16">
        <f>SUM($H$3:H28)</f>
        <v>22370</v>
      </c>
      <c r="Q28" s="2">
        <f>SUM($I$3:I28)</f>
        <v>26</v>
      </c>
    </row>
    <row r="29" spans="1:17" x14ac:dyDescent="0.3">
      <c r="A29" s="7">
        <f t="shared" si="6"/>
        <v>27</v>
      </c>
      <c r="B29" s="2">
        <f t="shared" si="6"/>
        <v>27</v>
      </c>
      <c r="C29" s="2">
        <f t="shared" si="0"/>
        <v>54</v>
      </c>
      <c r="D29" s="2">
        <f t="shared" si="9"/>
        <v>240</v>
      </c>
      <c r="E29" s="2">
        <v>0.1</v>
      </c>
      <c r="F29" s="9">
        <v>0.4</v>
      </c>
      <c r="G29" s="9">
        <v>0</v>
      </c>
      <c r="H29" s="8">
        <f t="shared" si="1"/>
        <v>1640</v>
      </c>
      <c r="I29" s="2">
        <v>1</v>
      </c>
      <c r="K29" s="2"/>
      <c r="L29" s="2">
        <f t="shared" si="2"/>
        <v>1640</v>
      </c>
      <c r="M29" s="2">
        <f t="shared" si="3"/>
        <v>27</v>
      </c>
      <c r="N29" s="15">
        <f t="shared" si="4"/>
        <v>54</v>
      </c>
      <c r="O29" s="15">
        <f t="shared" si="5"/>
        <v>240</v>
      </c>
      <c r="P29" s="16">
        <f>SUM($H$3:H29)</f>
        <v>24010</v>
      </c>
      <c r="Q29" s="2">
        <f>SUM($I$3:I29)</f>
        <v>27</v>
      </c>
    </row>
    <row r="30" spans="1:17" x14ac:dyDescent="0.3">
      <c r="A30" s="7">
        <f t="shared" si="6"/>
        <v>28</v>
      </c>
      <c r="B30" s="2">
        <f t="shared" si="6"/>
        <v>28</v>
      </c>
      <c r="C30" s="2">
        <f t="shared" si="0"/>
        <v>56</v>
      </c>
      <c r="D30" s="2">
        <f t="shared" si="9"/>
        <v>255</v>
      </c>
      <c r="E30" s="2">
        <v>0.1</v>
      </c>
      <c r="F30" s="9">
        <v>0.4</v>
      </c>
      <c r="G30" s="9">
        <v>0</v>
      </c>
      <c r="H30" s="8">
        <f t="shared" si="1"/>
        <v>1720</v>
      </c>
      <c r="I30" s="2">
        <v>1</v>
      </c>
      <c r="K30" s="2"/>
      <c r="L30" s="2">
        <f t="shared" si="2"/>
        <v>1720</v>
      </c>
      <c r="M30" s="2">
        <f t="shared" si="3"/>
        <v>28</v>
      </c>
      <c r="N30" s="15">
        <f t="shared" si="4"/>
        <v>56</v>
      </c>
      <c r="O30" s="15">
        <f t="shared" si="5"/>
        <v>255</v>
      </c>
      <c r="P30" s="16">
        <f>SUM($H$3:H30)</f>
        <v>25730</v>
      </c>
      <c r="Q30" s="2">
        <f>SUM($I$3:I30)</f>
        <v>28</v>
      </c>
    </row>
    <row r="31" spans="1:17" x14ac:dyDescent="0.3">
      <c r="A31" s="7">
        <f t="shared" si="6"/>
        <v>29</v>
      </c>
      <c r="B31" s="2">
        <f t="shared" si="6"/>
        <v>29</v>
      </c>
      <c r="C31" s="2">
        <f t="shared" si="0"/>
        <v>58</v>
      </c>
      <c r="D31" s="2">
        <f t="shared" si="9"/>
        <v>270</v>
      </c>
      <c r="E31" s="2">
        <v>0.1</v>
      </c>
      <c r="F31" s="9">
        <v>0.4</v>
      </c>
      <c r="G31" s="9">
        <v>0</v>
      </c>
      <c r="H31" s="8">
        <f t="shared" si="1"/>
        <v>1820</v>
      </c>
      <c r="I31" s="2">
        <v>1</v>
      </c>
      <c r="K31" s="2"/>
      <c r="L31" s="2">
        <f t="shared" si="2"/>
        <v>1820</v>
      </c>
      <c r="M31" s="2">
        <f t="shared" si="3"/>
        <v>29</v>
      </c>
      <c r="N31" s="15">
        <f t="shared" si="4"/>
        <v>58</v>
      </c>
      <c r="O31" s="15">
        <f t="shared" si="5"/>
        <v>270</v>
      </c>
      <c r="P31" s="16">
        <f>SUM($H$3:H31)</f>
        <v>27550</v>
      </c>
      <c r="Q31" s="2">
        <f>SUM($I$3:I31)</f>
        <v>29</v>
      </c>
    </row>
    <row r="32" spans="1:17" x14ac:dyDescent="0.3">
      <c r="A32" s="7">
        <f t="shared" si="6"/>
        <v>30</v>
      </c>
      <c r="B32" s="2">
        <f t="shared" si="6"/>
        <v>30</v>
      </c>
      <c r="C32" s="2">
        <f t="shared" si="0"/>
        <v>60</v>
      </c>
      <c r="D32" s="2">
        <f t="shared" si="9"/>
        <v>285</v>
      </c>
      <c r="E32" s="2">
        <v>0.1</v>
      </c>
      <c r="F32" s="9">
        <v>0.4</v>
      </c>
      <c r="G32" s="9">
        <v>0</v>
      </c>
      <c r="H32" s="8">
        <f t="shared" si="1"/>
        <v>1910</v>
      </c>
      <c r="I32" s="2">
        <v>1</v>
      </c>
      <c r="K32" s="2"/>
      <c r="L32" s="2">
        <f t="shared" si="2"/>
        <v>1910</v>
      </c>
      <c r="M32" s="2">
        <f t="shared" si="3"/>
        <v>30</v>
      </c>
      <c r="N32" s="15">
        <f t="shared" si="4"/>
        <v>60</v>
      </c>
      <c r="O32" s="15">
        <f t="shared" si="5"/>
        <v>285</v>
      </c>
      <c r="P32" s="16">
        <f>SUM($H$3:H32)</f>
        <v>29460</v>
      </c>
      <c r="Q32" s="2">
        <f>SUM($I$3:I32)</f>
        <v>30</v>
      </c>
    </row>
    <row r="33" spans="1:17" x14ac:dyDescent="0.3">
      <c r="A33" s="7">
        <f t="shared" si="6"/>
        <v>31</v>
      </c>
      <c r="B33" s="2">
        <f t="shared" si="6"/>
        <v>31</v>
      </c>
      <c r="C33" s="2">
        <f t="shared" si="0"/>
        <v>62</v>
      </c>
      <c r="D33" s="2">
        <f>D32+27</f>
        <v>312</v>
      </c>
      <c r="E33" s="2">
        <v>0.1</v>
      </c>
      <c r="F33" s="9">
        <v>0.4</v>
      </c>
      <c r="G33" s="9">
        <v>0</v>
      </c>
      <c r="H33" s="8">
        <f t="shared" si="1"/>
        <v>2010</v>
      </c>
      <c r="I33" s="2">
        <v>1</v>
      </c>
      <c r="K33" s="2"/>
      <c r="L33" s="2">
        <f t="shared" si="2"/>
        <v>2010</v>
      </c>
      <c r="M33" s="2">
        <f t="shared" si="3"/>
        <v>31</v>
      </c>
      <c r="N33" s="15">
        <f t="shared" si="4"/>
        <v>62</v>
      </c>
      <c r="O33" s="15">
        <f t="shared" si="5"/>
        <v>312</v>
      </c>
      <c r="P33" s="16">
        <f>SUM($H$3:H33)</f>
        <v>31470</v>
      </c>
      <c r="Q33" s="2">
        <f>SUM($I$3:I33)</f>
        <v>31</v>
      </c>
    </row>
    <row r="34" spans="1:17" x14ac:dyDescent="0.3">
      <c r="A34" s="7">
        <f t="shared" si="6"/>
        <v>32</v>
      </c>
      <c r="B34" s="2">
        <f t="shared" si="6"/>
        <v>32</v>
      </c>
      <c r="C34" s="2">
        <f t="shared" si="0"/>
        <v>64</v>
      </c>
      <c r="D34" s="2">
        <f t="shared" ref="D34:D52" si="10">D33+27</f>
        <v>339</v>
      </c>
      <c r="E34" s="2">
        <v>0.1</v>
      </c>
      <c r="F34" s="9">
        <v>0.4</v>
      </c>
      <c r="G34" s="9">
        <v>0</v>
      </c>
      <c r="H34" s="8">
        <f t="shared" si="1"/>
        <v>2110</v>
      </c>
      <c r="I34" s="2">
        <v>1</v>
      </c>
      <c r="K34" s="2"/>
      <c r="L34" s="2">
        <f t="shared" si="2"/>
        <v>2110</v>
      </c>
      <c r="M34" s="2">
        <f t="shared" si="3"/>
        <v>32</v>
      </c>
      <c r="N34" s="15">
        <f t="shared" si="4"/>
        <v>64</v>
      </c>
      <c r="O34" s="15">
        <f t="shared" si="5"/>
        <v>339</v>
      </c>
      <c r="P34" s="16">
        <f>SUM($H$3:H34)</f>
        <v>33580</v>
      </c>
      <c r="Q34" s="2">
        <f>SUM($I$3:I34)</f>
        <v>32</v>
      </c>
    </row>
    <row r="35" spans="1:17" x14ac:dyDescent="0.3">
      <c r="A35" s="7">
        <f t="shared" si="6"/>
        <v>33</v>
      </c>
      <c r="B35" s="2">
        <f t="shared" si="6"/>
        <v>33</v>
      </c>
      <c r="C35" s="2">
        <f t="shared" si="0"/>
        <v>66</v>
      </c>
      <c r="D35" s="2">
        <f t="shared" si="10"/>
        <v>366</v>
      </c>
      <c r="E35" s="2">
        <v>0.1</v>
      </c>
      <c r="F35" s="9">
        <v>0.4</v>
      </c>
      <c r="G35" s="9">
        <v>0</v>
      </c>
      <c r="H35" s="8">
        <f t="shared" si="1"/>
        <v>2220</v>
      </c>
      <c r="I35" s="2">
        <v>1</v>
      </c>
      <c r="K35" s="2"/>
      <c r="L35" s="2">
        <f t="shared" si="2"/>
        <v>2220</v>
      </c>
      <c r="M35" s="2">
        <f t="shared" si="3"/>
        <v>33</v>
      </c>
      <c r="N35" s="15">
        <f t="shared" si="4"/>
        <v>66</v>
      </c>
      <c r="O35" s="15">
        <f t="shared" si="5"/>
        <v>366</v>
      </c>
      <c r="P35" s="16">
        <f>SUM($H$3:H35)</f>
        <v>35800</v>
      </c>
      <c r="Q35" s="2">
        <f>SUM($I$3:I35)</f>
        <v>33</v>
      </c>
    </row>
    <row r="36" spans="1:17" x14ac:dyDescent="0.3">
      <c r="A36" s="7">
        <f t="shared" si="6"/>
        <v>34</v>
      </c>
      <c r="B36" s="2">
        <f t="shared" si="6"/>
        <v>34</v>
      </c>
      <c r="C36" s="2">
        <f t="shared" si="0"/>
        <v>68</v>
      </c>
      <c r="D36" s="2">
        <f t="shared" si="10"/>
        <v>393</v>
      </c>
      <c r="E36" s="2">
        <v>0.1</v>
      </c>
      <c r="F36" s="9">
        <v>0.4</v>
      </c>
      <c r="G36" s="9">
        <v>0</v>
      </c>
      <c r="H36" s="8">
        <f t="shared" si="1"/>
        <v>2330</v>
      </c>
      <c r="I36" s="2">
        <v>1</v>
      </c>
      <c r="K36" s="2"/>
      <c r="L36" s="2">
        <f t="shared" si="2"/>
        <v>2330</v>
      </c>
      <c r="M36" s="2">
        <f t="shared" si="3"/>
        <v>34</v>
      </c>
      <c r="N36" s="15">
        <f t="shared" si="4"/>
        <v>68</v>
      </c>
      <c r="O36" s="15">
        <f t="shared" si="5"/>
        <v>393</v>
      </c>
      <c r="P36" s="16">
        <f>SUM($H$3:H36)</f>
        <v>38130</v>
      </c>
      <c r="Q36" s="2">
        <f>SUM($I$3:I36)</f>
        <v>34</v>
      </c>
    </row>
    <row r="37" spans="1:17" x14ac:dyDescent="0.3">
      <c r="A37" s="7">
        <f t="shared" si="6"/>
        <v>35</v>
      </c>
      <c r="B37" s="2">
        <f t="shared" si="6"/>
        <v>35</v>
      </c>
      <c r="C37" s="2">
        <f t="shared" si="0"/>
        <v>70</v>
      </c>
      <c r="D37" s="2">
        <f t="shared" si="10"/>
        <v>420</v>
      </c>
      <c r="E37" s="2">
        <v>0.1</v>
      </c>
      <c r="F37" s="9">
        <v>0.4</v>
      </c>
      <c r="G37" s="9">
        <v>0</v>
      </c>
      <c r="H37" s="8">
        <f t="shared" si="1"/>
        <v>2440</v>
      </c>
      <c r="I37" s="2">
        <v>1</v>
      </c>
      <c r="K37" s="2"/>
      <c r="L37" s="2">
        <f t="shared" si="2"/>
        <v>2440</v>
      </c>
      <c r="M37" s="2">
        <f t="shared" si="3"/>
        <v>35</v>
      </c>
      <c r="N37" s="15">
        <f t="shared" si="4"/>
        <v>70</v>
      </c>
      <c r="O37" s="15">
        <f t="shared" si="5"/>
        <v>420</v>
      </c>
      <c r="P37" s="16">
        <f>SUM($H$3:H37)</f>
        <v>40570</v>
      </c>
      <c r="Q37" s="2">
        <f>SUM($I$3:I37)</f>
        <v>35</v>
      </c>
    </row>
    <row r="38" spans="1:17" x14ac:dyDescent="0.3">
      <c r="A38" s="7">
        <f t="shared" si="6"/>
        <v>36</v>
      </c>
      <c r="B38" s="2">
        <f t="shared" si="6"/>
        <v>36</v>
      </c>
      <c r="C38" s="2">
        <f t="shared" si="0"/>
        <v>72</v>
      </c>
      <c r="D38" s="2">
        <f t="shared" si="10"/>
        <v>447</v>
      </c>
      <c r="E38" s="2">
        <v>0.1</v>
      </c>
      <c r="F38" s="9">
        <v>0.4</v>
      </c>
      <c r="G38" s="9">
        <v>0</v>
      </c>
      <c r="H38" s="8">
        <f t="shared" si="1"/>
        <v>2550</v>
      </c>
      <c r="I38" s="2">
        <v>1</v>
      </c>
      <c r="K38" s="2"/>
      <c r="L38" s="2">
        <f t="shared" si="2"/>
        <v>2550</v>
      </c>
      <c r="M38" s="2">
        <f t="shared" si="3"/>
        <v>36</v>
      </c>
      <c r="N38" s="15">
        <f t="shared" si="4"/>
        <v>72</v>
      </c>
      <c r="O38" s="15">
        <f t="shared" si="5"/>
        <v>447</v>
      </c>
      <c r="P38" s="16">
        <f>SUM($H$3:H38)</f>
        <v>43120</v>
      </c>
      <c r="Q38" s="2">
        <f>SUM($I$3:I38)</f>
        <v>36</v>
      </c>
    </row>
    <row r="39" spans="1:17" x14ac:dyDescent="0.3">
      <c r="A39" s="7">
        <f t="shared" si="6"/>
        <v>37</v>
      </c>
      <c r="B39" s="2">
        <f t="shared" si="6"/>
        <v>37</v>
      </c>
      <c r="C39" s="2">
        <f t="shared" si="0"/>
        <v>74</v>
      </c>
      <c r="D39" s="2">
        <f t="shared" si="10"/>
        <v>474</v>
      </c>
      <c r="E39" s="2">
        <v>0.1</v>
      </c>
      <c r="F39" s="9">
        <v>0.4</v>
      </c>
      <c r="G39" s="9">
        <v>0</v>
      </c>
      <c r="H39" s="8">
        <f t="shared" si="1"/>
        <v>2670</v>
      </c>
      <c r="I39" s="2">
        <v>1</v>
      </c>
      <c r="K39" s="2"/>
      <c r="L39" s="2">
        <f t="shared" si="2"/>
        <v>2670</v>
      </c>
      <c r="M39" s="2">
        <f t="shared" si="3"/>
        <v>37</v>
      </c>
      <c r="N39" s="15">
        <f t="shared" si="4"/>
        <v>74</v>
      </c>
      <c r="O39" s="15">
        <f t="shared" si="5"/>
        <v>474</v>
      </c>
      <c r="P39" s="16">
        <f>SUM($H$3:H39)</f>
        <v>45790</v>
      </c>
      <c r="Q39" s="2">
        <f>SUM($I$3:I39)</f>
        <v>37</v>
      </c>
    </row>
    <row r="40" spans="1:17" x14ac:dyDescent="0.3">
      <c r="A40" s="7">
        <f t="shared" si="6"/>
        <v>38</v>
      </c>
      <c r="B40" s="2">
        <f t="shared" si="6"/>
        <v>38</v>
      </c>
      <c r="C40" s="2">
        <f t="shared" si="0"/>
        <v>76</v>
      </c>
      <c r="D40" s="2">
        <f t="shared" si="10"/>
        <v>501</v>
      </c>
      <c r="E40" s="2">
        <v>0.1</v>
      </c>
      <c r="F40" s="9">
        <v>0.4</v>
      </c>
      <c r="G40" s="9">
        <v>0</v>
      </c>
      <c r="H40" s="8">
        <f t="shared" si="1"/>
        <v>2790</v>
      </c>
      <c r="I40" s="2">
        <v>1</v>
      </c>
      <c r="K40" s="2"/>
      <c r="L40" s="2">
        <f t="shared" si="2"/>
        <v>2790</v>
      </c>
      <c r="M40" s="2">
        <f t="shared" si="3"/>
        <v>38</v>
      </c>
      <c r="N40" s="15">
        <f t="shared" si="4"/>
        <v>76</v>
      </c>
      <c r="O40" s="15">
        <f t="shared" si="5"/>
        <v>501</v>
      </c>
      <c r="P40" s="16">
        <f>SUM($H$3:H40)</f>
        <v>48580</v>
      </c>
      <c r="Q40" s="2">
        <f>SUM($I$3:I40)</f>
        <v>38</v>
      </c>
    </row>
    <row r="41" spans="1:17" x14ac:dyDescent="0.3">
      <c r="A41" s="7">
        <f t="shared" si="6"/>
        <v>39</v>
      </c>
      <c r="B41" s="2">
        <f t="shared" si="6"/>
        <v>39</v>
      </c>
      <c r="C41" s="2">
        <f t="shared" si="0"/>
        <v>78</v>
      </c>
      <c r="D41" s="2">
        <f t="shared" si="10"/>
        <v>528</v>
      </c>
      <c r="E41" s="2">
        <v>0.1</v>
      </c>
      <c r="F41" s="9">
        <v>0.4</v>
      </c>
      <c r="G41" s="9">
        <v>0</v>
      </c>
      <c r="H41" s="8">
        <f t="shared" si="1"/>
        <v>2920</v>
      </c>
      <c r="I41" s="2">
        <v>1</v>
      </c>
      <c r="K41" s="2"/>
      <c r="L41" s="2">
        <f t="shared" si="2"/>
        <v>2920</v>
      </c>
      <c r="M41" s="2">
        <f t="shared" si="3"/>
        <v>39</v>
      </c>
      <c r="N41" s="15">
        <f t="shared" si="4"/>
        <v>78</v>
      </c>
      <c r="O41" s="15">
        <f t="shared" si="5"/>
        <v>528</v>
      </c>
      <c r="P41" s="16">
        <f>SUM($H$3:H41)</f>
        <v>51500</v>
      </c>
      <c r="Q41" s="2">
        <f>SUM($I$3:I41)</f>
        <v>39</v>
      </c>
    </row>
    <row r="42" spans="1:17" x14ac:dyDescent="0.3">
      <c r="A42" s="7">
        <f t="shared" si="6"/>
        <v>40</v>
      </c>
      <c r="B42" s="2">
        <f>B41+2</f>
        <v>41</v>
      </c>
      <c r="C42" s="2">
        <f t="shared" si="0"/>
        <v>80</v>
      </c>
      <c r="D42" s="2">
        <f t="shared" si="10"/>
        <v>555</v>
      </c>
      <c r="E42" s="2">
        <f>E22+0.1</f>
        <v>0.2</v>
      </c>
      <c r="F42" s="9">
        <v>0.5</v>
      </c>
      <c r="G42" s="9">
        <v>0</v>
      </c>
      <c r="H42" s="8">
        <f t="shared" si="1"/>
        <v>3050</v>
      </c>
      <c r="I42" s="2">
        <v>1</v>
      </c>
      <c r="K42" s="2"/>
      <c r="L42" s="2">
        <f t="shared" si="2"/>
        <v>3050</v>
      </c>
      <c r="M42" s="2">
        <f t="shared" si="3"/>
        <v>41</v>
      </c>
      <c r="N42" s="15">
        <f t="shared" si="4"/>
        <v>80</v>
      </c>
      <c r="O42" s="15">
        <f t="shared" si="5"/>
        <v>555</v>
      </c>
      <c r="P42" s="16">
        <f>SUM($H$3:H42)</f>
        <v>54550</v>
      </c>
      <c r="Q42" s="2">
        <f>SUM($I$3:I42)</f>
        <v>40</v>
      </c>
    </row>
    <row r="43" spans="1:17" x14ac:dyDescent="0.3">
      <c r="A43" s="7">
        <f t="shared" si="6"/>
        <v>41</v>
      </c>
      <c r="B43" s="2">
        <f t="shared" ref="B43:B81" si="11">B42+2</f>
        <v>43</v>
      </c>
      <c r="C43" s="2">
        <f t="shared" si="0"/>
        <v>82</v>
      </c>
      <c r="D43" s="2">
        <f t="shared" si="10"/>
        <v>582</v>
      </c>
      <c r="E43" s="2">
        <f t="shared" ref="E43:F106" si="12">E23+0.1</f>
        <v>0.2</v>
      </c>
      <c r="F43" s="9">
        <v>0.5</v>
      </c>
      <c r="G43" s="9">
        <v>0</v>
      </c>
      <c r="H43" s="8">
        <f t="shared" si="1"/>
        <v>3180</v>
      </c>
      <c r="I43" s="2">
        <v>1</v>
      </c>
      <c r="K43" s="2"/>
      <c r="L43" s="2">
        <f t="shared" si="2"/>
        <v>3180</v>
      </c>
      <c r="M43" s="2">
        <f t="shared" si="3"/>
        <v>43</v>
      </c>
      <c r="N43" s="15">
        <f t="shared" si="4"/>
        <v>82</v>
      </c>
      <c r="O43" s="15">
        <f t="shared" si="5"/>
        <v>582</v>
      </c>
      <c r="P43" s="16">
        <f>SUM($H$3:H43)</f>
        <v>57730</v>
      </c>
      <c r="Q43" s="2">
        <f>SUM($I$3:I43)</f>
        <v>41</v>
      </c>
    </row>
    <row r="44" spans="1:17" x14ac:dyDescent="0.3">
      <c r="A44" s="7">
        <f t="shared" si="6"/>
        <v>42</v>
      </c>
      <c r="B44" s="2">
        <f t="shared" si="11"/>
        <v>45</v>
      </c>
      <c r="C44" s="2">
        <f t="shared" si="0"/>
        <v>84</v>
      </c>
      <c r="D44" s="2">
        <f t="shared" si="10"/>
        <v>609</v>
      </c>
      <c r="E44" s="2">
        <f t="shared" si="12"/>
        <v>0.2</v>
      </c>
      <c r="F44" s="9">
        <v>0.5</v>
      </c>
      <c r="G44" s="9">
        <v>0</v>
      </c>
      <c r="H44" s="8">
        <f t="shared" si="1"/>
        <v>3320</v>
      </c>
      <c r="I44" s="2">
        <v>1</v>
      </c>
      <c r="K44" s="2"/>
      <c r="L44" s="2">
        <f t="shared" si="2"/>
        <v>3320</v>
      </c>
      <c r="M44" s="2">
        <f t="shared" si="3"/>
        <v>45</v>
      </c>
      <c r="N44" s="15">
        <f t="shared" si="4"/>
        <v>84</v>
      </c>
      <c r="O44" s="15">
        <f t="shared" si="5"/>
        <v>609</v>
      </c>
      <c r="P44" s="16">
        <f>SUM($H$3:H44)</f>
        <v>61050</v>
      </c>
      <c r="Q44" s="2">
        <f>SUM($I$3:I44)</f>
        <v>42</v>
      </c>
    </row>
    <row r="45" spans="1:17" x14ac:dyDescent="0.3">
      <c r="A45" s="7">
        <f t="shared" si="6"/>
        <v>43</v>
      </c>
      <c r="B45" s="2">
        <f t="shared" si="11"/>
        <v>47</v>
      </c>
      <c r="C45" s="2">
        <f t="shared" si="0"/>
        <v>86</v>
      </c>
      <c r="D45" s="2">
        <f t="shared" si="10"/>
        <v>636</v>
      </c>
      <c r="E45" s="2">
        <f t="shared" si="12"/>
        <v>0.2</v>
      </c>
      <c r="F45" s="9">
        <v>0.5</v>
      </c>
      <c r="G45" s="9">
        <v>0</v>
      </c>
      <c r="H45" s="8">
        <f t="shared" si="1"/>
        <v>3450</v>
      </c>
      <c r="I45" s="2">
        <v>1</v>
      </c>
      <c r="K45" s="2"/>
      <c r="L45" s="2">
        <f t="shared" si="2"/>
        <v>3450</v>
      </c>
      <c r="M45" s="2">
        <f t="shared" si="3"/>
        <v>47</v>
      </c>
      <c r="N45" s="15">
        <f t="shared" si="4"/>
        <v>86</v>
      </c>
      <c r="O45" s="15">
        <f t="shared" si="5"/>
        <v>636</v>
      </c>
      <c r="P45" s="16">
        <f>SUM($H$3:H45)</f>
        <v>64500</v>
      </c>
      <c r="Q45" s="2">
        <f>SUM($I$3:I45)</f>
        <v>43</v>
      </c>
    </row>
    <row r="46" spans="1:17" x14ac:dyDescent="0.3">
      <c r="A46" s="7">
        <f t="shared" si="6"/>
        <v>44</v>
      </c>
      <c r="B46" s="2">
        <f t="shared" si="11"/>
        <v>49</v>
      </c>
      <c r="C46" s="2">
        <f t="shared" si="0"/>
        <v>88</v>
      </c>
      <c r="D46" s="2">
        <f t="shared" si="10"/>
        <v>663</v>
      </c>
      <c r="E46" s="2">
        <f t="shared" si="12"/>
        <v>0.2</v>
      </c>
      <c r="F46" s="9">
        <v>0.5</v>
      </c>
      <c r="G46" s="9">
        <v>0</v>
      </c>
      <c r="H46" s="8">
        <f t="shared" si="1"/>
        <v>3600</v>
      </c>
      <c r="I46" s="2">
        <v>1</v>
      </c>
      <c r="K46" s="2"/>
      <c r="L46" s="2">
        <f t="shared" si="2"/>
        <v>3600</v>
      </c>
      <c r="M46" s="2">
        <f t="shared" si="3"/>
        <v>49</v>
      </c>
      <c r="N46" s="15">
        <f t="shared" si="4"/>
        <v>88</v>
      </c>
      <c r="O46" s="15">
        <f t="shared" si="5"/>
        <v>663</v>
      </c>
      <c r="P46" s="16">
        <f>SUM($H$3:H46)</f>
        <v>68100</v>
      </c>
      <c r="Q46" s="2">
        <f>SUM($I$3:I46)</f>
        <v>44</v>
      </c>
    </row>
    <row r="47" spans="1:17" x14ac:dyDescent="0.3">
      <c r="A47" s="7">
        <f t="shared" si="6"/>
        <v>45</v>
      </c>
      <c r="B47" s="2">
        <f t="shared" si="11"/>
        <v>51</v>
      </c>
      <c r="C47" s="2">
        <f t="shared" si="0"/>
        <v>90</v>
      </c>
      <c r="D47" s="2">
        <f t="shared" si="10"/>
        <v>690</v>
      </c>
      <c r="E47" s="2">
        <f t="shared" si="12"/>
        <v>0.2</v>
      </c>
      <c r="F47" s="9">
        <v>0.5</v>
      </c>
      <c r="G47" s="9">
        <v>0</v>
      </c>
      <c r="H47" s="8">
        <f t="shared" si="1"/>
        <v>3740</v>
      </c>
      <c r="I47" s="2">
        <v>1</v>
      </c>
      <c r="K47" s="2"/>
      <c r="L47" s="2">
        <f t="shared" si="2"/>
        <v>3740</v>
      </c>
      <c r="M47" s="2">
        <f t="shared" si="3"/>
        <v>51</v>
      </c>
      <c r="N47" s="15">
        <f t="shared" si="4"/>
        <v>90</v>
      </c>
      <c r="O47" s="15">
        <f t="shared" si="5"/>
        <v>690</v>
      </c>
      <c r="P47" s="16">
        <f>SUM($H$3:H47)</f>
        <v>71840</v>
      </c>
      <c r="Q47" s="2">
        <f>SUM($I$3:I47)</f>
        <v>45</v>
      </c>
    </row>
    <row r="48" spans="1:17" x14ac:dyDescent="0.3">
      <c r="A48" s="7">
        <f t="shared" si="6"/>
        <v>46</v>
      </c>
      <c r="B48" s="2">
        <f t="shared" si="11"/>
        <v>53</v>
      </c>
      <c r="C48" s="2">
        <f t="shared" si="0"/>
        <v>92</v>
      </c>
      <c r="D48" s="2">
        <f t="shared" si="10"/>
        <v>717</v>
      </c>
      <c r="E48" s="2">
        <f t="shared" si="12"/>
        <v>0.2</v>
      </c>
      <c r="F48" s="9">
        <v>0.5</v>
      </c>
      <c r="G48" s="9">
        <v>0</v>
      </c>
      <c r="H48" s="8">
        <f t="shared" si="1"/>
        <v>3890</v>
      </c>
      <c r="I48" s="2">
        <v>1</v>
      </c>
      <c r="K48" s="2"/>
      <c r="L48" s="2">
        <f t="shared" si="2"/>
        <v>3890</v>
      </c>
      <c r="M48" s="2">
        <f t="shared" si="3"/>
        <v>53</v>
      </c>
      <c r="N48" s="15">
        <f t="shared" si="4"/>
        <v>92</v>
      </c>
      <c r="O48" s="15">
        <f t="shared" si="5"/>
        <v>717</v>
      </c>
      <c r="P48" s="16">
        <f>SUM($H$3:H48)</f>
        <v>75730</v>
      </c>
      <c r="Q48" s="2">
        <f>SUM($I$3:I48)</f>
        <v>46</v>
      </c>
    </row>
    <row r="49" spans="1:17" x14ac:dyDescent="0.3">
      <c r="A49" s="7">
        <f t="shared" si="6"/>
        <v>47</v>
      </c>
      <c r="B49" s="2">
        <f t="shared" si="11"/>
        <v>55</v>
      </c>
      <c r="C49" s="2">
        <f t="shared" si="0"/>
        <v>94</v>
      </c>
      <c r="D49" s="2">
        <f t="shared" si="10"/>
        <v>744</v>
      </c>
      <c r="E49" s="2">
        <f t="shared" si="12"/>
        <v>0.2</v>
      </c>
      <c r="F49" s="9">
        <v>0.5</v>
      </c>
      <c r="G49" s="9">
        <v>0</v>
      </c>
      <c r="H49" s="8">
        <f t="shared" si="1"/>
        <v>4040</v>
      </c>
      <c r="I49" s="2">
        <v>1</v>
      </c>
      <c r="K49" s="2"/>
      <c r="L49" s="2">
        <f t="shared" si="2"/>
        <v>4040</v>
      </c>
      <c r="M49" s="2">
        <f t="shared" si="3"/>
        <v>55</v>
      </c>
      <c r="N49" s="15">
        <f t="shared" si="4"/>
        <v>94</v>
      </c>
      <c r="O49" s="15">
        <f t="shared" si="5"/>
        <v>744</v>
      </c>
      <c r="P49" s="16">
        <f>SUM($H$3:H49)</f>
        <v>79770</v>
      </c>
      <c r="Q49" s="2">
        <f>SUM($I$3:I49)</f>
        <v>47</v>
      </c>
    </row>
    <row r="50" spans="1:17" x14ac:dyDescent="0.3">
      <c r="A50" s="7">
        <f t="shared" si="6"/>
        <v>48</v>
      </c>
      <c r="B50" s="2">
        <f t="shared" si="11"/>
        <v>57</v>
      </c>
      <c r="C50" s="2">
        <f t="shared" si="0"/>
        <v>96</v>
      </c>
      <c r="D50" s="2">
        <f t="shared" si="10"/>
        <v>771</v>
      </c>
      <c r="E50" s="2">
        <f t="shared" si="12"/>
        <v>0.2</v>
      </c>
      <c r="F50" s="9">
        <v>0.5</v>
      </c>
      <c r="G50" s="9">
        <v>0</v>
      </c>
      <c r="H50" s="8">
        <f t="shared" si="1"/>
        <v>4200</v>
      </c>
      <c r="I50" s="2">
        <v>1</v>
      </c>
      <c r="K50" s="2"/>
      <c r="L50" s="2">
        <f t="shared" si="2"/>
        <v>4200</v>
      </c>
      <c r="M50" s="2">
        <f t="shared" si="3"/>
        <v>57</v>
      </c>
      <c r="N50" s="15">
        <f t="shared" si="4"/>
        <v>96</v>
      </c>
      <c r="O50" s="15">
        <f t="shared" si="5"/>
        <v>771</v>
      </c>
      <c r="P50" s="16">
        <f>SUM($H$3:H50)</f>
        <v>83970</v>
      </c>
      <c r="Q50" s="2">
        <f>SUM($I$3:I50)</f>
        <v>48</v>
      </c>
    </row>
    <row r="51" spans="1:17" x14ac:dyDescent="0.3">
      <c r="A51" s="7">
        <f t="shared" si="6"/>
        <v>49</v>
      </c>
      <c r="B51" s="2">
        <f t="shared" si="11"/>
        <v>59</v>
      </c>
      <c r="C51" s="2">
        <f t="shared" si="0"/>
        <v>98</v>
      </c>
      <c r="D51" s="2">
        <f t="shared" si="10"/>
        <v>798</v>
      </c>
      <c r="E51" s="2">
        <f t="shared" si="12"/>
        <v>0.2</v>
      </c>
      <c r="F51" s="9">
        <v>0.5</v>
      </c>
      <c r="G51" s="9">
        <v>0</v>
      </c>
      <c r="H51" s="8">
        <f t="shared" si="1"/>
        <v>4360</v>
      </c>
      <c r="I51" s="9">
        <v>1</v>
      </c>
      <c r="K51" s="2"/>
      <c r="L51" s="2">
        <f t="shared" si="2"/>
        <v>4360</v>
      </c>
      <c r="M51" s="2">
        <f t="shared" si="3"/>
        <v>59</v>
      </c>
      <c r="N51" s="15">
        <f t="shared" si="4"/>
        <v>98</v>
      </c>
      <c r="O51" s="15">
        <f t="shared" si="5"/>
        <v>798</v>
      </c>
      <c r="P51" s="16">
        <f>SUM($H$3:H51)</f>
        <v>88330</v>
      </c>
      <c r="Q51" s="2">
        <f>SUM($I$3:I51)</f>
        <v>49</v>
      </c>
    </row>
    <row r="52" spans="1:17" x14ac:dyDescent="0.3">
      <c r="A52" s="7">
        <f t="shared" si="6"/>
        <v>50</v>
      </c>
      <c r="B52" s="2">
        <f t="shared" si="11"/>
        <v>61</v>
      </c>
      <c r="C52" s="2">
        <f t="shared" si="0"/>
        <v>100</v>
      </c>
      <c r="D52" s="2">
        <f>D51+17</f>
        <v>815</v>
      </c>
      <c r="E52" s="2">
        <f t="shared" si="12"/>
        <v>0.2</v>
      </c>
      <c r="F52" s="9">
        <v>0.5</v>
      </c>
      <c r="G52" s="9">
        <v>0</v>
      </c>
      <c r="H52" s="8">
        <f t="shared" si="1"/>
        <v>4520</v>
      </c>
      <c r="I52" s="9">
        <v>2</v>
      </c>
      <c r="K52" s="2"/>
      <c r="L52" s="2">
        <f t="shared" si="2"/>
        <v>4520</v>
      </c>
      <c r="M52" s="2">
        <f t="shared" si="3"/>
        <v>61</v>
      </c>
      <c r="N52" s="15">
        <f t="shared" si="4"/>
        <v>100</v>
      </c>
      <c r="O52" s="15">
        <f t="shared" si="5"/>
        <v>815</v>
      </c>
      <c r="P52" s="16">
        <f>SUM($H$3:H52)</f>
        <v>92850</v>
      </c>
      <c r="Q52" s="2">
        <f>SUM($I$3:I52)</f>
        <v>51</v>
      </c>
    </row>
    <row r="53" spans="1:17" x14ac:dyDescent="0.3">
      <c r="A53" s="7">
        <f t="shared" si="6"/>
        <v>51</v>
      </c>
      <c r="B53" s="2">
        <f t="shared" si="11"/>
        <v>63</v>
      </c>
      <c r="C53" s="2">
        <f t="shared" si="0"/>
        <v>102</v>
      </c>
      <c r="D53" s="2">
        <f t="shared" ref="D53:D102" si="13">D52+17</f>
        <v>832</v>
      </c>
      <c r="E53" s="2">
        <f t="shared" si="12"/>
        <v>0.2</v>
      </c>
      <c r="F53" s="9">
        <v>0.5</v>
      </c>
      <c r="G53" s="9">
        <v>0</v>
      </c>
      <c r="H53" s="8">
        <f t="shared" si="1"/>
        <v>4690</v>
      </c>
      <c r="I53" s="9">
        <f>I3+1</f>
        <v>2</v>
      </c>
      <c r="K53" s="2"/>
      <c r="L53" s="2">
        <f t="shared" si="2"/>
        <v>4690</v>
      </c>
      <c r="M53" s="2">
        <f t="shared" si="3"/>
        <v>63</v>
      </c>
      <c r="N53" s="15">
        <f t="shared" si="4"/>
        <v>102</v>
      </c>
      <c r="O53" s="15">
        <f t="shared" si="5"/>
        <v>832</v>
      </c>
      <c r="P53" s="16">
        <f>SUM($H$3:H53)</f>
        <v>97540</v>
      </c>
      <c r="Q53" s="2">
        <f>SUM($I$3:I53)</f>
        <v>53</v>
      </c>
    </row>
    <row r="54" spans="1:17" x14ac:dyDescent="0.3">
      <c r="A54" s="7">
        <f t="shared" si="6"/>
        <v>52</v>
      </c>
      <c r="B54" s="2">
        <f t="shared" si="11"/>
        <v>65</v>
      </c>
      <c r="C54" s="2">
        <f t="shared" si="0"/>
        <v>104</v>
      </c>
      <c r="D54" s="2">
        <f t="shared" si="13"/>
        <v>849</v>
      </c>
      <c r="E54" s="2">
        <f t="shared" si="12"/>
        <v>0.2</v>
      </c>
      <c r="F54" s="9">
        <v>0.5</v>
      </c>
      <c r="G54" s="9">
        <v>0</v>
      </c>
      <c r="H54" s="8">
        <f t="shared" si="1"/>
        <v>4850</v>
      </c>
      <c r="I54" s="9">
        <f t="shared" ref="I54:I117" si="14">I4+1</f>
        <v>2</v>
      </c>
      <c r="K54" s="2"/>
      <c r="L54" s="2">
        <f t="shared" si="2"/>
        <v>4850</v>
      </c>
      <c r="M54" s="2">
        <f t="shared" si="3"/>
        <v>65</v>
      </c>
      <c r="N54" s="15">
        <f t="shared" si="4"/>
        <v>104</v>
      </c>
      <c r="O54" s="15">
        <f t="shared" si="5"/>
        <v>849</v>
      </c>
      <c r="P54" s="16">
        <f>SUM($H$3:H54)</f>
        <v>102390</v>
      </c>
      <c r="Q54" s="2">
        <f>SUM($I$3:I54)</f>
        <v>55</v>
      </c>
    </row>
    <row r="55" spans="1:17" x14ac:dyDescent="0.3">
      <c r="A55" s="7">
        <f t="shared" si="6"/>
        <v>53</v>
      </c>
      <c r="B55" s="2">
        <f t="shared" si="11"/>
        <v>67</v>
      </c>
      <c r="C55" s="2">
        <f t="shared" si="0"/>
        <v>106</v>
      </c>
      <c r="D55" s="2">
        <f t="shared" si="13"/>
        <v>866</v>
      </c>
      <c r="E55" s="2">
        <f t="shared" si="12"/>
        <v>0.2</v>
      </c>
      <c r="F55" s="9">
        <v>0.5</v>
      </c>
      <c r="G55" s="9">
        <v>0</v>
      </c>
      <c r="H55" s="8">
        <f t="shared" si="1"/>
        <v>5030</v>
      </c>
      <c r="I55" s="9">
        <f t="shared" si="14"/>
        <v>2</v>
      </c>
      <c r="K55" s="2"/>
      <c r="L55" s="2">
        <f t="shared" si="2"/>
        <v>5030</v>
      </c>
      <c r="M55" s="2">
        <f t="shared" si="3"/>
        <v>67</v>
      </c>
      <c r="N55" s="15">
        <f t="shared" si="4"/>
        <v>106</v>
      </c>
      <c r="O55" s="15">
        <f t="shared" si="5"/>
        <v>866</v>
      </c>
      <c r="P55" s="16">
        <f>SUM($H$3:H55)</f>
        <v>107420</v>
      </c>
      <c r="Q55" s="2">
        <f>SUM($I$3:I55)</f>
        <v>57</v>
      </c>
    </row>
    <row r="56" spans="1:17" x14ac:dyDescent="0.3">
      <c r="A56" s="7">
        <f t="shared" si="6"/>
        <v>54</v>
      </c>
      <c r="B56" s="2">
        <f t="shared" si="11"/>
        <v>69</v>
      </c>
      <c r="C56" s="2">
        <f t="shared" si="0"/>
        <v>108</v>
      </c>
      <c r="D56" s="2">
        <f t="shared" si="13"/>
        <v>883</v>
      </c>
      <c r="E56" s="2">
        <f t="shared" si="12"/>
        <v>0.2</v>
      </c>
      <c r="F56" s="9">
        <v>0.5</v>
      </c>
      <c r="G56" s="9">
        <v>0</v>
      </c>
      <c r="H56" s="8">
        <f t="shared" si="1"/>
        <v>5200</v>
      </c>
      <c r="I56" s="9">
        <f t="shared" si="14"/>
        <v>2</v>
      </c>
      <c r="K56" s="2"/>
      <c r="L56" s="2">
        <f t="shared" si="2"/>
        <v>5200</v>
      </c>
      <c r="M56" s="2">
        <f t="shared" si="3"/>
        <v>69</v>
      </c>
      <c r="N56" s="15">
        <f t="shared" si="4"/>
        <v>108</v>
      </c>
      <c r="O56" s="15">
        <f t="shared" si="5"/>
        <v>883</v>
      </c>
      <c r="P56" s="16">
        <f>SUM($H$3:H56)</f>
        <v>112620</v>
      </c>
      <c r="Q56" s="2">
        <f>SUM($I$3:I56)</f>
        <v>59</v>
      </c>
    </row>
    <row r="57" spans="1:17" x14ac:dyDescent="0.3">
      <c r="A57" s="7">
        <f t="shared" si="6"/>
        <v>55</v>
      </c>
      <c r="B57" s="2">
        <f t="shared" si="11"/>
        <v>71</v>
      </c>
      <c r="C57" s="2">
        <f t="shared" si="0"/>
        <v>110</v>
      </c>
      <c r="D57" s="2">
        <f t="shared" si="13"/>
        <v>900</v>
      </c>
      <c r="E57" s="2">
        <f t="shared" si="12"/>
        <v>0.2</v>
      </c>
      <c r="F57" s="9">
        <v>0.5</v>
      </c>
      <c r="G57" s="9">
        <v>0</v>
      </c>
      <c r="H57" s="8">
        <f t="shared" si="1"/>
        <v>5380</v>
      </c>
      <c r="I57" s="9">
        <f t="shared" si="14"/>
        <v>2</v>
      </c>
      <c r="K57" s="2"/>
      <c r="L57" s="2">
        <f t="shared" si="2"/>
        <v>5380</v>
      </c>
      <c r="M57" s="2">
        <f t="shared" si="3"/>
        <v>71</v>
      </c>
      <c r="N57" s="15">
        <f t="shared" si="4"/>
        <v>110</v>
      </c>
      <c r="O57" s="15">
        <f t="shared" si="5"/>
        <v>900</v>
      </c>
      <c r="P57" s="16">
        <f>SUM($H$3:H57)</f>
        <v>118000</v>
      </c>
      <c r="Q57" s="2">
        <f>SUM($I$3:I57)</f>
        <v>61</v>
      </c>
    </row>
    <row r="58" spans="1:17" x14ac:dyDescent="0.3">
      <c r="A58" s="7">
        <f t="shared" si="6"/>
        <v>56</v>
      </c>
      <c r="B58" s="2">
        <f t="shared" si="11"/>
        <v>73</v>
      </c>
      <c r="C58" s="2">
        <f t="shared" si="0"/>
        <v>112</v>
      </c>
      <c r="D58" s="2">
        <f t="shared" si="13"/>
        <v>917</v>
      </c>
      <c r="E58" s="2">
        <f t="shared" si="12"/>
        <v>0.2</v>
      </c>
      <c r="F58" s="9">
        <v>0.5</v>
      </c>
      <c r="G58" s="9">
        <v>0</v>
      </c>
      <c r="H58" s="8">
        <f t="shared" si="1"/>
        <v>5560</v>
      </c>
      <c r="I58" s="9">
        <f t="shared" si="14"/>
        <v>2</v>
      </c>
      <c r="K58" s="2"/>
      <c r="L58" s="2">
        <f t="shared" si="2"/>
        <v>5560</v>
      </c>
      <c r="M58" s="2">
        <f t="shared" si="3"/>
        <v>73</v>
      </c>
      <c r="N58" s="15">
        <f t="shared" si="4"/>
        <v>112</v>
      </c>
      <c r="O58" s="15">
        <f t="shared" si="5"/>
        <v>917</v>
      </c>
      <c r="P58" s="16">
        <f>SUM($H$3:H58)</f>
        <v>123560</v>
      </c>
      <c r="Q58" s="2">
        <f>SUM($I$3:I58)</f>
        <v>63</v>
      </c>
    </row>
    <row r="59" spans="1:17" x14ac:dyDescent="0.3">
      <c r="A59" s="7">
        <f t="shared" si="6"/>
        <v>57</v>
      </c>
      <c r="B59" s="2">
        <f t="shared" si="11"/>
        <v>75</v>
      </c>
      <c r="C59" s="2">
        <f t="shared" si="0"/>
        <v>114</v>
      </c>
      <c r="D59" s="2">
        <f t="shared" si="13"/>
        <v>934</v>
      </c>
      <c r="E59" s="2">
        <f t="shared" si="12"/>
        <v>0.2</v>
      </c>
      <c r="F59" s="9">
        <v>0.5</v>
      </c>
      <c r="G59" s="9">
        <v>0</v>
      </c>
      <c r="H59" s="8">
        <f t="shared" si="1"/>
        <v>5750</v>
      </c>
      <c r="I59" s="9">
        <f t="shared" si="14"/>
        <v>2</v>
      </c>
      <c r="K59" s="2"/>
      <c r="L59" s="2">
        <f t="shared" si="2"/>
        <v>5750</v>
      </c>
      <c r="M59" s="2">
        <f t="shared" si="3"/>
        <v>75</v>
      </c>
      <c r="N59" s="15">
        <f t="shared" si="4"/>
        <v>114</v>
      </c>
      <c r="O59" s="15">
        <f t="shared" si="5"/>
        <v>934</v>
      </c>
      <c r="P59" s="16">
        <f>SUM($H$3:H59)</f>
        <v>129310</v>
      </c>
      <c r="Q59" s="2">
        <f>SUM($I$3:I59)</f>
        <v>65</v>
      </c>
    </row>
    <row r="60" spans="1:17" x14ac:dyDescent="0.3">
      <c r="A60" s="7">
        <f t="shared" si="6"/>
        <v>58</v>
      </c>
      <c r="B60" s="2">
        <f t="shared" si="11"/>
        <v>77</v>
      </c>
      <c r="C60" s="2">
        <f t="shared" si="0"/>
        <v>116</v>
      </c>
      <c r="D60" s="2">
        <f t="shared" si="13"/>
        <v>951</v>
      </c>
      <c r="E60" s="2">
        <f t="shared" si="12"/>
        <v>0.2</v>
      </c>
      <c r="F60" s="9">
        <v>0.5</v>
      </c>
      <c r="G60" s="9">
        <v>0</v>
      </c>
      <c r="H60" s="8">
        <f t="shared" si="1"/>
        <v>5940</v>
      </c>
      <c r="I60" s="9">
        <f t="shared" si="14"/>
        <v>2</v>
      </c>
      <c r="K60" s="2"/>
      <c r="L60" s="2">
        <f t="shared" si="2"/>
        <v>5940</v>
      </c>
      <c r="M60" s="2">
        <f t="shared" si="3"/>
        <v>77</v>
      </c>
      <c r="N60" s="15">
        <f t="shared" si="4"/>
        <v>116</v>
      </c>
      <c r="O60" s="15">
        <f t="shared" si="5"/>
        <v>951</v>
      </c>
      <c r="P60" s="16">
        <f>SUM($H$3:H60)</f>
        <v>135250</v>
      </c>
      <c r="Q60" s="2">
        <f>SUM($I$3:I60)</f>
        <v>67</v>
      </c>
    </row>
    <row r="61" spans="1:17" x14ac:dyDescent="0.3">
      <c r="A61" s="7">
        <f t="shared" si="6"/>
        <v>59</v>
      </c>
      <c r="B61" s="2">
        <f t="shared" si="11"/>
        <v>79</v>
      </c>
      <c r="C61" s="2">
        <f t="shared" si="0"/>
        <v>118</v>
      </c>
      <c r="D61" s="2">
        <f t="shared" si="13"/>
        <v>968</v>
      </c>
      <c r="E61" s="2">
        <f t="shared" si="12"/>
        <v>0.2</v>
      </c>
      <c r="F61" s="9">
        <v>0.5</v>
      </c>
      <c r="G61" s="9">
        <v>0</v>
      </c>
      <c r="H61" s="8">
        <f t="shared" si="1"/>
        <v>6130</v>
      </c>
      <c r="I61" s="9">
        <f t="shared" si="14"/>
        <v>2</v>
      </c>
      <c r="K61" s="2"/>
      <c r="L61" s="2">
        <f t="shared" si="2"/>
        <v>6130</v>
      </c>
      <c r="M61" s="2">
        <f t="shared" si="3"/>
        <v>79</v>
      </c>
      <c r="N61" s="15">
        <f t="shared" si="4"/>
        <v>118</v>
      </c>
      <c r="O61" s="15">
        <f t="shared" si="5"/>
        <v>968</v>
      </c>
      <c r="P61" s="16">
        <f>SUM($H$3:H61)</f>
        <v>141380</v>
      </c>
      <c r="Q61" s="2">
        <f>SUM($I$3:I61)</f>
        <v>69</v>
      </c>
    </row>
    <row r="62" spans="1:17" x14ac:dyDescent="0.3">
      <c r="A62" s="7">
        <f t="shared" si="6"/>
        <v>60</v>
      </c>
      <c r="B62" s="2">
        <f t="shared" si="11"/>
        <v>81</v>
      </c>
      <c r="C62" s="2">
        <f t="shared" si="0"/>
        <v>120</v>
      </c>
      <c r="D62" s="2">
        <f t="shared" si="13"/>
        <v>985</v>
      </c>
      <c r="E62" s="2">
        <f t="shared" si="12"/>
        <v>0.30000000000000004</v>
      </c>
      <c r="F62" s="9">
        <v>0.5</v>
      </c>
      <c r="G62" s="9">
        <v>0</v>
      </c>
      <c r="H62" s="8">
        <f t="shared" si="1"/>
        <v>6330</v>
      </c>
      <c r="I62" s="9">
        <f t="shared" si="14"/>
        <v>2</v>
      </c>
      <c r="K62" s="2"/>
      <c r="L62" s="2">
        <f t="shared" si="2"/>
        <v>6330</v>
      </c>
      <c r="M62" s="2">
        <f t="shared" si="3"/>
        <v>81</v>
      </c>
      <c r="N62" s="15">
        <f t="shared" si="4"/>
        <v>120</v>
      </c>
      <c r="O62" s="15">
        <f t="shared" si="5"/>
        <v>985</v>
      </c>
      <c r="P62" s="16">
        <f>SUM($H$3:H62)</f>
        <v>147710</v>
      </c>
      <c r="Q62" s="2">
        <f>SUM($I$3:I62)</f>
        <v>71</v>
      </c>
    </row>
    <row r="63" spans="1:17" x14ac:dyDescent="0.3">
      <c r="A63" s="7">
        <f t="shared" si="6"/>
        <v>61</v>
      </c>
      <c r="B63" s="2">
        <f t="shared" si="11"/>
        <v>83</v>
      </c>
      <c r="C63" s="2">
        <f t="shared" si="0"/>
        <v>122</v>
      </c>
      <c r="D63" s="2">
        <f t="shared" si="13"/>
        <v>1002</v>
      </c>
      <c r="E63" s="2">
        <f t="shared" si="12"/>
        <v>0.30000000000000004</v>
      </c>
      <c r="F63" s="9">
        <v>0.6</v>
      </c>
      <c r="G63" s="9">
        <v>0</v>
      </c>
      <c r="H63" s="8">
        <f t="shared" si="1"/>
        <v>6530</v>
      </c>
      <c r="I63" s="9">
        <f t="shared" si="14"/>
        <v>2</v>
      </c>
      <c r="K63" s="2"/>
      <c r="L63" s="2">
        <f t="shared" si="2"/>
        <v>6530</v>
      </c>
      <c r="M63" s="2">
        <f t="shared" si="3"/>
        <v>83</v>
      </c>
      <c r="N63" s="15">
        <f t="shared" si="4"/>
        <v>122</v>
      </c>
      <c r="O63" s="15">
        <f t="shared" si="5"/>
        <v>1002</v>
      </c>
      <c r="P63" s="16">
        <f>SUM($H$3:H63)</f>
        <v>154240</v>
      </c>
      <c r="Q63" s="2">
        <f>SUM($I$3:I63)</f>
        <v>73</v>
      </c>
    </row>
    <row r="64" spans="1:17" x14ac:dyDescent="0.3">
      <c r="A64" s="7">
        <f t="shared" si="6"/>
        <v>62</v>
      </c>
      <c r="B64" s="2">
        <f t="shared" si="11"/>
        <v>85</v>
      </c>
      <c r="C64" s="2">
        <f t="shared" si="0"/>
        <v>124</v>
      </c>
      <c r="D64" s="2">
        <f t="shared" si="13"/>
        <v>1019</v>
      </c>
      <c r="E64" s="2">
        <f t="shared" si="12"/>
        <v>0.30000000000000004</v>
      </c>
      <c r="F64" s="9">
        <v>0.6</v>
      </c>
      <c r="G64" s="9">
        <v>0</v>
      </c>
      <c r="H64" s="8">
        <f t="shared" si="1"/>
        <v>6730</v>
      </c>
      <c r="I64" s="9">
        <f t="shared" si="14"/>
        <v>2</v>
      </c>
      <c r="K64" s="2"/>
      <c r="L64" s="2">
        <f t="shared" si="2"/>
        <v>6730</v>
      </c>
      <c r="M64" s="2">
        <f t="shared" si="3"/>
        <v>85</v>
      </c>
      <c r="N64" s="15">
        <f t="shared" si="4"/>
        <v>124</v>
      </c>
      <c r="O64" s="15">
        <f t="shared" si="5"/>
        <v>1019</v>
      </c>
      <c r="P64" s="16">
        <f>SUM($H$3:H64)</f>
        <v>160970</v>
      </c>
      <c r="Q64" s="2">
        <f>SUM($I$3:I64)</f>
        <v>75</v>
      </c>
    </row>
    <row r="65" spans="1:17" x14ac:dyDescent="0.3">
      <c r="A65" s="7">
        <f t="shared" si="6"/>
        <v>63</v>
      </c>
      <c r="B65" s="2">
        <f t="shared" si="11"/>
        <v>87</v>
      </c>
      <c r="C65" s="2">
        <f t="shared" si="0"/>
        <v>126</v>
      </c>
      <c r="D65" s="2">
        <f t="shared" si="13"/>
        <v>1036</v>
      </c>
      <c r="E65" s="2">
        <f t="shared" si="12"/>
        <v>0.30000000000000004</v>
      </c>
      <c r="F65" s="9">
        <v>0.6</v>
      </c>
      <c r="G65" s="9">
        <v>0</v>
      </c>
      <c r="H65" s="8">
        <f t="shared" si="1"/>
        <v>6930</v>
      </c>
      <c r="I65" s="9">
        <f t="shared" si="14"/>
        <v>2</v>
      </c>
      <c r="K65" s="2"/>
      <c r="L65" s="2">
        <f t="shared" si="2"/>
        <v>6930</v>
      </c>
      <c r="M65" s="2">
        <f t="shared" si="3"/>
        <v>87</v>
      </c>
      <c r="N65" s="15">
        <f t="shared" si="4"/>
        <v>126</v>
      </c>
      <c r="O65" s="15">
        <f t="shared" si="5"/>
        <v>1036</v>
      </c>
      <c r="P65" s="16">
        <f>SUM($H$3:H65)</f>
        <v>167900</v>
      </c>
      <c r="Q65" s="2">
        <f>SUM($I$3:I65)</f>
        <v>77</v>
      </c>
    </row>
    <row r="66" spans="1:17" x14ac:dyDescent="0.3">
      <c r="A66" s="7">
        <f t="shared" si="6"/>
        <v>64</v>
      </c>
      <c r="B66" s="2">
        <f t="shared" si="11"/>
        <v>89</v>
      </c>
      <c r="C66" s="2">
        <f t="shared" si="0"/>
        <v>128</v>
      </c>
      <c r="D66" s="2">
        <f t="shared" si="13"/>
        <v>1053</v>
      </c>
      <c r="E66" s="2">
        <f t="shared" si="12"/>
        <v>0.30000000000000004</v>
      </c>
      <c r="F66" s="9">
        <v>0.6</v>
      </c>
      <c r="G66" s="9">
        <v>0</v>
      </c>
      <c r="H66" s="8">
        <f t="shared" si="1"/>
        <v>7140</v>
      </c>
      <c r="I66" s="9">
        <f t="shared" si="14"/>
        <v>2</v>
      </c>
      <c r="K66" s="2"/>
      <c r="L66" s="2">
        <f t="shared" si="2"/>
        <v>7140</v>
      </c>
      <c r="M66" s="2">
        <f t="shared" si="3"/>
        <v>89</v>
      </c>
      <c r="N66" s="15">
        <f t="shared" si="4"/>
        <v>128</v>
      </c>
      <c r="O66" s="15">
        <f t="shared" si="5"/>
        <v>1053</v>
      </c>
      <c r="P66" s="16">
        <f>SUM($H$3:H66)</f>
        <v>175040</v>
      </c>
      <c r="Q66" s="2">
        <f>SUM($I$3:I66)</f>
        <v>79</v>
      </c>
    </row>
    <row r="67" spans="1:17" x14ac:dyDescent="0.3">
      <c r="A67" s="7">
        <f t="shared" si="6"/>
        <v>65</v>
      </c>
      <c r="B67" s="2">
        <f t="shared" si="11"/>
        <v>91</v>
      </c>
      <c r="C67" s="2">
        <f t="shared" ref="C67:C130" si="15">C68-2</f>
        <v>130</v>
      </c>
      <c r="D67" s="2">
        <f t="shared" si="13"/>
        <v>1070</v>
      </c>
      <c r="E67" s="2">
        <f t="shared" si="12"/>
        <v>0.30000000000000004</v>
      </c>
      <c r="F67" s="9">
        <v>0.6</v>
      </c>
      <c r="G67" s="9">
        <v>0</v>
      </c>
      <c r="H67" s="8">
        <f t="shared" ref="H67:H130" si="16">ROUNDUP(500 + (150000-500) * ((A67-1)/(300-1))^2, -1)</f>
        <v>7350</v>
      </c>
      <c r="I67" s="9">
        <f t="shared" si="14"/>
        <v>2</v>
      </c>
      <c r="K67" s="2"/>
      <c r="L67" s="2">
        <f t="shared" si="2"/>
        <v>7350</v>
      </c>
      <c r="M67" s="2">
        <f t="shared" si="3"/>
        <v>91</v>
      </c>
      <c r="N67" s="15">
        <f t="shared" si="4"/>
        <v>130</v>
      </c>
      <c r="O67" s="15">
        <f t="shared" si="5"/>
        <v>1070</v>
      </c>
      <c r="P67" s="16">
        <f>SUM($H$3:H67)</f>
        <v>182390</v>
      </c>
      <c r="Q67" s="2">
        <f>SUM($I$3:I67)</f>
        <v>81</v>
      </c>
    </row>
    <row r="68" spans="1:17" x14ac:dyDescent="0.3">
      <c r="A68" s="7">
        <f t="shared" si="6"/>
        <v>66</v>
      </c>
      <c r="B68" s="2">
        <f t="shared" si="11"/>
        <v>93</v>
      </c>
      <c r="C68" s="2">
        <f t="shared" si="15"/>
        <v>132</v>
      </c>
      <c r="D68" s="2">
        <f t="shared" si="13"/>
        <v>1087</v>
      </c>
      <c r="E68" s="2">
        <f t="shared" si="12"/>
        <v>0.30000000000000004</v>
      </c>
      <c r="F68" s="9">
        <v>0.6</v>
      </c>
      <c r="G68" s="9">
        <v>0</v>
      </c>
      <c r="H68" s="8">
        <f t="shared" si="16"/>
        <v>7570</v>
      </c>
      <c r="I68" s="9">
        <f t="shared" si="14"/>
        <v>2</v>
      </c>
      <c r="K68" s="2"/>
      <c r="L68" s="2">
        <f t="shared" ref="L68:L131" si="17">H68</f>
        <v>7570</v>
      </c>
      <c r="M68" s="2">
        <f t="shared" ref="M68:M131" si="18">B68</f>
        <v>93</v>
      </c>
      <c r="N68" s="15">
        <f t="shared" ref="N68:N131" si="19">C68</f>
        <v>132</v>
      </c>
      <c r="O68" s="15">
        <f t="shared" ref="O68:O131" si="20">D68</f>
        <v>1087</v>
      </c>
      <c r="P68" s="16">
        <f>SUM($H$3:H68)</f>
        <v>189960</v>
      </c>
      <c r="Q68" s="2">
        <f>SUM($I$3:I68)</f>
        <v>83</v>
      </c>
    </row>
    <row r="69" spans="1:17" x14ac:dyDescent="0.3">
      <c r="A69" s="7">
        <f t="shared" ref="A69:A132" si="21">A68+1</f>
        <v>67</v>
      </c>
      <c r="B69" s="2">
        <f t="shared" si="11"/>
        <v>95</v>
      </c>
      <c r="C69" s="2">
        <f t="shared" si="15"/>
        <v>134</v>
      </c>
      <c r="D69" s="2">
        <f t="shared" si="13"/>
        <v>1104</v>
      </c>
      <c r="E69" s="2">
        <f t="shared" si="12"/>
        <v>0.30000000000000004</v>
      </c>
      <c r="F69" s="9">
        <v>0.6</v>
      </c>
      <c r="G69" s="9">
        <v>0</v>
      </c>
      <c r="H69" s="8">
        <f t="shared" si="16"/>
        <v>7790</v>
      </c>
      <c r="I69" s="9">
        <f t="shared" si="14"/>
        <v>2</v>
      </c>
      <c r="K69" s="2"/>
      <c r="L69" s="2">
        <f t="shared" si="17"/>
        <v>7790</v>
      </c>
      <c r="M69" s="2">
        <f t="shared" si="18"/>
        <v>95</v>
      </c>
      <c r="N69" s="15">
        <f t="shared" si="19"/>
        <v>134</v>
      </c>
      <c r="O69" s="15">
        <f t="shared" si="20"/>
        <v>1104</v>
      </c>
      <c r="P69" s="16">
        <f>SUM($H$3:H69)</f>
        <v>197750</v>
      </c>
      <c r="Q69" s="2">
        <f>SUM($I$3:I69)</f>
        <v>85</v>
      </c>
    </row>
    <row r="70" spans="1:17" x14ac:dyDescent="0.3">
      <c r="A70" s="7">
        <f t="shared" si="21"/>
        <v>68</v>
      </c>
      <c r="B70" s="2">
        <f t="shared" si="11"/>
        <v>97</v>
      </c>
      <c r="C70" s="2">
        <f t="shared" si="15"/>
        <v>136</v>
      </c>
      <c r="D70" s="2">
        <f t="shared" si="13"/>
        <v>1121</v>
      </c>
      <c r="E70" s="2">
        <f t="shared" si="12"/>
        <v>0.30000000000000004</v>
      </c>
      <c r="F70" s="9">
        <v>0.6</v>
      </c>
      <c r="G70" s="9">
        <v>0</v>
      </c>
      <c r="H70" s="8">
        <f t="shared" si="16"/>
        <v>8010</v>
      </c>
      <c r="I70" s="9">
        <f t="shared" si="14"/>
        <v>2</v>
      </c>
      <c r="K70" s="2"/>
      <c r="L70" s="2">
        <f t="shared" si="17"/>
        <v>8010</v>
      </c>
      <c r="M70" s="2">
        <f t="shared" si="18"/>
        <v>97</v>
      </c>
      <c r="N70" s="15">
        <f t="shared" si="19"/>
        <v>136</v>
      </c>
      <c r="O70" s="15">
        <f t="shared" si="20"/>
        <v>1121</v>
      </c>
      <c r="P70" s="16">
        <f>SUM($H$3:H70)</f>
        <v>205760</v>
      </c>
      <c r="Q70" s="2">
        <f>SUM($I$3:I70)</f>
        <v>87</v>
      </c>
    </row>
    <row r="71" spans="1:17" x14ac:dyDescent="0.3">
      <c r="A71" s="7">
        <f t="shared" si="21"/>
        <v>69</v>
      </c>
      <c r="B71" s="2">
        <f t="shared" si="11"/>
        <v>99</v>
      </c>
      <c r="C71" s="2">
        <f t="shared" si="15"/>
        <v>138</v>
      </c>
      <c r="D71" s="2">
        <f t="shared" si="13"/>
        <v>1138</v>
      </c>
      <c r="E71" s="2">
        <f t="shared" si="12"/>
        <v>0.30000000000000004</v>
      </c>
      <c r="F71" s="9">
        <v>0.6</v>
      </c>
      <c r="G71" s="9">
        <v>0</v>
      </c>
      <c r="H71" s="8">
        <f t="shared" si="16"/>
        <v>8240</v>
      </c>
      <c r="I71" s="9">
        <f t="shared" si="14"/>
        <v>2</v>
      </c>
      <c r="K71" s="2"/>
      <c r="L71" s="2">
        <f t="shared" si="17"/>
        <v>8240</v>
      </c>
      <c r="M71" s="2">
        <f t="shared" si="18"/>
        <v>99</v>
      </c>
      <c r="N71" s="15">
        <f t="shared" si="19"/>
        <v>138</v>
      </c>
      <c r="O71" s="15">
        <f t="shared" si="20"/>
        <v>1138</v>
      </c>
      <c r="P71" s="16">
        <f>SUM($H$3:H71)</f>
        <v>214000</v>
      </c>
      <c r="Q71" s="2">
        <f>SUM($I$3:I71)</f>
        <v>89</v>
      </c>
    </row>
    <row r="72" spans="1:17" x14ac:dyDescent="0.3">
      <c r="A72" s="7">
        <f t="shared" si="21"/>
        <v>70</v>
      </c>
      <c r="B72" s="2">
        <f t="shared" si="11"/>
        <v>101</v>
      </c>
      <c r="C72" s="2">
        <f t="shared" si="15"/>
        <v>140</v>
      </c>
      <c r="D72" s="2">
        <f t="shared" si="13"/>
        <v>1155</v>
      </c>
      <c r="E72" s="2">
        <f t="shared" si="12"/>
        <v>0.30000000000000004</v>
      </c>
      <c r="F72" s="9">
        <v>0.6</v>
      </c>
      <c r="G72" s="9">
        <v>0</v>
      </c>
      <c r="H72" s="8">
        <f t="shared" si="16"/>
        <v>8470</v>
      </c>
      <c r="I72" s="9">
        <f t="shared" si="14"/>
        <v>2</v>
      </c>
      <c r="K72" s="2"/>
      <c r="L72" s="2">
        <f t="shared" si="17"/>
        <v>8470</v>
      </c>
      <c r="M72" s="2">
        <f t="shared" si="18"/>
        <v>101</v>
      </c>
      <c r="N72" s="15">
        <f t="shared" si="19"/>
        <v>140</v>
      </c>
      <c r="O72" s="15">
        <f t="shared" si="20"/>
        <v>1155</v>
      </c>
      <c r="P72" s="16">
        <f>SUM($H$3:H72)</f>
        <v>222470</v>
      </c>
      <c r="Q72" s="2">
        <f>SUM($I$3:I72)</f>
        <v>91</v>
      </c>
    </row>
    <row r="73" spans="1:17" x14ac:dyDescent="0.3">
      <c r="A73" s="7">
        <f t="shared" si="21"/>
        <v>71</v>
      </c>
      <c r="B73" s="2">
        <f t="shared" si="11"/>
        <v>103</v>
      </c>
      <c r="C73" s="2">
        <f t="shared" si="15"/>
        <v>142</v>
      </c>
      <c r="D73" s="2">
        <f t="shared" si="13"/>
        <v>1172</v>
      </c>
      <c r="E73" s="2">
        <f t="shared" si="12"/>
        <v>0.30000000000000004</v>
      </c>
      <c r="F73" s="9">
        <v>0.6</v>
      </c>
      <c r="G73" s="9">
        <v>0</v>
      </c>
      <c r="H73" s="8">
        <f t="shared" si="16"/>
        <v>8700</v>
      </c>
      <c r="I73" s="9">
        <f t="shared" si="14"/>
        <v>2</v>
      </c>
      <c r="K73" s="2"/>
      <c r="L73" s="2">
        <f t="shared" si="17"/>
        <v>8700</v>
      </c>
      <c r="M73" s="2">
        <f t="shared" si="18"/>
        <v>103</v>
      </c>
      <c r="N73" s="15">
        <f t="shared" si="19"/>
        <v>142</v>
      </c>
      <c r="O73" s="15">
        <f t="shared" si="20"/>
        <v>1172</v>
      </c>
      <c r="P73" s="16">
        <f>SUM($H$3:H73)</f>
        <v>231170</v>
      </c>
      <c r="Q73" s="2">
        <f>SUM($I$3:I73)</f>
        <v>93</v>
      </c>
    </row>
    <row r="74" spans="1:17" x14ac:dyDescent="0.3">
      <c r="A74" s="7">
        <f t="shared" si="21"/>
        <v>72</v>
      </c>
      <c r="B74" s="2">
        <f t="shared" si="11"/>
        <v>105</v>
      </c>
      <c r="C74" s="2">
        <f t="shared" si="15"/>
        <v>144</v>
      </c>
      <c r="D74" s="2">
        <f t="shared" si="13"/>
        <v>1189</v>
      </c>
      <c r="E74" s="2">
        <f t="shared" si="12"/>
        <v>0.30000000000000004</v>
      </c>
      <c r="F74" s="9">
        <v>0.6</v>
      </c>
      <c r="G74" s="9">
        <v>0</v>
      </c>
      <c r="H74" s="8">
        <f t="shared" si="16"/>
        <v>8930</v>
      </c>
      <c r="I74" s="9">
        <f t="shared" si="14"/>
        <v>2</v>
      </c>
      <c r="K74" s="2"/>
      <c r="L74" s="2">
        <f t="shared" si="17"/>
        <v>8930</v>
      </c>
      <c r="M74" s="2">
        <f t="shared" si="18"/>
        <v>105</v>
      </c>
      <c r="N74" s="15">
        <f t="shared" si="19"/>
        <v>144</v>
      </c>
      <c r="O74" s="15">
        <f t="shared" si="20"/>
        <v>1189</v>
      </c>
      <c r="P74" s="16">
        <f>SUM($H$3:H74)</f>
        <v>240100</v>
      </c>
      <c r="Q74" s="2">
        <f>SUM($I$3:I74)</f>
        <v>95</v>
      </c>
    </row>
    <row r="75" spans="1:17" x14ac:dyDescent="0.3">
      <c r="A75" s="7">
        <f t="shared" si="21"/>
        <v>73</v>
      </c>
      <c r="B75" s="2">
        <f t="shared" si="11"/>
        <v>107</v>
      </c>
      <c r="C75" s="2">
        <f t="shared" si="15"/>
        <v>146</v>
      </c>
      <c r="D75" s="2">
        <f t="shared" si="13"/>
        <v>1206</v>
      </c>
      <c r="E75" s="2">
        <f t="shared" si="12"/>
        <v>0.30000000000000004</v>
      </c>
      <c r="F75" s="9">
        <v>0.6</v>
      </c>
      <c r="G75" s="9">
        <v>0</v>
      </c>
      <c r="H75" s="8">
        <f t="shared" si="16"/>
        <v>9170</v>
      </c>
      <c r="I75" s="9">
        <f t="shared" si="14"/>
        <v>2</v>
      </c>
      <c r="K75" s="2"/>
      <c r="L75" s="2">
        <f t="shared" si="17"/>
        <v>9170</v>
      </c>
      <c r="M75" s="2">
        <f t="shared" si="18"/>
        <v>107</v>
      </c>
      <c r="N75" s="15">
        <f t="shared" si="19"/>
        <v>146</v>
      </c>
      <c r="O75" s="15">
        <f t="shared" si="20"/>
        <v>1206</v>
      </c>
      <c r="P75" s="16">
        <f>SUM($H$3:H75)</f>
        <v>249270</v>
      </c>
      <c r="Q75" s="2">
        <f>SUM($I$3:I75)</f>
        <v>97</v>
      </c>
    </row>
    <row r="76" spans="1:17" x14ac:dyDescent="0.3">
      <c r="A76" s="7">
        <f t="shared" si="21"/>
        <v>74</v>
      </c>
      <c r="B76" s="2">
        <f t="shared" si="11"/>
        <v>109</v>
      </c>
      <c r="C76" s="2">
        <f t="shared" si="15"/>
        <v>148</v>
      </c>
      <c r="D76" s="2">
        <f t="shared" si="13"/>
        <v>1223</v>
      </c>
      <c r="E76" s="2">
        <f t="shared" si="12"/>
        <v>0.30000000000000004</v>
      </c>
      <c r="F76" s="9">
        <v>0.6</v>
      </c>
      <c r="G76" s="9">
        <v>0</v>
      </c>
      <c r="H76" s="8">
        <f t="shared" si="16"/>
        <v>9420</v>
      </c>
      <c r="I76" s="9">
        <f t="shared" si="14"/>
        <v>2</v>
      </c>
      <c r="K76" s="2"/>
      <c r="L76" s="2">
        <f t="shared" si="17"/>
        <v>9420</v>
      </c>
      <c r="M76" s="2">
        <f t="shared" si="18"/>
        <v>109</v>
      </c>
      <c r="N76" s="15">
        <f t="shared" si="19"/>
        <v>148</v>
      </c>
      <c r="O76" s="15">
        <f t="shared" si="20"/>
        <v>1223</v>
      </c>
      <c r="P76" s="16">
        <f>SUM($H$3:H76)</f>
        <v>258690</v>
      </c>
      <c r="Q76" s="2">
        <f>SUM($I$3:I76)</f>
        <v>99</v>
      </c>
    </row>
    <row r="77" spans="1:17" x14ac:dyDescent="0.3">
      <c r="A77" s="7">
        <f t="shared" si="21"/>
        <v>75</v>
      </c>
      <c r="B77" s="2">
        <f t="shared" si="11"/>
        <v>111</v>
      </c>
      <c r="C77" s="2">
        <f t="shared" si="15"/>
        <v>150</v>
      </c>
      <c r="D77" s="2">
        <f t="shared" si="13"/>
        <v>1240</v>
      </c>
      <c r="E77" s="2">
        <f t="shared" si="12"/>
        <v>0.30000000000000004</v>
      </c>
      <c r="F77" s="9">
        <v>0.6</v>
      </c>
      <c r="G77" s="9">
        <v>0</v>
      </c>
      <c r="H77" s="8">
        <f t="shared" si="16"/>
        <v>9660</v>
      </c>
      <c r="I77" s="9">
        <f t="shared" si="14"/>
        <v>2</v>
      </c>
      <c r="K77" s="2"/>
      <c r="L77" s="2">
        <f t="shared" si="17"/>
        <v>9660</v>
      </c>
      <c r="M77" s="2">
        <f t="shared" si="18"/>
        <v>111</v>
      </c>
      <c r="N77" s="15">
        <f t="shared" si="19"/>
        <v>150</v>
      </c>
      <c r="O77" s="15">
        <f t="shared" si="20"/>
        <v>1240</v>
      </c>
      <c r="P77" s="16">
        <f>SUM($H$3:H77)</f>
        <v>268350</v>
      </c>
      <c r="Q77" s="2">
        <f>SUM($I$3:I77)</f>
        <v>101</v>
      </c>
    </row>
    <row r="78" spans="1:17" x14ac:dyDescent="0.3">
      <c r="A78" s="7">
        <f t="shared" si="21"/>
        <v>76</v>
      </c>
      <c r="B78" s="2">
        <f t="shared" si="11"/>
        <v>113</v>
      </c>
      <c r="C78" s="2">
        <f t="shared" si="15"/>
        <v>152</v>
      </c>
      <c r="D78" s="2">
        <f t="shared" si="13"/>
        <v>1257</v>
      </c>
      <c r="E78" s="2">
        <f t="shared" si="12"/>
        <v>0.30000000000000004</v>
      </c>
      <c r="F78" s="9">
        <v>0.6</v>
      </c>
      <c r="G78" s="9">
        <v>0</v>
      </c>
      <c r="H78" s="8">
        <f t="shared" si="16"/>
        <v>9910</v>
      </c>
      <c r="I78" s="9">
        <f t="shared" si="14"/>
        <v>2</v>
      </c>
      <c r="K78" s="2"/>
      <c r="L78" s="2">
        <f t="shared" si="17"/>
        <v>9910</v>
      </c>
      <c r="M78" s="2">
        <f t="shared" si="18"/>
        <v>113</v>
      </c>
      <c r="N78" s="15">
        <f t="shared" si="19"/>
        <v>152</v>
      </c>
      <c r="O78" s="15">
        <f t="shared" si="20"/>
        <v>1257</v>
      </c>
      <c r="P78" s="16">
        <f>SUM($H$3:H78)</f>
        <v>278260</v>
      </c>
      <c r="Q78" s="2">
        <f>SUM($I$3:I78)</f>
        <v>103</v>
      </c>
    </row>
    <row r="79" spans="1:17" x14ac:dyDescent="0.3">
      <c r="A79" s="7">
        <f t="shared" si="21"/>
        <v>77</v>
      </c>
      <c r="B79" s="2">
        <f t="shared" si="11"/>
        <v>115</v>
      </c>
      <c r="C79" s="2">
        <f t="shared" si="15"/>
        <v>154</v>
      </c>
      <c r="D79" s="2">
        <f t="shared" si="13"/>
        <v>1274</v>
      </c>
      <c r="E79" s="2">
        <f t="shared" si="12"/>
        <v>0.30000000000000004</v>
      </c>
      <c r="F79" s="9">
        <v>0.6</v>
      </c>
      <c r="G79" s="9">
        <v>0</v>
      </c>
      <c r="H79" s="8">
        <f t="shared" si="16"/>
        <v>10160</v>
      </c>
      <c r="I79" s="9">
        <f t="shared" si="14"/>
        <v>2</v>
      </c>
      <c r="K79" s="2"/>
      <c r="L79" s="2">
        <f t="shared" si="17"/>
        <v>10160</v>
      </c>
      <c r="M79" s="2">
        <f t="shared" si="18"/>
        <v>115</v>
      </c>
      <c r="N79" s="15">
        <f t="shared" si="19"/>
        <v>154</v>
      </c>
      <c r="O79" s="15">
        <f t="shared" si="20"/>
        <v>1274</v>
      </c>
      <c r="P79" s="16">
        <f>SUM($H$3:H79)</f>
        <v>288420</v>
      </c>
      <c r="Q79" s="2">
        <f>SUM($I$3:I79)</f>
        <v>105</v>
      </c>
    </row>
    <row r="80" spans="1:17" x14ac:dyDescent="0.3">
      <c r="A80" s="7">
        <f t="shared" si="21"/>
        <v>78</v>
      </c>
      <c r="B80" s="2">
        <f t="shared" si="11"/>
        <v>117</v>
      </c>
      <c r="C80" s="2">
        <f t="shared" si="15"/>
        <v>156</v>
      </c>
      <c r="D80" s="2">
        <f t="shared" si="13"/>
        <v>1291</v>
      </c>
      <c r="E80" s="2">
        <f t="shared" si="12"/>
        <v>0.30000000000000004</v>
      </c>
      <c r="F80" s="9">
        <v>0.6</v>
      </c>
      <c r="G80" s="9">
        <v>0</v>
      </c>
      <c r="H80" s="8">
        <f t="shared" si="16"/>
        <v>10420</v>
      </c>
      <c r="I80" s="9">
        <f t="shared" si="14"/>
        <v>2</v>
      </c>
      <c r="K80" s="2"/>
      <c r="L80" s="2">
        <f t="shared" si="17"/>
        <v>10420</v>
      </c>
      <c r="M80" s="2">
        <f t="shared" si="18"/>
        <v>117</v>
      </c>
      <c r="N80" s="15">
        <f t="shared" si="19"/>
        <v>156</v>
      </c>
      <c r="O80" s="15">
        <f t="shared" si="20"/>
        <v>1291</v>
      </c>
      <c r="P80" s="16">
        <f>SUM($H$3:H80)</f>
        <v>298840</v>
      </c>
      <c r="Q80" s="2">
        <f>SUM($I$3:I80)</f>
        <v>107</v>
      </c>
    </row>
    <row r="81" spans="1:17" x14ac:dyDescent="0.3">
      <c r="A81" s="7">
        <f t="shared" si="21"/>
        <v>79</v>
      </c>
      <c r="B81" s="2">
        <f t="shared" si="11"/>
        <v>119</v>
      </c>
      <c r="C81" s="2">
        <f t="shared" si="15"/>
        <v>158</v>
      </c>
      <c r="D81" s="2">
        <f t="shared" si="13"/>
        <v>1308</v>
      </c>
      <c r="E81" s="2">
        <f t="shared" si="12"/>
        <v>0.30000000000000004</v>
      </c>
      <c r="F81" s="9">
        <v>0.6</v>
      </c>
      <c r="G81" s="9">
        <v>0</v>
      </c>
      <c r="H81" s="8">
        <f t="shared" si="16"/>
        <v>10680</v>
      </c>
      <c r="I81" s="9">
        <f t="shared" si="14"/>
        <v>2</v>
      </c>
      <c r="K81" s="2"/>
      <c r="L81" s="2">
        <f t="shared" si="17"/>
        <v>10680</v>
      </c>
      <c r="M81" s="2">
        <f t="shared" si="18"/>
        <v>119</v>
      </c>
      <c r="N81" s="15">
        <f t="shared" si="19"/>
        <v>158</v>
      </c>
      <c r="O81" s="15">
        <f t="shared" si="20"/>
        <v>1308</v>
      </c>
      <c r="P81" s="16">
        <f>SUM($H$3:H81)</f>
        <v>309520</v>
      </c>
      <c r="Q81" s="2">
        <f>SUM($I$3:I81)</f>
        <v>109</v>
      </c>
    </row>
    <row r="82" spans="1:17" x14ac:dyDescent="0.3">
      <c r="A82" s="7">
        <f t="shared" si="21"/>
        <v>80</v>
      </c>
      <c r="B82" s="2">
        <f>B81+3</f>
        <v>122</v>
      </c>
      <c r="C82" s="2">
        <f t="shared" si="15"/>
        <v>160</v>
      </c>
      <c r="D82" s="2">
        <f t="shared" si="13"/>
        <v>1325</v>
      </c>
      <c r="E82" s="2">
        <f t="shared" si="12"/>
        <v>0.4</v>
      </c>
      <c r="F82" s="9">
        <v>0.7</v>
      </c>
      <c r="G82" s="9">
        <v>0</v>
      </c>
      <c r="H82" s="8">
        <f t="shared" si="16"/>
        <v>10940</v>
      </c>
      <c r="I82" s="9">
        <f t="shared" si="14"/>
        <v>2</v>
      </c>
      <c r="K82" s="2"/>
      <c r="L82" s="2">
        <f t="shared" si="17"/>
        <v>10940</v>
      </c>
      <c r="M82" s="2">
        <f t="shared" si="18"/>
        <v>122</v>
      </c>
      <c r="N82" s="15">
        <f t="shared" si="19"/>
        <v>160</v>
      </c>
      <c r="O82" s="15">
        <f t="shared" si="20"/>
        <v>1325</v>
      </c>
      <c r="P82" s="16">
        <f>SUM($H$3:H82)</f>
        <v>320460</v>
      </c>
      <c r="Q82" s="2">
        <f>SUM($I$3:I82)</f>
        <v>111</v>
      </c>
    </row>
    <row r="83" spans="1:17" x14ac:dyDescent="0.3">
      <c r="A83" s="7">
        <f t="shared" si="21"/>
        <v>81</v>
      </c>
      <c r="B83" s="2">
        <f t="shared" ref="B83:B101" si="22">B82+3</f>
        <v>125</v>
      </c>
      <c r="C83" s="2">
        <f t="shared" si="15"/>
        <v>162</v>
      </c>
      <c r="D83" s="2">
        <f t="shared" si="13"/>
        <v>1342</v>
      </c>
      <c r="E83" s="2">
        <f t="shared" si="12"/>
        <v>0.4</v>
      </c>
      <c r="F83" s="9">
        <v>0.7</v>
      </c>
      <c r="G83" s="9">
        <v>0</v>
      </c>
      <c r="H83" s="8">
        <f t="shared" si="16"/>
        <v>11210</v>
      </c>
      <c r="I83" s="9">
        <f t="shared" si="14"/>
        <v>2</v>
      </c>
      <c r="K83" s="2"/>
      <c r="L83" s="2">
        <f t="shared" si="17"/>
        <v>11210</v>
      </c>
      <c r="M83" s="2">
        <f t="shared" si="18"/>
        <v>125</v>
      </c>
      <c r="N83" s="15">
        <f t="shared" si="19"/>
        <v>162</v>
      </c>
      <c r="O83" s="15">
        <f t="shared" si="20"/>
        <v>1342</v>
      </c>
      <c r="P83" s="16">
        <f>SUM($H$3:H83)</f>
        <v>331670</v>
      </c>
      <c r="Q83" s="2">
        <f>SUM($I$3:I83)</f>
        <v>113</v>
      </c>
    </row>
    <row r="84" spans="1:17" x14ac:dyDescent="0.3">
      <c r="A84" s="7">
        <f t="shared" si="21"/>
        <v>82</v>
      </c>
      <c r="B84" s="2">
        <f t="shared" si="22"/>
        <v>128</v>
      </c>
      <c r="C84" s="2">
        <f t="shared" si="15"/>
        <v>164</v>
      </c>
      <c r="D84" s="2">
        <f t="shared" si="13"/>
        <v>1359</v>
      </c>
      <c r="E84" s="2">
        <f t="shared" si="12"/>
        <v>0.4</v>
      </c>
      <c r="F84" s="9">
        <v>0.7</v>
      </c>
      <c r="G84" s="9">
        <v>0</v>
      </c>
      <c r="H84" s="8">
        <f t="shared" si="16"/>
        <v>11480</v>
      </c>
      <c r="I84" s="9">
        <f t="shared" si="14"/>
        <v>2</v>
      </c>
      <c r="K84" s="2"/>
      <c r="L84" s="2">
        <f t="shared" si="17"/>
        <v>11480</v>
      </c>
      <c r="M84" s="2">
        <f t="shared" si="18"/>
        <v>128</v>
      </c>
      <c r="N84" s="15">
        <f t="shared" si="19"/>
        <v>164</v>
      </c>
      <c r="O84" s="15">
        <f t="shared" si="20"/>
        <v>1359</v>
      </c>
      <c r="P84" s="16">
        <f>SUM($H$3:H84)</f>
        <v>343150</v>
      </c>
      <c r="Q84" s="2">
        <f>SUM($I$3:I84)</f>
        <v>115</v>
      </c>
    </row>
    <row r="85" spans="1:17" x14ac:dyDescent="0.3">
      <c r="A85" s="7">
        <f t="shared" si="21"/>
        <v>83</v>
      </c>
      <c r="B85" s="2">
        <f t="shared" si="22"/>
        <v>131</v>
      </c>
      <c r="C85" s="2">
        <f t="shared" si="15"/>
        <v>166</v>
      </c>
      <c r="D85" s="2">
        <f t="shared" si="13"/>
        <v>1376</v>
      </c>
      <c r="E85" s="2">
        <f t="shared" si="12"/>
        <v>0.4</v>
      </c>
      <c r="F85" s="9">
        <v>0.7</v>
      </c>
      <c r="G85" s="9">
        <v>0</v>
      </c>
      <c r="H85" s="8">
        <f t="shared" si="16"/>
        <v>11750</v>
      </c>
      <c r="I85" s="9">
        <f t="shared" si="14"/>
        <v>2</v>
      </c>
      <c r="K85" s="2"/>
      <c r="L85" s="2">
        <f t="shared" si="17"/>
        <v>11750</v>
      </c>
      <c r="M85" s="2">
        <f t="shared" si="18"/>
        <v>131</v>
      </c>
      <c r="N85" s="15">
        <f t="shared" si="19"/>
        <v>166</v>
      </c>
      <c r="O85" s="15">
        <f t="shared" si="20"/>
        <v>1376</v>
      </c>
      <c r="P85" s="16">
        <f>SUM($H$3:H85)</f>
        <v>354900</v>
      </c>
      <c r="Q85" s="2">
        <f>SUM($I$3:I85)</f>
        <v>117</v>
      </c>
    </row>
    <row r="86" spans="1:17" x14ac:dyDescent="0.3">
      <c r="A86" s="7">
        <f t="shared" si="21"/>
        <v>84</v>
      </c>
      <c r="B86" s="2">
        <f t="shared" si="22"/>
        <v>134</v>
      </c>
      <c r="C86" s="2">
        <f t="shared" si="15"/>
        <v>168</v>
      </c>
      <c r="D86" s="2">
        <f t="shared" si="13"/>
        <v>1393</v>
      </c>
      <c r="E86" s="2">
        <f t="shared" si="12"/>
        <v>0.4</v>
      </c>
      <c r="F86" s="9">
        <v>0.7</v>
      </c>
      <c r="G86" s="9">
        <v>0</v>
      </c>
      <c r="H86" s="8">
        <f t="shared" si="16"/>
        <v>12030</v>
      </c>
      <c r="I86" s="9">
        <f t="shared" si="14"/>
        <v>2</v>
      </c>
      <c r="K86" s="2"/>
      <c r="L86" s="2">
        <f t="shared" si="17"/>
        <v>12030</v>
      </c>
      <c r="M86" s="2">
        <f t="shared" si="18"/>
        <v>134</v>
      </c>
      <c r="N86" s="15">
        <f t="shared" si="19"/>
        <v>168</v>
      </c>
      <c r="O86" s="15">
        <f t="shared" si="20"/>
        <v>1393</v>
      </c>
      <c r="P86" s="16">
        <f>SUM($H$3:H86)</f>
        <v>366930</v>
      </c>
      <c r="Q86" s="2">
        <f>SUM($I$3:I86)</f>
        <v>119</v>
      </c>
    </row>
    <row r="87" spans="1:17" x14ac:dyDescent="0.3">
      <c r="A87" s="7">
        <f t="shared" si="21"/>
        <v>85</v>
      </c>
      <c r="B87" s="2">
        <f t="shared" si="22"/>
        <v>137</v>
      </c>
      <c r="C87" s="2">
        <f t="shared" si="15"/>
        <v>170</v>
      </c>
      <c r="D87" s="2">
        <f t="shared" si="13"/>
        <v>1410</v>
      </c>
      <c r="E87" s="2">
        <f t="shared" si="12"/>
        <v>0.4</v>
      </c>
      <c r="F87" s="9">
        <v>0.7</v>
      </c>
      <c r="G87" s="9">
        <v>0</v>
      </c>
      <c r="H87" s="8">
        <f t="shared" si="16"/>
        <v>12300</v>
      </c>
      <c r="I87" s="9">
        <f t="shared" si="14"/>
        <v>2</v>
      </c>
      <c r="K87" s="2"/>
      <c r="L87" s="2">
        <f t="shared" si="17"/>
        <v>12300</v>
      </c>
      <c r="M87" s="2">
        <f t="shared" si="18"/>
        <v>137</v>
      </c>
      <c r="N87" s="15">
        <f t="shared" si="19"/>
        <v>170</v>
      </c>
      <c r="O87" s="15">
        <f t="shared" si="20"/>
        <v>1410</v>
      </c>
      <c r="P87" s="16">
        <f>SUM($H$3:H87)</f>
        <v>379230</v>
      </c>
      <c r="Q87" s="2">
        <f>SUM($I$3:I87)</f>
        <v>121</v>
      </c>
    </row>
    <row r="88" spans="1:17" x14ac:dyDescent="0.3">
      <c r="A88" s="7">
        <f t="shared" si="21"/>
        <v>86</v>
      </c>
      <c r="B88" s="2">
        <f t="shared" si="22"/>
        <v>140</v>
      </c>
      <c r="C88" s="2">
        <f t="shared" si="15"/>
        <v>172</v>
      </c>
      <c r="D88" s="2">
        <f t="shared" si="13"/>
        <v>1427</v>
      </c>
      <c r="E88" s="2">
        <f t="shared" si="12"/>
        <v>0.4</v>
      </c>
      <c r="F88" s="9">
        <v>0.7</v>
      </c>
      <c r="G88" s="9">
        <v>0</v>
      </c>
      <c r="H88" s="8">
        <f t="shared" si="16"/>
        <v>12590</v>
      </c>
      <c r="I88" s="9">
        <f t="shared" si="14"/>
        <v>2</v>
      </c>
      <c r="K88" s="2"/>
      <c r="L88" s="2">
        <f t="shared" si="17"/>
        <v>12590</v>
      </c>
      <c r="M88" s="2">
        <f t="shared" si="18"/>
        <v>140</v>
      </c>
      <c r="N88" s="15">
        <f t="shared" si="19"/>
        <v>172</v>
      </c>
      <c r="O88" s="15">
        <f t="shared" si="20"/>
        <v>1427</v>
      </c>
      <c r="P88" s="16">
        <f>SUM($H$3:H88)</f>
        <v>391820</v>
      </c>
      <c r="Q88" s="2">
        <f>SUM($I$3:I88)</f>
        <v>123</v>
      </c>
    </row>
    <row r="89" spans="1:17" x14ac:dyDescent="0.3">
      <c r="A89" s="7">
        <f t="shared" si="21"/>
        <v>87</v>
      </c>
      <c r="B89" s="2">
        <f t="shared" si="22"/>
        <v>143</v>
      </c>
      <c r="C89" s="2">
        <f t="shared" si="15"/>
        <v>174</v>
      </c>
      <c r="D89" s="2">
        <f t="shared" si="13"/>
        <v>1444</v>
      </c>
      <c r="E89" s="2">
        <f t="shared" si="12"/>
        <v>0.4</v>
      </c>
      <c r="F89" s="9">
        <v>0.7</v>
      </c>
      <c r="G89" s="9">
        <v>0</v>
      </c>
      <c r="H89" s="8">
        <f t="shared" si="16"/>
        <v>12870</v>
      </c>
      <c r="I89" s="9">
        <f t="shared" si="14"/>
        <v>2</v>
      </c>
      <c r="K89" s="2"/>
      <c r="L89" s="2">
        <f t="shared" si="17"/>
        <v>12870</v>
      </c>
      <c r="M89" s="2">
        <f t="shared" si="18"/>
        <v>143</v>
      </c>
      <c r="N89" s="15">
        <f t="shared" si="19"/>
        <v>174</v>
      </c>
      <c r="O89" s="15">
        <f t="shared" si="20"/>
        <v>1444</v>
      </c>
      <c r="P89" s="16">
        <f>SUM($H$3:H89)</f>
        <v>404690</v>
      </c>
      <c r="Q89" s="2">
        <f>SUM($I$3:I89)</f>
        <v>125</v>
      </c>
    </row>
    <row r="90" spans="1:17" x14ac:dyDescent="0.3">
      <c r="A90" s="7">
        <f t="shared" si="21"/>
        <v>88</v>
      </c>
      <c r="B90" s="2">
        <f t="shared" si="22"/>
        <v>146</v>
      </c>
      <c r="C90" s="2">
        <f t="shared" si="15"/>
        <v>176</v>
      </c>
      <c r="D90" s="2">
        <f t="shared" si="13"/>
        <v>1461</v>
      </c>
      <c r="E90" s="2">
        <f t="shared" si="12"/>
        <v>0.4</v>
      </c>
      <c r="F90" s="9">
        <v>0.7</v>
      </c>
      <c r="G90" s="9">
        <v>0</v>
      </c>
      <c r="H90" s="8">
        <f t="shared" si="16"/>
        <v>13160</v>
      </c>
      <c r="I90" s="9">
        <f t="shared" si="14"/>
        <v>2</v>
      </c>
      <c r="K90" s="2"/>
      <c r="L90" s="2">
        <f t="shared" si="17"/>
        <v>13160</v>
      </c>
      <c r="M90" s="2">
        <f t="shared" si="18"/>
        <v>146</v>
      </c>
      <c r="N90" s="15">
        <f t="shared" si="19"/>
        <v>176</v>
      </c>
      <c r="O90" s="15">
        <f t="shared" si="20"/>
        <v>1461</v>
      </c>
      <c r="P90" s="16">
        <f>SUM($H$3:H90)</f>
        <v>417850</v>
      </c>
      <c r="Q90" s="2">
        <f>SUM($I$3:I90)</f>
        <v>127</v>
      </c>
    </row>
    <row r="91" spans="1:17" x14ac:dyDescent="0.3">
      <c r="A91" s="7">
        <f t="shared" si="21"/>
        <v>89</v>
      </c>
      <c r="B91" s="2">
        <f t="shared" si="22"/>
        <v>149</v>
      </c>
      <c r="C91" s="2">
        <f t="shared" si="15"/>
        <v>178</v>
      </c>
      <c r="D91" s="2">
        <f t="shared" si="13"/>
        <v>1478</v>
      </c>
      <c r="E91" s="2">
        <f t="shared" si="12"/>
        <v>0.4</v>
      </c>
      <c r="F91" s="9">
        <v>0.7</v>
      </c>
      <c r="G91" s="9">
        <v>0</v>
      </c>
      <c r="H91" s="8">
        <f t="shared" si="16"/>
        <v>13450</v>
      </c>
      <c r="I91" s="9">
        <f t="shared" si="14"/>
        <v>2</v>
      </c>
      <c r="K91" s="2"/>
      <c r="L91" s="2">
        <f t="shared" si="17"/>
        <v>13450</v>
      </c>
      <c r="M91" s="2">
        <f t="shared" si="18"/>
        <v>149</v>
      </c>
      <c r="N91" s="15">
        <f t="shared" si="19"/>
        <v>178</v>
      </c>
      <c r="O91" s="15">
        <f t="shared" si="20"/>
        <v>1478</v>
      </c>
      <c r="P91" s="16">
        <f>SUM($H$3:H91)</f>
        <v>431300</v>
      </c>
      <c r="Q91" s="2">
        <f>SUM($I$3:I91)</f>
        <v>129</v>
      </c>
    </row>
    <row r="92" spans="1:17" x14ac:dyDescent="0.3">
      <c r="A92" s="7">
        <f t="shared" si="21"/>
        <v>90</v>
      </c>
      <c r="B92" s="2">
        <f t="shared" si="22"/>
        <v>152</v>
      </c>
      <c r="C92" s="2">
        <f t="shared" si="15"/>
        <v>180</v>
      </c>
      <c r="D92" s="2">
        <f t="shared" si="13"/>
        <v>1495</v>
      </c>
      <c r="E92" s="2">
        <f t="shared" si="12"/>
        <v>0.4</v>
      </c>
      <c r="F92" s="9">
        <v>0.7</v>
      </c>
      <c r="G92" s="9">
        <v>0</v>
      </c>
      <c r="H92" s="8">
        <f t="shared" si="16"/>
        <v>13750</v>
      </c>
      <c r="I92" s="9">
        <f t="shared" si="14"/>
        <v>2</v>
      </c>
      <c r="K92" s="2"/>
      <c r="L92" s="2">
        <f t="shared" si="17"/>
        <v>13750</v>
      </c>
      <c r="M92" s="2">
        <f t="shared" si="18"/>
        <v>152</v>
      </c>
      <c r="N92" s="15">
        <f t="shared" si="19"/>
        <v>180</v>
      </c>
      <c r="O92" s="15">
        <f t="shared" si="20"/>
        <v>1495</v>
      </c>
      <c r="P92" s="16">
        <f>SUM($H$3:H92)</f>
        <v>445050</v>
      </c>
      <c r="Q92" s="2">
        <f>SUM($I$3:I92)</f>
        <v>131</v>
      </c>
    </row>
    <row r="93" spans="1:17" x14ac:dyDescent="0.3">
      <c r="A93" s="7">
        <f t="shared" si="21"/>
        <v>91</v>
      </c>
      <c r="B93" s="2">
        <f t="shared" si="22"/>
        <v>155</v>
      </c>
      <c r="C93" s="2">
        <f t="shared" si="15"/>
        <v>182</v>
      </c>
      <c r="D93" s="2">
        <f t="shared" si="13"/>
        <v>1512</v>
      </c>
      <c r="E93" s="2">
        <f t="shared" si="12"/>
        <v>0.4</v>
      </c>
      <c r="F93" s="9">
        <v>0.7</v>
      </c>
      <c r="G93" s="9">
        <v>0</v>
      </c>
      <c r="H93" s="8">
        <f t="shared" si="16"/>
        <v>14050</v>
      </c>
      <c r="I93" s="9">
        <f t="shared" si="14"/>
        <v>2</v>
      </c>
      <c r="K93" s="2"/>
      <c r="L93" s="2">
        <f t="shared" si="17"/>
        <v>14050</v>
      </c>
      <c r="M93" s="2">
        <f t="shared" si="18"/>
        <v>155</v>
      </c>
      <c r="N93" s="15">
        <f t="shared" si="19"/>
        <v>182</v>
      </c>
      <c r="O93" s="15">
        <f t="shared" si="20"/>
        <v>1512</v>
      </c>
      <c r="P93" s="16">
        <f>SUM($H$3:H93)</f>
        <v>459100</v>
      </c>
      <c r="Q93" s="2">
        <f>SUM($I$3:I93)</f>
        <v>133</v>
      </c>
    </row>
    <row r="94" spans="1:17" x14ac:dyDescent="0.3">
      <c r="A94" s="7">
        <f t="shared" si="21"/>
        <v>92</v>
      </c>
      <c r="B94" s="2">
        <f t="shared" si="22"/>
        <v>158</v>
      </c>
      <c r="C94" s="2">
        <f t="shared" si="15"/>
        <v>184</v>
      </c>
      <c r="D94" s="2">
        <f t="shared" si="13"/>
        <v>1529</v>
      </c>
      <c r="E94" s="2">
        <f t="shared" si="12"/>
        <v>0.4</v>
      </c>
      <c r="F94" s="9">
        <v>0.7</v>
      </c>
      <c r="G94" s="9">
        <v>0</v>
      </c>
      <c r="H94" s="8">
        <f t="shared" si="16"/>
        <v>14350</v>
      </c>
      <c r="I94" s="9">
        <f t="shared" si="14"/>
        <v>2</v>
      </c>
      <c r="K94" s="2"/>
      <c r="L94" s="2">
        <f t="shared" si="17"/>
        <v>14350</v>
      </c>
      <c r="M94" s="2">
        <f t="shared" si="18"/>
        <v>158</v>
      </c>
      <c r="N94" s="15">
        <f t="shared" si="19"/>
        <v>184</v>
      </c>
      <c r="O94" s="15">
        <f t="shared" si="20"/>
        <v>1529</v>
      </c>
      <c r="P94" s="16">
        <f>SUM($H$3:H94)</f>
        <v>473450</v>
      </c>
      <c r="Q94" s="2">
        <f>SUM($I$3:I94)</f>
        <v>135</v>
      </c>
    </row>
    <row r="95" spans="1:17" x14ac:dyDescent="0.3">
      <c r="A95" s="7">
        <f t="shared" si="21"/>
        <v>93</v>
      </c>
      <c r="B95" s="2">
        <f t="shared" si="22"/>
        <v>161</v>
      </c>
      <c r="C95" s="2">
        <f t="shared" si="15"/>
        <v>186</v>
      </c>
      <c r="D95" s="2">
        <f t="shared" si="13"/>
        <v>1546</v>
      </c>
      <c r="E95" s="2">
        <f t="shared" si="12"/>
        <v>0.4</v>
      </c>
      <c r="F95" s="9">
        <v>0.7</v>
      </c>
      <c r="G95" s="9">
        <v>0</v>
      </c>
      <c r="H95" s="8">
        <f t="shared" si="16"/>
        <v>14660</v>
      </c>
      <c r="I95" s="9">
        <f t="shared" si="14"/>
        <v>2</v>
      </c>
      <c r="K95" s="2"/>
      <c r="L95" s="2">
        <f t="shared" si="17"/>
        <v>14660</v>
      </c>
      <c r="M95" s="2">
        <f t="shared" si="18"/>
        <v>161</v>
      </c>
      <c r="N95" s="15">
        <f t="shared" si="19"/>
        <v>186</v>
      </c>
      <c r="O95" s="15">
        <f t="shared" si="20"/>
        <v>1546</v>
      </c>
      <c r="P95" s="16">
        <f>SUM($H$3:H95)</f>
        <v>488110</v>
      </c>
      <c r="Q95" s="2">
        <f>SUM($I$3:I95)</f>
        <v>137</v>
      </c>
    </row>
    <row r="96" spans="1:17" x14ac:dyDescent="0.3">
      <c r="A96" s="7">
        <f t="shared" si="21"/>
        <v>94</v>
      </c>
      <c r="B96" s="2">
        <f t="shared" si="22"/>
        <v>164</v>
      </c>
      <c r="C96" s="2">
        <f t="shared" si="15"/>
        <v>188</v>
      </c>
      <c r="D96" s="2">
        <f t="shared" si="13"/>
        <v>1563</v>
      </c>
      <c r="E96" s="2">
        <f t="shared" si="12"/>
        <v>0.4</v>
      </c>
      <c r="F96" s="9">
        <v>0.7</v>
      </c>
      <c r="G96" s="9">
        <v>0</v>
      </c>
      <c r="H96" s="8">
        <f t="shared" si="16"/>
        <v>14970</v>
      </c>
      <c r="I96" s="9">
        <f t="shared" si="14"/>
        <v>2</v>
      </c>
      <c r="K96" s="2"/>
      <c r="L96" s="2">
        <f t="shared" si="17"/>
        <v>14970</v>
      </c>
      <c r="M96" s="2">
        <f t="shared" si="18"/>
        <v>164</v>
      </c>
      <c r="N96" s="15">
        <f t="shared" si="19"/>
        <v>188</v>
      </c>
      <c r="O96" s="15">
        <f t="shared" si="20"/>
        <v>1563</v>
      </c>
      <c r="P96" s="16">
        <f>SUM($H$3:H96)</f>
        <v>503080</v>
      </c>
      <c r="Q96" s="2">
        <f>SUM($I$3:I96)</f>
        <v>139</v>
      </c>
    </row>
    <row r="97" spans="1:17" x14ac:dyDescent="0.3">
      <c r="A97" s="7">
        <f t="shared" si="21"/>
        <v>95</v>
      </c>
      <c r="B97" s="2">
        <f t="shared" si="22"/>
        <v>167</v>
      </c>
      <c r="C97" s="2">
        <f t="shared" si="15"/>
        <v>190</v>
      </c>
      <c r="D97" s="2">
        <f t="shared" si="13"/>
        <v>1580</v>
      </c>
      <c r="E97" s="2">
        <f t="shared" si="12"/>
        <v>0.4</v>
      </c>
      <c r="F97" s="9">
        <v>0.7</v>
      </c>
      <c r="G97" s="9">
        <v>0</v>
      </c>
      <c r="H97" s="8">
        <f t="shared" si="16"/>
        <v>15280</v>
      </c>
      <c r="I97" s="9">
        <f t="shared" si="14"/>
        <v>2</v>
      </c>
      <c r="K97" s="2"/>
      <c r="L97" s="2">
        <f t="shared" si="17"/>
        <v>15280</v>
      </c>
      <c r="M97" s="2">
        <f t="shared" si="18"/>
        <v>167</v>
      </c>
      <c r="N97" s="15">
        <f t="shared" si="19"/>
        <v>190</v>
      </c>
      <c r="O97" s="15">
        <f t="shared" si="20"/>
        <v>1580</v>
      </c>
      <c r="P97" s="16">
        <f>SUM($H$3:H97)</f>
        <v>518360</v>
      </c>
      <c r="Q97" s="2">
        <f>SUM($I$3:I97)</f>
        <v>141</v>
      </c>
    </row>
    <row r="98" spans="1:17" x14ac:dyDescent="0.3">
      <c r="A98" s="7">
        <f t="shared" si="21"/>
        <v>96</v>
      </c>
      <c r="B98" s="2">
        <f t="shared" si="22"/>
        <v>170</v>
      </c>
      <c r="C98" s="2">
        <f t="shared" si="15"/>
        <v>192</v>
      </c>
      <c r="D98" s="2">
        <f t="shared" si="13"/>
        <v>1597</v>
      </c>
      <c r="E98" s="2">
        <f t="shared" si="12"/>
        <v>0.4</v>
      </c>
      <c r="F98" s="9">
        <v>0.7</v>
      </c>
      <c r="G98" s="9">
        <v>0</v>
      </c>
      <c r="H98" s="8">
        <f t="shared" si="16"/>
        <v>15600</v>
      </c>
      <c r="I98" s="9">
        <f t="shared" si="14"/>
        <v>2</v>
      </c>
      <c r="K98" s="2"/>
      <c r="L98" s="2">
        <f t="shared" si="17"/>
        <v>15600</v>
      </c>
      <c r="M98" s="2">
        <f t="shared" si="18"/>
        <v>170</v>
      </c>
      <c r="N98" s="15">
        <f t="shared" si="19"/>
        <v>192</v>
      </c>
      <c r="O98" s="15">
        <f t="shared" si="20"/>
        <v>1597</v>
      </c>
      <c r="P98" s="16">
        <f>SUM($H$3:H98)</f>
        <v>533960</v>
      </c>
      <c r="Q98" s="2">
        <f>SUM($I$3:I98)</f>
        <v>143</v>
      </c>
    </row>
    <row r="99" spans="1:17" x14ac:dyDescent="0.3">
      <c r="A99" s="7">
        <f t="shared" si="21"/>
        <v>97</v>
      </c>
      <c r="B99" s="2">
        <f t="shared" si="22"/>
        <v>173</v>
      </c>
      <c r="C99" s="2">
        <f t="shared" si="15"/>
        <v>194</v>
      </c>
      <c r="D99" s="2">
        <f t="shared" si="13"/>
        <v>1614</v>
      </c>
      <c r="E99" s="2">
        <f t="shared" si="12"/>
        <v>0.4</v>
      </c>
      <c r="F99" s="9">
        <v>0.7</v>
      </c>
      <c r="G99" s="9">
        <v>0</v>
      </c>
      <c r="H99" s="8">
        <f t="shared" si="16"/>
        <v>15920</v>
      </c>
      <c r="I99" s="9">
        <f t="shared" si="14"/>
        <v>2</v>
      </c>
      <c r="K99" s="2"/>
      <c r="L99" s="2">
        <f t="shared" si="17"/>
        <v>15920</v>
      </c>
      <c r="M99" s="2">
        <f t="shared" si="18"/>
        <v>173</v>
      </c>
      <c r="N99" s="15">
        <f t="shared" si="19"/>
        <v>194</v>
      </c>
      <c r="O99" s="15">
        <f t="shared" si="20"/>
        <v>1614</v>
      </c>
      <c r="P99" s="16">
        <f>SUM($H$3:H99)</f>
        <v>549880</v>
      </c>
      <c r="Q99" s="2">
        <f>SUM($I$3:I99)</f>
        <v>145</v>
      </c>
    </row>
    <row r="100" spans="1:17" x14ac:dyDescent="0.3">
      <c r="A100" s="7">
        <f t="shared" si="21"/>
        <v>98</v>
      </c>
      <c r="B100" s="2">
        <f t="shared" si="22"/>
        <v>176</v>
      </c>
      <c r="C100" s="2">
        <f t="shared" si="15"/>
        <v>196</v>
      </c>
      <c r="D100" s="2">
        <f t="shared" si="13"/>
        <v>1631</v>
      </c>
      <c r="E100" s="2">
        <f t="shared" si="12"/>
        <v>0.4</v>
      </c>
      <c r="F100" s="9">
        <v>0.7</v>
      </c>
      <c r="G100" s="9">
        <v>0</v>
      </c>
      <c r="H100" s="8">
        <f t="shared" si="16"/>
        <v>16240</v>
      </c>
      <c r="I100" s="9">
        <f t="shared" si="14"/>
        <v>2</v>
      </c>
      <c r="K100" s="2"/>
      <c r="L100" s="2">
        <f t="shared" si="17"/>
        <v>16240</v>
      </c>
      <c r="M100" s="2">
        <f t="shared" si="18"/>
        <v>176</v>
      </c>
      <c r="N100" s="15">
        <f t="shared" si="19"/>
        <v>196</v>
      </c>
      <c r="O100" s="15">
        <f t="shared" si="20"/>
        <v>1631</v>
      </c>
      <c r="P100" s="16">
        <f>SUM($H$3:H100)</f>
        <v>566120</v>
      </c>
      <c r="Q100" s="2">
        <f>SUM($I$3:I100)</f>
        <v>147</v>
      </c>
    </row>
    <row r="101" spans="1:17" x14ac:dyDescent="0.3">
      <c r="A101" s="7">
        <f t="shared" si="21"/>
        <v>99</v>
      </c>
      <c r="B101" s="2">
        <f t="shared" si="22"/>
        <v>179</v>
      </c>
      <c r="C101" s="2">
        <f t="shared" si="15"/>
        <v>198</v>
      </c>
      <c r="D101" s="2">
        <f t="shared" si="13"/>
        <v>1648</v>
      </c>
      <c r="E101" s="2">
        <f t="shared" si="12"/>
        <v>0.4</v>
      </c>
      <c r="F101" s="9">
        <v>0.7</v>
      </c>
      <c r="G101" s="9">
        <v>0</v>
      </c>
      <c r="H101" s="8">
        <f t="shared" si="16"/>
        <v>16570</v>
      </c>
      <c r="I101" s="9">
        <f t="shared" si="14"/>
        <v>2</v>
      </c>
      <c r="K101" s="2"/>
      <c r="L101" s="2">
        <f t="shared" si="17"/>
        <v>16570</v>
      </c>
      <c r="M101" s="2">
        <f t="shared" si="18"/>
        <v>179</v>
      </c>
      <c r="N101" s="15">
        <f t="shared" si="19"/>
        <v>198</v>
      </c>
      <c r="O101" s="15">
        <f t="shared" si="20"/>
        <v>1648</v>
      </c>
      <c r="P101" s="16">
        <f>SUM($H$3:H101)</f>
        <v>582690</v>
      </c>
      <c r="Q101" s="2">
        <f>SUM($I$3:I101)</f>
        <v>149</v>
      </c>
    </row>
    <row r="102" spans="1:17" x14ac:dyDescent="0.3">
      <c r="A102" s="7">
        <f t="shared" si="21"/>
        <v>100</v>
      </c>
      <c r="B102" s="2">
        <f>B101+5</f>
        <v>184</v>
      </c>
      <c r="C102" s="2">
        <f t="shared" si="15"/>
        <v>200</v>
      </c>
      <c r="D102" s="2">
        <f t="shared" si="13"/>
        <v>1665</v>
      </c>
      <c r="E102" s="2">
        <f t="shared" si="12"/>
        <v>0.5</v>
      </c>
      <c r="F102" s="2">
        <f>F82+0.1</f>
        <v>0.79999999999999993</v>
      </c>
      <c r="G102" s="17">
        <f>0.01 + (A102-100)*(0.4-0.01)/(1000-100)</f>
        <v>0.01</v>
      </c>
      <c r="H102" s="8">
        <f t="shared" si="16"/>
        <v>16890</v>
      </c>
      <c r="I102" s="9">
        <f t="shared" si="14"/>
        <v>3</v>
      </c>
      <c r="K102" s="2"/>
      <c r="L102" s="2">
        <f t="shared" si="17"/>
        <v>16890</v>
      </c>
      <c r="M102" s="2">
        <f t="shared" si="18"/>
        <v>184</v>
      </c>
      <c r="N102" s="15">
        <f t="shared" si="19"/>
        <v>200</v>
      </c>
      <c r="O102" s="15">
        <f t="shared" si="20"/>
        <v>1665</v>
      </c>
      <c r="P102" s="16">
        <f>SUM($H$3:H102)</f>
        <v>599580</v>
      </c>
      <c r="Q102" s="2">
        <f>SUM($I$3:I102)</f>
        <v>152</v>
      </c>
    </row>
    <row r="103" spans="1:17" x14ac:dyDescent="0.3">
      <c r="A103" s="7">
        <f t="shared" si="21"/>
        <v>101</v>
      </c>
      <c r="B103" s="2">
        <f t="shared" ref="B103:B112" si="23">B102+5</f>
        <v>189</v>
      </c>
      <c r="C103" s="2">
        <f t="shared" si="15"/>
        <v>202</v>
      </c>
      <c r="D103" s="2">
        <f>D102+11</f>
        <v>1676</v>
      </c>
      <c r="E103" s="2">
        <f t="shared" si="12"/>
        <v>0.5</v>
      </c>
      <c r="F103" s="2">
        <f t="shared" si="12"/>
        <v>0.79999999999999993</v>
      </c>
      <c r="G103" s="17">
        <f t="shared" ref="G103:G166" si="24">0.01 + (A103-100)*(0.4-0.01)/(1000-100)</f>
        <v>1.0433333333333334E-2</v>
      </c>
      <c r="H103" s="8">
        <f t="shared" si="16"/>
        <v>17230</v>
      </c>
      <c r="I103" s="9">
        <f t="shared" si="14"/>
        <v>3</v>
      </c>
      <c r="L103" s="2">
        <f t="shared" si="17"/>
        <v>17230</v>
      </c>
      <c r="M103" s="2">
        <f t="shared" si="18"/>
        <v>189</v>
      </c>
      <c r="N103" s="15">
        <f t="shared" si="19"/>
        <v>202</v>
      </c>
      <c r="O103" s="15">
        <f t="shared" si="20"/>
        <v>1676</v>
      </c>
      <c r="P103" s="16">
        <f>SUM($H$3:H103)</f>
        <v>616810</v>
      </c>
      <c r="Q103" s="2">
        <f>SUM($I$3:I103)</f>
        <v>155</v>
      </c>
    </row>
    <row r="104" spans="1:17" x14ac:dyDescent="0.3">
      <c r="A104" s="7">
        <f t="shared" si="21"/>
        <v>102</v>
      </c>
      <c r="B104" s="2">
        <f t="shared" si="23"/>
        <v>194</v>
      </c>
      <c r="C104" s="2">
        <f t="shared" si="15"/>
        <v>204</v>
      </c>
      <c r="D104" s="2">
        <f t="shared" ref="D104:D167" si="25">D103+11</f>
        <v>1687</v>
      </c>
      <c r="E104" s="2">
        <f t="shared" si="12"/>
        <v>0.5</v>
      </c>
      <c r="F104" s="2">
        <f t="shared" si="12"/>
        <v>0.79999999999999993</v>
      </c>
      <c r="G104" s="17">
        <f t="shared" si="24"/>
        <v>1.0866666666666667E-2</v>
      </c>
      <c r="H104" s="8">
        <f t="shared" si="16"/>
        <v>17560</v>
      </c>
      <c r="I104" s="9">
        <f t="shared" si="14"/>
        <v>3</v>
      </c>
      <c r="L104" s="2">
        <f t="shared" si="17"/>
        <v>17560</v>
      </c>
      <c r="M104" s="2">
        <f t="shared" si="18"/>
        <v>194</v>
      </c>
      <c r="N104" s="15">
        <f t="shared" si="19"/>
        <v>204</v>
      </c>
      <c r="O104" s="15">
        <f t="shared" si="20"/>
        <v>1687</v>
      </c>
      <c r="P104" s="16">
        <f>SUM($H$3:H104)</f>
        <v>634370</v>
      </c>
      <c r="Q104" s="2">
        <f>SUM($I$3:I104)</f>
        <v>158</v>
      </c>
    </row>
    <row r="105" spans="1:17" x14ac:dyDescent="0.3">
      <c r="A105" s="7">
        <f t="shared" si="21"/>
        <v>103</v>
      </c>
      <c r="B105" s="2">
        <f t="shared" si="23"/>
        <v>199</v>
      </c>
      <c r="C105" s="2">
        <f t="shared" si="15"/>
        <v>206</v>
      </c>
      <c r="D105" s="2">
        <f t="shared" si="25"/>
        <v>1698</v>
      </c>
      <c r="E105" s="2">
        <f t="shared" si="12"/>
        <v>0.5</v>
      </c>
      <c r="F105" s="2">
        <f t="shared" si="12"/>
        <v>0.79999999999999993</v>
      </c>
      <c r="G105" s="17">
        <f t="shared" si="24"/>
        <v>1.1300000000000001E-2</v>
      </c>
      <c r="H105" s="8">
        <f t="shared" si="16"/>
        <v>17900</v>
      </c>
      <c r="I105" s="9">
        <f t="shared" si="14"/>
        <v>3</v>
      </c>
      <c r="L105" s="2">
        <f t="shared" si="17"/>
        <v>17900</v>
      </c>
      <c r="M105" s="2">
        <f t="shared" si="18"/>
        <v>199</v>
      </c>
      <c r="N105" s="15">
        <f t="shared" si="19"/>
        <v>206</v>
      </c>
      <c r="O105" s="15">
        <f t="shared" si="20"/>
        <v>1698</v>
      </c>
      <c r="P105" s="16">
        <f>SUM($H$3:H105)</f>
        <v>652270</v>
      </c>
      <c r="Q105" s="2">
        <f>SUM($I$3:I105)</f>
        <v>161</v>
      </c>
    </row>
    <row r="106" spans="1:17" x14ac:dyDescent="0.3">
      <c r="A106" s="7">
        <f t="shared" si="21"/>
        <v>104</v>
      </c>
      <c r="B106" s="2">
        <f t="shared" si="23"/>
        <v>204</v>
      </c>
      <c r="C106" s="2">
        <f t="shared" si="15"/>
        <v>208</v>
      </c>
      <c r="D106" s="2">
        <f t="shared" si="25"/>
        <v>1709</v>
      </c>
      <c r="E106" s="2">
        <f t="shared" si="12"/>
        <v>0.5</v>
      </c>
      <c r="F106" s="2">
        <f t="shared" si="12"/>
        <v>0.79999999999999993</v>
      </c>
      <c r="G106" s="17">
        <f t="shared" si="24"/>
        <v>1.1733333333333333E-2</v>
      </c>
      <c r="H106" s="8">
        <f t="shared" si="16"/>
        <v>18250</v>
      </c>
      <c r="I106" s="9">
        <f t="shared" si="14"/>
        <v>3</v>
      </c>
      <c r="L106" s="2">
        <f t="shared" si="17"/>
        <v>18250</v>
      </c>
      <c r="M106" s="2">
        <f t="shared" si="18"/>
        <v>204</v>
      </c>
      <c r="N106" s="15">
        <f t="shared" si="19"/>
        <v>208</v>
      </c>
      <c r="O106" s="15">
        <f t="shared" si="20"/>
        <v>1709</v>
      </c>
      <c r="P106" s="16">
        <f>SUM($H$3:H106)</f>
        <v>670520</v>
      </c>
      <c r="Q106" s="2">
        <f>SUM($I$3:I106)</f>
        <v>164</v>
      </c>
    </row>
    <row r="107" spans="1:17" x14ac:dyDescent="0.3">
      <c r="A107" s="7">
        <f t="shared" si="21"/>
        <v>105</v>
      </c>
      <c r="B107" s="2">
        <f t="shared" si="23"/>
        <v>209</v>
      </c>
      <c r="C107" s="2">
        <f t="shared" si="15"/>
        <v>210</v>
      </c>
      <c r="D107" s="2">
        <f t="shared" si="25"/>
        <v>1720</v>
      </c>
      <c r="E107" s="2">
        <f t="shared" ref="E107:F141" si="26">E87+0.1</f>
        <v>0.5</v>
      </c>
      <c r="F107" s="2">
        <f t="shared" si="26"/>
        <v>0.79999999999999993</v>
      </c>
      <c r="G107" s="17">
        <f t="shared" si="24"/>
        <v>1.2166666666666668E-2</v>
      </c>
      <c r="H107" s="8">
        <f t="shared" si="16"/>
        <v>18590</v>
      </c>
      <c r="I107" s="9">
        <f t="shared" si="14"/>
        <v>3</v>
      </c>
      <c r="L107" s="2">
        <f t="shared" si="17"/>
        <v>18590</v>
      </c>
      <c r="M107" s="2">
        <f t="shared" si="18"/>
        <v>209</v>
      </c>
      <c r="N107" s="15">
        <f t="shared" si="19"/>
        <v>210</v>
      </c>
      <c r="O107" s="15">
        <f t="shared" si="20"/>
        <v>1720</v>
      </c>
      <c r="P107" s="16">
        <f>SUM($H$3:H107)</f>
        <v>689110</v>
      </c>
      <c r="Q107" s="2">
        <f>SUM($I$3:I107)</f>
        <v>167</v>
      </c>
    </row>
    <row r="108" spans="1:17" x14ac:dyDescent="0.3">
      <c r="A108" s="7">
        <f t="shared" si="21"/>
        <v>106</v>
      </c>
      <c r="B108" s="2">
        <f t="shared" si="23"/>
        <v>214</v>
      </c>
      <c r="C108" s="2">
        <f t="shared" si="15"/>
        <v>212</v>
      </c>
      <c r="D108" s="2">
        <f t="shared" si="25"/>
        <v>1731</v>
      </c>
      <c r="E108" s="2">
        <f t="shared" si="26"/>
        <v>0.5</v>
      </c>
      <c r="F108" s="2">
        <f t="shared" si="26"/>
        <v>0.79999999999999993</v>
      </c>
      <c r="G108" s="17">
        <f t="shared" si="24"/>
        <v>1.26E-2</v>
      </c>
      <c r="H108" s="8">
        <f t="shared" si="16"/>
        <v>18940</v>
      </c>
      <c r="I108" s="9">
        <f t="shared" si="14"/>
        <v>3</v>
      </c>
      <c r="L108" s="2">
        <f t="shared" si="17"/>
        <v>18940</v>
      </c>
      <c r="M108" s="2">
        <f t="shared" si="18"/>
        <v>214</v>
      </c>
      <c r="N108" s="15">
        <f t="shared" si="19"/>
        <v>212</v>
      </c>
      <c r="O108" s="15">
        <f t="shared" si="20"/>
        <v>1731</v>
      </c>
      <c r="P108" s="16">
        <f>SUM($H$3:H108)</f>
        <v>708050</v>
      </c>
      <c r="Q108" s="2">
        <f>SUM($I$3:I108)</f>
        <v>170</v>
      </c>
    </row>
    <row r="109" spans="1:17" x14ac:dyDescent="0.3">
      <c r="A109" s="7">
        <f t="shared" si="21"/>
        <v>107</v>
      </c>
      <c r="B109" s="2">
        <f t="shared" si="23"/>
        <v>219</v>
      </c>
      <c r="C109" s="2">
        <f t="shared" si="15"/>
        <v>214</v>
      </c>
      <c r="D109" s="2">
        <f t="shared" si="25"/>
        <v>1742</v>
      </c>
      <c r="E109" s="2">
        <f t="shared" si="26"/>
        <v>0.5</v>
      </c>
      <c r="F109" s="2">
        <f t="shared" si="26"/>
        <v>0.79999999999999993</v>
      </c>
      <c r="G109" s="17">
        <f t="shared" si="24"/>
        <v>1.3033333333333334E-2</v>
      </c>
      <c r="H109" s="8">
        <f t="shared" si="16"/>
        <v>19290</v>
      </c>
      <c r="I109" s="9">
        <f t="shared" si="14"/>
        <v>3</v>
      </c>
      <c r="L109" s="2">
        <f t="shared" si="17"/>
        <v>19290</v>
      </c>
      <c r="M109" s="2">
        <f t="shared" si="18"/>
        <v>219</v>
      </c>
      <c r="N109" s="15">
        <f t="shared" si="19"/>
        <v>214</v>
      </c>
      <c r="O109" s="15">
        <f t="shared" si="20"/>
        <v>1742</v>
      </c>
      <c r="P109" s="16">
        <f>SUM($H$3:H109)</f>
        <v>727340</v>
      </c>
      <c r="Q109" s="2">
        <f>SUM($I$3:I109)</f>
        <v>173</v>
      </c>
    </row>
    <row r="110" spans="1:17" x14ac:dyDescent="0.3">
      <c r="A110" s="7">
        <f t="shared" si="21"/>
        <v>108</v>
      </c>
      <c r="B110" s="2">
        <f t="shared" si="23"/>
        <v>224</v>
      </c>
      <c r="C110" s="2">
        <f t="shared" si="15"/>
        <v>216</v>
      </c>
      <c r="D110" s="2">
        <f t="shared" si="25"/>
        <v>1753</v>
      </c>
      <c r="E110" s="2">
        <f t="shared" si="26"/>
        <v>0.5</v>
      </c>
      <c r="F110" s="2">
        <f t="shared" si="26"/>
        <v>0.79999999999999993</v>
      </c>
      <c r="G110" s="17">
        <f t="shared" si="24"/>
        <v>1.3466666666666667E-2</v>
      </c>
      <c r="H110" s="8">
        <f t="shared" si="16"/>
        <v>19650</v>
      </c>
      <c r="I110" s="9">
        <f t="shared" si="14"/>
        <v>3</v>
      </c>
      <c r="L110" s="2">
        <f t="shared" si="17"/>
        <v>19650</v>
      </c>
      <c r="M110" s="2">
        <f t="shared" si="18"/>
        <v>224</v>
      </c>
      <c r="N110" s="15">
        <f t="shared" si="19"/>
        <v>216</v>
      </c>
      <c r="O110" s="15">
        <f t="shared" si="20"/>
        <v>1753</v>
      </c>
      <c r="P110" s="16">
        <f>SUM($H$3:H110)</f>
        <v>746990</v>
      </c>
      <c r="Q110" s="2">
        <f>SUM($I$3:I110)</f>
        <v>176</v>
      </c>
    </row>
    <row r="111" spans="1:17" x14ac:dyDescent="0.3">
      <c r="A111" s="7">
        <f t="shared" si="21"/>
        <v>109</v>
      </c>
      <c r="B111" s="2">
        <f t="shared" si="23"/>
        <v>229</v>
      </c>
      <c r="C111" s="2">
        <f t="shared" si="15"/>
        <v>218</v>
      </c>
      <c r="D111" s="2">
        <f t="shared" si="25"/>
        <v>1764</v>
      </c>
      <c r="E111" s="2">
        <f t="shared" si="26"/>
        <v>0.5</v>
      </c>
      <c r="F111" s="2">
        <f t="shared" si="26"/>
        <v>0.79999999999999993</v>
      </c>
      <c r="G111" s="17">
        <f t="shared" si="24"/>
        <v>1.3900000000000001E-2</v>
      </c>
      <c r="H111" s="8">
        <f t="shared" si="16"/>
        <v>20010</v>
      </c>
      <c r="I111" s="9">
        <f t="shared" si="14"/>
        <v>3</v>
      </c>
      <c r="L111" s="2">
        <f t="shared" si="17"/>
        <v>20010</v>
      </c>
      <c r="M111" s="2">
        <f t="shared" si="18"/>
        <v>229</v>
      </c>
      <c r="N111" s="15">
        <f t="shared" si="19"/>
        <v>218</v>
      </c>
      <c r="O111" s="15">
        <f t="shared" si="20"/>
        <v>1764</v>
      </c>
      <c r="P111" s="16">
        <f>SUM($H$3:H111)</f>
        <v>767000</v>
      </c>
      <c r="Q111" s="2">
        <f>SUM($I$3:I111)</f>
        <v>179</v>
      </c>
    </row>
    <row r="112" spans="1:17" x14ac:dyDescent="0.3">
      <c r="A112" s="7">
        <f t="shared" si="21"/>
        <v>110</v>
      </c>
      <c r="B112" s="2">
        <f t="shared" si="23"/>
        <v>234</v>
      </c>
      <c r="C112" s="2">
        <f t="shared" si="15"/>
        <v>220</v>
      </c>
      <c r="D112" s="2">
        <f t="shared" si="25"/>
        <v>1775</v>
      </c>
      <c r="E112" s="2">
        <f t="shared" si="26"/>
        <v>0.5</v>
      </c>
      <c r="F112" s="2">
        <f t="shared" si="26"/>
        <v>0.79999999999999993</v>
      </c>
      <c r="G112" s="17">
        <f t="shared" si="24"/>
        <v>1.4333333333333333E-2</v>
      </c>
      <c r="H112" s="8">
        <f t="shared" si="16"/>
        <v>20370</v>
      </c>
      <c r="I112" s="9">
        <f t="shared" si="14"/>
        <v>3</v>
      </c>
      <c r="L112" s="2">
        <f t="shared" si="17"/>
        <v>20370</v>
      </c>
      <c r="M112" s="2">
        <f t="shared" si="18"/>
        <v>234</v>
      </c>
      <c r="N112" s="15">
        <f t="shared" si="19"/>
        <v>220</v>
      </c>
      <c r="O112" s="15">
        <f t="shared" si="20"/>
        <v>1775</v>
      </c>
      <c r="P112" s="16">
        <f>SUM($H$3:H112)</f>
        <v>787370</v>
      </c>
      <c r="Q112" s="2">
        <f>SUM($I$3:I112)</f>
        <v>182</v>
      </c>
    </row>
    <row r="113" spans="1:17" x14ac:dyDescent="0.3">
      <c r="A113" s="7">
        <f t="shared" si="21"/>
        <v>111</v>
      </c>
      <c r="B113" s="2">
        <f>B112+4</f>
        <v>238</v>
      </c>
      <c r="C113" s="2">
        <f t="shared" si="15"/>
        <v>222</v>
      </c>
      <c r="D113" s="2">
        <f t="shared" si="25"/>
        <v>1786</v>
      </c>
      <c r="E113" s="2">
        <f t="shared" si="26"/>
        <v>0.5</v>
      </c>
      <c r="F113" s="2">
        <f t="shared" si="26"/>
        <v>0.79999999999999993</v>
      </c>
      <c r="G113" s="17">
        <f t="shared" si="24"/>
        <v>1.4766666666666668E-2</v>
      </c>
      <c r="H113" s="8">
        <f t="shared" si="16"/>
        <v>20740</v>
      </c>
      <c r="I113" s="9">
        <f t="shared" si="14"/>
        <v>3</v>
      </c>
      <c r="L113" s="2">
        <f t="shared" si="17"/>
        <v>20740</v>
      </c>
      <c r="M113" s="2">
        <f t="shared" si="18"/>
        <v>238</v>
      </c>
      <c r="N113" s="15">
        <f t="shared" si="19"/>
        <v>222</v>
      </c>
      <c r="O113" s="15">
        <f t="shared" si="20"/>
        <v>1786</v>
      </c>
      <c r="P113" s="16">
        <f>SUM($H$3:H113)</f>
        <v>808110</v>
      </c>
      <c r="Q113" s="2">
        <f>SUM($I$3:I113)</f>
        <v>185</v>
      </c>
    </row>
    <row r="114" spans="1:17" x14ac:dyDescent="0.3">
      <c r="A114" s="7">
        <f t="shared" si="21"/>
        <v>112</v>
      </c>
      <c r="B114" s="2">
        <f t="shared" ref="B114:B121" si="27">B113+4</f>
        <v>242</v>
      </c>
      <c r="C114" s="2">
        <f t="shared" si="15"/>
        <v>224</v>
      </c>
      <c r="D114" s="2">
        <f t="shared" si="25"/>
        <v>1797</v>
      </c>
      <c r="E114" s="2">
        <f t="shared" si="26"/>
        <v>0.5</v>
      </c>
      <c r="F114" s="2">
        <f t="shared" si="26"/>
        <v>0.79999999999999993</v>
      </c>
      <c r="G114" s="17">
        <f t="shared" si="24"/>
        <v>1.52E-2</v>
      </c>
      <c r="H114" s="8">
        <f t="shared" si="16"/>
        <v>21110</v>
      </c>
      <c r="I114" s="9">
        <f t="shared" si="14"/>
        <v>3</v>
      </c>
      <c r="L114" s="2">
        <f t="shared" si="17"/>
        <v>21110</v>
      </c>
      <c r="M114" s="2">
        <f t="shared" si="18"/>
        <v>242</v>
      </c>
      <c r="N114" s="15">
        <f t="shared" si="19"/>
        <v>224</v>
      </c>
      <c r="O114" s="15">
        <f t="shared" si="20"/>
        <v>1797</v>
      </c>
      <c r="P114" s="16">
        <f>SUM($H$3:H114)</f>
        <v>829220</v>
      </c>
      <c r="Q114" s="2">
        <f>SUM($I$3:I114)</f>
        <v>188</v>
      </c>
    </row>
    <row r="115" spans="1:17" x14ac:dyDescent="0.3">
      <c r="A115" s="7">
        <f t="shared" si="21"/>
        <v>113</v>
      </c>
      <c r="B115" s="2">
        <f t="shared" si="27"/>
        <v>246</v>
      </c>
      <c r="C115" s="2">
        <f t="shared" si="15"/>
        <v>226</v>
      </c>
      <c r="D115" s="2">
        <f t="shared" si="25"/>
        <v>1808</v>
      </c>
      <c r="E115" s="2">
        <f t="shared" si="26"/>
        <v>0.5</v>
      </c>
      <c r="F115" s="2">
        <f t="shared" si="26"/>
        <v>0.79999999999999993</v>
      </c>
      <c r="G115" s="17">
        <f t="shared" si="24"/>
        <v>1.5633333333333332E-2</v>
      </c>
      <c r="H115" s="8">
        <f t="shared" si="16"/>
        <v>21480</v>
      </c>
      <c r="I115" s="9">
        <f t="shared" si="14"/>
        <v>3</v>
      </c>
      <c r="L115" s="2">
        <f t="shared" si="17"/>
        <v>21480</v>
      </c>
      <c r="M115" s="2">
        <f t="shared" si="18"/>
        <v>246</v>
      </c>
      <c r="N115" s="15">
        <f t="shared" si="19"/>
        <v>226</v>
      </c>
      <c r="O115" s="15">
        <f t="shared" si="20"/>
        <v>1808</v>
      </c>
      <c r="P115" s="16">
        <f>SUM($H$3:H115)</f>
        <v>850700</v>
      </c>
      <c r="Q115" s="2">
        <f>SUM($I$3:I115)</f>
        <v>191</v>
      </c>
    </row>
    <row r="116" spans="1:17" x14ac:dyDescent="0.3">
      <c r="A116" s="7">
        <f t="shared" si="21"/>
        <v>114</v>
      </c>
      <c r="B116" s="2">
        <f t="shared" si="27"/>
        <v>250</v>
      </c>
      <c r="C116" s="2">
        <f t="shared" si="15"/>
        <v>228</v>
      </c>
      <c r="D116" s="2">
        <f t="shared" si="25"/>
        <v>1819</v>
      </c>
      <c r="E116" s="2">
        <f t="shared" si="26"/>
        <v>0.5</v>
      </c>
      <c r="F116" s="2">
        <f t="shared" si="26"/>
        <v>0.79999999999999993</v>
      </c>
      <c r="G116" s="17">
        <f t="shared" si="24"/>
        <v>1.6066666666666667E-2</v>
      </c>
      <c r="H116" s="8">
        <f t="shared" si="16"/>
        <v>21860</v>
      </c>
      <c r="I116" s="9">
        <f t="shared" si="14"/>
        <v>3</v>
      </c>
      <c r="L116" s="2">
        <f t="shared" si="17"/>
        <v>21860</v>
      </c>
      <c r="M116" s="2">
        <f t="shared" si="18"/>
        <v>250</v>
      </c>
      <c r="N116" s="15">
        <f t="shared" si="19"/>
        <v>228</v>
      </c>
      <c r="O116" s="15">
        <f t="shared" si="20"/>
        <v>1819</v>
      </c>
      <c r="P116" s="16">
        <f>SUM($H$3:H116)</f>
        <v>872560</v>
      </c>
      <c r="Q116" s="2">
        <f>SUM($I$3:I116)</f>
        <v>194</v>
      </c>
    </row>
    <row r="117" spans="1:17" x14ac:dyDescent="0.3">
      <c r="A117" s="7">
        <f t="shared" si="21"/>
        <v>115</v>
      </c>
      <c r="B117" s="2">
        <f t="shared" si="27"/>
        <v>254</v>
      </c>
      <c r="C117" s="2">
        <f t="shared" si="15"/>
        <v>230</v>
      </c>
      <c r="D117" s="2">
        <f t="shared" si="25"/>
        <v>1830</v>
      </c>
      <c r="E117" s="2">
        <f t="shared" si="26"/>
        <v>0.5</v>
      </c>
      <c r="F117" s="2">
        <f t="shared" si="26"/>
        <v>0.79999999999999993</v>
      </c>
      <c r="G117" s="17">
        <f t="shared" si="24"/>
        <v>1.6500000000000001E-2</v>
      </c>
      <c r="H117" s="8">
        <f t="shared" si="16"/>
        <v>22240</v>
      </c>
      <c r="I117" s="9">
        <f t="shared" si="14"/>
        <v>3</v>
      </c>
      <c r="L117" s="2">
        <f t="shared" si="17"/>
        <v>22240</v>
      </c>
      <c r="M117" s="2">
        <f t="shared" si="18"/>
        <v>254</v>
      </c>
      <c r="N117" s="15">
        <f t="shared" si="19"/>
        <v>230</v>
      </c>
      <c r="O117" s="15">
        <f t="shared" si="20"/>
        <v>1830</v>
      </c>
      <c r="P117" s="16">
        <f>SUM($H$3:H117)</f>
        <v>894800</v>
      </c>
      <c r="Q117" s="2">
        <f>SUM($I$3:I117)</f>
        <v>197</v>
      </c>
    </row>
    <row r="118" spans="1:17" x14ac:dyDescent="0.3">
      <c r="A118" s="7">
        <f t="shared" si="21"/>
        <v>116</v>
      </c>
      <c r="B118" s="2">
        <f t="shared" si="27"/>
        <v>258</v>
      </c>
      <c r="C118" s="2">
        <f t="shared" si="15"/>
        <v>232</v>
      </c>
      <c r="D118" s="2">
        <f t="shared" si="25"/>
        <v>1841</v>
      </c>
      <c r="E118" s="2">
        <f t="shared" si="26"/>
        <v>0.5</v>
      </c>
      <c r="F118" s="2">
        <f t="shared" si="26"/>
        <v>0.79999999999999993</v>
      </c>
      <c r="G118" s="17">
        <f t="shared" si="24"/>
        <v>1.6933333333333335E-2</v>
      </c>
      <c r="H118" s="8">
        <f t="shared" si="16"/>
        <v>22620</v>
      </c>
      <c r="I118" s="9">
        <f t="shared" ref="I118:I181" si="28">I68+1</f>
        <v>3</v>
      </c>
      <c r="L118" s="2">
        <f t="shared" si="17"/>
        <v>22620</v>
      </c>
      <c r="M118" s="2">
        <f t="shared" si="18"/>
        <v>258</v>
      </c>
      <c r="N118" s="15">
        <f t="shared" si="19"/>
        <v>232</v>
      </c>
      <c r="O118" s="15">
        <f t="shared" si="20"/>
        <v>1841</v>
      </c>
      <c r="P118" s="16">
        <f>SUM($H$3:H118)</f>
        <v>917420</v>
      </c>
      <c r="Q118" s="2">
        <f>SUM($I$3:I118)</f>
        <v>200</v>
      </c>
    </row>
    <row r="119" spans="1:17" x14ac:dyDescent="0.3">
      <c r="A119" s="7">
        <f t="shared" si="21"/>
        <v>117</v>
      </c>
      <c r="B119" s="2">
        <f t="shared" si="27"/>
        <v>262</v>
      </c>
      <c r="C119" s="2">
        <f t="shared" si="15"/>
        <v>234</v>
      </c>
      <c r="D119" s="2">
        <f t="shared" si="25"/>
        <v>1852</v>
      </c>
      <c r="E119" s="2">
        <f t="shared" si="26"/>
        <v>0.5</v>
      </c>
      <c r="F119" s="2">
        <f t="shared" si="26"/>
        <v>0.79999999999999993</v>
      </c>
      <c r="G119" s="17">
        <f t="shared" si="24"/>
        <v>1.7366666666666666E-2</v>
      </c>
      <c r="H119" s="8">
        <f t="shared" si="16"/>
        <v>23010</v>
      </c>
      <c r="I119" s="9">
        <f t="shared" si="28"/>
        <v>3</v>
      </c>
      <c r="L119" s="2">
        <f t="shared" si="17"/>
        <v>23010</v>
      </c>
      <c r="M119" s="2">
        <f t="shared" si="18"/>
        <v>262</v>
      </c>
      <c r="N119" s="15">
        <f t="shared" si="19"/>
        <v>234</v>
      </c>
      <c r="O119" s="15">
        <f t="shared" si="20"/>
        <v>1852</v>
      </c>
      <c r="P119" s="16">
        <f>SUM($H$3:H119)</f>
        <v>940430</v>
      </c>
      <c r="Q119" s="2">
        <f>SUM($I$3:I119)</f>
        <v>203</v>
      </c>
    </row>
    <row r="120" spans="1:17" x14ac:dyDescent="0.3">
      <c r="A120" s="7">
        <f t="shared" si="21"/>
        <v>118</v>
      </c>
      <c r="B120" s="2">
        <f t="shared" si="27"/>
        <v>266</v>
      </c>
      <c r="C120" s="2">
        <f t="shared" si="15"/>
        <v>236</v>
      </c>
      <c r="D120" s="2">
        <f t="shared" si="25"/>
        <v>1863</v>
      </c>
      <c r="E120" s="2">
        <f t="shared" si="26"/>
        <v>0.5</v>
      </c>
      <c r="F120" s="2">
        <f t="shared" si="26"/>
        <v>0.79999999999999993</v>
      </c>
      <c r="G120" s="17">
        <f t="shared" si="24"/>
        <v>1.78E-2</v>
      </c>
      <c r="H120" s="8">
        <f t="shared" si="16"/>
        <v>23400</v>
      </c>
      <c r="I120" s="9">
        <f t="shared" si="28"/>
        <v>3</v>
      </c>
      <c r="L120" s="2">
        <f t="shared" si="17"/>
        <v>23400</v>
      </c>
      <c r="M120" s="2">
        <f t="shared" si="18"/>
        <v>266</v>
      </c>
      <c r="N120" s="15">
        <f t="shared" si="19"/>
        <v>236</v>
      </c>
      <c r="O120" s="15">
        <f t="shared" si="20"/>
        <v>1863</v>
      </c>
      <c r="P120" s="16">
        <f>SUM($H$3:H120)</f>
        <v>963830</v>
      </c>
      <c r="Q120" s="2">
        <f>SUM($I$3:I120)</f>
        <v>206</v>
      </c>
    </row>
    <row r="121" spans="1:17" x14ac:dyDescent="0.3">
      <c r="A121" s="7">
        <f t="shared" si="21"/>
        <v>119</v>
      </c>
      <c r="B121" s="2">
        <f t="shared" si="27"/>
        <v>270</v>
      </c>
      <c r="C121" s="2">
        <f t="shared" si="15"/>
        <v>238</v>
      </c>
      <c r="D121" s="2">
        <f t="shared" si="25"/>
        <v>1874</v>
      </c>
      <c r="E121" s="2">
        <f t="shared" si="26"/>
        <v>0.5</v>
      </c>
      <c r="F121" s="2">
        <f t="shared" si="26"/>
        <v>0.79999999999999993</v>
      </c>
      <c r="G121" s="17">
        <f t="shared" si="24"/>
        <v>1.8233333333333334E-2</v>
      </c>
      <c r="H121" s="8">
        <f t="shared" si="16"/>
        <v>23790</v>
      </c>
      <c r="I121" s="9">
        <f t="shared" si="28"/>
        <v>3</v>
      </c>
      <c r="L121" s="2">
        <f t="shared" si="17"/>
        <v>23790</v>
      </c>
      <c r="M121" s="2">
        <f t="shared" si="18"/>
        <v>270</v>
      </c>
      <c r="N121" s="15">
        <f t="shared" si="19"/>
        <v>238</v>
      </c>
      <c r="O121" s="15">
        <f t="shared" si="20"/>
        <v>1874</v>
      </c>
      <c r="P121" s="16">
        <f>SUM($H$3:H121)</f>
        <v>987620</v>
      </c>
      <c r="Q121" s="2">
        <f>SUM($I$3:I121)</f>
        <v>209</v>
      </c>
    </row>
    <row r="122" spans="1:17" x14ac:dyDescent="0.3">
      <c r="A122" s="7">
        <f t="shared" si="21"/>
        <v>120</v>
      </c>
      <c r="B122" s="2">
        <f>B121+3</f>
        <v>273</v>
      </c>
      <c r="C122" s="2">
        <f t="shared" si="15"/>
        <v>240</v>
      </c>
      <c r="D122" s="2">
        <f t="shared" si="25"/>
        <v>1885</v>
      </c>
      <c r="E122" s="2">
        <f t="shared" si="26"/>
        <v>0.6</v>
      </c>
      <c r="F122" s="2">
        <f t="shared" si="26"/>
        <v>0.89999999999999991</v>
      </c>
      <c r="G122" s="17">
        <f t="shared" si="24"/>
        <v>1.8666666666666668E-2</v>
      </c>
      <c r="H122" s="8">
        <f t="shared" si="16"/>
        <v>24190</v>
      </c>
      <c r="I122" s="9">
        <f t="shared" si="28"/>
        <v>3</v>
      </c>
      <c r="L122" s="2">
        <f t="shared" si="17"/>
        <v>24190</v>
      </c>
      <c r="M122" s="2">
        <f t="shared" si="18"/>
        <v>273</v>
      </c>
      <c r="N122" s="15">
        <f t="shared" si="19"/>
        <v>240</v>
      </c>
      <c r="O122" s="15">
        <f t="shared" si="20"/>
        <v>1885</v>
      </c>
      <c r="P122" s="16">
        <f>SUM($H$3:H122)</f>
        <v>1011810</v>
      </c>
      <c r="Q122" s="2">
        <f>SUM($I$3:I122)</f>
        <v>212</v>
      </c>
    </row>
    <row r="123" spans="1:17" x14ac:dyDescent="0.3">
      <c r="A123" s="7">
        <f t="shared" si="21"/>
        <v>121</v>
      </c>
      <c r="B123" s="2">
        <f t="shared" ref="B123:B131" si="29">B122+3</f>
        <v>276</v>
      </c>
      <c r="C123" s="2">
        <f t="shared" si="15"/>
        <v>242</v>
      </c>
      <c r="D123" s="2">
        <f t="shared" si="25"/>
        <v>1896</v>
      </c>
      <c r="E123" s="2">
        <f t="shared" si="26"/>
        <v>0.6</v>
      </c>
      <c r="F123" s="2">
        <f t="shared" si="26"/>
        <v>0.89999999999999991</v>
      </c>
      <c r="G123" s="17">
        <f t="shared" si="24"/>
        <v>1.9099999999999999E-2</v>
      </c>
      <c r="H123" s="8">
        <f t="shared" si="16"/>
        <v>24590</v>
      </c>
      <c r="I123" s="9">
        <f t="shared" si="28"/>
        <v>3</v>
      </c>
      <c r="L123" s="2">
        <f t="shared" si="17"/>
        <v>24590</v>
      </c>
      <c r="M123" s="2">
        <f t="shared" si="18"/>
        <v>276</v>
      </c>
      <c r="N123" s="15">
        <f t="shared" si="19"/>
        <v>242</v>
      </c>
      <c r="O123" s="15">
        <f t="shared" si="20"/>
        <v>1896</v>
      </c>
      <c r="P123" s="16">
        <f>SUM($H$3:H123)</f>
        <v>1036400</v>
      </c>
      <c r="Q123" s="2">
        <f>SUM($I$3:I123)</f>
        <v>215</v>
      </c>
    </row>
    <row r="124" spans="1:17" x14ac:dyDescent="0.3">
      <c r="A124" s="7">
        <f t="shared" si="21"/>
        <v>122</v>
      </c>
      <c r="B124" s="2">
        <f t="shared" si="29"/>
        <v>279</v>
      </c>
      <c r="C124" s="2">
        <f t="shared" si="15"/>
        <v>244</v>
      </c>
      <c r="D124" s="2">
        <f t="shared" si="25"/>
        <v>1907</v>
      </c>
      <c r="E124" s="2">
        <f t="shared" si="26"/>
        <v>0.6</v>
      </c>
      <c r="F124" s="2">
        <f t="shared" si="26"/>
        <v>0.89999999999999991</v>
      </c>
      <c r="G124" s="17">
        <f t="shared" si="24"/>
        <v>1.9533333333333333E-2</v>
      </c>
      <c r="H124" s="8">
        <f t="shared" si="16"/>
        <v>24990</v>
      </c>
      <c r="I124" s="9">
        <f t="shared" si="28"/>
        <v>3</v>
      </c>
      <c r="L124" s="2">
        <f t="shared" si="17"/>
        <v>24990</v>
      </c>
      <c r="M124" s="2">
        <f t="shared" si="18"/>
        <v>279</v>
      </c>
      <c r="N124" s="15">
        <f t="shared" si="19"/>
        <v>244</v>
      </c>
      <c r="O124" s="15">
        <f t="shared" si="20"/>
        <v>1907</v>
      </c>
      <c r="P124" s="16">
        <f>SUM($H$3:H124)</f>
        <v>1061390</v>
      </c>
      <c r="Q124" s="2">
        <f>SUM($I$3:I124)</f>
        <v>218</v>
      </c>
    </row>
    <row r="125" spans="1:17" x14ac:dyDescent="0.3">
      <c r="A125" s="7">
        <f t="shared" si="21"/>
        <v>123</v>
      </c>
      <c r="B125" s="2">
        <f t="shared" si="29"/>
        <v>282</v>
      </c>
      <c r="C125" s="2">
        <f t="shared" si="15"/>
        <v>246</v>
      </c>
      <c r="D125" s="2">
        <f t="shared" si="25"/>
        <v>1918</v>
      </c>
      <c r="E125" s="2">
        <f t="shared" si="26"/>
        <v>0.6</v>
      </c>
      <c r="F125" s="2">
        <f t="shared" si="26"/>
        <v>0.89999999999999991</v>
      </c>
      <c r="G125" s="17">
        <f t="shared" si="24"/>
        <v>1.9966666666666667E-2</v>
      </c>
      <c r="H125" s="8">
        <f t="shared" si="16"/>
        <v>25390</v>
      </c>
      <c r="I125" s="9">
        <f t="shared" si="28"/>
        <v>3</v>
      </c>
      <c r="L125" s="2">
        <f t="shared" si="17"/>
        <v>25390</v>
      </c>
      <c r="M125" s="2">
        <f t="shared" si="18"/>
        <v>282</v>
      </c>
      <c r="N125" s="15">
        <f t="shared" si="19"/>
        <v>246</v>
      </c>
      <c r="O125" s="15">
        <f t="shared" si="20"/>
        <v>1918</v>
      </c>
      <c r="P125" s="16">
        <f>SUM($H$3:H125)</f>
        <v>1086780</v>
      </c>
      <c r="Q125" s="2">
        <f>SUM($I$3:I125)</f>
        <v>221</v>
      </c>
    </row>
    <row r="126" spans="1:17" x14ac:dyDescent="0.3">
      <c r="A126" s="7">
        <f t="shared" si="21"/>
        <v>124</v>
      </c>
      <c r="B126" s="2">
        <f t="shared" si="29"/>
        <v>285</v>
      </c>
      <c r="C126" s="2">
        <f t="shared" si="15"/>
        <v>248</v>
      </c>
      <c r="D126" s="2">
        <f t="shared" si="25"/>
        <v>1929</v>
      </c>
      <c r="E126" s="2">
        <f t="shared" si="26"/>
        <v>0.6</v>
      </c>
      <c r="F126" s="2">
        <f t="shared" si="26"/>
        <v>0.89999999999999991</v>
      </c>
      <c r="G126" s="17">
        <f t="shared" si="24"/>
        <v>2.0400000000000001E-2</v>
      </c>
      <c r="H126" s="8">
        <f t="shared" si="16"/>
        <v>25800</v>
      </c>
      <c r="I126" s="9">
        <f t="shared" si="28"/>
        <v>3</v>
      </c>
      <c r="L126" s="2">
        <f t="shared" si="17"/>
        <v>25800</v>
      </c>
      <c r="M126" s="2">
        <f t="shared" si="18"/>
        <v>285</v>
      </c>
      <c r="N126" s="15">
        <f t="shared" si="19"/>
        <v>248</v>
      </c>
      <c r="O126" s="15">
        <f t="shared" si="20"/>
        <v>1929</v>
      </c>
      <c r="P126" s="16">
        <f>SUM($H$3:H126)</f>
        <v>1112580</v>
      </c>
      <c r="Q126" s="2">
        <f>SUM($I$3:I126)</f>
        <v>224</v>
      </c>
    </row>
    <row r="127" spans="1:17" x14ac:dyDescent="0.3">
      <c r="A127" s="7">
        <f t="shared" si="21"/>
        <v>125</v>
      </c>
      <c r="B127" s="2">
        <f t="shared" si="29"/>
        <v>288</v>
      </c>
      <c r="C127" s="2">
        <f t="shared" si="15"/>
        <v>250</v>
      </c>
      <c r="D127" s="2">
        <f t="shared" si="25"/>
        <v>1940</v>
      </c>
      <c r="E127" s="2">
        <f t="shared" si="26"/>
        <v>0.6</v>
      </c>
      <c r="F127" s="2">
        <f t="shared" si="26"/>
        <v>0.89999999999999991</v>
      </c>
      <c r="G127" s="17">
        <f t="shared" si="24"/>
        <v>2.0833333333333336E-2</v>
      </c>
      <c r="H127" s="8">
        <f t="shared" si="16"/>
        <v>26220</v>
      </c>
      <c r="I127" s="9">
        <f t="shared" si="28"/>
        <v>3</v>
      </c>
      <c r="L127" s="2">
        <f t="shared" si="17"/>
        <v>26220</v>
      </c>
      <c r="M127" s="2">
        <f t="shared" si="18"/>
        <v>288</v>
      </c>
      <c r="N127" s="15">
        <f t="shared" si="19"/>
        <v>250</v>
      </c>
      <c r="O127" s="15">
        <f t="shared" si="20"/>
        <v>1940</v>
      </c>
      <c r="P127" s="16">
        <f>SUM($H$3:H127)</f>
        <v>1138800</v>
      </c>
      <c r="Q127" s="2">
        <f>SUM($I$3:I127)</f>
        <v>227</v>
      </c>
    </row>
    <row r="128" spans="1:17" x14ac:dyDescent="0.3">
      <c r="A128" s="7">
        <f t="shared" si="21"/>
        <v>126</v>
      </c>
      <c r="B128" s="2">
        <f t="shared" si="29"/>
        <v>291</v>
      </c>
      <c r="C128" s="2">
        <f t="shared" si="15"/>
        <v>252</v>
      </c>
      <c r="D128" s="2">
        <f t="shared" si="25"/>
        <v>1951</v>
      </c>
      <c r="E128" s="2">
        <f t="shared" si="26"/>
        <v>0.6</v>
      </c>
      <c r="F128" s="2">
        <f t="shared" si="26"/>
        <v>0.89999999999999991</v>
      </c>
      <c r="G128" s="17">
        <f t="shared" si="24"/>
        <v>2.126666666666667E-2</v>
      </c>
      <c r="H128" s="8">
        <f t="shared" si="16"/>
        <v>26630</v>
      </c>
      <c r="I128" s="9">
        <f t="shared" si="28"/>
        <v>3</v>
      </c>
      <c r="L128" s="2">
        <f t="shared" si="17"/>
        <v>26630</v>
      </c>
      <c r="M128" s="2">
        <f t="shared" si="18"/>
        <v>291</v>
      </c>
      <c r="N128" s="15">
        <f t="shared" si="19"/>
        <v>252</v>
      </c>
      <c r="O128" s="15">
        <f t="shared" si="20"/>
        <v>1951</v>
      </c>
      <c r="P128" s="16">
        <f>SUM($H$3:H128)</f>
        <v>1165430</v>
      </c>
      <c r="Q128" s="2">
        <f>SUM($I$3:I128)</f>
        <v>230</v>
      </c>
    </row>
    <row r="129" spans="1:17" x14ac:dyDescent="0.3">
      <c r="A129" s="7">
        <f t="shared" si="21"/>
        <v>127</v>
      </c>
      <c r="B129" s="2">
        <f t="shared" si="29"/>
        <v>294</v>
      </c>
      <c r="C129" s="2">
        <f t="shared" si="15"/>
        <v>254</v>
      </c>
      <c r="D129" s="2">
        <f t="shared" si="25"/>
        <v>1962</v>
      </c>
      <c r="E129" s="2">
        <f t="shared" si="26"/>
        <v>0.6</v>
      </c>
      <c r="F129" s="2">
        <f t="shared" si="26"/>
        <v>0.89999999999999991</v>
      </c>
      <c r="G129" s="17">
        <f t="shared" si="24"/>
        <v>2.1700000000000004E-2</v>
      </c>
      <c r="H129" s="8">
        <f t="shared" si="16"/>
        <v>27050</v>
      </c>
      <c r="I129" s="9">
        <f t="shared" si="28"/>
        <v>3</v>
      </c>
      <c r="L129" s="2">
        <f t="shared" si="17"/>
        <v>27050</v>
      </c>
      <c r="M129" s="2">
        <f t="shared" si="18"/>
        <v>294</v>
      </c>
      <c r="N129" s="15">
        <f t="shared" si="19"/>
        <v>254</v>
      </c>
      <c r="O129" s="15">
        <f t="shared" si="20"/>
        <v>1962</v>
      </c>
      <c r="P129" s="16">
        <f>SUM($H$3:H129)</f>
        <v>1192480</v>
      </c>
      <c r="Q129" s="2">
        <f>SUM($I$3:I129)</f>
        <v>233</v>
      </c>
    </row>
    <row r="130" spans="1:17" x14ac:dyDescent="0.3">
      <c r="A130" s="7">
        <f t="shared" si="21"/>
        <v>128</v>
      </c>
      <c r="B130" s="2">
        <f t="shared" si="29"/>
        <v>297</v>
      </c>
      <c r="C130" s="2">
        <f t="shared" si="15"/>
        <v>256</v>
      </c>
      <c r="D130" s="2">
        <f t="shared" si="25"/>
        <v>1973</v>
      </c>
      <c r="E130" s="2">
        <f t="shared" si="26"/>
        <v>0.6</v>
      </c>
      <c r="F130" s="2">
        <f t="shared" si="26"/>
        <v>0.89999999999999991</v>
      </c>
      <c r="G130" s="17">
        <f t="shared" si="24"/>
        <v>2.2133333333333331E-2</v>
      </c>
      <c r="H130" s="8">
        <f t="shared" si="16"/>
        <v>27480</v>
      </c>
      <c r="I130" s="9">
        <f t="shared" si="28"/>
        <v>3</v>
      </c>
      <c r="L130" s="2">
        <f t="shared" si="17"/>
        <v>27480</v>
      </c>
      <c r="M130" s="2">
        <f t="shared" si="18"/>
        <v>297</v>
      </c>
      <c r="N130" s="15">
        <f t="shared" si="19"/>
        <v>256</v>
      </c>
      <c r="O130" s="15">
        <f t="shared" si="20"/>
        <v>1973</v>
      </c>
      <c r="P130" s="16">
        <f>SUM($H$3:H130)</f>
        <v>1219960</v>
      </c>
      <c r="Q130" s="2">
        <f>SUM($I$3:I130)</f>
        <v>236</v>
      </c>
    </row>
    <row r="131" spans="1:17" x14ac:dyDescent="0.3">
      <c r="A131" s="7">
        <f t="shared" si="21"/>
        <v>129</v>
      </c>
      <c r="B131" s="2">
        <f t="shared" si="29"/>
        <v>300</v>
      </c>
      <c r="C131" s="2">
        <f t="shared" ref="C131:C194" si="30">C132-2</f>
        <v>258</v>
      </c>
      <c r="D131" s="2">
        <f t="shared" si="25"/>
        <v>1984</v>
      </c>
      <c r="E131" s="2">
        <f t="shared" si="26"/>
        <v>0.6</v>
      </c>
      <c r="F131" s="2">
        <f t="shared" si="26"/>
        <v>0.89999999999999991</v>
      </c>
      <c r="G131" s="17">
        <f t="shared" si="24"/>
        <v>2.2566666666666665E-2</v>
      </c>
      <c r="H131" s="8">
        <f t="shared" ref="H131:H194" si="31">ROUNDUP(500 + (150000-500) * ((A131-1)/(300-1))^2, -1)</f>
        <v>27900</v>
      </c>
      <c r="I131" s="9">
        <f t="shared" si="28"/>
        <v>3</v>
      </c>
      <c r="L131" s="2">
        <f t="shared" si="17"/>
        <v>27900</v>
      </c>
      <c r="M131" s="2">
        <f t="shared" si="18"/>
        <v>300</v>
      </c>
      <c r="N131" s="15">
        <f t="shared" si="19"/>
        <v>258</v>
      </c>
      <c r="O131" s="15">
        <f t="shared" si="20"/>
        <v>1984</v>
      </c>
      <c r="P131" s="16">
        <f>SUM($H$3:H131)</f>
        <v>1247860</v>
      </c>
      <c r="Q131" s="2">
        <f>SUM($I$3:I131)</f>
        <v>239</v>
      </c>
    </row>
    <row r="132" spans="1:17" x14ac:dyDescent="0.3">
      <c r="A132" s="7">
        <f t="shared" si="21"/>
        <v>130</v>
      </c>
      <c r="B132" s="2">
        <f>B131+2</f>
        <v>302</v>
      </c>
      <c r="C132" s="2">
        <f t="shared" si="30"/>
        <v>260</v>
      </c>
      <c r="D132" s="2">
        <f t="shared" si="25"/>
        <v>1995</v>
      </c>
      <c r="E132" s="2">
        <f t="shared" si="26"/>
        <v>0.6</v>
      </c>
      <c r="F132" s="2">
        <f t="shared" si="26"/>
        <v>0.89999999999999991</v>
      </c>
      <c r="G132" s="17">
        <f t="shared" si="24"/>
        <v>2.3E-2</v>
      </c>
      <c r="H132" s="8">
        <f t="shared" si="31"/>
        <v>28330</v>
      </c>
      <c r="I132" s="9">
        <f t="shared" si="28"/>
        <v>3</v>
      </c>
      <c r="L132" s="2">
        <f t="shared" ref="L132:L195" si="32">H132</f>
        <v>28330</v>
      </c>
      <c r="M132" s="2">
        <f t="shared" ref="M132:M195" si="33">B132</f>
        <v>302</v>
      </c>
      <c r="N132" s="15">
        <f t="shared" ref="N132:N195" si="34">C132</f>
        <v>260</v>
      </c>
      <c r="O132" s="15">
        <f t="shared" ref="O132:O195" si="35">D132</f>
        <v>1995</v>
      </c>
      <c r="P132" s="16">
        <f>SUM($H$3:H132)</f>
        <v>1276190</v>
      </c>
      <c r="Q132" s="2">
        <f>SUM($I$3:I132)</f>
        <v>242</v>
      </c>
    </row>
    <row r="133" spans="1:17" x14ac:dyDescent="0.3">
      <c r="A133" s="7">
        <f t="shared" ref="A133:C196" si="36">A132+1</f>
        <v>131</v>
      </c>
      <c r="B133" s="2">
        <f t="shared" ref="B133:B141" si="37">B132+2</f>
        <v>304</v>
      </c>
      <c r="C133" s="2">
        <f t="shared" si="30"/>
        <v>262</v>
      </c>
      <c r="D133" s="2">
        <f t="shared" si="25"/>
        <v>2006</v>
      </c>
      <c r="E133" s="2">
        <f t="shared" si="26"/>
        <v>0.6</v>
      </c>
      <c r="F133" s="2">
        <f t="shared" si="26"/>
        <v>0.89999999999999991</v>
      </c>
      <c r="G133" s="17">
        <f t="shared" si="24"/>
        <v>2.3433333333333334E-2</v>
      </c>
      <c r="H133" s="8">
        <f t="shared" si="31"/>
        <v>28770</v>
      </c>
      <c r="I133" s="9">
        <f t="shared" si="28"/>
        <v>3</v>
      </c>
      <c r="L133" s="2">
        <f t="shared" si="32"/>
        <v>28770</v>
      </c>
      <c r="M133" s="2">
        <f t="shared" si="33"/>
        <v>304</v>
      </c>
      <c r="N133" s="15">
        <f t="shared" si="34"/>
        <v>262</v>
      </c>
      <c r="O133" s="15">
        <f t="shared" si="35"/>
        <v>2006</v>
      </c>
      <c r="P133" s="16">
        <f>SUM($H$3:H133)</f>
        <v>1304960</v>
      </c>
      <c r="Q133" s="2">
        <f>SUM($I$3:I133)</f>
        <v>245</v>
      </c>
    </row>
    <row r="134" spans="1:17" x14ac:dyDescent="0.3">
      <c r="A134" s="7">
        <f t="shared" si="36"/>
        <v>132</v>
      </c>
      <c r="B134" s="2">
        <f t="shared" si="37"/>
        <v>306</v>
      </c>
      <c r="C134" s="2">
        <f t="shared" si="30"/>
        <v>264</v>
      </c>
      <c r="D134" s="2">
        <f t="shared" si="25"/>
        <v>2017</v>
      </c>
      <c r="E134" s="2">
        <f t="shared" si="26"/>
        <v>0.6</v>
      </c>
      <c r="F134" s="2">
        <f t="shared" si="26"/>
        <v>0.89999999999999991</v>
      </c>
      <c r="G134" s="17">
        <f t="shared" si="24"/>
        <v>2.3866666666666668E-2</v>
      </c>
      <c r="H134" s="8">
        <f t="shared" si="31"/>
        <v>29200</v>
      </c>
      <c r="I134" s="9">
        <f t="shared" si="28"/>
        <v>3</v>
      </c>
      <c r="L134" s="2">
        <f t="shared" si="32"/>
        <v>29200</v>
      </c>
      <c r="M134" s="2">
        <f t="shared" si="33"/>
        <v>306</v>
      </c>
      <c r="N134" s="15">
        <f t="shared" si="34"/>
        <v>264</v>
      </c>
      <c r="O134" s="15">
        <f t="shared" si="35"/>
        <v>2017</v>
      </c>
      <c r="P134" s="16">
        <f>SUM($H$3:H134)</f>
        <v>1334160</v>
      </c>
      <c r="Q134" s="2">
        <f>SUM($I$3:I134)</f>
        <v>248</v>
      </c>
    </row>
    <row r="135" spans="1:17" x14ac:dyDescent="0.3">
      <c r="A135" s="7">
        <f t="shared" si="36"/>
        <v>133</v>
      </c>
      <c r="B135" s="2">
        <f t="shared" si="37"/>
        <v>308</v>
      </c>
      <c r="C135" s="2">
        <f t="shared" si="30"/>
        <v>266</v>
      </c>
      <c r="D135" s="2">
        <f t="shared" si="25"/>
        <v>2028</v>
      </c>
      <c r="E135" s="2">
        <f t="shared" si="26"/>
        <v>0.6</v>
      </c>
      <c r="F135" s="2">
        <f t="shared" si="26"/>
        <v>0.89999999999999991</v>
      </c>
      <c r="G135" s="17">
        <f t="shared" si="24"/>
        <v>2.4300000000000002E-2</v>
      </c>
      <c r="H135" s="8">
        <f t="shared" si="31"/>
        <v>29640</v>
      </c>
      <c r="I135" s="9">
        <f t="shared" si="28"/>
        <v>3</v>
      </c>
      <c r="L135" s="2">
        <f t="shared" si="32"/>
        <v>29640</v>
      </c>
      <c r="M135" s="2">
        <f t="shared" si="33"/>
        <v>308</v>
      </c>
      <c r="N135" s="15">
        <f t="shared" si="34"/>
        <v>266</v>
      </c>
      <c r="O135" s="15">
        <f t="shared" si="35"/>
        <v>2028</v>
      </c>
      <c r="P135" s="16">
        <f>SUM($H$3:H135)</f>
        <v>1363800</v>
      </c>
      <c r="Q135" s="2">
        <f>SUM($I$3:I135)</f>
        <v>251</v>
      </c>
    </row>
    <row r="136" spans="1:17" x14ac:dyDescent="0.3">
      <c r="A136" s="7">
        <f t="shared" si="36"/>
        <v>134</v>
      </c>
      <c r="B136" s="2">
        <f t="shared" si="37"/>
        <v>310</v>
      </c>
      <c r="C136" s="2">
        <f t="shared" si="30"/>
        <v>268</v>
      </c>
      <c r="D136" s="2">
        <f t="shared" si="25"/>
        <v>2039</v>
      </c>
      <c r="E136" s="2">
        <f t="shared" si="26"/>
        <v>0.6</v>
      </c>
      <c r="F136" s="2">
        <f t="shared" si="26"/>
        <v>0.89999999999999991</v>
      </c>
      <c r="G136" s="17">
        <f t="shared" si="24"/>
        <v>2.4733333333333333E-2</v>
      </c>
      <c r="H136" s="8">
        <f t="shared" si="31"/>
        <v>30090</v>
      </c>
      <c r="I136" s="9">
        <f t="shared" si="28"/>
        <v>3</v>
      </c>
      <c r="L136" s="2">
        <f t="shared" si="32"/>
        <v>30090</v>
      </c>
      <c r="M136" s="2">
        <f t="shared" si="33"/>
        <v>310</v>
      </c>
      <c r="N136" s="15">
        <f t="shared" si="34"/>
        <v>268</v>
      </c>
      <c r="O136" s="15">
        <f t="shared" si="35"/>
        <v>2039</v>
      </c>
      <c r="P136" s="16">
        <f>SUM($H$3:H136)</f>
        <v>1393890</v>
      </c>
      <c r="Q136" s="2">
        <f>SUM($I$3:I136)</f>
        <v>254</v>
      </c>
    </row>
    <row r="137" spans="1:17" x14ac:dyDescent="0.3">
      <c r="A137" s="7">
        <f t="shared" si="36"/>
        <v>135</v>
      </c>
      <c r="B137" s="2">
        <f t="shared" si="37"/>
        <v>312</v>
      </c>
      <c r="C137" s="2">
        <f t="shared" si="30"/>
        <v>270</v>
      </c>
      <c r="D137" s="2">
        <f t="shared" si="25"/>
        <v>2050</v>
      </c>
      <c r="E137" s="2">
        <f t="shared" si="26"/>
        <v>0.6</v>
      </c>
      <c r="F137" s="2">
        <f t="shared" si="26"/>
        <v>0.89999999999999991</v>
      </c>
      <c r="G137" s="17">
        <f t="shared" si="24"/>
        <v>2.5166666666666667E-2</v>
      </c>
      <c r="H137" s="8">
        <f t="shared" si="31"/>
        <v>30530</v>
      </c>
      <c r="I137" s="9">
        <f t="shared" si="28"/>
        <v>3</v>
      </c>
      <c r="L137" s="2">
        <f t="shared" si="32"/>
        <v>30530</v>
      </c>
      <c r="M137" s="2">
        <f t="shared" si="33"/>
        <v>312</v>
      </c>
      <c r="N137" s="15">
        <f t="shared" si="34"/>
        <v>270</v>
      </c>
      <c r="O137" s="15">
        <f t="shared" si="35"/>
        <v>2050</v>
      </c>
      <c r="P137" s="16">
        <f>SUM($H$3:H137)</f>
        <v>1424420</v>
      </c>
      <c r="Q137" s="2">
        <f>SUM($I$3:I137)</f>
        <v>257</v>
      </c>
    </row>
    <row r="138" spans="1:17" x14ac:dyDescent="0.3">
      <c r="A138" s="7">
        <f t="shared" si="36"/>
        <v>136</v>
      </c>
      <c r="B138" s="2">
        <f t="shared" si="37"/>
        <v>314</v>
      </c>
      <c r="C138" s="2">
        <f t="shared" si="30"/>
        <v>272</v>
      </c>
      <c r="D138" s="2">
        <f t="shared" si="25"/>
        <v>2061</v>
      </c>
      <c r="E138" s="2">
        <f t="shared" si="26"/>
        <v>0.6</v>
      </c>
      <c r="F138" s="2">
        <f t="shared" si="26"/>
        <v>0.89999999999999991</v>
      </c>
      <c r="G138" s="17">
        <f t="shared" si="24"/>
        <v>2.5600000000000001E-2</v>
      </c>
      <c r="H138" s="8">
        <f t="shared" si="31"/>
        <v>30980</v>
      </c>
      <c r="I138" s="9">
        <f t="shared" si="28"/>
        <v>3</v>
      </c>
      <c r="L138" s="2">
        <f t="shared" si="32"/>
        <v>30980</v>
      </c>
      <c r="M138" s="2">
        <f t="shared" si="33"/>
        <v>314</v>
      </c>
      <c r="N138" s="15">
        <f t="shared" si="34"/>
        <v>272</v>
      </c>
      <c r="O138" s="15">
        <f t="shared" si="35"/>
        <v>2061</v>
      </c>
      <c r="P138" s="16">
        <f>SUM($H$3:H138)</f>
        <v>1455400</v>
      </c>
      <c r="Q138" s="2">
        <f>SUM($I$3:I138)</f>
        <v>260</v>
      </c>
    </row>
    <row r="139" spans="1:17" x14ac:dyDescent="0.3">
      <c r="A139" s="7">
        <f t="shared" si="36"/>
        <v>137</v>
      </c>
      <c r="B139" s="2">
        <f t="shared" si="37"/>
        <v>316</v>
      </c>
      <c r="C139" s="2">
        <f t="shared" si="30"/>
        <v>274</v>
      </c>
      <c r="D139" s="2">
        <f t="shared" si="25"/>
        <v>2072</v>
      </c>
      <c r="E139" s="2">
        <f t="shared" si="26"/>
        <v>0.6</v>
      </c>
      <c r="F139" s="2">
        <f t="shared" si="26"/>
        <v>0.89999999999999991</v>
      </c>
      <c r="G139" s="17">
        <f t="shared" si="24"/>
        <v>2.6033333333333332E-2</v>
      </c>
      <c r="H139" s="8">
        <f t="shared" si="31"/>
        <v>31430</v>
      </c>
      <c r="I139" s="9">
        <f t="shared" si="28"/>
        <v>3</v>
      </c>
      <c r="L139" s="2">
        <f t="shared" si="32"/>
        <v>31430</v>
      </c>
      <c r="M139" s="2">
        <f t="shared" si="33"/>
        <v>316</v>
      </c>
      <c r="N139" s="15">
        <f t="shared" si="34"/>
        <v>274</v>
      </c>
      <c r="O139" s="15">
        <f t="shared" si="35"/>
        <v>2072</v>
      </c>
      <c r="P139" s="16">
        <f>SUM($H$3:H139)</f>
        <v>1486830</v>
      </c>
      <c r="Q139" s="2">
        <f>SUM($I$3:I139)</f>
        <v>263</v>
      </c>
    </row>
    <row r="140" spans="1:17" x14ac:dyDescent="0.3">
      <c r="A140" s="7">
        <f t="shared" si="36"/>
        <v>138</v>
      </c>
      <c r="B140" s="2">
        <f t="shared" si="37"/>
        <v>318</v>
      </c>
      <c r="C140" s="2">
        <f t="shared" si="30"/>
        <v>276</v>
      </c>
      <c r="D140" s="2">
        <f t="shared" si="25"/>
        <v>2083</v>
      </c>
      <c r="E140" s="2">
        <f t="shared" si="26"/>
        <v>0.6</v>
      </c>
      <c r="F140" s="2">
        <f t="shared" si="26"/>
        <v>0.89999999999999991</v>
      </c>
      <c r="G140" s="17">
        <f t="shared" si="24"/>
        <v>2.6466666666666666E-2</v>
      </c>
      <c r="H140" s="8">
        <f t="shared" si="31"/>
        <v>31890</v>
      </c>
      <c r="I140" s="9">
        <f t="shared" si="28"/>
        <v>3</v>
      </c>
      <c r="L140" s="2">
        <f t="shared" si="32"/>
        <v>31890</v>
      </c>
      <c r="M140" s="2">
        <f t="shared" si="33"/>
        <v>318</v>
      </c>
      <c r="N140" s="15">
        <f t="shared" si="34"/>
        <v>276</v>
      </c>
      <c r="O140" s="15">
        <f t="shared" si="35"/>
        <v>2083</v>
      </c>
      <c r="P140" s="16">
        <f>SUM($H$3:H140)</f>
        <v>1518720</v>
      </c>
      <c r="Q140" s="2">
        <f>SUM($I$3:I140)</f>
        <v>266</v>
      </c>
    </row>
    <row r="141" spans="1:17" x14ac:dyDescent="0.3">
      <c r="A141" s="7">
        <f t="shared" si="36"/>
        <v>139</v>
      </c>
      <c r="B141" s="2">
        <f t="shared" si="37"/>
        <v>320</v>
      </c>
      <c r="C141" s="2">
        <f t="shared" si="30"/>
        <v>278</v>
      </c>
      <c r="D141" s="2">
        <f t="shared" si="25"/>
        <v>2094</v>
      </c>
      <c r="E141" s="2">
        <f t="shared" si="26"/>
        <v>0.6</v>
      </c>
      <c r="F141" s="2">
        <f t="shared" si="26"/>
        <v>0.89999999999999991</v>
      </c>
      <c r="G141" s="17">
        <f t="shared" si="24"/>
        <v>2.69E-2</v>
      </c>
      <c r="H141" s="8">
        <f t="shared" si="31"/>
        <v>32350</v>
      </c>
      <c r="I141" s="9">
        <f t="shared" si="28"/>
        <v>3</v>
      </c>
      <c r="L141" s="2">
        <f t="shared" si="32"/>
        <v>32350</v>
      </c>
      <c r="M141" s="2">
        <f t="shared" si="33"/>
        <v>320</v>
      </c>
      <c r="N141" s="15">
        <f t="shared" si="34"/>
        <v>278</v>
      </c>
      <c r="O141" s="15">
        <f t="shared" si="35"/>
        <v>2094</v>
      </c>
      <c r="P141" s="16">
        <f>SUM($H$3:H141)</f>
        <v>1551070</v>
      </c>
      <c r="Q141" s="2">
        <f>SUM($I$3:I141)</f>
        <v>269</v>
      </c>
    </row>
    <row r="142" spans="1:17" x14ac:dyDescent="0.3">
      <c r="A142" s="7">
        <f t="shared" si="36"/>
        <v>140</v>
      </c>
      <c r="B142" s="2">
        <f>B141+1</f>
        <v>321</v>
      </c>
      <c r="C142" s="2">
        <f t="shared" si="30"/>
        <v>280</v>
      </c>
      <c r="D142" s="2">
        <f t="shared" si="25"/>
        <v>2105</v>
      </c>
      <c r="E142" s="2">
        <v>0.6</v>
      </c>
      <c r="F142" s="2">
        <f t="shared" ref="F142:F201" si="38">F122+0.1</f>
        <v>0.99999999999999989</v>
      </c>
      <c r="G142" s="17">
        <f t="shared" si="24"/>
        <v>2.7333333333333334E-2</v>
      </c>
      <c r="H142" s="8">
        <f t="shared" si="31"/>
        <v>32810</v>
      </c>
      <c r="I142" s="9">
        <f t="shared" si="28"/>
        <v>3</v>
      </c>
      <c r="L142" s="2">
        <f t="shared" si="32"/>
        <v>32810</v>
      </c>
      <c r="M142" s="2">
        <f t="shared" si="33"/>
        <v>321</v>
      </c>
      <c r="N142" s="15">
        <f t="shared" si="34"/>
        <v>280</v>
      </c>
      <c r="O142" s="15">
        <f t="shared" si="35"/>
        <v>2105</v>
      </c>
      <c r="P142" s="16">
        <f>SUM($H$3:H142)</f>
        <v>1583880</v>
      </c>
      <c r="Q142" s="2">
        <f>SUM($I$3:I142)</f>
        <v>272</v>
      </c>
    </row>
    <row r="143" spans="1:17" x14ac:dyDescent="0.3">
      <c r="A143" s="7">
        <f t="shared" si="36"/>
        <v>141</v>
      </c>
      <c r="B143" s="2">
        <f t="shared" si="36"/>
        <v>322</v>
      </c>
      <c r="C143" s="2">
        <f t="shared" si="30"/>
        <v>282</v>
      </c>
      <c r="D143" s="2">
        <f t="shared" si="25"/>
        <v>2116</v>
      </c>
      <c r="E143" s="2">
        <v>0.6</v>
      </c>
      <c r="F143" s="2">
        <f t="shared" si="38"/>
        <v>0.99999999999999989</v>
      </c>
      <c r="G143" s="17">
        <f t="shared" si="24"/>
        <v>2.7766666666666669E-2</v>
      </c>
      <c r="H143" s="8">
        <f t="shared" si="31"/>
        <v>33280</v>
      </c>
      <c r="I143" s="9">
        <f t="shared" si="28"/>
        <v>3</v>
      </c>
      <c r="L143" s="2">
        <f t="shared" si="32"/>
        <v>33280</v>
      </c>
      <c r="M143" s="2">
        <f t="shared" si="33"/>
        <v>322</v>
      </c>
      <c r="N143" s="15">
        <f t="shared" si="34"/>
        <v>282</v>
      </c>
      <c r="O143" s="15">
        <f t="shared" si="35"/>
        <v>2116</v>
      </c>
      <c r="P143" s="16">
        <f>SUM($H$3:H143)</f>
        <v>1617160</v>
      </c>
      <c r="Q143" s="2">
        <f>SUM($I$3:I143)</f>
        <v>275</v>
      </c>
    </row>
    <row r="144" spans="1:17" x14ac:dyDescent="0.3">
      <c r="A144" s="7">
        <f t="shared" si="36"/>
        <v>142</v>
      </c>
      <c r="B144" s="2">
        <f t="shared" si="36"/>
        <v>323</v>
      </c>
      <c r="C144" s="2">
        <f t="shared" si="30"/>
        <v>284</v>
      </c>
      <c r="D144" s="2">
        <f t="shared" si="25"/>
        <v>2127</v>
      </c>
      <c r="E144" s="2">
        <v>0.6</v>
      </c>
      <c r="F144" s="2">
        <f t="shared" si="38"/>
        <v>0.99999999999999989</v>
      </c>
      <c r="G144" s="17">
        <f t="shared" si="24"/>
        <v>2.8199999999999996E-2</v>
      </c>
      <c r="H144" s="8">
        <f t="shared" si="31"/>
        <v>33750</v>
      </c>
      <c r="I144" s="9">
        <f t="shared" si="28"/>
        <v>3</v>
      </c>
      <c r="L144" s="2">
        <f t="shared" si="32"/>
        <v>33750</v>
      </c>
      <c r="M144" s="2">
        <f t="shared" si="33"/>
        <v>323</v>
      </c>
      <c r="N144" s="15">
        <f t="shared" si="34"/>
        <v>284</v>
      </c>
      <c r="O144" s="15">
        <f t="shared" si="35"/>
        <v>2127</v>
      </c>
      <c r="P144" s="16">
        <f>SUM($H$3:H144)</f>
        <v>1650910</v>
      </c>
      <c r="Q144" s="2">
        <f>SUM($I$3:I144)</f>
        <v>278</v>
      </c>
    </row>
    <row r="145" spans="1:17" x14ac:dyDescent="0.3">
      <c r="A145" s="7">
        <f t="shared" si="36"/>
        <v>143</v>
      </c>
      <c r="B145" s="2">
        <f t="shared" si="36"/>
        <v>324</v>
      </c>
      <c r="C145" s="2">
        <f t="shared" si="30"/>
        <v>286</v>
      </c>
      <c r="D145" s="2">
        <f t="shared" si="25"/>
        <v>2138</v>
      </c>
      <c r="E145" s="2">
        <v>0.6</v>
      </c>
      <c r="F145" s="2">
        <f t="shared" si="38"/>
        <v>0.99999999999999989</v>
      </c>
      <c r="G145" s="17">
        <f t="shared" si="24"/>
        <v>2.863333333333333E-2</v>
      </c>
      <c r="H145" s="8">
        <f t="shared" si="31"/>
        <v>34220</v>
      </c>
      <c r="I145" s="9">
        <f t="shared" si="28"/>
        <v>3</v>
      </c>
      <c r="L145" s="2">
        <f t="shared" si="32"/>
        <v>34220</v>
      </c>
      <c r="M145" s="2">
        <f t="shared" si="33"/>
        <v>324</v>
      </c>
      <c r="N145" s="15">
        <f t="shared" si="34"/>
        <v>286</v>
      </c>
      <c r="O145" s="15">
        <f t="shared" si="35"/>
        <v>2138</v>
      </c>
      <c r="P145" s="16">
        <f>SUM($H$3:H145)</f>
        <v>1685130</v>
      </c>
      <c r="Q145" s="2">
        <f>SUM($I$3:I145)</f>
        <v>281</v>
      </c>
    </row>
    <row r="146" spans="1:17" x14ac:dyDescent="0.3">
      <c r="A146" s="7">
        <f t="shared" si="36"/>
        <v>144</v>
      </c>
      <c r="B146" s="2">
        <f t="shared" si="36"/>
        <v>325</v>
      </c>
      <c r="C146" s="2">
        <f t="shared" si="30"/>
        <v>288</v>
      </c>
      <c r="D146" s="2">
        <f t="shared" si="25"/>
        <v>2149</v>
      </c>
      <c r="E146" s="2">
        <v>0.6</v>
      </c>
      <c r="F146" s="2">
        <f t="shared" si="38"/>
        <v>0.99999999999999989</v>
      </c>
      <c r="G146" s="17">
        <f t="shared" si="24"/>
        <v>2.9066666666666664E-2</v>
      </c>
      <c r="H146" s="8">
        <f t="shared" si="31"/>
        <v>34700</v>
      </c>
      <c r="I146" s="9">
        <f t="shared" si="28"/>
        <v>3</v>
      </c>
      <c r="L146" s="2">
        <f t="shared" si="32"/>
        <v>34700</v>
      </c>
      <c r="M146" s="2">
        <f t="shared" si="33"/>
        <v>325</v>
      </c>
      <c r="N146" s="15">
        <f t="shared" si="34"/>
        <v>288</v>
      </c>
      <c r="O146" s="15">
        <f t="shared" si="35"/>
        <v>2149</v>
      </c>
      <c r="P146" s="16">
        <f>SUM($H$3:H146)</f>
        <v>1719830</v>
      </c>
      <c r="Q146" s="2">
        <f>SUM($I$3:I146)</f>
        <v>284</v>
      </c>
    </row>
    <row r="147" spans="1:17" x14ac:dyDescent="0.3">
      <c r="A147" s="7">
        <f t="shared" si="36"/>
        <v>145</v>
      </c>
      <c r="B147" s="2">
        <f t="shared" si="36"/>
        <v>326</v>
      </c>
      <c r="C147" s="2">
        <f t="shared" si="30"/>
        <v>290</v>
      </c>
      <c r="D147" s="2">
        <f t="shared" si="25"/>
        <v>2160</v>
      </c>
      <c r="E147" s="2">
        <v>0.6</v>
      </c>
      <c r="F147" s="2">
        <f t="shared" si="38"/>
        <v>0.99999999999999989</v>
      </c>
      <c r="G147" s="17">
        <f t="shared" si="24"/>
        <v>2.9499999999999998E-2</v>
      </c>
      <c r="H147" s="8">
        <f t="shared" si="31"/>
        <v>35180</v>
      </c>
      <c r="I147" s="9">
        <f t="shared" si="28"/>
        <v>3</v>
      </c>
      <c r="L147" s="2">
        <f t="shared" si="32"/>
        <v>35180</v>
      </c>
      <c r="M147" s="2">
        <f t="shared" si="33"/>
        <v>326</v>
      </c>
      <c r="N147" s="15">
        <f t="shared" si="34"/>
        <v>290</v>
      </c>
      <c r="O147" s="15">
        <f t="shared" si="35"/>
        <v>2160</v>
      </c>
      <c r="P147" s="16">
        <f>SUM($H$3:H147)</f>
        <v>1755010</v>
      </c>
      <c r="Q147" s="2">
        <f>SUM($I$3:I147)</f>
        <v>287</v>
      </c>
    </row>
    <row r="148" spans="1:17" x14ac:dyDescent="0.3">
      <c r="A148" s="7">
        <f t="shared" si="36"/>
        <v>146</v>
      </c>
      <c r="B148" s="2">
        <f t="shared" si="36"/>
        <v>327</v>
      </c>
      <c r="C148" s="2">
        <f t="shared" si="30"/>
        <v>292</v>
      </c>
      <c r="D148" s="2">
        <f t="shared" si="25"/>
        <v>2171</v>
      </c>
      <c r="E148" s="2">
        <v>0.6</v>
      </c>
      <c r="F148" s="2">
        <f t="shared" si="38"/>
        <v>0.99999999999999989</v>
      </c>
      <c r="G148" s="17">
        <f t="shared" si="24"/>
        <v>2.9933333333333333E-2</v>
      </c>
      <c r="H148" s="8">
        <f t="shared" si="31"/>
        <v>35660</v>
      </c>
      <c r="I148" s="9">
        <f t="shared" si="28"/>
        <v>3</v>
      </c>
      <c r="L148" s="2">
        <f t="shared" si="32"/>
        <v>35660</v>
      </c>
      <c r="M148" s="2">
        <f t="shared" si="33"/>
        <v>327</v>
      </c>
      <c r="N148" s="15">
        <f t="shared" si="34"/>
        <v>292</v>
      </c>
      <c r="O148" s="15">
        <f t="shared" si="35"/>
        <v>2171</v>
      </c>
      <c r="P148" s="16">
        <f>SUM($H$3:H148)</f>
        <v>1790670</v>
      </c>
      <c r="Q148" s="2">
        <f>SUM($I$3:I148)</f>
        <v>290</v>
      </c>
    </row>
    <row r="149" spans="1:17" x14ac:dyDescent="0.3">
      <c r="A149" s="7">
        <f t="shared" si="36"/>
        <v>147</v>
      </c>
      <c r="B149" s="2">
        <f t="shared" si="36"/>
        <v>328</v>
      </c>
      <c r="C149" s="2">
        <f t="shared" si="30"/>
        <v>294</v>
      </c>
      <c r="D149" s="2">
        <f t="shared" si="25"/>
        <v>2182</v>
      </c>
      <c r="E149" s="2">
        <v>0.6</v>
      </c>
      <c r="F149" s="2">
        <f t="shared" si="38"/>
        <v>0.99999999999999989</v>
      </c>
      <c r="G149" s="17">
        <f t="shared" si="24"/>
        <v>3.0366666666666667E-2</v>
      </c>
      <c r="H149" s="8">
        <f t="shared" si="31"/>
        <v>36150</v>
      </c>
      <c r="I149" s="9">
        <f t="shared" si="28"/>
        <v>3</v>
      </c>
      <c r="L149" s="2">
        <f t="shared" si="32"/>
        <v>36150</v>
      </c>
      <c r="M149" s="2">
        <f t="shared" si="33"/>
        <v>328</v>
      </c>
      <c r="N149" s="15">
        <f t="shared" si="34"/>
        <v>294</v>
      </c>
      <c r="O149" s="15">
        <f t="shared" si="35"/>
        <v>2182</v>
      </c>
      <c r="P149" s="16">
        <f>SUM($H$3:H149)</f>
        <v>1826820</v>
      </c>
      <c r="Q149" s="2">
        <f>SUM($I$3:I149)</f>
        <v>293</v>
      </c>
    </row>
    <row r="150" spans="1:17" x14ac:dyDescent="0.3">
      <c r="A150" s="7">
        <f t="shared" si="36"/>
        <v>148</v>
      </c>
      <c r="B150" s="2">
        <f t="shared" si="36"/>
        <v>329</v>
      </c>
      <c r="C150" s="2">
        <f t="shared" si="30"/>
        <v>296</v>
      </c>
      <c r="D150" s="2">
        <f t="shared" si="25"/>
        <v>2193</v>
      </c>
      <c r="E150" s="2">
        <v>0.6</v>
      </c>
      <c r="F150" s="2">
        <f t="shared" si="38"/>
        <v>0.99999999999999989</v>
      </c>
      <c r="G150" s="17">
        <f t="shared" si="24"/>
        <v>3.0800000000000001E-2</v>
      </c>
      <c r="H150" s="8">
        <f t="shared" si="31"/>
        <v>36640</v>
      </c>
      <c r="I150" s="9">
        <f t="shared" si="28"/>
        <v>3</v>
      </c>
      <c r="L150" s="2">
        <f t="shared" si="32"/>
        <v>36640</v>
      </c>
      <c r="M150" s="2">
        <f t="shared" si="33"/>
        <v>329</v>
      </c>
      <c r="N150" s="15">
        <f t="shared" si="34"/>
        <v>296</v>
      </c>
      <c r="O150" s="15">
        <f t="shared" si="35"/>
        <v>2193</v>
      </c>
      <c r="P150" s="16">
        <f>SUM($H$3:H150)</f>
        <v>1863460</v>
      </c>
      <c r="Q150" s="2">
        <f>SUM($I$3:I150)</f>
        <v>296</v>
      </c>
    </row>
    <row r="151" spans="1:17" x14ac:dyDescent="0.3">
      <c r="A151" s="7">
        <f t="shared" si="36"/>
        <v>149</v>
      </c>
      <c r="B151" s="2">
        <f t="shared" si="36"/>
        <v>330</v>
      </c>
      <c r="C151" s="2">
        <f t="shared" si="30"/>
        <v>298</v>
      </c>
      <c r="D151" s="2">
        <f t="shared" si="25"/>
        <v>2204</v>
      </c>
      <c r="E151" s="2">
        <v>0.6</v>
      </c>
      <c r="F151" s="2">
        <f t="shared" si="38"/>
        <v>0.99999999999999989</v>
      </c>
      <c r="G151" s="17">
        <f t="shared" si="24"/>
        <v>3.1233333333333335E-2</v>
      </c>
      <c r="H151" s="8">
        <f t="shared" si="31"/>
        <v>37130</v>
      </c>
      <c r="I151" s="9">
        <f t="shared" si="28"/>
        <v>3</v>
      </c>
      <c r="L151" s="2">
        <f t="shared" si="32"/>
        <v>37130</v>
      </c>
      <c r="M151" s="2">
        <f t="shared" si="33"/>
        <v>330</v>
      </c>
      <c r="N151" s="15">
        <f t="shared" si="34"/>
        <v>298</v>
      </c>
      <c r="O151" s="15">
        <f t="shared" si="35"/>
        <v>2204</v>
      </c>
      <c r="P151" s="16">
        <f>SUM($H$3:H151)</f>
        <v>1900590</v>
      </c>
      <c r="Q151" s="2">
        <f>SUM($I$3:I151)</f>
        <v>299</v>
      </c>
    </row>
    <row r="152" spans="1:17" x14ac:dyDescent="0.3">
      <c r="A152" s="7">
        <f t="shared" si="36"/>
        <v>150</v>
      </c>
      <c r="B152" s="2">
        <f t="shared" si="36"/>
        <v>331</v>
      </c>
      <c r="C152" s="2">
        <f t="shared" si="30"/>
        <v>300</v>
      </c>
      <c r="D152" s="2">
        <f t="shared" si="25"/>
        <v>2215</v>
      </c>
      <c r="E152" s="2">
        <v>0.6</v>
      </c>
      <c r="F152" s="2">
        <f t="shared" si="38"/>
        <v>0.99999999999999989</v>
      </c>
      <c r="G152" s="17">
        <f t="shared" si="24"/>
        <v>3.1666666666666669E-2</v>
      </c>
      <c r="H152" s="8">
        <f t="shared" si="31"/>
        <v>37630</v>
      </c>
      <c r="I152" s="9">
        <f t="shared" si="28"/>
        <v>4</v>
      </c>
      <c r="L152" s="2">
        <f t="shared" si="32"/>
        <v>37630</v>
      </c>
      <c r="M152" s="2">
        <f t="shared" si="33"/>
        <v>331</v>
      </c>
      <c r="N152" s="15">
        <f t="shared" si="34"/>
        <v>300</v>
      </c>
      <c r="O152" s="15">
        <f t="shared" si="35"/>
        <v>2215</v>
      </c>
      <c r="P152" s="16">
        <f>SUM($H$3:H152)</f>
        <v>1938220</v>
      </c>
      <c r="Q152" s="2">
        <f>SUM($I$3:I152)</f>
        <v>303</v>
      </c>
    </row>
    <row r="153" spans="1:17" x14ac:dyDescent="0.3">
      <c r="A153" s="7">
        <f t="shared" si="36"/>
        <v>151</v>
      </c>
      <c r="B153" s="2">
        <f t="shared" si="36"/>
        <v>332</v>
      </c>
      <c r="C153" s="2">
        <f t="shared" si="30"/>
        <v>302</v>
      </c>
      <c r="D153" s="2">
        <f t="shared" si="25"/>
        <v>2226</v>
      </c>
      <c r="E153" s="2">
        <v>0.6</v>
      </c>
      <c r="F153" s="2">
        <f t="shared" si="38"/>
        <v>0.99999999999999989</v>
      </c>
      <c r="G153" s="17">
        <f t="shared" si="24"/>
        <v>3.2100000000000004E-2</v>
      </c>
      <c r="H153" s="8">
        <f t="shared" si="31"/>
        <v>38130</v>
      </c>
      <c r="I153" s="9">
        <f t="shared" si="28"/>
        <v>4</v>
      </c>
      <c r="L153" s="2">
        <f t="shared" si="32"/>
        <v>38130</v>
      </c>
      <c r="M153" s="2">
        <f t="shared" si="33"/>
        <v>332</v>
      </c>
      <c r="N153" s="15">
        <f t="shared" si="34"/>
        <v>302</v>
      </c>
      <c r="O153" s="15">
        <f t="shared" si="35"/>
        <v>2226</v>
      </c>
      <c r="P153" s="16">
        <f>SUM($H$3:H153)</f>
        <v>1976350</v>
      </c>
      <c r="Q153" s="2">
        <f>SUM($I$3:I153)</f>
        <v>307</v>
      </c>
    </row>
    <row r="154" spans="1:17" x14ac:dyDescent="0.3">
      <c r="A154" s="7">
        <f t="shared" si="36"/>
        <v>152</v>
      </c>
      <c r="B154" s="2">
        <f t="shared" si="36"/>
        <v>333</v>
      </c>
      <c r="C154" s="2">
        <f t="shared" si="30"/>
        <v>304</v>
      </c>
      <c r="D154" s="2">
        <f t="shared" si="25"/>
        <v>2237</v>
      </c>
      <c r="E154" s="2">
        <v>0.6</v>
      </c>
      <c r="F154" s="2">
        <f t="shared" si="38"/>
        <v>0.99999999999999989</v>
      </c>
      <c r="G154" s="17">
        <f t="shared" si="24"/>
        <v>3.2533333333333338E-2</v>
      </c>
      <c r="H154" s="8">
        <f t="shared" si="31"/>
        <v>38630</v>
      </c>
      <c r="I154" s="9">
        <f t="shared" si="28"/>
        <v>4</v>
      </c>
      <c r="L154" s="2">
        <f t="shared" si="32"/>
        <v>38630</v>
      </c>
      <c r="M154" s="2">
        <f t="shared" si="33"/>
        <v>333</v>
      </c>
      <c r="N154" s="15">
        <f t="shared" si="34"/>
        <v>304</v>
      </c>
      <c r="O154" s="15">
        <f t="shared" si="35"/>
        <v>2237</v>
      </c>
      <c r="P154" s="16">
        <f>SUM($H$3:H154)</f>
        <v>2014980</v>
      </c>
      <c r="Q154" s="2">
        <f>SUM($I$3:I154)</f>
        <v>311</v>
      </c>
    </row>
    <row r="155" spans="1:17" x14ac:dyDescent="0.3">
      <c r="A155" s="7">
        <f t="shared" si="36"/>
        <v>153</v>
      </c>
      <c r="B155" s="2">
        <f t="shared" si="36"/>
        <v>334</v>
      </c>
      <c r="C155" s="2">
        <f t="shared" si="30"/>
        <v>306</v>
      </c>
      <c r="D155" s="2">
        <f t="shared" si="25"/>
        <v>2248</v>
      </c>
      <c r="E155" s="2">
        <v>0.6</v>
      </c>
      <c r="F155" s="2">
        <f t="shared" si="38"/>
        <v>0.99999999999999989</v>
      </c>
      <c r="G155" s="17">
        <f t="shared" si="24"/>
        <v>3.2966666666666672E-2</v>
      </c>
      <c r="H155" s="8">
        <f t="shared" si="31"/>
        <v>39140</v>
      </c>
      <c r="I155" s="9">
        <f t="shared" si="28"/>
        <v>4</v>
      </c>
      <c r="L155" s="2">
        <f t="shared" si="32"/>
        <v>39140</v>
      </c>
      <c r="M155" s="2">
        <f t="shared" si="33"/>
        <v>334</v>
      </c>
      <c r="N155" s="15">
        <f t="shared" si="34"/>
        <v>306</v>
      </c>
      <c r="O155" s="15">
        <f t="shared" si="35"/>
        <v>2248</v>
      </c>
      <c r="P155" s="16">
        <f>SUM($H$3:H155)</f>
        <v>2054120</v>
      </c>
      <c r="Q155" s="2">
        <f>SUM($I$3:I155)</f>
        <v>315</v>
      </c>
    </row>
    <row r="156" spans="1:17" x14ac:dyDescent="0.3">
      <c r="A156" s="7">
        <f t="shared" si="36"/>
        <v>154</v>
      </c>
      <c r="B156" s="2">
        <f t="shared" si="36"/>
        <v>335</v>
      </c>
      <c r="C156" s="2">
        <f t="shared" si="30"/>
        <v>308</v>
      </c>
      <c r="D156" s="2">
        <f t="shared" si="25"/>
        <v>2259</v>
      </c>
      <c r="E156" s="2">
        <v>0.6</v>
      </c>
      <c r="F156" s="2">
        <f t="shared" si="38"/>
        <v>0.99999999999999989</v>
      </c>
      <c r="G156" s="17">
        <f t="shared" si="24"/>
        <v>3.3400000000000006E-2</v>
      </c>
      <c r="H156" s="8">
        <f t="shared" si="31"/>
        <v>39650</v>
      </c>
      <c r="I156" s="9">
        <f t="shared" si="28"/>
        <v>4</v>
      </c>
      <c r="L156" s="2">
        <f t="shared" si="32"/>
        <v>39650</v>
      </c>
      <c r="M156" s="2">
        <f t="shared" si="33"/>
        <v>335</v>
      </c>
      <c r="N156" s="15">
        <f t="shared" si="34"/>
        <v>308</v>
      </c>
      <c r="O156" s="15">
        <f t="shared" si="35"/>
        <v>2259</v>
      </c>
      <c r="P156" s="16">
        <f>SUM($H$3:H156)</f>
        <v>2093770</v>
      </c>
      <c r="Q156" s="2">
        <f>SUM($I$3:I156)</f>
        <v>319</v>
      </c>
    </row>
    <row r="157" spans="1:17" x14ac:dyDescent="0.3">
      <c r="A157" s="7">
        <f t="shared" si="36"/>
        <v>155</v>
      </c>
      <c r="B157" s="2">
        <f t="shared" si="36"/>
        <v>336</v>
      </c>
      <c r="C157" s="2">
        <f t="shared" si="30"/>
        <v>310</v>
      </c>
      <c r="D157" s="2">
        <f t="shared" si="25"/>
        <v>2270</v>
      </c>
      <c r="E157" s="2">
        <v>0.6</v>
      </c>
      <c r="F157" s="2">
        <f t="shared" si="38"/>
        <v>0.99999999999999989</v>
      </c>
      <c r="G157" s="17">
        <f t="shared" si="24"/>
        <v>3.3833333333333333E-2</v>
      </c>
      <c r="H157" s="8">
        <f t="shared" si="31"/>
        <v>40160</v>
      </c>
      <c r="I157" s="9">
        <f t="shared" si="28"/>
        <v>4</v>
      </c>
      <c r="L157" s="2">
        <f t="shared" si="32"/>
        <v>40160</v>
      </c>
      <c r="M157" s="2">
        <f t="shared" si="33"/>
        <v>336</v>
      </c>
      <c r="N157" s="15">
        <f t="shared" si="34"/>
        <v>310</v>
      </c>
      <c r="O157" s="15">
        <f t="shared" si="35"/>
        <v>2270</v>
      </c>
      <c r="P157" s="16">
        <f>SUM($H$3:H157)</f>
        <v>2133930</v>
      </c>
      <c r="Q157" s="2">
        <f>SUM($I$3:I157)</f>
        <v>323</v>
      </c>
    </row>
    <row r="158" spans="1:17" x14ac:dyDescent="0.3">
      <c r="A158" s="7">
        <f t="shared" si="36"/>
        <v>156</v>
      </c>
      <c r="B158" s="2">
        <f t="shared" si="36"/>
        <v>337</v>
      </c>
      <c r="C158" s="2">
        <f t="shared" si="30"/>
        <v>312</v>
      </c>
      <c r="D158" s="2">
        <f t="shared" si="25"/>
        <v>2281</v>
      </c>
      <c r="E158" s="2">
        <v>0.6</v>
      </c>
      <c r="F158" s="2">
        <f t="shared" si="38"/>
        <v>0.99999999999999989</v>
      </c>
      <c r="G158" s="17">
        <f t="shared" si="24"/>
        <v>3.4266666666666667E-2</v>
      </c>
      <c r="H158" s="8">
        <f t="shared" si="31"/>
        <v>40680</v>
      </c>
      <c r="I158" s="9">
        <f t="shared" si="28"/>
        <v>4</v>
      </c>
      <c r="L158" s="2">
        <f t="shared" si="32"/>
        <v>40680</v>
      </c>
      <c r="M158" s="2">
        <f t="shared" si="33"/>
        <v>337</v>
      </c>
      <c r="N158" s="15">
        <f t="shared" si="34"/>
        <v>312</v>
      </c>
      <c r="O158" s="15">
        <f t="shared" si="35"/>
        <v>2281</v>
      </c>
      <c r="P158" s="16">
        <f>SUM($H$3:H158)</f>
        <v>2174610</v>
      </c>
      <c r="Q158" s="2">
        <f>SUM($I$3:I158)</f>
        <v>327</v>
      </c>
    </row>
    <row r="159" spans="1:17" x14ac:dyDescent="0.3">
      <c r="A159" s="7">
        <f t="shared" si="36"/>
        <v>157</v>
      </c>
      <c r="B159" s="2">
        <f t="shared" si="36"/>
        <v>338</v>
      </c>
      <c r="C159" s="2">
        <f t="shared" si="30"/>
        <v>314</v>
      </c>
      <c r="D159" s="2">
        <f t="shared" si="25"/>
        <v>2292</v>
      </c>
      <c r="E159" s="2">
        <v>0.6</v>
      </c>
      <c r="F159" s="2">
        <f t="shared" si="38"/>
        <v>0.99999999999999989</v>
      </c>
      <c r="G159" s="17">
        <f t="shared" si="24"/>
        <v>3.4700000000000002E-2</v>
      </c>
      <c r="H159" s="8">
        <f t="shared" si="31"/>
        <v>41200</v>
      </c>
      <c r="I159" s="9">
        <f t="shared" si="28"/>
        <v>4</v>
      </c>
      <c r="L159" s="2">
        <f t="shared" si="32"/>
        <v>41200</v>
      </c>
      <c r="M159" s="2">
        <f t="shared" si="33"/>
        <v>338</v>
      </c>
      <c r="N159" s="15">
        <f t="shared" si="34"/>
        <v>314</v>
      </c>
      <c r="O159" s="15">
        <f t="shared" si="35"/>
        <v>2292</v>
      </c>
      <c r="P159" s="16">
        <f>SUM($H$3:H159)</f>
        <v>2215810</v>
      </c>
      <c r="Q159" s="2">
        <f>SUM($I$3:I159)</f>
        <v>331</v>
      </c>
    </row>
    <row r="160" spans="1:17" x14ac:dyDescent="0.3">
      <c r="A160" s="7">
        <f t="shared" si="36"/>
        <v>158</v>
      </c>
      <c r="B160" s="2">
        <f t="shared" si="36"/>
        <v>339</v>
      </c>
      <c r="C160" s="2">
        <f t="shared" si="30"/>
        <v>316</v>
      </c>
      <c r="D160" s="2">
        <f t="shared" si="25"/>
        <v>2303</v>
      </c>
      <c r="E160" s="2">
        <v>0.6</v>
      </c>
      <c r="F160" s="2">
        <f t="shared" si="38"/>
        <v>0.99999999999999989</v>
      </c>
      <c r="G160" s="17">
        <f t="shared" si="24"/>
        <v>3.5133333333333336E-2</v>
      </c>
      <c r="H160" s="8">
        <f t="shared" si="31"/>
        <v>41720</v>
      </c>
      <c r="I160" s="9">
        <f t="shared" si="28"/>
        <v>4</v>
      </c>
      <c r="L160" s="2">
        <f t="shared" si="32"/>
        <v>41720</v>
      </c>
      <c r="M160" s="2">
        <f t="shared" si="33"/>
        <v>339</v>
      </c>
      <c r="N160" s="15">
        <f t="shared" si="34"/>
        <v>316</v>
      </c>
      <c r="O160" s="15">
        <f t="shared" si="35"/>
        <v>2303</v>
      </c>
      <c r="P160" s="16">
        <f>SUM($H$3:H160)</f>
        <v>2257530</v>
      </c>
      <c r="Q160" s="2">
        <f>SUM($I$3:I160)</f>
        <v>335</v>
      </c>
    </row>
    <row r="161" spans="1:17" x14ac:dyDescent="0.3">
      <c r="A161" s="7">
        <f t="shared" si="36"/>
        <v>159</v>
      </c>
      <c r="B161" s="2">
        <f t="shared" si="36"/>
        <v>340</v>
      </c>
      <c r="C161" s="2">
        <f t="shared" si="30"/>
        <v>318</v>
      </c>
      <c r="D161" s="2">
        <f t="shared" si="25"/>
        <v>2314</v>
      </c>
      <c r="E161" s="2">
        <v>0.6</v>
      </c>
      <c r="F161" s="2">
        <f t="shared" si="38"/>
        <v>0.99999999999999989</v>
      </c>
      <c r="G161" s="17">
        <f t="shared" si="24"/>
        <v>3.556666666666667E-2</v>
      </c>
      <c r="H161" s="8">
        <f t="shared" si="31"/>
        <v>42250</v>
      </c>
      <c r="I161" s="9">
        <f t="shared" si="28"/>
        <v>4</v>
      </c>
      <c r="L161" s="2">
        <f t="shared" si="32"/>
        <v>42250</v>
      </c>
      <c r="M161" s="2">
        <f t="shared" si="33"/>
        <v>340</v>
      </c>
      <c r="N161" s="15">
        <f t="shared" si="34"/>
        <v>318</v>
      </c>
      <c r="O161" s="15">
        <f t="shared" si="35"/>
        <v>2314</v>
      </c>
      <c r="P161" s="16">
        <f>SUM($H$3:H161)</f>
        <v>2299780</v>
      </c>
      <c r="Q161" s="2">
        <f>SUM($I$3:I161)</f>
        <v>339</v>
      </c>
    </row>
    <row r="162" spans="1:17" x14ac:dyDescent="0.3">
      <c r="A162" s="7">
        <f t="shared" si="36"/>
        <v>160</v>
      </c>
      <c r="B162" s="2">
        <f t="shared" si="36"/>
        <v>341</v>
      </c>
      <c r="C162" s="2">
        <f t="shared" si="30"/>
        <v>320</v>
      </c>
      <c r="D162" s="2">
        <f t="shared" si="25"/>
        <v>2325</v>
      </c>
      <c r="E162" s="2">
        <v>0.6</v>
      </c>
      <c r="F162" s="2">
        <f t="shared" si="38"/>
        <v>1.0999999999999999</v>
      </c>
      <c r="G162" s="17">
        <f t="shared" si="24"/>
        <v>3.6000000000000004E-2</v>
      </c>
      <c r="H162" s="8">
        <f t="shared" si="31"/>
        <v>42780</v>
      </c>
      <c r="I162" s="9">
        <f t="shared" si="28"/>
        <v>4</v>
      </c>
      <c r="L162" s="2">
        <f t="shared" si="32"/>
        <v>42780</v>
      </c>
      <c r="M162" s="2">
        <f t="shared" si="33"/>
        <v>341</v>
      </c>
      <c r="N162" s="15">
        <f t="shared" si="34"/>
        <v>320</v>
      </c>
      <c r="O162" s="15">
        <f t="shared" si="35"/>
        <v>2325</v>
      </c>
      <c r="P162" s="16">
        <f>SUM($H$3:H162)</f>
        <v>2342560</v>
      </c>
      <c r="Q162" s="2">
        <f>SUM($I$3:I162)</f>
        <v>343</v>
      </c>
    </row>
    <row r="163" spans="1:17" x14ac:dyDescent="0.3">
      <c r="A163" s="7">
        <f t="shared" si="36"/>
        <v>161</v>
      </c>
      <c r="B163" s="2">
        <f>B162+5</f>
        <v>346</v>
      </c>
      <c r="C163" s="2">
        <f t="shared" si="30"/>
        <v>322</v>
      </c>
      <c r="D163" s="2">
        <f t="shared" si="25"/>
        <v>2336</v>
      </c>
      <c r="E163" s="2">
        <v>0.6</v>
      </c>
      <c r="F163" s="2">
        <f t="shared" si="38"/>
        <v>1.0999999999999999</v>
      </c>
      <c r="G163" s="17">
        <f t="shared" si="24"/>
        <v>3.6433333333333331E-2</v>
      </c>
      <c r="H163" s="8">
        <f t="shared" si="31"/>
        <v>43310</v>
      </c>
      <c r="I163" s="9">
        <f t="shared" si="28"/>
        <v>4</v>
      </c>
      <c r="L163" s="2">
        <f t="shared" si="32"/>
        <v>43310</v>
      </c>
      <c r="M163" s="2">
        <f t="shared" si="33"/>
        <v>346</v>
      </c>
      <c r="N163" s="15">
        <f t="shared" si="34"/>
        <v>322</v>
      </c>
      <c r="O163" s="15">
        <f t="shared" si="35"/>
        <v>2336</v>
      </c>
      <c r="P163" s="16">
        <f>SUM($H$3:H163)</f>
        <v>2385870</v>
      </c>
      <c r="Q163" s="2">
        <f>SUM($I$3:I163)</f>
        <v>347</v>
      </c>
    </row>
    <row r="164" spans="1:17" x14ac:dyDescent="0.3">
      <c r="A164" s="7">
        <f t="shared" si="36"/>
        <v>162</v>
      </c>
      <c r="B164" s="2">
        <f t="shared" ref="B164:B171" si="39">B163+5</f>
        <v>351</v>
      </c>
      <c r="C164" s="2">
        <f t="shared" si="30"/>
        <v>324</v>
      </c>
      <c r="D164" s="2">
        <f t="shared" si="25"/>
        <v>2347</v>
      </c>
      <c r="E164" s="2">
        <v>0.6</v>
      </c>
      <c r="F164" s="2">
        <f t="shared" si="38"/>
        <v>1.0999999999999999</v>
      </c>
      <c r="G164" s="17">
        <f t="shared" si="24"/>
        <v>3.6866666666666666E-2</v>
      </c>
      <c r="H164" s="8">
        <f t="shared" si="31"/>
        <v>43850</v>
      </c>
      <c r="I164" s="9">
        <f t="shared" si="28"/>
        <v>4</v>
      </c>
      <c r="L164" s="2">
        <f t="shared" si="32"/>
        <v>43850</v>
      </c>
      <c r="M164" s="2">
        <f t="shared" si="33"/>
        <v>351</v>
      </c>
      <c r="N164" s="15">
        <f t="shared" si="34"/>
        <v>324</v>
      </c>
      <c r="O164" s="15">
        <f t="shared" si="35"/>
        <v>2347</v>
      </c>
      <c r="P164" s="16">
        <f>SUM($H$3:H164)</f>
        <v>2429720</v>
      </c>
      <c r="Q164" s="2">
        <f>SUM($I$3:I164)</f>
        <v>351</v>
      </c>
    </row>
    <row r="165" spans="1:17" x14ac:dyDescent="0.3">
      <c r="A165" s="7">
        <f t="shared" si="36"/>
        <v>163</v>
      </c>
      <c r="B165" s="2">
        <f t="shared" si="39"/>
        <v>356</v>
      </c>
      <c r="C165" s="2">
        <f t="shared" si="30"/>
        <v>326</v>
      </c>
      <c r="D165" s="2">
        <f t="shared" si="25"/>
        <v>2358</v>
      </c>
      <c r="E165" s="2">
        <v>0.6</v>
      </c>
      <c r="F165" s="2">
        <f t="shared" si="38"/>
        <v>1.0999999999999999</v>
      </c>
      <c r="G165" s="17">
        <f t="shared" si="24"/>
        <v>3.73E-2</v>
      </c>
      <c r="H165" s="8">
        <f t="shared" si="31"/>
        <v>44390</v>
      </c>
      <c r="I165" s="9">
        <f t="shared" si="28"/>
        <v>4</v>
      </c>
      <c r="L165" s="2">
        <f t="shared" si="32"/>
        <v>44390</v>
      </c>
      <c r="M165" s="2">
        <f t="shared" si="33"/>
        <v>356</v>
      </c>
      <c r="N165" s="15">
        <f t="shared" si="34"/>
        <v>326</v>
      </c>
      <c r="O165" s="15">
        <f t="shared" si="35"/>
        <v>2358</v>
      </c>
      <c r="P165" s="16">
        <f>SUM($H$3:H165)</f>
        <v>2474110</v>
      </c>
      <c r="Q165" s="2">
        <f>SUM($I$3:I165)</f>
        <v>355</v>
      </c>
    </row>
    <row r="166" spans="1:17" x14ac:dyDescent="0.3">
      <c r="A166" s="7">
        <f t="shared" si="36"/>
        <v>164</v>
      </c>
      <c r="B166" s="2">
        <f t="shared" si="39"/>
        <v>361</v>
      </c>
      <c r="C166" s="2">
        <f t="shared" si="30"/>
        <v>328</v>
      </c>
      <c r="D166" s="2">
        <f t="shared" si="25"/>
        <v>2369</v>
      </c>
      <c r="E166" s="2">
        <v>0.6</v>
      </c>
      <c r="F166" s="2">
        <f t="shared" si="38"/>
        <v>1.0999999999999999</v>
      </c>
      <c r="G166" s="17">
        <f t="shared" si="24"/>
        <v>3.7733333333333334E-2</v>
      </c>
      <c r="H166" s="8">
        <f t="shared" si="31"/>
        <v>44930</v>
      </c>
      <c r="I166" s="9">
        <f t="shared" si="28"/>
        <v>4</v>
      </c>
      <c r="L166" s="2">
        <f t="shared" si="32"/>
        <v>44930</v>
      </c>
      <c r="M166" s="2">
        <f t="shared" si="33"/>
        <v>361</v>
      </c>
      <c r="N166" s="15">
        <f t="shared" si="34"/>
        <v>328</v>
      </c>
      <c r="O166" s="15">
        <f t="shared" si="35"/>
        <v>2369</v>
      </c>
      <c r="P166" s="16">
        <f>SUM($H$3:H166)</f>
        <v>2519040</v>
      </c>
      <c r="Q166" s="2">
        <f>SUM($I$3:I166)</f>
        <v>359</v>
      </c>
    </row>
    <row r="167" spans="1:17" x14ac:dyDescent="0.3">
      <c r="A167" s="7">
        <f t="shared" si="36"/>
        <v>165</v>
      </c>
      <c r="B167" s="2">
        <f t="shared" si="39"/>
        <v>366</v>
      </c>
      <c r="C167" s="2">
        <f t="shared" si="30"/>
        <v>330</v>
      </c>
      <c r="D167" s="2">
        <f t="shared" si="25"/>
        <v>2380</v>
      </c>
      <c r="E167" s="2">
        <v>0.6</v>
      </c>
      <c r="F167" s="2">
        <f t="shared" si="38"/>
        <v>1.0999999999999999</v>
      </c>
      <c r="G167" s="17">
        <f t="shared" ref="G167:G230" si="40">0.01 + (A167-100)*(0.4-0.01)/(1000-100)</f>
        <v>3.8166666666666668E-2</v>
      </c>
      <c r="H167" s="8">
        <f t="shared" si="31"/>
        <v>45480</v>
      </c>
      <c r="I167" s="9">
        <f t="shared" si="28"/>
        <v>4</v>
      </c>
      <c r="L167" s="2">
        <f t="shared" si="32"/>
        <v>45480</v>
      </c>
      <c r="M167" s="2">
        <f t="shared" si="33"/>
        <v>366</v>
      </c>
      <c r="N167" s="15">
        <f t="shared" si="34"/>
        <v>330</v>
      </c>
      <c r="O167" s="15">
        <f t="shared" si="35"/>
        <v>2380</v>
      </c>
      <c r="P167" s="16">
        <f>SUM($H$3:H167)</f>
        <v>2564520</v>
      </c>
      <c r="Q167" s="2">
        <f>SUM($I$3:I167)</f>
        <v>363</v>
      </c>
    </row>
    <row r="168" spans="1:17" x14ac:dyDescent="0.3">
      <c r="A168" s="7">
        <f t="shared" si="36"/>
        <v>166</v>
      </c>
      <c r="B168" s="2">
        <f t="shared" si="39"/>
        <v>371</v>
      </c>
      <c r="C168" s="2">
        <f t="shared" si="30"/>
        <v>332</v>
      </c>
      <c r="D168" s="2">
        <f t="shared" ref="D168:D202" si="41">D167+11</f>
        <v>2391</v>
      </c>
      <c r="E168" s="2">
        <v>0.6</v>
      </c>
      <c r="F168" s="2">
        <f t="shared" si="38"/>
        <v>1.0999999999999999</v>
      </c>
      <c r="G168" s="17">
        <f t="shared" si="40"/>
        <v>3.8600000000000002E-2</v>
      </c>
      <c r="H168" s="8">
        <f t="shared" si="31"/>
        <v>46030</v>
      </c>
      <c r="I168" s="9">
        <f t="shared" si="28"/>
        <v>4</v>
      </c>
      <c r="L168" s="2">
        <f t="shared" si="32"/>
        <v>46030</v>
      </c>
      <c r="M168" s="2">
        <f t="shared" si="33"/>
        <v>371</v>
      </c>
      <c r="N168" s="15">
        <f t="shared" si="34"/>
        <v>332</v>
      </c>
      <c r="O168" s="15">
        <f t="shared" si="35"/>
        <v>2391</v>
      </c>
      <c r="P168" s="16">
        <f>SUM($H$3:H168)</f>
        <v>2610550</v>
      </c>
      <c r="Q168" s="2">
        <f>SUM($I$3:I168)</f>
        <v>367</v>
      </c>
    </row>
    <row r="169" spans="1:17" x14ac:dyDescent="0.3">
      <c r="A169" s="7">
        <f t="shared" si="36"/>
        <v>167</v>
      </c>
      <c r="B169" s="2">
        <f t="shared" si="39"/>
        <v>376</v>
      </c>
      <c r="C169" s="2">
        <f t="shared" si="30"/>
        <v>334</v>
      </c>
      <c r="D169" s="2">
        <f t="shared" si="41"/>
        <v>2402</v>
      </c>
      <c r="E169" s="2">
        <v>0.6</v>
      </c>
      <c r="F169" s="2">
        <f t="shared" si="38"/>
        <v>1.0999999999999999</v>
      </c>
      <c r="G169" s="17">
        <f t="shared" si="40"/>
        <v>3.9033333333333337E-2</v>
      </c>
      <c r="H169" s="8">
        <f t="shared" si="31"/>
        <v>46590</v>
      </c>
      <c r="I169" s="9">
        <f t="shared" si="28"/>
        <v>4</v>
      </c>
      <c r="L169" s="2">
        <f t="shared" si="32"/>
        <v>46590</v>
      </c>
      <c r="M169" s="2">
        <f t="shared" si="33"/>
        <v>376</v>
      </c>
      <c r="N169" s="15">
        <f t="shared" si="34"/>
        <v>334</v>
      </c>
      <c r="O169" s="15">
        <f t="shared" si="35"/>
        <v>2402</v>
      </c>
      <c r="P169" s="16">
        <f>SUM($H$3:H169)</f>
        <v>2657140</v>
      </c>
      <c r="Q169" s="2">
        <f>SUM($I$3:I169)</f>
        <v>371</v>
      </c>
    </row>
    <row r="170" spans="1:17" x14ac:dyDescent="0.3">
      <c r="A170" s="7">
        <f t="shared" si="36"/>
        <v>168</v>
      </c>
      <c r="B170" s="2">
        <f t="shared" si="39"/>
        <v>381</v>
      </c>
      <c r="C170" s="2">
        <f t="shared" si="30"/>
        <v>336</v>
      </c>
      <c r="D170" s="2">
        <f t="shared" si="41"/>
        <v>2413</v>
      </c>
      <c r="E170" s="2">
        <v>0.6</v>
      </c>
      <c r="F170" s="2">
        <f t="shared" si="38"/>
        <v>1.0999999999999999</v>
      </c>
      <c r="G170" s="17">
        <f t="shared" si="40"/>
        <v>3.9466666666666664E-2</v>
      </c>
      <c r="H170" s="8">
        <f t="shared" si="31"/>
        <v>47140</v>
      </c>
      <c r="I170" s="9">
        <f t="shared" si="28"/>
        <v>4</v>
      </c>
      <c r="L170" s="2">
        <f t="shared" si="32"/>
        <v>47140</v>
      </c>
      <c r="M170" s="2">
        <f t="shared" si="33"/>
        <v>381</v>
      </c>
      <c r="N170" s="15">
        <f t="shared" si="34"/>
        <v>336</v>
      </c>
      <c r="O170" s="15">
        <f t="shared" si="35"/>
        <v>2413</v>
      </c>
      <c r="P170" s="16">
        <f>SUM($H$3:H170)</f>
        <v>2704280</v>
      </c>
      <c r="Q170" s="2">
        <f>SUM($I$3:I170)</f>
        <v>375</v>
      </c>
    </row>
    <row r="171" spans="1:17" x14ac:dyDescent="0.3">
      <c r="A171" s="7">
        <f t="shared" si="36"/>
        <v>169</v>
      </c>
      <c r="B171" s="2">
        <f t="shared" si="39"/>
        <v>386</v>
      </c>
      <c r="C171" s="2">
        <f t="shared" si="30"/>
        <v>338</v>
      </c>
      <c r="D171" s="2">
        <f t="shared" si="41"/>
        <v>2424</v>
      </c>
      <c r="E171" s="2">
        <v>0.6</v>
      </c>
      <c r="F171" s="2">
        <f t="shared" si="38"/>
        <v>1.0999999999999999</v>
      </c>
      <c r="G171" s="17">
        <f t="shared" si="40"/>
        <v>3.9899999999999998E-2</v>
      </c>
      <c r="H171" s="8">
        <f t="shared" si="31"/>
        <v>47700</v>
      </c>
      <c r="I171" s="9">
        <f t="shared" si="28"/>
        <v>4</v>
      </c>
      <c r="L171" s="2">
        <f t="shared" si="32"/>
        <v>47700</v>
      </c>
      <c r="M171" s="2">
        <f t="shared" si="33"/>
        <v>386</v>
      </c>
      <c r="N171" s="15">
        <f t="shared" si="34"/>
        <v>338</v>
      </c>
      <c r="O171" s="15">
        <f t="shared" si="35"/>
        <v>2424</v>
      </c>
      <c r="P171" s="16">
        <f>SUM($H$3:H171)</f>
        <v>2751980</v>
      </c>
      <c r="Q171" s="2">
        <f>SUM($I$3:I171)</f>
        <v>379</v>
      </c>
    </row>
    <row r="172" spans="1:17" x14ac:dyDescent="0.3">
      <c r="A172" s="7">
        <f t="shared" si="36"/>
        <v>170</v>
      </c>
      <c r="B172" s="2">
        <f>B171+4</f>
        <v>390</v>
      </c>
      <c r="C172" s="2">
        <f t="shared" si="30"/>
        <v>340</v>
      </c>
      <c r="D172" s="2">
        <f t="shared" si="41"/>
        <v>2435</v>
      </c>
      <c r="E172" s="2">
        <v>0.6</v>
      </c>
      <c r="F172" s="2">
        <f t="shared" si="38"/>
        <v>1.0999999999999999</v>
      </c>
      <c r="G172" s="17">
        <f t="shared" si="40"/>
        <v>4.0333333333333332E-2</v>
      </c>
      <c r="H172" s="8">
        <f t="shared" si="31"/>
        <v>48270</v>
      </c>
      <c r="I172" s="9">
        <f t="shared" si="28"/>
        <v>4</v>
      </c>
      <c r="L172" s="2">
        <f t="shared" si="32"/>
        <v>48270</v>
      </c>
      <c r="M172" s="2">
        <f t="shared" si="33"/>
        <v>390</v>
      </c>
      <c r="N172" s="15">
        <f t="shared" si="34"/>
        <v>340</v>
      </c>
      <c r="O172" s="15">
        <f t="shared" si="35"/>
        <v>2435</v>
      </c>
      <c r="P172" s="16">
        <f>SUM($H$3:H172)</f>
        <v>2800250</v>
      </c>
      <c r="Q172" s="2">
        <f>SUM($I$3:I172)</f>
        <v>383</v>
      </c>
    </row>
    <row r="173" spans="1:17" x14ac:dyDescent="0.3">
      <c r="A173" s="7">
        <f t="shared" si="36"/>
        <v>171</v>
      </c>
      <c r="B173" s="2">
        <f t="shared" ref="B173:B181" si="42">B172+4</f>
        <v>394</v>
      </c>
      <c r="C173" s="2">
        <f t="shared" si="30"/>
        <v>342</v>
      </c>
      <c r="D173" s="2">
        <f t="shared" si="41"/>
        <v>2446</v>
      </c>
      <c r="E173" s="2">
        <v>0.6</v>
      </c>
      <c r="F173" s="2">
        <f t="shared" si="38"/>
        <v>1.0999999999999999</v>
      </c>
      <c r="G173" s="17">
        <f t="shared" si="40"/>
        <v>4.0766666666666666E-2</v>
      </c>
      <c r="H173" s="8">
        <f t="shared" si="31"/>
        <v>48830</v>
      </c>
      <c r="I173" s="9">
        <f t="shared" si="28"/>
        <v>4</v>
      </c>
      <c r="L173" s="2">
        <f t="shared" si="32"/>
        <v>48830</v>
      </c>
      <c r="M173" s="2">
        <f t="shared" si="33"/>
        <v>394</v>
      </c>
      <c r="N173" s="15">
        <f t="shared" si="34"/>
        <v>342</v>
      </c>
      <c r="O173" s="15">
        <f t="shared" si="35"/>
        <v>2446</v>
      </c>
      <c r="P173" s="16">
        <f>SUM($H$3:H173)</f>
        <v>2849080</v>
      </c>
      <c r="Q173" s="2">
        <f>SUM($I$3:I173)</f>
        <v>387</v>
      </c>
    </row>
    <row r="174" spans="1:17" x14ac:dyDescent="0.3">
      <c r="A174" s="7">
        <f t="shared" si="36"/>
        <v>172</v>
      </c>
      <c r="B174" s="2">
        <f t="shared" si="42"/>
        <v>398</v>
      </c>
      <c r="C174" s="2">
        <f t="shared" si="30"/>
        <v>344</v>
      </c>
      <c r="D174" s="2">
        <f t="shared" si="41"/>
        <v>2457</v>
      </c>
      <c r="E174" s="2">
        <v>0.6</v>
      </c>
      <c r="F174" s="2">
        <f t="shared" si="38"/>
        <v>1.0999999999999999</v>
      </c>
      <c r="G174" s="17">
        <f t="shared" si="40"/>
        <v>4.1200000000000001E-2</v>
      </c>
      <c r="H174" s="8">
        <f t="shared" si="31"/>
        <v>49400</v>
      </c>
      <c r="I174" s="9">
        <f t="shared" si="28"/>
        <v>4</v>
      </c>
      <c r="L174" s="2">
        <f t="shared" si="32"/>
        <v>49400</v>
      </c>
      <c r="M174" s="2">
        <f t="shared" si="33"/>
        <v>398</v>
      </c>
      <c r="N174" s="15">
        <f t="shared" si="34"/>
        <v>344</v>
      </c>
      <c r="O174" s="15">
        <f t="shared" si="35"/>
        <v>2457</v>
      </c>
      <c r="P174" s="16">
        <f>SUM($H$3:H174)</f>
        <v>2898480</v>
      </c>
      <c r="Q174" s="2">
        <f>SUM($I$3:I174)</f>
        <v>391</v>
      </c>
    </row>
    <row r="175" spans="1:17" x14ac:dyDescent="0.3">
      <c r="A175" s="7">
        <f t="shared" si="36"/>
        <v>173</v>
      </c>
      <c r="B175" s="2">
        <f t="shared" si="42"/>
        <v>402</v>
      </c>
      <c r="C175" s="2">
        <f t="shared" si="30"/>
        <v>346</v>
      </c>
      <c r="D175" s="2">
        <f t="shared" si="41"/>
        <v>2468</v>
      </c>
      <c r="E175" s="2">
        <v>0.6</v>
      </c>
      <c r="F175" s="2">
        <f t="shared" si="38"/>
        <v>1.0999999999999999</v>
      </c>
      <c r="G175" s="17">
        <f t="shared" si="40"/>
        <v>4.1633333333333335E-2</v>
      </c>
      <c r="H175" s="8">
        <f t="shared" si="31"/>
        <v>49980</v>
      </c>
      <c r="I175" s="9">
        <f t="shared" si="28"/>
        <v>4</v>
      </c>
      <c r="L175" s="2">
        <f t="shared" si="32"/>
        <v>49980</v>
      </c>
      <c r="M175" s="2">
        <f t="shared" si="33"/>
        <v>402</v>
      </c>
      <c r="N175" s="15">
        <f t="shared" si="34"/>
        <v>346</v>
      </c>
      <c r="O175" s="15">
        <f t="shared" si="35"/>
        <v>2468</v>
      </c>
      <c r="P175" s="16">
        <f>SUM($H$3:H175)</f>
        <v>2948460</v>
      </c>
      <c r="Q175" s="2">
        <f>SUM($I$3:I175)</f>
        <v>395</v>
      </c>
    </row>
    <row r="176" spans="1:17" x14ac:dyDescent="0.3">
      <c r="A176" s="7">
        <f t="shared" si="36"/>
        <v>174</v>
      </c>
      <c r="B176" s="2">
        <f t="shared" si="42"/>
        <v>406</v>
      </c>
      <c r="C176" s="2">
        <f t="shared" si="30"/>
        <v>348</v>
      </c>
      <c r="D176" s="2">
        <f t="shared" si="41"/>
        <v>2479</v>
      </c>
      <c r="E176" s="2">
        <v>0.6</v>
      </c>
      <c r="F176" s="2">
        <f t="shared" si="38"/>
        <v>1.0999999999999999</v>
      </c>
      <c r="G176" s="17">
        <f t="shared" si="40"/>
        <v>4.2066666666666669E-2</v>
      </c>
      <c r="H176" s="8">
        <f t="shared" si="31"/>
        <v>50550</v>
      </c>
      <c r="I176" s="9">
        <f t="shared" si="28"/>
        <v>4</v>
      </c>
      <c r="L176" s="2">
        <f t="shared" si="32"/>
        <v>50550</v>
      </c>
      <c r="M176" s="2">
        <f t="shared" si="33"/>
        <v>406</v>
      </c>
      <c r="N176" s="15">
        <f t="shared" si="34"/>
        <v>348</v>
      </c>
      <c r="O176" s="15">
        <f t="shared" si="35"/>
        <v>2479</v>
      </c>
      <c r="P176" s="16">
        <f>SUM($H$3:H176)</f>
        <v>2999010</v>
      </c>
      <c r="Q176" s="2">
        <f>SUM($I$3:I176)</f>
        <v>399</v>
      </c>
    </row>
    <row r="177" spans="1:17" x14ac:dyDescent="0.3">
      <c r="A177" s="7">
        <f t="shared" si="36"/>
        <v>175</v>
      </c>
      <c r="B177" s="2">
        <f t="shared" si="42"/>
        <v>410</v>
      </c>
      <c r="C177" s="2">
        <f t="shared" si="30"/>
        <v>350</v>
      </c>
      <c r="D177" s="2">
        <f t="shared" si="41"/>
        <v>2490</v>
      </c>
      <c r="E177" s="2">
        <v>0.6</v>
      </c>
      <c r="F177" s="2">
        <f t="shared" si="38"/>
        <v>1.0999999999999999</v>
      </c>
      <c r="G177" s="17">
        <f t="shared" si="40"/>
        <v>4.2500000000000003E-2</v>
      </c>
      <c r="H177" s="8">
        <f t="shared" si="31"/>
        <v>51130</v>
      </c>
      <c r="I177" s="9">
        <f t="shared" si="28"/>
        <v>4</v>
      </c>
      <c r="L177" s="2">
        <f t="shared" si="32"/>
        <v>51130</v>
      </c>
      <c r="M177" s="2">
        <f t="shared" si="33"/>
        <v>410</v>
      </c>
      <c r="N177" s="15">
        <f t="shared" si="34"/>
        <v>350</v>
      </c>
      <c r="O177" s="15">
        <f t="shared" si="35"/>
        <v>2490</v>
      </c>
      <c r="P177" s="16">
        <f>SUM($H$3:H177)</f>
        <v>3050140</v>
      </c>
      <c r="Q177" s="2">
        <f>SUM($I$3:I177)</f>
        <v>403</v>
      </c>
    </row>
    <row r="178" spans="1:17" x14ac:dyDescent="0.3">
      <c r="A178" s="7">
        <f t="shared" si="36"/>
        <v>176</v>
      </c>
      <c r="B178" s="2">
        <f t="shared" si="42"/>
        <v>414</v>
      </c>
      <c r="C178" s="2">
        <f t="shared" si="30"/>
        <v>352</v>
      </c>
      <c r="D178" s="2">
        <f t="shared" si="41"/>
        <v>2501</v>
      </c>
      <c r="E178" s="2">
        <v>0.6</v>
      </c>
      <c r="F178" s="2">
        <f t="shared" si="38"/>
        <v>1.0999999999999999</v>
      </c>
      <c r="G178" s="17">
        <f t="shared" si="40"/>
        <v>4.2933333333333337E-2</v>
      </c>
      <c r="H178" s="8">
        <f t="shared" si="31"/>
        <v>51720</v>
      </c>
      <c r="I178" s="9">
        <f t="shared" si="28"/>
        <v>4</v>
      </c>
      <c r="L178" s="2">
        <f t="shared" si="32"/>
        <v>51720</v>
      </c>
      <c r="M178" s="2">
        <f t="shared" si="33"/>
        <v>414</v>
      </c>
      <c r="N178" s="15">
        <f t="shared" si="34"/>
        <v>352</v>
      </c>
      <c r="O178" s="15">
        <f t="shared" si="35"/>
        <v>2501</v>
      </c>
      <c r="P178" s="16">
        <f>SUM($H$3:H178)</f>
        <v>3101860</v>
      </c>
      <c r="Q178" s="2">
        <f>SUM($I$3:I178)</f>
        <v>407</v>
      </c>
    </row>
    <row r="179" spans="1:17" x14ac:dyDescent="0.3">
      <c r="A179" s="7">
        <f t="shared" si="36"/>
        <v>177</v>
      </c>
      <c r="B179" s="2">
        <f t="shared" si="42"/>
        <v>418</v>
      </c>
      <c r="C179" s="2">
        <f t="shared" si="30"/>
        <v>354</v>
      </c>
      <c r="D179" s="2">
        <f t="shared" si="41"/>
        <v>2512</v>
      </c>
      <c r="E179" s="2">
        <v>0.6</v>
      </c>
      <c r="F179" s="2">
        <f t="shared" si="38"/>
        <v>1.0999999999999999</v>
      </c>
      <c r="G179" s="17">
        <f t="shared" si="40"/>
        <v>4.3366666666666671E-2</v>
      </c>
      <c r="H179" s="8">
        <f t="shared" si="31"/>
        <v>52300</v>
      </c>
      <c r="I179" s="9">
        <f t="shared" si="28"/>
        <v>4</v>
      </c>
      <c r="L179" s="2">
        <f t="shared" si="32"/>
        <v>52300</v>
      </c>
      <c r="M179" s="2">
        <f t="shared" si="33"/>
        <v>418</v>
      </c>
      <c r="N179" s="15">
        <f t="shared" si="34"/>
        <v>354</v>
      </c>
      <c r="O179" s="15">
        <f t="shared" si="35"/>
        <v>2512</v>
      </c>
      <c r="P179" s="16">
        <f>SUM($H$3:H179)</f>
        <v>3154160</v>
      </c>
      <c r="Q179" s="2">
        <f>SUM($I$3:I179)</f>
        <v>411</v>
      </c>
    </row>
    <row r="180" spans="1:17" x14ac:dyDescent="0.3">
      <c r="A180" s="7">
        <f t="shared" si="36"/>
        <v>178</v>
      </c>
      <c r="B180" s="2">
        <f t="shared" si="42"/>
        <v>422</v>
      </c>
      <c r="C180" s="2">
        <f t="shared" si="30"/>
        <v>356</v>
      </c>
      <c r="D180" s="2">
        <f t="shared" si="41"/>
        <v>2523</v>
      </c>
      <c r="E180" s="2">
        <v>0.6</v>
      </c>
      <c r="F180" s="2">
        <f t="shared" si="38"/>
        <v>1.0999999999999999</v>
      </c>
      <c r="G180" s="17">
        <f t="shared" si="40"/>
        <v>4.3800000000000006E-2</v>
      </c>
      <c r="H180" s="8">
        <f t="shared" si="31"/>
        <v>52890</v>
      </c>
      <c r="I180" s="9">
        <f t="shared" si="28"/>
        <v>4</v>
      </c>
      <c r="L180" s="2">
        <f t="shared" si="32"/>
        <v>52890</v>
      </c>
      <c r="M180" s="2">
        <f t="shared" si="33"/>
        <v>422</v>
      </c>
      <c r="N180" s="15">
        <f t="shared" si="34"/>
        <v>356</v>
      </c>
      <c r="O180" s="15">
        <f t="shared" si="35"/>
        <v>2523</v>
      </c>
      <c r="P180" s="16">
        <f>SUM($H$3:H180)</f>
        <v>3207050</v>
      </c>
      <c r="Q180" s="2">
        <f>SUM($I$3:I180)</f>
        <v>415</v>
      </c>
    </row>
    <row r="181" spans="1:17" x14ac:dyDescent="0.3">
      <c r="A181" s="7">
        <f t="shared" si="36"/>
        <v>179</v>
      </c>
      <c r="B181" s="2">
        <f t="shared" si="42"/>
        <v>426</v>
      </c>
      <c r="C181" s="2">
        <f t="shared" si="30"/>
        <v>358</v>
      </c>
      <c r="D181" s="2">
        <f t="shared" si="41"/>
        <v>2534</v>
      </c>
      <c r="E181" s="2">
        <v>0.6</v>
      </c>
      <c r="F181" s="2">
        <f t="shared" si="38"/>
        <v>1.0999999999999999</v>
      </c>
      <c r="G181" s="17">
        <f t="shared" si="40"/>
        <v>4.423333333333334E-2</v>
      </c>
      <c r="H181" s="8">
        <f t="shared" si="31"/>
        <v>53490</v>
      </c>
      <c r="I181" s="9">
        <f t="shared" si="28"/>
        <v>4</v>
      </c>
      <c r="L181" s="2">
        <f t="shared" si="32"/>
        <v>53490</v>
      </c>
      <c r="M181" s="2">
        <f t="shared" si="33"/>
        <v>426</v>
      </c>
      <c r="N181" s="15">
        <f t="shared" si="34"/>
        <v>358</v>
      </c>
      <c r="O181" s="15">
        <f t="shared" si="35"/>
        <v>2534</v>
      </c>
      <c r="P181" s="16">
        <f>SUM($H$3:H181)</f>
        <v>3260540</v>
      </c>
      <c r="Q181" s="2">
        <f>SUM($I$3:I181)</f>
        <v>419</v>
      </c>
    </row>
    <row r="182" spans="1:17" x14ac:dyDescent="0.3">
      <c r="A182" s="7">
        <f t="shared" si="36"/>
        <v>180</v>
      </c>
      <c r="B182" s="2">
        <f>B181+3</f>
        <v>429</v>
      </c>
      <c r="C182" s="2">
        <f t="shared" si="30"/>
        <v>360</v>
      </c>
      <c r="D182" s="2">
        <f t="shared" si="41"/>
        <v>2545</v>
      </c>
      <c r="E182" s="2">
        <v>0.6</v>
      </c>
      <c r="F182" s="2">
        <f t="shared" si="38"/>
        <v>1.2</v>
      </c>
      <c r="G182" s="17">
        <f t="shared" si="40"/>
        <v>4.4666666666666674E-2</v>
      </c>
      <c r="H182" s="8">
        <f t="shared" si="31"/>
        <v>54090</v>
      </c>
      <c r="I182" s="9">
        <f t="shared" ref="I182:I226" si="43">I132+1</f>
        <v>4</v>
      </c>
      <c r="L182" s="2">
        <f t="shared" si="32"/>
        <v>54090</v>
      </c>
      <c r="M182" s="2">
        <f t="shared" si="33"/>
        <v>429</v>
      </c>
      <c r="N182" s="15">
        <f t="shared" si="34"/>
        <v>360</v>
      </c>
      <c r="O182" s="15">
        <f t="shared" si="35"/>
        <v>2545</v>
      </c>
      <c r="P182" s="16">
        <f>SUM($H$3:H182)</f>
        <v>3314630</v>
      </c>
      <c r="Q182" s="2">
        <f>SUM($I$3:I182)</f>
        <v>423</v>
      </c>
    </row>
    <row r="183" spans="1:17" x14ac:dyDescent="0.3">
      <c r="A183" s="7">
        <f t="shared" si="36"/>
        <v>181</v>
      </c>
      <c r="B183" s="2">
        <f t="shared" ref="B183:B191" si="44">B182+3</f>
        <v>432</v>
      </c>
      <c r="C183" s="2">
        <f t="shared" si="30"/>
        <v>362</v>
      </c>
      <c r="D183" s="2">
        <f t="shared" si="41"/>
        <v>2556</v>
      </c>
      <c r="E183" s="2">
        <v>0.6</v>
      </c>
      <c r="F183" s="2">
        <f t="shared" si="38"/>
        <v>1.2</v>
      </c>
      <c r="G183" s="17">
        <f t="shared" si="40"/>
        <v>4.5100000000000001E-2</v>
      </c>
      <c r="H183" s="8">
        <f t="shared" si="31"/>
        <v>54690</v>
      </c>
      <c r="I183" s="9">
        <f t="shared" si="43"/>
        <v>4</v>
      </c>
      <c r="L183" s="2">
        <f t="shared" si="32"/>
        <v>54690</v>
      </c>
      <c r="M183" s="2">
        <f t="shared" si="33"/>
        <v>432</v>
      </c>
      <c r="N183" s="15">
        <f t="shared" si="34"/>
        <v>362</v>
      </c>
      <c r="O183" s="15">
        <f t="shared" si="35"/>
        <v>2556</v>
      </c>
      <c r="P183" s="16">
        <f>SUM($H$3:H183)</f>
        <v>3369320</v>
      </c>
      <c r="Q183" s="2">
        <f>SUM($I$3:I183)</f>
        <v>427</v>
      </c>
    </row>
    <row r="184" spans="1:17" x14ac:dyDescent="0.3">
      <c r="A184" s="7">
        <f t="shared" si="36"/>
        <v>182</v>
      </c>
      <c r="B184" s="2">
        <f t="shared" si="44"/>
        <v>435</v>
      </c>
      <c r="C184" s="2">
        <f t="shared" si="30"/>
        <v>364</v>
      </c>
      <c r="D184" s="2">
        <f t="shared" si="41"/>
        <v>2567</v>
      </c>
      <c r="E184" s="2">
        <v>0.6</v>
      </c>
      <c r="F184" s="2">
        <f t="shared" si="38"/>
        <v>1.2</v>
      </c>
      <c r="G184" s="17">
        <f t="shared" si="40"/>
        <v>4.5533333333333335E-2</v>
      </c>
      <c r="H184" s="8">
        <f t="shared" si="31"/>
        <v>55290</v>
      </c>
      <c r="I184" s="9">
        <f t="shared" si="43"/>
        <v>4</v>
      </c>
      <c r="L184" s="2">
        <f t="shared" si="32"/>
        <v>55290</v>
      </c>
      <c r="M184" s="2">
        <f t="shared" si="33"/>
        <v>435</v>
      </c>
      <c r="N184" s="15">
        <f t="shared" si="34"/>
        <v>364</v>
      </c>
      <c r="O184" s="15">
        <f t="shared" si="35"/>
        <v>2567</v>
      </c>
      <c r="P184" s="16">
        <f>SUM($H$3:H184)</f>
        <v>3424610</v>
      </c>
      <c r="Q184" s="2">
        <f>SUM($I$3:I184)</f>
        <v>431</v>
      </c>
    </row>
    <row r="185" spans="1:17" x14ac:dyDescent="0.3">
      <c r="A185" s="7">
        <f t="shared" si="36"/>
        <v>183</v>
      </c>
      <c r="B185" s="2">
        <f t="shared" si="44"/>
        <v>438</v>
      </c>
      <c r="C185" s="2">
        <f t="shared" si="30"/>
        <v>366</v>
      </c>
      <c r="D185" s="2">
        <f t="shared" si="41"/>
        <v>2578</v>
      </c>
      <c r="E185" s="2">
        <v>0.6</v>
      </c>
      <c r="F185" s="2">
        <f t="shared" si="38"/>
        <v>1.2</v>
      </c>
      <c r="G185" s="17">
        <f t="shared" si="40"/>
        <v>4.5966666666666676E-2</v>
      </c>
      <c r="H185" s="8">
        <f t="shared" si="31"/>
        <v>55900</v>
      </c>
      <c r="I185" s="9">
        <f t="shared" si="43"/>
        <v>4</v>
      </c>
      <c r="L185" s="2">
        <f t="shared" si="32"/>
        <v>55900</v>
      </c>
      <c r="M185" s="2">
        <f t="shared" si="33"/>
        <v>438</v>
      </c>
      <c r="N185" s="15">
        <f t="shared" si="34"/>
        <v>366</v>
      </c>
      <c r="O185" s="15">
        <f t="shared" si="35"/>
        <v>2578</v>
      </c>
      <c r="P185" s="16">
        <f>SUM($H$3:H185)</f>
        <v>3480510</v>
      </c>
      <c r="Q185" s="2">
        <f>SUM($I$3:I185)</f>
        <v>435</v>
      </c>
    </row>
    <row r="186" spans="1:17" x14ac:dyDescent="0.3">
      <c r="A186" s="7">
        <f t="shared" si="36"/>
        <v>184</v>
      </c>
      <c r="B186" s="2">
        <f t="shared" si="44"/>
        <v>441</v>
      </c>
      <c r="C186" s="2">
        <f t="shared" si="30"/>
        <v>368</v>
      </c>
      <c r="D186" s="2">
        <f t="shared" si="41"/>
        <v>2589</v>
      </c>
      <c r="E186" s="2">
        <v>0.6</v>
      </c>
      <c r="F186" s="2">
        <f t="shared" si="38"/>
        <v>1.2</v>
      </c>
      <c r="G186" s="17">
        <f t="shared" si="40"/>
        <v>4.6399999999999997E-2</v>
      </c>
      <c r="H186" s="8">
        <f t="shared" si="31"/>
        <v>56510</v>
      </c>
      <c r="I186" s="9">
        <f t="shared" si="43"/>
        <v>4</v>
      </c>
      <c r="L186" s="2">
        <f t="shared" si="32"/>
        <v>56510</v>
      </c>
      <c r="M186" s="2">
        <f t="shared" si="33"/>
        <v>441</v>
      </c>
      <c r="N186" s="15">
        <f t="shared" si="34"/>
        <v>368</v>
      </c>
      <c r="O186" s="15">
        <f t="shared" si="35"/>
        <v>2589</v>
      </c>
      <c r="P186" s="16">
        <f>SUM($H$3:H186)</f>
        <v>3537020</v>
      </c>
      <c r="Q186" s="2">
        <f>SUM($I$3:I186)</f>
        <v>439</v>
      </c>
    </row>
    <row r="187" spans="1:17" x14ac:dyDescent="0.3">
      <c r="A187" s="7">
        <f t="shared" si="36"/>
        <v>185</v>
      </c>
      <c r="B187" s="2">
        <f t="shared" si="44"/>
        <v>444</v>
      </c>
      <c r="C187" s="2">
        <f t="shared" si="30"/>
        <v>370</v>
      </c>
      <c r="D187" s="2">
        <f t="shared" si="41"/>
        <v>2600</v>
      </c>
      <c r="E187" s="2">
        <v>0.6</v>
      </c>
      <c r="F187" s="2">
        <f t="shared" si="38"/>
        <v>1.2</v>
      </c>
      <c r="G187" s="17">
        <f t="shared" si="40"/>
        <v>4.6833333333333331E-2</v>
      </c>
      <c r="H187" s="8">
        <f t="shared" si="31"/>
        <v>57120</v>
      </c>
      <c r="I187" s="9">
        <f t="shared" si="43"/>
        <v>4</v>
      </c>
      <c r="L187" s="2">
        <f t="shared" si="32"/>
        <v>57120</v>
      </c>
      <c r="M187" s="2">
        <f t="shared" si="33"/>
        <v>444</v>
      </c>
      <c r="N187" s="15">
        <f t="shared" si="34"/>
        <v>370</v>
      </c>
      <c r="O187" s="15">
        <f t="shared" si="35"/>
        <v>2600</v>
      </c>
      <c r="P187" s="16">
        <f>SUM($H$3:H187)</f>
        <v>3594140</v>
      </c>
      <c r="Q187" s="2">
        <f>SUM($I$3:I187)</f>
        <v>443</v>
      </c>
    </row>
    <row r="188" spans="1:17" x14ac:dyDescent="0.3">
      <c r="A188" s="7">
        <f t="shared" si="36"/>
        <v>186</v>
      </c>
      <c r="B188" s="2">
        <f t="shared" si="44"/>
        <v>447</v>
      </c>
      <c r="C188" s="2">
        <f t="shared" si="30"/>
        <v>372</v>
      </c>
      <c r="D188" s="2">
        <f t="shared" si="41"/>
        <v>2611</v>
      </c>
      <c r="E188" s="2">
        <v>0.6</v>
      </c>
      <c r="F188" s="2">
        <f t="shared" si="38"/>
        <v>1.2</v>
      </c>
      <c r="G188" s="17">
        <f t="shared" si="40"/>
        <v>4.7266666666666665E-2</v>
      </c>
      <c r="H188" s="8">
        <f t="shared" si="31"/>
        <v>57740</v>
      </c>
      <c r="I188" s="9">
        <f t="shared" si="43"/>
        <v>4</v>
      </c>
      <c r="L188" s="2">
        <f t="shared" si="32"/>
        <v>57740</v>
      </c>
      <c r="M188" s="2">
        <f t="shared" si="33"/>
        <v>447</v>
      </c>
      <c r="N188" s="15">
        <f t="shared" si="34"/>
        <v>372</v>
      </c>
      <c r="O188" s="15">
        <f t="shared" si="35"/>
        <v>2611</v>
      </c>
      <c r="P188" s="16">
        <f>SUM($H$3:H188)</f>
        <v>3651880</v>
      </c>
      <c r="Q188" s="2">
        <f>SUM($I$3:I188)</f>
        <v>447</v>
      </c>
    </row>
    <row r="189" spans="1:17" x14ac:dyDescent="0.3">
      <c r="A189" s="7">
        <f t="shared" si="36"/>
        <v>187</v>
      </c>
      <c r="B189" s="2">
        <f t="shared" si="44"/>
        <v>450</v>
      </c>
      <c r="C189" s="2">
        <f t="shared" si="30"/>
        <v>374</v>
      </c>
      <c r="D189" s="2">
        <f t="shared" si="41"/>
        <v>2622</v>
      </c>
      <c r="E189" s="2">
        <v>0.6</v>
      </c>
      <c r="F189" s="2">
        <f t="shared" si="38"/>
        <v>1.2</v>
      </c>
      <c r="G189" s="17">
        <f t="shared" si="40"/>
        <v>4.7699999999999999E-2</v>
      </c>
      <c r="H189" s="8">
        <f t="shared" si="31"/>
        <v>58360</v>
      </c>
      <c r="I189" s="9">
        <f t="shared" si="43"/>
        <v>4</v>
      </c>
      <c r="L189" s="2">
        <f t="shared" si="32"/>
        <v>58360</v>
      </c>
      <c r="M189" s="2">
        <f t="shared" si="33"/>
        <v>450</v>
      </c>
      <c r="N189" s="15">
        <f t="shared" si="34"/>
        <v>374</v>
      </c>
      <c r="O189" s="15">
        <f t="shared" si="35"/>
        <v>2622</v>
      </c>
      <c r="P189" s="16">
        <f>SUM($H$3:H189)</f>
        <v>3710240</v>
      </c>
      <c r="Q189" s="2">
        <f>SUM($I$3:I189)</f>
        <v>451</v>
      </c>
    </row>
    <row r="190" spans="1:17" x14ac:dyDescent="0.3">
      <c r="A190" s="7">
        <f t="shared" si="36"/>
        <v>188</v>
      </c>
      <c r="B190" s="2">
        <f t="shared" si="44"/>
        <v>453</v>
      </c>
      <c r="C190" s="2">
        <f t="shared" si="30"/>
        <v>376</v>
      </c>
      <c r="D190" s="2">
        <f t="shared" si="41"/>
        <v>2633</v>
      </c>
      <c r="E190" s="2">
        <v>0.6</v>
      </c>
      <c r="F190" s="2">
        <f t="shared" si="38"/>
        <v>1.2</v>
      </c>
      <c r="G190" s="17">
        <f t="shared" si="40"/>
        <v>4.8133333333333334E-2</v>
      </c>
      <c r="H190" s="8">
        <f t="shared" si="31"/>
        <v>58980</v>
      </c>
      <c r="I190" s="9">
        <f t="shared" si="43"/>
        <v>4</v>
      </c>
      <c r="L190" s="2">
        <f t="shared" si="32"/>
        <v>58980</v>
      </c>
      <c r="M190" s="2">
        <f t="shared" si="33"/>
        <v>453</v>
      </c>
      <c r="N190" s="15">
        <f t="shared" si="34"/>
        <v>376</v>
      </c>
      <c r="O190" s="15">
        <f t="shared" si="35"/>
        <v>2633</v>
      </c>
      <c r="P190" s="16">
        <f>SUM($H$3:H190)</f>
        <v>3769220</v>
      </c>
      <c r="Q190" s="2">
        <f>SUM($I$3:I190)</f>
        <v>455</v>
      </c>
    </row>
    <row r="191" spans="1:17" x14ac:dyDescent="0.3">
      <c r="A191" s="7">
        <f t="shared" si="36"/>
        <v>189</v>
      </c>
      <c r="B191" s="2">
        <f t="shared" si="44"/>
        <v>456</v>
      </c>
      <c r="C191" s="2">
        <f t="shared" si="30"/>
        <v>378</v>
      </c>
      <c r="D191" s="2">
        <f t="shared" si="41"/>
        <v>2644</v>
      </c>
      <c r="E191" s="2">
        <v>0.6</v>
      </c>
      <c r="F191" s="2">
        <f t="shared" si="38"/>
        <v>1.2</v>
      </c>
      <c r="G191" s="17">
        <f t="shared" si="40"/>
        <v>4.8566666666666668E-2</v>
      </c>
      <c r="H191" s="8">
        <f t="shared" si="31"/>
        <v>59610</v>
      </c>
      <c r="I191" s="9">
        <f t="shared" si="43"/>
        <v>4</v>
      </c>
      <c r="L191" s="2">
        <f t="shared" si="32"/>
        <v>59610</v>
      </c>
      <c r="M191" s="2">
        <f t="shared" si="33"/>
        <v>456</v>
      </c>
      <c r="N191" s="15">
        <f t="shared" si="34"/>
        <v>378</v>
      </c>
      <c r="O191" s="15">
        <f t="shared" si="35"/>
        <v>2644</v>
      </c>
      <c r="P191" s="16">
        <f>SUM($H$3:H191)</f>
        <v>3828830</v>
      </c>
      <c r="Q191" s="2">
        <f>SUM($I$3:I191)</f>
        <v>459</v>
      </c>
    </row>
    <row r="192" spans="1:17" x14ac:dyDescent="0.3">
      <c r="A192" s="7">
        <f t="shared" si="36"/>
        <v>190</v>
      </c>
      <c r="B192" s="2">
        <f>B191+2</f>
        <v>458</v>
      </c>
      <c r="C192" s="2">
        <f t="shared" si="30"/>
        <v>380</v>
      </c>
      <c r="D192" s="2">
        <f t="shared" si="41"/>
        <v>2655</v>
      </c>
      <c r="E192" s="2">
        <v>0.6</v>
      </c>
      <c r="F192" s="2">
        <f t="shared" si="38"/>
        <v>1.2</v>
      </c>
      <c r="G192" s="17">
        <f t="shared" si="40"/>
        <v>4.9000000000000002E-2</v>
      </c>
      <c r="H192" s="8">
        <f t="shared" si="31"/>
        <v>60240</v>
      </c>
      <c r="I192" s="9">
        <f t="shared" si="43"/>
        <v>4</v>
      </c>
      <c r="L192" s="2">
        <f t="shared" si="32"/>
        <v>60240</v>
      </c>
      <c r="M192" s="2">
        <f t="shared" si="33"/>
        <v>458</v>
      </c>
      <c r="N192" s="15">
        <f t="shared" si="34"/>
        <v>380</v>
      </c>
      <c r="O192" s="15">
        <f t="shared" si="35"/>
        <v>2655</v>
      </c>
      <c r="P192" s="16">
        <f>SUM($H$3:H192)</f>
        <v>3889070</v>
      </c>
      <c r="Q192" s="2">
        <f>SUM($I$3:I192)</f>
        <v>463</v>
      </c>
    </row>
    <row r="193" spans="1:17" x14ac:dyDescent="0.3">
      <c r="A193" s="7">
        <f t="shared" si="36"/>
        <v>191</v>
      </c>
      <c r="B193" s="2">
        <f t="shared" ref="B193:B201" si="45">B192+2</f>
        <v>460</v>
      </c>
      <c r="C193" s="2">
        <f t="shared" si="30"/>
        <v>382</v>
      </c>
      <c r="D193" s="2">
        <f t="shared" si="41"/>
        <v>2666</v>
      </c>
      <c r="E193" s="2">
        <v>0.6</v>
      </c>
      <c r="F193" s="2">
        <f t="shared" si="38"/>
        <v>1.2</v>
      </c>
      <c r="G193" s="17">
        <f t="shared" si="40"/>
        <v>4.9433333333333336E-2</v>
      </c>
      <c r="H193" s="8">
        <f t="shared" si="31"/>
        <v>60870</v>
      </c>
      <c r="I193" s="9">
        <f t="shared" si="43"/>
        <v>4</v>
      </c>
      <c r="L193" s="2">
        <f t="shared" si="32"/>
        <v>60870</v>
      </c>
      <c r="M193" s="2">
        <f t="shared" si="33"/>
        <v>460</v>
      </c>
      <c r="N193" s="15">
        <f t="shared" si="34"/>
        <v>382</v>
      </c>
      <c r="O193" s="15">
        <f t="shared" si="35"/>
        <v>2666</v>
      </c>
      <c r="P193" s="16">
        <f>SUM($H$3:H193)</f>
        <v>3949940</v>
      </c>
      <c r="Q193" s="2">
        <f>SUM($I$3:I193)</f>
        <v>467</v>
      </c>
    </row>
    <row r="194" spans="1:17" x14ac:dyDescent="0.3">
      <c r="A194" s="7">
        <f t="shared" si="36"/>
        <v>192</v>
      </c>
      <c r="B194" s="2">
        <f t="shared" si="45"/>
        <v>462</v>
      </c>
      <c r="C194" s="2">
        <f t="shared" si="30"/>
        <v>384</v>
      </c>
      <c r="D194" s="2">
        <f t="shared" si="41"/>
        <v>2677</v>
      </c>
      <c r="E194" s="2">
        <v>0.6</v>
      </c>
      <c r="F194" s="2">
        <f t="shared" si="38"/>
        <v>1.2</v>
      </c>
      <c r="G194" s="17">
        <f t="shared" si="40"/>
        <v>4.986666666666667E-2</v>
      </c>
      <c r="H194" s="8">
        <f t="shared" si="31"/>
        <v>61510</v>
      </c>
      <c r="I194" s="9">
        <f t="shared" si="43"/>
        <v>4</v>
      </c>
      <c r="L194" s="2">
        <f t="shared" si="32"/>
        <v>61510</v>
      </c>
      <c r="M194" s="2">
        <f t="shared" si="33"/>
        <v>462</v>
      </c>
      <c r="N194" s="15">
        <f t="shared" si="34"/>
        <v>384</v>
      </c>
      <c r="O194" s="15">
        <f t="shared" si="35"/>
        <v>2677</v>
      </c>
      <c r="P194" s="16">
        <f>SUM($H$3:H194)</f>
        <v>4011450</v>
      </c>
      <c r="Q194" s="2">
        <f>SUM($I$3:I194)</f>
        <v>471</v>
      </c>
    </row>
    <row r="195" spans="1:17" x14ac:dyDescent="0.3">
      <c r="A195" s="7">
        <f t="shared" si="36"/>
        <v>193</v>
      </c>
      <c r="B195" s="2">
        <f t="shared" si="45"/>
        <v>464</v>
      </c>
      <c r="C195" s="2">
        <f t="shared" ref="C195:C258" si="46">C196-2</f>
        <v>386</v>
      </c>
      <c r="D195" s="2">
        <f t="shared" si="41"/>
        <v>2688</v>
      </c>
      <c r="E195" s="2">
        <v>0.6</v>
      </c>
      <c r="F195" s="2">
        <f t="shared" si="38"/>
        <v>1.2</v>
      </c>
      <c r="G195" s="17">
        <f t="shared" si="40"/>
        <v>5.0300000000000004E-2</v>
      </c>
      <c r="H195" s="8">
        <f t="shared" ref="H195:H258" si="47">ROUNDUP(500 + (150000-500) * ((A195-1)/(300-1))^2, -1)</f>
        <v>62150</v>
      </c>
      <c r="I195" s="9">
        <f t="shared" si="43"/>
        <v>4</v>
      </c>
      <c r="L195" s="2">
        <f t="shared" si="32"/>
        <v>62150</v>
      </c>
      <c r="M195" s="2">
        <f t="shared" si="33"/>
        <v>464</v>
      </c>
      <c r="N195" s="15">
        <f t="shared" si="34"/>
        <v>386</v>
      </c>
      <c r="O195" s="15">
        <f t="shared" si="35"/>
        <v>2688</v>
      </c>
      <c r="P195" s="16">
        <f>SUM($H$3:H195)</f>
        <v>4073600</v>
      </c>
      <c r="Q195" s="2">
        <f>SUM($I$3:I195)</f>
        <v>475</v>
      </c>
    </row>
    <row r="196" spans="1:17" x14ac:dyDescent="0.3">
      <c r="A196" s="7">
        <f t="shared" si="36"/>
        <v>194</v>
      </c>
      <c r="B196" s="2">
        <f t="shared" si="45"/>
        <v>466</v>
      </c>
      <c r="C196" s="2">
        <f t="shared" si="46"/>
        <v>388</v>
      </c>
      <c r="D196" s="2">
        <f t="shared" si="41"/>
        <v>2699</v>
      </c>
      <c r="E196" s="2">
        <v>0.6</v>
      </c>
      <c r="F196" s="2">
        <f t="shared" si="38"/>
        <v>1.2</v>
      </c>
      <c r="G196" s="17">
        <f t="shared" si="40"/>
        <v>5.0733333333333339E-2</v>
      </c>
      <c r="H196" s="8">
        <f t="shared" si="47"/>
        <v>62790</v>
      </c>
      <c r="I196" s="9">
        <f t="shared" si="43"/>
        <v>4</v>
      </c>
      <c r="L196" s="2">
        <f t="shared" ref="L196:L259" si="48">H196</f>
        <v>62790</v>
      </c>
      <c r="M196" s="2">
        <f t="shared" ref="M196:M259" si="49">B196</f>
        <v>466</v>
      </c>
      <c r="N196" s="15">
        <f t="shared" ref="N196:N259" si="50">C196</f>
        <v>388</v>
      </c>
      <c r="O196" s="15">
        <f t="shared" ref="O196:O259" si="51">D196</f>
        <v>2699</v>
      </c>
      <c r="P196" s="16">
        <f>SUM($H$3:H196)</f>
        <v>4136390</v>
      </c>
      <c r="Q196" s="2">
        <f>SUM($I$3:I196)</f>
        <v>479</v>
      </c>
    </row>
    <row r="197" spans="1:17" x14ac:dyDescent="0.3">
      <c r="A197" s="7">
        <f t="shared" ref="A197:C260" si="52">A196+1</f>
        <v>195</v>
      </c>
      <c r="B197" s="2">
        <f t="shared" si="45"/>
        <v>468</v>
      </c>
      <c r="C197" s="2">
        <f t="shared" si="46"/>
        <v>390</v>
      </c>
      <c r="D197" s="2">
        <f t="shared" si="41"/>
        <v>2710</v>
      </c>
      <c r="E197" s="2">
        <v>0.6</v>
      </c>
      <c r="F197" s="2">
        <f t="shared" si="38"/>
        <v>1.2</v>
      </c>
      <c r="G197" s="17">
        <f t="shared" si="40"/>
        <v>5.1166666666666673E-2</v>
      </c>
      <c r="H197" s="8">
        <f t="shared" si="47"/>
        <v>63440</v>
      </c>
      <c r="I197" s="9">
        <f t="shared" si="43"/>
        <v>4</v>
      </c>
      <c r="L197" s="2">
        <f t="shared" si="48"/>
        <v>63440</v>
      </c>
      <c r="M197" s="2">
        <f t="shared" si="49"/>
        <v>468</v>
      </c>
      <c r="N197" s="15">
        <f t="shared" si="50"/>
        <v>390</v>
      </c>
      <c r="O197" s="15">
        <f t="shared" si="51"/>
        <v>2710</v>
      </c>
      <c r="P197" s="16">
        <f>SUM($H$3:H197)</f>
        <v>4199830</v>
      </c>
      <c r="Q197" s="2">
        <f>SUM($I$3:I197)</f>
        <v>483</v>
      </c>
    </row>
    <row r="198" spans="1:17" x14ac:dyDescent="0.3">
      <c r="A198" s="7">
        <f t="shared" si="52"/>
        <v>196</v>
      </c>
      <c r="B198" s="2">
        <f t="shared" si="45"/>
        <v>470</v>
      </c>
      <c r="C198" s="2">
        <f t="shared" si="46"/>
        <v>392</v>
      </c>
      <c r="D198" s="2">
        <f t="shared" si="41"/>
        <v>2721</v>
      </c>
      <c r="E198" s="2">
        <v>0.6</v>
      </c>
      <c r="F198" s="2">
        <f t="shared" si="38"/>
        <v>1.2</v>
      </c>
      <c r="G198" s="17">
        <f t="shared" si="40"/>
        <v>5.16E-2</v>
      </c>
      <c r="H198" s="8">
        <f t="shared" si="47"/>
        <v>64090</v>
      </c>
      <c r="I198" s="9">
        <f t="shared" si="43"/>
        <v>4</v>
      </c>
      <c r="L198" s="2">
        <f t="shared" si="48"/>
        <v>64090</v>
      </c>
      <c r="M198" s="2">
        <f t="shared" si="49"/>
        <v>470</v>
      </c>
      <c r="N198" s="15">
        <f t="shared" si="50"/>
        <v>392</v>
      </c>
      <c r="O198" s="15">
        <f t="shared" si="51"/>
        <v>2721</v>
      </c>
      <c r="P198" s="16">
        <f>SUM($H$3:H198)</f>
        <v>4263920</v>
      </c>
      <c r="Q198" s="2">
        <f>SUM($I$3:I198)</f>
        <v>487</v>
      </c>
    </row>
    <row r="199" spans="1:17" x14ac:dyDescent="0.3">
      <c r="A199" s="7">
        <f t="shared" si="52"/>
        <v>197</v>
      </c>
      <c r="B199" s="2">
        <f t="shared" si="45"/>
        <v>472</v>
      </c>
      <c r="C199" s="2">
        <f t="shared" si="46"/>
        <v>394</v>
      </c>
      <c r="D199" s="2">
        <f t="shared" si="41"/>
        <v>2732</v>
      </c>
      <c r="E199" s="2">
        <v>0.6</v>
      </c>
      <c r="F199" s="2">
        <f t="shared" si="38"/>
        <v>1.2</v>
      </c>
      <c r="G199" s="17">
        <f t="shared" si="40"/>
        <v>5.2033333333333334E-2</v>
      </c>
      <c r="H199" s="8">
        <f t="shared" si="47"/>
        <v>64750</v>
      </c>
      <c r="I199" s="9">
        <f t="shared" si="43"/>
        <v>4</v>
      </c>
      <c r="L199" s="2">
        <f t="shared" si="48"/>
        <v>64750</v>
      </c>
      <c r="M199" s="2">
        <f t="shared" si="49"/>
        <v>472</v>
      </c>
      <c r="N199" s="15">
        <f t="shared" si="50"/>
        <v>394</v>
      </c>
      <c r="O199" s="15">
        <f t="shared" si="51"/>
        <v>2732</v>
      </c>
      <c r="P199" s="16">
        <f>SUM($H$3:H199)</f>
        <v>4328670</v>
      </c>
      <c r="Q199" s="2">
        <f>SUM($I$3:I199)</f>
        <v>491</v>
      </c>
    </row>
    <row r="200" spans="1:17" x14ac:dyDescent="0.3">
      <c r="A200" s="7">
        <f t="shared" si="52"/>
        <v>198</v>
      </c>
      <c r="B200" s="2">
        <f t="shared" si="45"/>
        <v>474</v>
      </c>
      <c r="C200" s="2">
        <f t="shared" si="46"/>
        <v>396</v>
      </c>
      <c r="D200" s="2">
        <f t="shared" si="41"/>
        <v>2743</v>
      </c>
      <c r="E200" s="2">
        <v>0.6</v>
      </c>
      <c r="F200" s="2">
        <f t="shared" si="38"/>
        <v>1.2</v>
      </c>
      <c r="G200" s="17">
        <f t="shared" si="40"/>
        <v>5.2466666666666668E-2</v>
      </c>
      <c r="H200" s="8">
        <f t="shared" si="47"/>
        <v>65400</v>
      </c>
      <c r="I200" s="9">
        <f t="shared" si="43"/>
        <v>4</v>
      </c>
      <c r="L200" s="2">
        <f t="shared" si="48"/>
        <v>65400</v>
      </c>
      <c r="M200" s="2">
        <f t="shared" si="49"/>
        <v>474</v>
      </c>
      <c r="N200" s="15">
        <f t="shared" si="50"/>
        <v>396</v>
      </c>
      <c r="O200" s="15">
        <f t="shared" si="51"/>
        <v>2743</v>
      </c>
      <c r="P200" s="16">
        <f>SUM($H$3:H200)</f>
        <v>4394070</v>
      </c>
      <c r="Q200" s="2">
        <f>SUM($I$3:I200)</f>
        <v>495</v>
      </c>
    </row>
    <row r="201" spans="1:17" x14ac:dyDescent="0.3">
      <c r="A201" s="7">
        <f t="shared" si="52"/>
        <v>199</v>
      </c>
      <c r="B201" s="2">
        <f t="shared" si="45"/>
        <v>476</v>
      </c>
      <c r="C201" s="2">
        <f t="shared" si="46"/>
        <v>398</v>
      </c>
      <c r="D201" s="2">
        <f t="shared" si="41"/>
        <v>2754</v>
      </c>
      <c r="E201" s="2">
        <v>0.6</v>
      </c>
      <c r="F201" s="2">
        <f t="shared" si="38"/>
        <v>1.2</v>
      </c>
      <c r="G201" s="17">
        <f t="shared" si="40"/>
        <v>5.2900000000000003E-2</v>
      </c>
      <c r="H201" s="8">
        <f t="shared" si="47"/>
        <v>66060</v>
      </c>
      <c r="I201" s="9">
        <f t="shared" si="43"/>
        <v>4</v>
      </c>
      <c r="L201" s="2">
        <f t="shared" si="48"/>
        <v>66060</v>
      </c>
      <c r="M201" s="2">
        <f t="shared" si="49"/>
        <v>476</v>
      </c>
      <c r="N201" s="15">
        <f t="shared" si="50"/>
        <v>398</v>
      </c>
      <c r="O201" s="15">
        <f t="shared" si="51"/>
        <v>2754</v>
      </c>
      <c r="P201" s="16">
        <f>SUM($H$3:H201)</f>
        <v>4460130</v>
      </c>
      <c r="Q201" s="2">
        <f>SUM($I$3:I201)</f>
        <v>499</v>
      </c>
    </row>
    <row r="202" spans="1:17" x14ac:dyDescent="0.3">
      <c r="A202" s="7">
        <f t="shared" si="52"/>
        <v>200</v>
      </c>
      <c r="B202" s="2">
        <f>B201+1</f>
        <v>477</v>
      </c>
      <c r="C202" s="2">
        <f t="shared" si="46"/>
        <v>400</v>
      </c>
      <c r="D202" s="2">
        <f>D201+7</f>
        <v>2761</v>
      </c>
      <c r="E202" s="2">
        <v>0.7</v>
      </c>
      <c r="F202" s="2">
        <f>F182+0.2</f>
        <v>1.4</v>
      </c>
      <c r="G202" s="17">
        <f t="shared" si="40"/>
        <v>5.3333333333333337E-2</v>
      </c>
      <c r="H202" s="8">
        <f t="shared" si="47"/>
        <v>66730</v>
      </c>
      <c r="I202" s="9">
        <f t="shared" si="43"/>
        <v>5</v>
      </c>
      <c r="L202" s="2">
        <f t="shared" si="48"/>
        <v>66730</v>
      </c>
      <c r="M202" s="2">
        <f t="shared" si="49"/>
        <v>477</v>
      </c>
      <c r="N202" s="15">
        <f t="shared" si="50"/>
        <v>400</v>
      </c>
      <c r="O202" s="15">
        <f t="shared" si="51"/>
        <v>2761</v>
      </c>
      <c r="P202" s="16">
        <f>SUM($H$3:H202)</f>
        <v>4526860</v>
      </c>
      <c r="Q202" s="2">
        <f>SUM($I$3:I202)</f>
        <v>504</v>
      </c>
    </row>
    <row r="203" spans="1:17" x14ac:dyDescent="0.3">
      <c r="A203" s="7">
        <f t="shared" si="52"/>
        <v>201</v>
      </c>
      <c r="B203" s="2">
        <f t="shared" si="52"/>
        <v>478</v>
      </c>
      <c r="C203" s="2">
        <f t="shared" si="46"/>
        <v>402</v>
      </c>
      <c r="D203" s="2">
        <f t="shared" ref="D203:D266" si="53">D202+7</f>
        <v>2768</v>
      </c>
      <c r="E203" s="2">
        <v>0.7</v>
      </c>
      <c r="F203" s="2">
        <f t="shared" ref="F203:F266" si="54">F183+0.2</f>
        <v>1.4</v>
      </c>
      <c r="G203" s="17">
        <f t="shared" si="40"/>
        <v>5.3766666666666671E-2</v>
      </c>
      <c r="H203" s="8">
        <f t="shared" si="47"/>
        <v>67390</v>
      </c>
      <c r="I203" s="9">
        <f t="shared" si="43"/>
        <v>5</v>
      </c>
      <c r="L203" s="2">
        <f t="shared" si="48"/>
        <v>67390</v>
      </c>
      <c r="M203" s="2">
        <f t="shared" si="49"/>
        <v>478</v>
      </c>
      <c r="N203" s="15">
        <f t="shared" si="50"/>
        <v>402</v>
      </c>
      <c r="O203" s="15">
        <f t="shared" si="51"/>
        <v>2768</v>
      </c>
      <c r="P203" s="16">
        <f>SUM($H$3:H203)</f>
        <v>4594250</v>
      </c>
      <c r="Q203" s="2">
        <f>SUM($I$3:I203)</f>
        <v>509</v>
      </c>
    </row>
    <row r="204" spans="1:17" x14ac:dyDescent="0.3">
      <c r="A204" s="7">
        <f t="shared" si="52"/>
        <v>202</v>
      </c>
      <c r="B204" s="2">
        <f t="shared" si="52"/>
        <v>479</v>
      </c>
      <c r="C204" s="2">
        <f t="shared" si="46"/>
        <v>404</v>
      </c>
      <c r="D204" s="2">
        <f t="shared" si="53"/>
        <v>2775</v>
      </c>
      <c r="E204" s="2">
        <v>0.7</v>
      </c>
      <c r="F204" s="2">
        <f t="shared" si="54"/>
        <v>1.4</v>
      </c>
      <c r="G204" s="17">
        <f t="shared" si="40"/>
        <v>5.4200000000000005E-2</v>
      </c>
      <c r="H204" s="8">
        <f t="shared" si="47"/>
        <v>68070</v>
      </c>
      <c r="I204" s="9">
        <f t="shared" si="43"/>
        <v>5</v>
      </c>
      <c r="L204" s="2">
        <f t="shared" si="48"/>
        <v>68070</v>
      </c>
      <c r="M204" s="2">
        <f t="shared" si="49"/>
        <v>479</v>
      </c>
      <c r="N204" s="15">
        <f t="shared" si="50"/>
        <v>404</v>
      </c>
      <c r="O204" s="15">
        <f t="shared" si="51"/>
        <v>2775</v>
      </c>
      <c r="P204" s="16">
        <f>SUM($H$3:H204)</f>
        <v>4662320</v>
      </c>
      <c r="Q204" s="2">
        <f>SUM($I$3:I204)</f>
        <v>514</v>
      </c>
    </row>
    <row r="205" spans="1:17" x14ac:dyDescent="0.3">
      <c r="A205" s="7">
        <f t="shared" si="52"/>
        <v>203</v>
      </c>
      <c r="B205" s="2">
        <f t="shared" si="52"/>
        <v>480</v>
      </c>
      <c r="C205" s="2">
        <f t="shared" si="46"/>
        <v>406</v>
      </c>
      <c r="D205" s="2">
        <f t="shared" si="53"/>
        <v>2782</v>
      </c>
      <c r="E205" s="2">
        <v>0.7</v>
      </c>
      <c r="F205" s="2">
        <f t="shared" si="54"/>
        <v>1.4</v>
      </c>
      <c r="G205" s="17">
        <f t="shared" si="40"/>
        <v>5.4633333333333339E-2</v>
      </c>
      <c r="H205" s="8">
        <f t="shared" si="47"/>
        <v>68740</v>
      </c>
      <c r="I205" s="9">
        <f t="shared" si="43"/>
        <v>5</v>
      </c>
      <c r="L205" s="2">
        <f t="shared" si="48"/>
        <v>68740</v>
      </c>
      <c r="M205" s="2">
        <f t="shared" si="49"/>
        <v>480</v>
      </c>
      <c r="N205" s="15">
        <f t="shared" si="50"/>
        <v>406</v>
      </c>
      <c r="O205" s="15">
        <f t="shared" si="51"/>
        <v>2782</v>
      </c>
      <c r="P205" s="16">
        <f>SUM($H$3:H205)</f>
        <v>4731060</v>
      </c>
      <c r="Q205" s="2">
        <f>SUM($I$3:I205)</f>
        <v>519</v>
      </c>
    </row>
    <row r="206" spans="1:17" x14ac:dyDescent="0.3">
      <c r="A206" s="7">
        <f t="shared" si="52"/>
        <v>204</v>
      </c>
      <c r="B206" s="2">
        <f t="shared" si="52"/>
        <v>481</v>
      </c>
      <c r="C206" s="2">
        <f t="shared" si="46"/>
        <v>408</v>
      </c>
      <c r="D206" s="2">
        <f t="shared" si="53"/>
        <v>2789</v>
      </c>
      <c r="E206" s="2">
        <v>0.7</v>
      </c>
      <c r="F206" s="2">
        <f t="shared" si="54"/>
        <v>1.4</v>
      </c>
      <c r="G206" s="17">
        <f t="shared" si="40"/>
        <v>5.5066666666666673E-2</v>
      </c>
      <c r="H206" s="8">
        <f t="shared" si="47"/>
        <v>69420</v>
      </c>
      <c r="I206" s="9">
        <f t="shared" si="43"/>
        <v>5</v>
      </c>
      <c r="L206" s="2">
        <f t="shared" si="48"/>
        <v>69420</v>
      </c>
      <c r="M206" s="2">
        <f t="shared" si="49"/>
        <v>481</v>
      </c>
      <c r="N206" s="15">
        <f t="shared" si="50"/>
        <v>408</v>
      </c>
      <c r="O206" s="15">
        <f t="shared" si="51"/>
        <v>2789</v>
      </c>
      <c r="P206" s="16">
        <f>SUM($H$3:H206)</f>
        <v>4800480</v>
      </c>
      <c r="Q206" s="2">
        <f>SUM($I$3:I206)</f>
        <v>524</v>
      </c>
    </row>
    <row r="207" spans="1:17" x14ac:dyDescent="0.3">
      <c r="A207" s="7">
        <f t="shared" si="52"/>
        <v>205</v>
      </c>
      <c r="B207" s="2">
        <f t="shared" si="52"/>
        <v>482</v>
      </c>
      <c r="C207" s="2">
        <f t="shared" si="46"/>
        <v>410</v>
      </c>
      <c r="D207" s="2">
        <f t="shared" si="53"/>
        <v>2796</v>
      </c>
      <c r="E207" s="2">
        <v>0.7</v>
      </c>
      <c r="F207" s="2">
        <f t="shared" si="54"/>
        <v>1.4</v>
      </c>
      <c r="G207" s="17">
        <f t="shared" si="40"/>
        <v>5.5500000000000008E-2</v>
      </c>
      <c r="H207" s="8">
        <f t="shared" si="47"/>
        <v>70100</v>
      </c>
      <c r="I207" s="9">
        <f t="shared" si="43"/>
        <v>5</v>
      </c>
      <c r="L207" s="2">
        <f t="shared" si="48"/>
        <v>70100</v>
      </c>
      <c r="M207" s="2">
        <f t="shared" si="49"/>
        <v>482</v>
      </c>
      <c r="N207" s="15">
        <f t="shared" si="50"/>
        <v>410</v>
      </c>
      <c r="O207" s="15">
        <f t="shared" si="51"/>
        <v>2796</v>
      </c>
      <c r="P207" s="16">
        <f>SUM($H$3:H207)</f>
        <v>4870580</v>
      </c>
      <c r="Q207" s="2">
        <f>SUM($I$3:I207)</f>
        <v>529</v>
      </c>
    </row>
    <row r="208" spans="1:17" x14ac:dyDescent="0.3">
      <c r="A208" s="7">
        <f t="shared" si="52"/>
        <v>206</v>
      </c>
      <c r="B208" s="2">
        <f t="shared" si="52"/>
        <v>483</v>
      </c>
      <c r="C208" s="2">
        <f t="shared" si="46"/>
        <v>412</v>
      </c>
      <c r="D208" s="2">
        <f t="shared" si="53"/>
        <v>2803</v>
      </c>
      <c r="E208" s="2">
        <v>0.7</v>
      </c>
      <c r="F208" s="2">
        <f t="shared" si="54"/>
        <v>1.4</v>
      </c>
      <c r="G208" s="17">
        <f t="shared" si="40"/>
        <v>5.5933333333333342E-2</v>
      </c>
      <c r="H208" s="8">
        <f t="shared" si="47"/>
        <v>70780</v>
      </c>
      <c r="I208" s="9">
        <f t="shared" si="43"/>
        <v>5</v>
      </c>
      <c r="L208" s="2">
        <f t="shared" si="48"/>
        <v>70780</v>
      </c>
      <c r="M208" s="2">
        <f t="shared" si="49"/>
        <v>483</v>
      </c>
      <c r="N208" s="15">
        <f t="shared" si="50"/>
        <v>412</v>
      </c>
      <c r="O208" s="15">
        <f t="shared" si="51"/>
        <v>2803</v>
      </c>
      <c r="P208" s="16">
        <f>SUM($H$3:H208)</f>
        <v>4941360</v>
      </c>
      <c r="Q208" s="2">
        <f>SUM($I$3:I208)</f>
        <v>534</v>
      </c>
    </row>
    <row r="209" spans="1:17" x14ac:dyDescent="0.3">
      <c r="A209" s="7">
        <f t="shared" si="52"/>
        <v>207</v>
      </c>
      <c r="B209" s="2">
        <f t="shared" si="52"/>
        <v>484</v>
      </c>
      <c r="C209" s="2">
        <f t="shared" si="46"/>
        <v>414</v>
      </c>
      <c r="D209" s="2">
        <f t="shared" si="53"/>
        <v>2810</v>
      </c>
      <c r="E209" s="2">
        <v>0.7</v>
      </c>
      <c r="F209" s="2">
        <f t="shared" si="54"/>
        <v>1.4</v>
      </c>
      <c r="G209" s="17">
        <f t="shared" si="40"/>
        <v>5.6366666666666676E-2</v>
      </c>
      <c r="H209" s="8">
        <f t="shared" si="47"/>
        <v>71470</v>
      </c>
      <c r="I209" s="9">
        <f t="shared" si="43"/>
        <v>5</v>
      </c>
      <c r="L209" s="2">
        <f t="shared" si="48"/>
        <v>71470</v>
      </c>
      <c r="M209" s="2">
        <f t="shared" si="49"/>
        <v>484</v>
      </c>
      <c r="N209" s="15">
        <f t="shared" si="50"/>
        <v>414</v>
      </c>
      <c r="O209" s="15">
        <f t="shared" si="51"/>
        <v>2810</v>
      </c>
      <c r="P209" s="16">
        <f>SUM($H$3:H209)</f>
        <v>5012830</v>
      </c>
      <c r="Q209" s="2">
        <f>SUM($I$3:I209)</f>
        <v>539</v>
      </c>
    </row>
    <row r="210" spans="1:17" x14ac:dyDescent="0.3">
      <c r="A210" s="7">
        <f t="shared" si="52"/>
        <v>208</v>
      </c>
      <c r="B210" s="2">
        <f t="shared" si="52"/>
        <v>485</v>
      </c>
      <c r="C210" s="2">
        <f t="shared" si="46"/>
        <v>416</v>
      </c>
      <c r="D210" s="2">
        <f t="shared" si="53"/>
        <v>2817</v>
      </c>
      <c r="E210" s="2">
        <v>0.7</v>
      </c>
      <c r="F210" s="2">
        <f t="shared" si="54"/>
        <v>1.4</v>
      </c>
      <c r="G210" s="17">
        <f t="shared" si="40"/>
        <v>5.680000000000001E-2</v>
      </c>
      <c r="H210" s="8">
        <f t="shared" si="47"/>
        <v>72160</v>
      </c>
      <c r="I210" s="9">
        <f t="shared" si="43"/>
        <v>5</v>
      </c>
      <c r="L210" s="2">
        <f t="shared" si="48"/>
        <v>72160</v>
      </c>
      <c r="M210" s="2">
        <f t="shared" si="49"/>
        <v>485</v>
      </c>
      <c r="N210" s="15">
        <f t="shared" si="50"/>
        <v>416</v>
      </c>
      <c r="O210" s="15">
        <f t="shared" si="51"/>
        <v>2817</v>
      </c>
      <c r="P210" s="16">
        <f>SUM($H$3:H210)</f>
        <v>5084990</v>
      </c>
      <c r="Q210" s="2">
        <f>SUM($I$3:I210)</f>
        <v>544</v>
      </c>
    </row>
    <row r="211" spans="1:17" x14ac:dyDescent="0.3">
      <c r="A211" s="7">
        <f t="shared" si="52"/>
        <v>209</v>
      </c>
      <c r="B211" s="2">
        <f t="shared" si="52"/>
        <v>486</v>
      </c>
      <c r="C211" s="2">
        <f t="shared" si="46"/>
        <v>418</v>
      </c>
      <c r="D211" s="2">
        <f t="shared" si="53"/>
        <v>2824</v>
      </c>
      <c r="E211" s="2">
        <v>0.7</v>
      </c>
      <c r="F211" s="2">
        <f t="shared" si="54"/>
        <v>1.4</v>
      </c>
      <c r="G211" s="17">
        <f t="shared" si="40"/>
        <v>5.7233333333333331E-2</v>
      </c>
      <c r="H211" s="8">
        <f t="shared" si="47"/>
        <v>72850</v>
      </c>
      <c r="I211" s="9">
        <f t="shared" si="43"/>
        <v>5</v>
      </c>
      <c r="L211" s="2">
        <f t="shared" si="48"/>
        <v>72850</v>
      </c>
      <c r="M211" s="2">
        <f t="shared" si="49"/>
        <v>486</v>
      </c>
      <c r="N211" s="15">
        <f t="shared" si="50"/>
        <v>418</v>
      </c>
      <c r="O211" s="15">
        <f t="shared" si="51"/>
        <v>2824</v>
      </c>
      <c r="P211" s="16">
        <f>SUM($H$3:H211)</f>
        <v>5157840</v>
      </c>
      <c r="Q211" s="2">
        <f>SUM($I$3:I211)</f>
        <v>549</v>
      </c>
    </row>
    <row r="212" spans="1:17" x14ac:dyDescent="0.3">
      <c r="A212" s="7">
        <f t="shared" si="52"/>
        <v>210</v>
      </c>
      <c r="B212" s="2">
        <f t="shared" si="52"/>
        <v>487</v>
      </c>
      <c r="C212" s="2">
        <f t="shared" si="46"/>
        <v>420</v>
      </c>
      <c r="D212" s="2">
        <f t="shared" si="53"/>
        <v>2831</v>
      </c>
      <c r="E212" s="2">
        <v>0.7</v>
      </c>
      <c r="F212" s="2">
        <f t="shared" si="54"/>
        <v>1.4</v>
      </c>
      <c r="G212" s="17">
        <f t="shared" si="40"/>
        <v>5.7666666666666665E-2</v>
      </c>
      <c r="H212" s="8">
        <f t="shared" si="47"/>
        <v>73550</v>
      </c>
      <c r="I212" s="9">
        <f t="shared" si="43"/>
        <v>5</v>
      </c>
      <c r="L212" s="2">
        <f t="shared" si="48"/>
        <v>73550</v>
      </c>
      <c r="M212" s="2">
        <f t="shared" si="49"/>
        <v>487</v>
      </c>
      <c r="N212" s="15">
        <f t="shared" si="50"/>
        <v>420</v>
      </c>
      <c r="O212" s="15">
        <f t="shared" si="51"/>
        <v>2831</v>
      </c>
      <c r="P212" s="16">
        <f>SUM($H$3:H212)</f>
        <v>5231390</v>
      </c>
      <c r="Q212" s="2">
        <f>SUM($I$3:I212)</f>
        <v>554</v>
      </c>
    </row>
    <row r="213" spans="1:17" x14ac:dyDescent="0.3">
      <c r="A213" s="7">
        <f t="shared" si="52"/>
        <v>211</v>
      </c>
      <c r="B213" s="2">
        <f t="shared" si="52"/>
        <v>488</v>
      </c>
      <c r="C213" s="2">
        <f t="shared" si="46"/>
        <v>422</v>
      </c>
      <c r="D213" s="2">
        <f t="shared" si="53"/>
        <v>2838</v>
      </c>
      <c r="E213" s="2">
        <v>0.7</v>
      </c>
      <c r="F213" s="2">
        <f t="shared" si="54"/>
        <v>1.4</v>
      </c>
      <c r="G213" s="17">
        <f t="shared" si="40"/>
        <v>5.8099999999999999E-2</v>
      </c>
      <c r="H213" s="8">
        <f t="shared" si="47"/>
        <v>74250</v>
      </c>
      <c r="I213" s="9">
        <f t="shared" si="43"/>
        <v>5</v>
      </c>
      <c r="L213" s="2">
        <f t="shared" si="48"/>
        <v>74250</v>
      </c>
      <c r="M213" s="2">
        <f t="shared" si="49"/>
        <v>488</v>
      </c>
      <c r="N213" s="15">
        <f t="shared" si="50"/>
        <v>422</v>
      </c>
      <c r="O213" s="15">
        <f t="shared" si="51"/>
        <v>2838</v>
      </c>
      <c r="P213" s="16">
        <f>SUM($H$3:H213)</f>
        <v>5305640</v>
      </c>
      <c r="Q213" s="2">
        <f>SUM($I$3:I213)</f>
        <v>559</v>
      </c>
    </row>
    <row r="214" spans="1:17" x14ac:dyDescent="0.3">
      <c r="A214" s="7">
        <f t="shared" si="52"/>
        <v>212</v>
      </c>
      <c r="B214" s="2">
        <f t="shared" si="52"/>
        <v>489</v>
      </c>
      <c r="C214" s="2">
        <f t="shared" si="46"/>
        <v>424</v>
      </c>
      <c r="D214" s="2">
        <f t="shared" si="53"/>
        <v>2845</v>
      </c>
      <c r="E214" s="2">
        <v>0.7</v>
      </c>
      <c r="F214" s="2">
        <f t="shared" si="54"/>
        <v>1.4</v>
      </c>
      <c r="G214" s="17">
        <f t="shared" si="40"/>
        <v>5.8533333333333333E-2</v>
      </c>
      <c r="H214" s="8">
        <f t="shared" si="47"/>
        <v>74950</v>
      </c>
      <c r="I214" s="9">
        <f t="shared" si="43"/>
        <v>5</v>
      </c>
      <c r="L214" s="2">
        <f t="shared" si="48"/>
        <v>74950</v>
      </c>
      <c r="M214" s="2">
        <f t="shared" si="49"/>
        <v>489</v>
      </c>
      <c r="N214" s="15">
        <f t="shared" si="50"/>
        <v>424</v>
      </c>
      <c r="O214" s="15">
        <f t="shared" si="51"/>
        <v>2845</v>
      </c>
      <c r="P214" s="16">
        <f>SUM($H$3:H214)</f>
        <v>5380590</v>
      </c>
      <c r="Q214" s="2">
        <f>SUM($I$3:I214)</f>
        <v>564</v>
      </c>
    </row>
    <row r="215" spans="1:17" x14ac:dyDescent="0.3">
      <c r="A215" s="7">
        <f t="shared" si="52"/>
        <v>213</v>
      </c>
      <c r="B215" s="2">
        <f t="shared" si="52"/>
        <v>490</v>
      </c>
      <c r="C215" s="2">
        <f t="shared" si="46"/>
        <v>426</v>
      </c>
      <c r="D215" s="2">
        <f t="shared" si="53"/>
        <v>2852</v>
      </c>
      <c r="E215" s="2">
        <v>0.7</v>
      </c>
      <c r="F215" s="2">
        <f t="shared" si="54"/>
        <v>1.4</v>
      </c>
      <c r="G215" s="17">
        <f t="shared" si="40"/>
        <v>5.8966666666666667E-2</v>
      </c>
      <c r="H215" s="8">
        <f t="shared" si="47"/>
        <v>75660</v>
      </c>
      <c r="I215" s="9">
        <f t="shared" si="43"/>
        <v>5</v>
      </c>
      <c r="L215" s="2">
        <f t="shared" si="48"/>
        <v>75660</v>
      </c>
      <c r="M215" s="2">
        <f t="shared" si="49"/>
        <v>490</v>
      </c>
      <c r="N215" s="15">
        <f t="shared" si="50"/>
        <v>426</v>
      </c>
      <c r="O215" s="15">
        <f t="shared" si="51"/>
        <v>2852</v>
      </c>
      <c r="P215" s="16">
        <f>SUM($H$3:H215)</f>
        <v>5456250</v>
      </c>
      <c r="Q215" s="2">
        <f>SUM($I$3:I215)</f>
        <v>569</v>
      </c>
    </row>
    <row r="216" spans="1:17" x14ac:dyDescent="0.3">
      <c r="A216" s="7">
        <f t="shared" si="52"/>
        <v>214</v>
      </c>
      <c r="B216" s="2">
        <f t="shared" si="52"/>
        <v>491</v>
      </c>
      <c r="C216" s="2">
        <f t="shared" si="46"/>
        <v>428</v>
      </c>
      <c r="D216" s="2">
        <f t="shared" si="53"/>
        <v>2859</v>
      </c>
      <c r="E216" s="2">
        <v>0.7</v>
      </c>
      <c r="F216" s="2">
        <f t="shared" si="54"/>
        <v>1.4</v>
      </c>
      <c r="G216" s="17">
        <f t="shared" si="40"/>
        <v>5.9400000000000001E-2</v>
      </c>
      <c r="H216" s="8">
        <f t="shared" si="47"/>
        <v>76370</v>
      </c>
      <c r="I216" s="9">
        <f t="shared" si="43"/>
        <v>5</v>
      </c>
      <c r="L216" s="2">
        <f t="shared" si="48"/>
        <v>76370</v>
      </c>
      <c r="M216" s="2">
        <f t="shared" si="49"/>
        <v>491</v>
      </c>
      <c r="N216" s="15">
        <f t="shared" si="50"/>
        <v>428</v>
      </c>
      <c r="O216" s="15">
        <f t="shared" si="51"/>
        <v>2859</v>
      </c>
      <c r="P216" s="16">
        <f>SUM($H$3:H216)</f>
        <v>5532620</v>
      </c>
      <c r="Q216" s="2">
        <f>SUM($I$3:I216)</f>
        <v>574</v>
      </c>
    </row>
    <row r="217" spans="1:17" x14ac:dyDescent="0.3">
      <c r="A217" s="7">
        <f t="shared" si="52"/>
        <v>215</v>
      </c>
      <c r="B217" s="2">
        <f t="shared" si="52"/>
        <v>492</v>
      </c>
      <c r="C217" s="2">
        <f t="shared" si="46"/>
        <v>430</v>
      </c>
      <c r="D217" s="2">
        <f t="shared" si="53"/>
        <v>2866</v>
      </c>
      <c r="E217" s="2">
        <v>0.7</v>
      </c>
      <c r="F217" s="2">
        <f t="shared" si="54"/>
        <v>1.4</v>
      </c>
      <c r="G217" s="17">
        <f t="shared" si="40"/>
        <v>5.9833333333333336E-2</v>
      </c>
      <c r="H217" s="8">
        <f t="shared" si="47"/>
        <v>77090</v>
      </c>
      <c r="I217" s="9">
        <f t="shared" si="43"/>
        <v>5</v>
      </c>
      <c r="L217" s="2">
        <f t="shared" si="48"/>
        <v>77090</v>
      </c>
      <c r="M217" s="2">
        <f t="shared" si="49"/>
        <v>492</v>
      </c>
      <c r="N217" s="15">
        <f t="shared" si="50"/>
        <v>430</v>
      </c>
      <c r="O217" s="15">
        <f t="shared" si="51"/>
        <v>2866</v>
      </c>
      <c r="P217" s="16">
        <f>SUM($H$3:H217)</f>
        <v>5609710</v>
      </c>
      <c r="Q217" s="2">
        <f>SUM($I$3:I217)</f>
        <v>579</v>
      </c>
    </row>
    <row r="218" spans="1:17" x14ac:dyDescent="0.3">
      <c r="A218" s="7">
        <f t="shared" si="52"/>
        <v>216</v>
      </c>
      <c r="B218" s="2">
        <f t="shared" si="52"/>
        <v>493</v>
      </c>
      <c r="C218" s="2">
        <f t="shared" si="46"/>
        <v>432</v>
      </c>
      <c r="D218" s="2">
        <f t="shared" si="53"/>
        <v>2873</v>
      </c>
      <c r="E218" s="2">
        <v>0.7</v>
      </c>
      <c r="F218" s="2">
        <f t="shared" si="54"/>
        <v>1.4</v>
      </c>
      <c r="G218" s="17">
        <f t="shared" si="40"/>
        <v>6.026666666666667E-2</v>
      </c>
      <c r="H218" s="8">
        <f t="shared" si="47"/>
        <v>77800</v>
      </c>
      <c r="I218" s="9">
        <f t="shared" si="43"/>
        <v>5</v>
      </c>
      <c r="L218" s="2">
        <f t="shared" si="48"/>
        <v>77800</v>
      </c>
      <c r="M218" s="2">
        <f t="shared" si="49"/>
        <v>493</v>
      </c>
      <c r="N218" s="15">
        <f t="shared" si="50"/>
        <v>432</v>
      </c>
      <c r="O218" s="15">
        <f t="shared" si="51"/>
        <v>2873</v>
      </c>
      <c r="P218" s="16">
        <f>SUM($H$3:H218)</f>
        <v>5687510</v>
      </c>
      <c r="Q218" s="2">
        <f>SUM($I$3:I218)</f>
        <v>584</v>
      </c>
    </row>
    <row r="219" spans="1:17" x14ac:dyDescent="0.3">
      <c r="A219" s="7">
        <f t="shared" si="52"/>
        <v>217</v>
      </c>
      <c r="B219" s="2">
        <f t="shared" si="52"/>
        <v>494</v>
      </c>
      <c r="C219" s="2">
        <f t="shared" si="46"/>
        <v>434</v>
      </c>
      <c r="D219" s="2">
        <f t="shared" si="53"/>
        <v>2880</v>
      </c>
      <c r="E219" s="2">
        <v>0.7</v>
      </c>
      <c r="F219" s="2">
        <f t="shared" si="54"/>
        <v>1.4</v>
      </c>
      <c r="G219" s="17">
        <f t="shared" si="40"/>
        <v>6.0700000000000004E-2</v>
      </c>
      <c r="H219" s="8">
        <f t="shared" si="47"/>
        <v>78530</v>
      </c>
      <c r="I219" s="9">
        <f t="shared" si="43"/>
        <v>5</v>
      </c>
      <c r="L219" s="2">
        <f t="shared" si="48"/>
        <v>78530</v>
      </c>
      <c r="M219" s="2">
        <f t="shared" si="49"/>
        <v>494</v>
      </c>
      <c r="N219" s="15">
        <f t="shared" si="50"/>
        <v>434</v>
      </c>
      <c r="O219" s="15">
        <f t="shared" si="51"/>
        <v>2880</v>
      </c>
      <c r="P219" s="16">
        <f>SUM($H$3:H219)</f>
        <v>5766040</v>
      </c>
      <c r="Q219" s="2">
        <f>SUM($I$3:I219)</f>
        <v>589</v>
      </c>
    </row>
    <row r="220" spans="1:17" x14ac:dyDescent="0.3">
      <c r="A220" s="7">
        <f t="shared" si="52"/>
        <v>218</v>
      </c>
      <c r="B220" s="2">
        <f t="shared" si="52"/>
        <v>495</v>
      </c>
      <c r="C220" s="2">
        <f t="shared" si="46"/>
        <v>436</v>
      </c>
      <c r="D220" s="2">
        <f t="shared" si="53"/>
        <v>2887</v>
      </c>
      <c r="E220" s="2">
        <v>0.7</v>
      </c>
      <c r="F220" s="2">
        <f t="shared" si="54"/>
        <v>1.4</v>
      </c>
      <c r="G220" s="17">
        <f t="shared" si="40"/>
        <v>6.1133333333333338E-2</v>
      </c>
      <c r="H220" s="8">
        <f t="shared" si="47"/>
        <v>79250</v>
      </c>
      <c r="I220" s="9">
        <f t="shared" si="43"/>
        <v>5</v>
      </c>
      <c r="L220" s="2">
        <f t="shared" si="48"/>
        <v>79250</v>
      </c>
      <c r="M220" s="2">
        <f t="shared" si="49"/>
        <v>495</v>
      </c>
      <c r="N220" s="15">
        <f t="shared" si="50"/>
        <v>436</v>
      </c>
      <c r="O220" s="15">
        <f t="shared" si="51"/>
        <v>2887</v>
      </c>
      <c r="P220" s="16">
        <f>SUM($H$3:H220)</f>
        <v>5845290</v>
      </c>
      <c r="Q220" s="2">
        <f>SUM($I$3:I220)</f>
        <v>594</v>
      </c>
    </row>
    <row r="221" spans="1:17" x14ac:dyDescent="0.3">
      <c r="A221" s="7">
        <f t="shared" si="52"/>
        <v>219</v>
      </c>
      <c r="B221" s="2">
        <f t="shared" si="52"/>
        <v>496</v>
      </c>
      <c r="C221" s="2">
        <f t="shared" si="46"/>
        <v>438</v>
      </c>
      <c r="D221" s="2">
        <f t="shared" si="53"/>
        <v>2894</v>
      </c>
      <c r="E221" s="2">
        <v>0.7</v>
      </c>
      <c r="F221" s="2">
        <f t="shared" si="54"/>
        <v>1.4</v>
      </c>
      <c r="G221" s="17">
        <f t="shared" si="40"/>
        <v>6.1566666666666672E-2</v>
      </c>
      <c r="H221" s="8">
        <f t="shared" si="47"/>
        <v>79980</v>
      </c>
      <c r="I221" s="9">
        <f t="shared" si="43"/>
        <v>5</v>
      </c>
      <c r="L221" s="2">
        <f t="shared" si="48"/>
        <v>79980</v>
      </c>
      <c r="M221" s="2">
        <f t="shared" si="49"/>
        <v>496</v>
      </c>
      <c r="N221" s="15">
        <f t="shared" si="50"/>
        <v>438</v>
      </c>
      <c r="O221" s="15">
        <f t="shared" si="51"/>
        <v>2894</v>
      </c>
      <c r="P221" s="16">
        <f>SUM($H$3:H221)</f>
        <v>5925270</v>
      </c>
      <c r="Q221" s="2">
        <f>SUM($I$3:I221)</f>
        <v>599</v>
      </c>
    </row>
    <row r="222" spans="1:17" x14ac:dyDescent="0.3">
      <c r="A222" s="7">
        <f t="shared" si="52"/>
        <v>220</v>
      </c>
      <c r="B222" s="2">
        <f t="shared" si="52"/>
        <v>497</v>
      </c>
      <c r="C222" s="2">
        <f t="shared" si="46"/>
        <v>440</v>
      </c>
      <c r="D222" s="2">
        <f t="shared" si="53"/>
        <v>2901</v>
      </c>
      <c r="E222" s="2">
        <v>0.7</v>
      </c>
      <c r="F222" s="2">
        <f t="shared" si="54"/>
        <v>1.5999999999999999</v>
      </c>
      <c r="G222" s="17">
        <f t="shared" si="40"/>
        <v>6.2000000000000006E-2</v>
      </c>
      <c r="H222" s="8">
        <f t="shared" si="47"/>
        <v>80710</v>
      </c>
      <c r="I222" s="9">
        <f t="shared" si="43"/>
        <v>5</v>
      </c>
      <c r="L222" s="2">
        <f t="shared" si="48"/>
        <v>80710</v>
      </c>
      <c r="M222" s="2">
        <f t="shared" si="49"/>
        <v>497</v>
      </c>
      <c r="N222" s="15">
        <f t="shared" si="50"/>
        <v>440</v>
      </c>
      <c r="O222" s="15">
        <f t="shared" si="51"/>
        <v>2901</v>
      </c>
      <c r="P222" s="16">
        <f>SUM($H$3:H222)</f>
        <v>6005980</v>
      </c>
      <c r="Q222" s="2">
        <f>SUM($I$3:I222)</f>
        <v>604</v>
      </c>
    </row>
    <row r="223" spans="1:17" x14ac:dyDescent="0.3">
      <c r="A223" s="7">
        <f t="shared" si="52"/>
        <v>221</v>
      </c>
      <c r="B223" s="2">
        <f t="shared" si="52"/>
        <v>498</v>
      </c>
      <c r="C223" s="2">
        <f t="shared" si="46"/>
        <v>442</v>
      </c>
      <c r="D223" s="2">
        <f t="shared" si="53"/>
        <v>2908</v>
      </c>
      <c r="E223" s="2">
        <v>0.7</v>
      </c>
      <c r="F223" s="2">
        <f t="shared" si="54"/>
        <v>1.5999999999999999</v>
      </c>
      <c r="G223" s="17">
        <f t="shared" si="40"/>
        <v>6.2433333333333341E-2</v>
      </c>
      <c r="H223" s="8">
        <f t="shared" si="47"/>
        <v>81440</v>
      </c>
      <c r="I223" s="9">
        <f t="shared" si="43"/>
        <v>5</v>
      </c>
      <c r="L223" s="2">
        <f t="shared" si="48"/>
        <v>81440</v>
      </c>
      <c r="M223" s="2">
        <f t="shared" si="49"/>
        <v>498</v>
      </c>
      <c r="N223" s="15">
        <f t="shared" si="50"/>
        <v>442</v>
      </c>
      <c r="O223" s="15">
        <f t="shared" si="51"/>
        <v>2908</v>
      </c>
      <c r="P223" s="16">
        <f>SUM($H$3:H223)</f>
        <v>6087420</v>
      </c>
      <c r="Q223" s="2">
        <f>SUM($I$3:I223)</f>
        <v>609</v>
      </c>
    </row>
    <row r="224" spans="1:17" x14ac:dyDescent="0.3">
      <c r="A224" s="7">
        <f t="shared" si="52"/>
        <v>222</v>
      </c>
      <c r="B224" s="2">
        <f t="shared" si="52"/>
        <v>499</v>
      </c>
      <c r="C224" s="2">
        <f t="shared" si="46"/>
        <v>444</v>
      </c>
      <c r="D224" s="2">
        <f t="shared" si="53"/>
        <v>2915</v>
      </c>
      <c r="E224" s="2">
        <v>0.7</v>
      </c>
      <c r="F224" s="2">
        <f t="shared" si="54"/>
        <v>1.5999999999999999</v>
      </c>
      <c r="G224" s="17">
        <f t="shared" si="40"/>
        <v>6.2866666666666668E-2</v>
      </c>
      <c r="H224" s="8">
        <f t="shared" si="47"/>
        <v>82180</v>
      </c>
      <c r="I224" s="9">
        <f t="shared" si="43"/>
        <v>5</v>
      </c>
      <c r="L224" s="2">
        <f t="shared" si="48"/>
        <v>82180</v>
      </c>
      <c r="M224" s="2">
        <f t="shared" si="49"/>
        <v>499</v>
      </c>
      <c r="N224" s="15">
        <f t="shared" si="50"/>
        <v>444</v>
      </c>
      <c r="O224" s="15">
        <f t="shared" si="51"/>
        <v>2915</v>
      </c>
      <c r="P224" s="16">
        <f>SUM($H$3:H224)</f>
        <v>6169600</v>
      </c>
      <c r="Q224" s="2">
        <f>SUM($I$3:I224)</f>
        <v>614</v>
      </c>
    </row>
    <row r="225" spans="1:17" x14ac:dyDescent="0.3">
      <c r="A225" s="7">
        <f t="shared" si="52"/>
        <v>223</v>
      </c>
      <c r="B225" s="2">
        <f t="shared" si="52"/>
        <v>500</v>
      </c>
      <c r="C225" s="2">
        <f t="shared" si="46"/>
        <v>446</v>
      </c>
      <c r="D225" s="2">
        <f t="shared" si="53"/>
        <v>2922</v>
      </c>
      <c r="E225" s="2">
        <v>0.7</v>
      </c>
      <c r="F225" s="2">
        <f t="shared" si="54"/>
        <v>1.5999999999999999</v>
      </c>
      <c r="G225" s="17">
        <f t="shared" si="40"/>
        <v>6.3299999999999995E-2</v>
      </c>
      <c r="H225" s="8">
        <f t="shared" si="47"/>
        <v>82920</v>
      </c>
      <c r="I225" s="9">
        <f t="shared" si="43"/>
        <v>5</v>
      </c>
      <c r="L225" s="2">
        <f t="shared" si="48"/>
        <v>82920</v>
      </c>
      <c r="M225" s="2">
        <f t="shared" si="49"/>
        <v>500</v>
      </c>
      <c r="N225" s="15">
        <f t="shared" si="50"/>
        <v>446</v>
      </c>
      <c r="O225" s="15">
        <f t="shared" si="51"/>
        <v>2922</v>
      </c>
      <c r="P225" s="16">
        <f>SUM($H$3:H225)</f>
        <v>6252520</v>
      </c>
      <c r="Q225" s="2">
        <f>SUM($I$3:I225)</f>
        <v>619</v>
      </c>
    </row>
    <row r="226" spans="1:17" x14ac:dyDescent="0.3">
      <c r="A226" s="7">
        <f t="shared" si="52"/>
        <v>224</v>
      </c>
      <c r="B226" s="2">
        <f t="shared" si="52"/>
        <v>501</v>
      </c>
      <c r="C226" s="2">
        <f t="shared" si="46"/>
        <v>448</v>
      </c>
      <c r="D226" s="2">
        <f t="shared" si="53"/>
        <v>2929</v>
      </c>
      <c r="E226" s="2">
        <v>0.7</v>
      </c>
      <c r="F226" s="2">
        <f t="shared" si="54"/>
        <v>1.5999999999999999</v>
      </c>
      <c r="G226" s="17">
        <f t="shared" si="40"/>
        <v>6.3733333333333336E-2</v>
      </c>
      <c r="H226" s="8">
        <f t="shared" si="47"/>
        <v>83660</v>
      </c>
      <c r="I226" s="9">
        <f t="shared" si="43"/>
        <v>5</v>
      </c>
      <c r="L226" s="2">
        <f t="shared" si="48"/>
        <v>83660</v>
      </c>
      <c r="M226" s="2">
        <f t="shared" si="49"/>
        <v>501</v>
      </c>
      <c r="N226" s="15">
        <f t="shared" si="50"/>
        <v>448</v>
      </c>
      <c r="O226" s="15">
        <f t="shared" si="51"/>
        <v>2929</v>
      </c>
      <c r="P226" s="16">
        <f>SUM($H$3:H226)</f>
        <v>6336180</v>
      </c>
      <c r="Q226" s="2">
        <f>SUM($I$3:I226)</f>
        <v>624</v>
      </c>
    </row>
    <row r="227" spans="1:17" x14ac:dyDescent="0.3">
      <c r="A227" s="7">
        <f t="shared" si="52"/>
        <v>225</v>
      </c>
      <c r="B227" s="2">
        <f t="shared" si="52"/>
        <v>502</v>
      </c>
      <c r="C227" s="2">
        <f t="shared" si="46"/>
        <v>450</v>
      </c>
      <c r="D227" s="2">
        <f t="shared" si="53"/>
        <v>2936</v>
      </c>
      <c r="E227" s="2">
        <v>0.7</v>
      </c>
      <c r="F227" s="2">
        <f t="shared" si="54"/>
        <v>1.5999999999999999</v>
      </c>
      <c r="G227" s="17">
        <f t="shared" si="40"/>
        <v>6.4166666666666664E-2</v>
      </c>
      <c r="H227" s="8">
        <f t="shared" si="47"/>
        <v>84410</v>
      </c>
      <c r="I227" s="9">
        <f>I202+1</f>
        <v>6</v>
      </c>
      <c r="L227" s="2">
        <f t="shared" si="48"/>
        <v>84410</v>
      </c>
      <c r="M227" s="2">
        <f t="shared" si="49"/>
        <v>502</v>
      </c>
      <c r="N227" s="15">
        <f t="shared" si="50"/>
        <v>450</v>
      </c>
      <c r="O227" s="15">
        <f t="shared" si="51"/>
        <v>2936</v>
      </c>
      <c r="P227" s="16">
        <f>SUM($H$3:H227)</f>
        <v>6420590</v>
      </c>
      <c r="Q227" s="2">
        <f>SUM($I$3:I227)</f>
        <v>630</v>
      </c>
    </row>
    <row r="228" spans="1:17" x14ac:dyDescent="0.3">
      <c r="A228" s="7">
        <f t="shared" si="52"/>
        <v>226</v>
      </c>
      <c r="B228" s="2">
        <f t="shared" si="52"/>
        <v>503</v>
      </c>
      <c r="C228" s="2">
        <f t="shared" si="46"/>
        <v>452</v>
      </c>
      <c r="D228" s="2">
        <f t="shared" si="53"/>
        <v>2943</v>
      </c>
      <c r="E228" s="2">
        <v>0.7</v>
      </c>
      <c r="F228" s="2">
        <f t="shared" si="54"/>
        <v>1.5999999999999999</v>
      </c>
      <c r="G228" s="17">
        <f t="shared" si="40"/>
        <v>6.4600000000000005E-2</v>
      </c>
      <c r="H228" s="8">
        <f t="shared" si="47"/>
        <v>85160</v>
      </c>
      <c r="I228" s="9">
        <f t="shared" ref="I228:I291" si="55">I203+1</f>
        <v>6</v>
      </c>
      <c r="L228" s="2">
        <f t="shared" si="48"/>
        <v>85160</v>
      </c>
      <c r="M228" s="2">
        <f t="shared" si="49"/>
        <v>503</v>
      </c>
      <c r="N228" s="15">
        <f t="shared" si="50"/>
        <v>452</v>
      </c>
      <c r="O228" s="15">
        <f t="shared" si="51"/>
        <v>2943</v>
      </c>
      <c r="P228" s="16">
        <f>SUM($H$3:H228)</f>
        <v>6505750</v>
      </c>
      <c r="Q228" s="2">
        <f>SUM($I$3:I228)</f>
        <v>636</v>
      </c>
    </row>
    <row r="229" spans="1:17" x14ac:dyDescent="0.3">
      <c r="A229" s="7">
        <f t="shared" si="52"/>
        <v>227</v>
      </c>
      <c r="B229" s="2">
        <f t="shared" si="52"/>
        <v>504</v>
      </c>
      <c r="C229" s="2">
        <f t="shared" si="46"/>
        <v>454</v>
      </c>
      <c r="D229" s="2">
        <f t="shared" si="53"/>
        <v>2950</v>
      </c>
      <c r="E229" s="2">
        <v>0.7</v>
      </c>
      <c r="F229" s="2">
        <f t="shared" si="54"/>
        <v>1.5999999999999999</v>
      </c>
      <c r="G229" s="17">
        <f t="shared" si="40"/>
        <v>6.5033333333333332E-2</v>
      </c>
      <c r="H229" s="8">
        <f t="shared" si="47"/>
        <v>85920</v>
      </c>
      <c r="I229" s="9">
        <f t="shared" si="55"/>
        <v>6</v>
      </c>
      <c r="L229" s="2">
        <f t="shared" si="48"/>
        <v>85920</v>
      </c>
      <c r="M229" s="2">
        <f t="shared" si="49"/>
        <v>504</v>
      </c>
      <c r="N229" s="15">
        <f t="shared" si="50"/>
        <v>454</v>
      </c>
      <c r="O229" s="15">
        <f t="shared" si="51"/>
        <v>2950</v>
      </c>
      <c r="P229" s="16">
        <f>SUM($H$3:H229)</f>
        <v>6591670</v>
      </c>
      <c r="Q229" s="2">
        <f>SUM($I$3:I229)</f>
        <v>642</v>
      </c>
    </row>
    <row r="230" spans="1:17" x14ac:dyDescent="0.3">
      <c r="A230" s="7">
        <f t="shared" si="52"/>
        <v>228</v>
      </c>
      <c r="B230" s="2">
        <f t="shared" si="52"/>
        <v>505</v>
      </c>
      <c r="C230" s="2">
        <f t="shared" si="46"/>
        <v>456</v>
      </c>
      <c r="D230" s="2">
        <f t="shared" si="53"/>
        <v>2957</v>
      </c>
      <c r="E230" s="2">
        <v>0.7</v>
      </c>
      <c r="F230" s="2">
        <f t="shared" si="54"/>
        <v>1.5999999999999999</v>
      </c>
      <c r="G230" s="17">
        <f t="shared" si="40"/>
        <v>6.5466666666666673E-2</v>
      </c>
      <c r="H230" s="8">
        <f t="shared" si="47"/>
        <v>86670</v>
      </c>
      <c r="I230" s="9">
        <f t="shared" si="55"/>
        <v>6</v>
      </c>
      <c r="L230" s="2">
        <f t="shared" si="48"/>
        <v>86670</v>
      </c>
      <c r="M230" s="2">
        <f t="shared" si="49"/>
        <v>505</v>
      </c>
      <c r="N230" s="15">
        <f t="shared" si="50"/>
        <v>456</v>
      </c>
      <c r="O230" s="15">
        <f t="shared" si="51"/>
        <v>2957</v>
      </c>
      <c r="P230" s="16">
        <f>SUM($H$3:H230)</f>
        <v>6678340</v>
      </c>
      <c r="Q230" s="2">
        <f>SUM($I$3:I230)</f>
        <v>648</v>
      </c>
    </row>
    <row r="231" spans="1:17" x14ac:dyDescent="0.3">
      <c r="A231" s="7">
        <f t="shared" si="52"/>
        <v>229</v>
      </c>
      <c r="B231" s="2">
        <f t="shared" si="52"/>
        <v>506</v>
      </c>
      <c r="C231" s="2">
        <f t="shared" si="46"/>
        <v>458</v>
      </c>
      <c r="D231" s="2">
        <f t="shared" si="53"/>
        <v>2964</v>
      </c>
      <c r="E231" s="2">
        <v>0.7</v>
      </c>
      <c r="F231" s="2">
        <f t="shared" si="54"/>
        <v>1.5999999999999999</v>
      </c>
      <c r="G231" s="17">
        <f t="shared" ref="G231:G294" si="56">0.01 + (A231-100)*(0.4-0.01)/(1000-100)</f>
        <v>6.59E-2</v>
      </c>
      <c r="H231" s="8">
        <f t="shared" si="47"/>
        <v>87430</v>
      </c>
      <c r="I231" s="9">
        <f t="shared" si="55"/>
        <v>6</v>
      </c>
      <c r="L231" s="2">
        <f t="shared" si="48"/>
        <v>87430</v>
      </c>
      <c r="M231" s="2">
        <f t="shared" si="49"/>
        <v>506</v>
      </c>
      <c r="N231" s="15">
        <f t="shared" si="50"/>
        <v>458</v>
      </c>
      <c r="O231" s="15">
        <f t="shared" si="51"/>
        <v>2964</v>
      </c>
      <c r="P231" s="16">
        <f>SUM($H$3:H231)</f>
        <v>6765770</v>
      </c>
      <c r="Q231" s="2">
        <f>SUM($I$3:I231)</f>
        <v>654</v>
      </c>
    </row>
    <row r="232" spans="1:17" x14ac:dyDescent="0.3">
      <c r="A232" s="7">
        <f t="shared" si="52"/>
        <v>230</v>
      </c>
      <c r="B232" s="2">
        <f t="shared" si="52"/>
        <v>507</v>
      </c>
      <c r="C232" s="2">
        <f t="shared" si="46"/>
        <v>460</v>
      </c>
      <c r="D232" s="2">
        <f t="shared" si="53"/>
        <v>2971</v>
      </c>
      <c r="E232" s="2">
        <v>0.7</v>
      </c>
      <c r="F232" s="2">
        <f t="shared" si="54"/>
        <v>1.5999999999999999</v>
      </c>
      <c r="G232" s="17">
        <f t="shared" si="56"/>
        <v>6.6333333333333341E-2</v>
      </c>
      <c r="H232" s="8">
        <f t="shared" si="47"/>
        <v>88200</v>
      </c>
      <c r="I232" s="9">
        <f t="shared" si="55"/>
        <v>6</v>
      </c>
      <c r="L232" s="2">
        <f t="shared" si="48"/>
        <v>88200</v>
      </c>
      <c r="M232" s="2">
        <f t="shared" si="49"/>
        <v>507</v>
      </c>
      <c r="N232" s="15">
        <f t="shared" si="50"/>
        <v>460</v>
      </c>
      <c r="O232" s="15">
        <f t="shared" si="51"/>
        <v>2971</v>
      </c>
      <c r="P232" s="16">
        <f>SUM($H$3:H232)</f>
        <v>6853970</v>
      </c>
      <c r="Q232" s="2">
        <f>SUM($I$3:I232)</f>
        <v>660</v>
      </c>
    </row>
    <row r="233" spans="1:17" x14ac:dyDescent="0.3">
      <c r="A233" s="7">
        <f t="shared" si="52"/>
        <v>231</v>
      </c>
      <c r="B233" s="2">
        <f t="shared" si="52"/>
        <v>508</v>
      </c>
      <c r="C233" s="2">
        <f t="shared" si="46"/>
        <v>462</v>
      </c>
      <c r="D233" s="2">
        <f t="shared" si="53"/>
        <v>2978</v>
      </c>
      <c r="E233" s="2">
        <v>0.7</v>
      </c>
      <c r="F233" s="2">
        <f t="shared" si="54"/>
        <v>1.5999999999999999</v>
      </c>
      <c r="G233" s="17">
        <f t="shared" si="56"/>
        <v>6.6766666666666669E-2</v>
      </c>
      <c r="H233" s="8">
        <f t="shared" si="47"/>
        <v>88970</v>
      </c>
      <c r="I233" s="9">
        <f t="shared" si="55"/>
        <v>6</v>
      </c>
      <c r="L233" s="2">
        <f t="shared" si="48"/>
        <v>88970</v>
      </c>
      <c r="M233" s="2">
        <f t="shared" si="49"/>
        <v>508</v>
      </c>
      <c r="N233" s="15">
        <f t="shared" si="50"/>
        <v>462</v>
      </c>
      <c r="O233" s="15">
        <f t="shared" si="51"/>
        <v>2978</v>
      </c>
      <c r="P233" s="16">
        <f>SUM($H$3:H233)</f>
        <v>6942940</v>
      </c>
      <c r="Q233" s="2">
        <f>SUM($I$3:I233)</f>
        <v>666</v>
      </c>
    </row>
    <row r="234" spans="1:17" x14ac:dyDescent="0.3">
      <c r="A234" s="7">
        <f t="shared" si="52"/>
        <v>232</v>
      </c>
      <c r="B234" s="2">
        <f t="shared" si="52"/>
        <v>509</v>
      </c>
      <c r="C234" s="2">
        <f t="shared" si="46"/>
        <v>464</v>
      </c>
      <c r="D234" s="2">
        <f t="shared" si="53"/>
        <v>2985</v>
      </c>
      <c r="E234" s="2">
        <v>0.7</v>
      </c>
      <c r="F234" s="2">
        <f t="shared" si="54"/>
        <v>1.5999999999999999</v>
      </c>
      <c r="G234" s="17">
        <f t="shared" si="56"/>
        <v>6.720000000000001E-2</v>
      </c>
      <c r="H234" s="8">
        <f t="shared" si="47"/>
        <v>89740</v>
      </c>
      <c r="I234" s="9">
        <f t="shared" si="55"/>
        <v>6</v>
      </c>
      <c r="L234" s="2">
        <f t="shared" si="48"/>
        <v>89740</v>
      </c>
      <c r="M234" s="2">
        <f t="shared" si="49"/>
        <v>509</v>
      </c>
      <c r="N234" s="15">
        <f t="shared" si="50"/>
        <v>464</v>
      </c>
      <c r="O234" s="15">
        <f t="shared" si="51"/>
        <v>2985</v>
      </c>
      <c r="P234" s="16">
        <f>SUM($H$3:H234)</f>
        <v>7032680</v>
      </c>
      <c r="Q234" s="2">
        <f>SUM($I$3:I234)</f>
        <v>672</v>
      </c>
    </row>
    <row r="235" spans="1:17" x14ac:dyDescent="0.3">
      <c r="A235" s="7">
        <f t="shared" si="52"/>
        <v>233</v>
      </c>
      <c r="B235" s="2">
        <f t="shared" si="52"/>
        <v>510</v>
      </c>
      <c r="C235" s="2">
        <f t="shared" si="46"/>
        <v>466</v>
      </c>
      <c r="D235" s="2">
        <f t="shared" si="53"/>
        <v>2992</v>
      </c>
      <c r="E235" s="2">
        <v>0.7</v>
      </c>
      <c r="F235" s="2">
        <f t="shared" si="54"/>
        <v>1.5999999999999999</v>
      </c>
      <c r="G235" s="17">
        <f t="shared" si="56"/>
        <v>6.7633333333333337E-2</v>
      </c>
      <c r="H235" s="8">
        <f t="shared" si="47"/>
        <v>90510</v>
      </c>
      <c r="I235" s="9">
        <f t="shared" si="55"/>
        <v>6</v>
      </c>
      <c r="L235" s="2">
        <f t="shared" si="48"/>
        <v>90510</v>
      </c>
      <c r="M235" s="2">
        <f t="shared" si="49"/>
        <v>510</v>
      </c>
      <c r="N235" s="15">
        <f t="shared" si="50"/>
        <v>466</v>
      </c>
      <c r="O235" s="15">
        <f t="shared" si="51"/>
        <v>2992</v>
      </c>
      <c r="P235" s="16">
        <f>SUM($H$3:H235)</f>
        <v>7123190</v>
      </c>
      <c r="Q235" s="2">
        <f>SUM($I$3:I235)</f>
        <v>678</v>
      </c>
    </row>
    <row r="236" spans="1:17" x14ac:dyDescent="0.3">
      <c r="A236" s="7">
        <f t="shared" si="52"/>
        <v>234</v>
      </c>
      <c r="B236" s="2">
        <f t="shared" si="52"/>
        <v>511</v>
      </c>
      <c r="C236" s="2">
        <f t="shared" si="46"/>
        <v>468</v>
      </c>
      <c r="D236" s="2">
        <f t="shared" si="53"/>
        <v>2999</v>
      </c>
      <c r="E236" s="2">
        <v>0.7</v>
      </c>
      <c r="F236" s="2">
        <f t="shared" si="54"/>
        <v>1.5999999999999999</v>
      </c>
      <c r="G236" s="17">
        <f t="shared" si="56"/>
        <v>6.8066666666666664E-2</v>
      </c>
      <c r="H236" s="8">
        <f t="shared" si="47"/>
        <v>91290</v>
      </c>
      <c r="I236" s="9">
        <f t="shared" si="55"/>
        <v>6</v>
      </c>
      <c r="L236" s="2">
        <f t="shared" si="48"/>
        <v>91290</v>
      </c>
      <c r="M236" s="2">
        <f t="shared" si="49"/>
        <v>511</v>
      </c>
      <c r="N236" s="15">
        <f t="shared" si="50"/>
        <v>468</v>
      </c>
      <c r="O236" s="15">
        <f t="shared" si="51"/>
        <v>2999</v>
      </c>
      <c r="P236" s="16">
        <f>SUM($H$3:H236)</f>
        <v>7214480</v>
      </c>
      <c r="Q236" s="2">
        <f>SUM($I$3:I236)</f>
        <v>684</v>
      </c>
    </row>
    <row r="237" spans="1:17" x14ac:dyDescent="0.3">
      <c r="A237" s="7">
        <f t="shared" si="52"/>
        <v>235</v>
      </c>
      <c r="B237" s="2">
        <f t="shared" si="52"/>
        <v>512</v>
      </c>
      <c r="C237" s="2">
        <f t="shared" si="46"/>
        <v>470</v>
      </c>
      <c r="D237" s="2">
        <f t="shared" si="53"/>
        <v>3006</v>
      </c>
      <c r="E237" s="2">
        <v>0.7</v>
      </c>
      <c r="F237" s="2">
        <f t="shared" si="54"/>
        <v>1.5999999999999999</v>
      </c>
      <c r="G237" s="17">
        <f t="shared" si="56"/>
        <v>6.8499999999999991E-2</v>
      </c>
      <c r="H237" s="8">
        <f t="shared" si="47"/>
        <v>92070</v>
      </c>
      <c r="I237" s="9">
        <f t="shared" si="55"/>
        <v>6</v>
      </c>
      <c r="L237" s="2">
        <f t="shared" si="48"/>
        <v>92070</v>
      </c>
      <c r="M237" s="2">
        <f t="shared" si="49"/>
        <v>512</v>
      </c>
      <c r="N237" s="15">
        <f t="shared" si="50"/>
        <v>470</v>
      </c>
      <c r="O237" s="15">
        <f t="shared" si="51"/>
        <v>3006</v>
      </c>
      <c r="P237" s="16">
        <f>SUM($H$3:H237)</f>
        <v>7306550</v>
      </c>
      <c r="Q237" s="2">
        <f>SUM($I$3:I237)</f>
        <v>690</v>
      </c>
    </row>
    <row r="238" spans="1:17" x14ac:dyDescent="0.3">
      <c r="A238" s="7">
        <f t="shared" si="52"/>
        <v>236</v>
      </c>
      <c r="B238" s="2">
        <f t="shared" si="52"/>
        <v>513</v>
      </c>
      <c r="C238" s="2">
        <f t="shared" si="46"/>
        <v>472</v>
      </c>
      <c r="D238" s="2">
        <f t="shared" si="53"/>
        <v>3013</v>
      </c>
      <c r="E238" s="2">
        <v>0.7</v>
      </c>
      <c r="F238" s="2">
        <f t="shared" si="54"/>
        <v>1.5999999999999999</v>
      </c>
      <c r="G238" s="17">
        <f t="shared" si="56"/>
        <v>6.8933333333333333E-2</v>
      </c>
      <c r="H238" s="8">
        <f t="shared" si="47"/>
        <v>92850</v>
      </c>
      <c r="I238" s="9">
        <f t="shared" si="55"/>
        <v>6</v>
      </c>
      <c r="L238" s="2">
        <f t="shared" si="48"/>
        <v>92850</v>
      </c>
      <c r="M238" s="2">
        <f t="shared" si="49"/>
        <v>513</v>
      </c>
      <c r="N238" s="15">
        <f t="shared" si="50"/>
        <v>472</v>
      </c>
      <c r="O238" s="15">
        <f t="shared" si="51"/>
        <v>3013</v>
      </c>
      <c r="P238" s="16">
        <f>SUM($H$3:H238)</f>
        <v>7399400</v>
      </c>
      <c r="Q238" s="2">
        <f>SUM($I$3:I238)</f>
        <v>696</v>
      </c>
    </row>
    <row r="239" spans="1:17" x14ac:dyDescent="0.3">
      <c r="A239" s="7">
        <f t="shared" si="52"/>
        <v>237</v>
      </c>
      <c r="B239" s="2">
        <f t="shared" si="52"/>
        <v>514</v>
      </c>
      <c r="C239" s="2">
        <f t="shared" si="46"/>
        <v>474</v>
      </c>
      <c r="D239" s="2">
        <f t="shared" si="53"/>
        <v>3020</v>
      </c>
      <c r="E239" s="2">
        <v>0.7</v>
      </c>
      <c r="F239" s="2">
        <f t="shared" si="54"/>
        <v>1.5999999999999999</v>
      </c>
      <c r="G239" s="17">
        <f t="shared" si="56"/>
        <v>6.936666666666666E-2</v>
      </c>
      <c r="H239" s="8">
        <f t="shared" si="47"/>
        <v>93640</v>
      </c>
      <c r="I239" s="9">
        <f t="shared" si="55"/>
        <v>6</v>
      </c>
      <c r="L239" s="2">
        <f t="shared" si="48"/>
        <v>93640</v>
      </c>
      <c r="M239" s="2">
        <f t="shared" si="49"/>
        <v>514</v>
      </c>
      <c r="N239" s="15">
        <f t="shared" si="50"/>
        <v>474</v>
      </c>
      <c r="O239" s="15">
        <f t="shared" si="51"/>
        <v>3020</v>
      </c>
      <c r="P239" s="16">
        <f>SUM($H$3:H239)</f>
        <v>7493040</v>
      </c>
      <c r="Q239" s="2">
        <f>SUM($I$3:I239)</f>
        <v>702</v>
      </c>
    </row>
    <row r="240" spans="1:17" x14ac:dyDescent="0.3">
      <c r="A240" s="7">
        <f t="shared" si="52"/>
        <v>238</v>
      </c>
      <c r="B240" s="2">
        <f t="shared" si="52"/>
        <v>515</v>
      </c>
      <c r="C240" s="2">
        <f t="shared" si="46"/>
        <v>476</v>
      </c>
      <c r="D240" s="2">
        <f t="shared" si="53"/>
        <v>3027</v>
      </c>
      <c r="E240" s="2">
        <v>0.7</v>
      </c>
      <c r="F240" s="2">
        <f t="shared" si="54"/>
        <v>1.5999999999999999</v>
      </c>
      <c r="G240" s="17">
        <f t="shared" si="56"/>
        <v>6.9800000000000001E-2</v>
      </c>
      <c r="H240" s="8">
        <f t="shared" si="47"/>
        <v>94430</v>
      </c>
      <c r="I240" s="9">
        <f t="shared" si="55"/>
        <v>6</v>
      </c>
      <c r="L240" s="2">
        <f t="shared" si="48"/>
        <v>94430</v>
      </c>
      <c r="M240" s="2">
        <f t="shared" si="49"/>
        <v>515</v>
      </c>
      <c r="N240" s="15">
        <f t="shared" si="50"/>
        <v>476</v>
      </c>
      <c r="O240" s="15">
        <f t="shared" si="51"/>
        <v>3027</v>
      </c>
      <c r="P240" s="16">
        <f>SUM($H$3:H240)</f>
        <v>7587470</v>
      </c>
      <c r="Q240" s="2">
        <f>SUM($I$3:I240)</f>
        <v>708</v>
      </c>
    </row>
    <row r="241" spans="1:17" x14ac:dyDescent="0.3">
      <c r="A241" s="7">
        <f t="shared" si="52"/>
        <v>239</v>
      </c>
      <c r="B241" s="2">
        <f t="shared" si="52"/>
        <v>516</v>
      </c>
      <c r="C241" s="2">
        <f t="shared" si="46"/>
        <v>478</v>
      </c>
      <c r="D241" s="2">
        <f t="shared" si="53"/>
        <v>3034</v>
      </c>
      <c r="E241" s="2">
        <v>0.7</v>
      </c>
      <c r="F241" s="2">
        <f t="shared" si="54"/>
        <v>1.5999999999999999</v>
      </c>
      <c r="G241" s="17">
        <f t="shared" si="56"/>
        <v>7.0233333333333328E-2</v>
      </c>
      <c r="H241" s="8">
        <f t="shared" si="47"/>
        <v>95230</v>
      </c>
      <c r="I241" s="9">
        <f t="shared" si="55"/>
        <v>6</v>
      </c>
      <c r="L241" s="2">
        <f t="shared" si="48"/>
        <v>95230</v>
      </c>
      <c r="M241" s="2">
        <f t="shared" si="49"/>
        <v>516</v>
      </c>
      <c r="N241" s="15">
        <f t="shared" si="50"/>
        <v>478</v>
      </c>
      <c r="O241" s="15">
        <f t="shared" si="51"/>
        <v>3034</v>
      </c>
      <c r="P241" s="16">
        <f>SUM($H$3:H241)</f>
        <v>7682700</v>
      </c>
      <c r="Q241" s="2">
        <f>SUM($I$3:I241)</f>
        <v>714</v>
      </c>
    </row>
    <row r="242" spans="1:17" x14ac:dyDescent="0.3">
      <c r="A242" s="7">
        <f t="shared" si="52"/>
        <v>240</v>
      </c>
      <c r="B242" s="2">
        <f t="shared" si="52"/>
        <v>517</v>
      </c>
      <c r="C242" s="2">
        <f t="shared" si="46"/>
        <v>480</v>
      </c>
      <c r="D242" s="2">
        <f t="shared" si="53"/>
        <v>3041</v>
      </c>
      <c r="E242" s="2">
        <v>0.7</v>
      </c>
      <c r="F242" s="2">
        <f t="shared" si="54"/>
        <v>1.7999999999999998</v>
      </c>
      <c r="G242" s="17">
        <f t="shared" si="56"/>
        <v>7.0666666666666669E-2</v>
      </c>
      <c r="H242" s="8">
        <f t="shared" si="47"/>
        <v>96030</v>
      </c>
      <c r="I242" s="9">
        <f t="shared" si="55"/>
        <v>6</v>
      </c>
      <c r="L242" s="2">
        <f t="shared" si="48"/>
        <v>96030</v>
      </c>
      <c r="M242" s="2">
        <f t="shared" si="49"/>
        <v>517</v>
      </c>
      <c r="N242" s="15">
        <f t="shared" si="50"/>
        <v>480</v>
      </c>
      <c r="O242" s="15">
        <f t="shared" si="51"/>
        <v>3041</v>
      </c>
      <c r="P242" s="16">
        <f>SUM($H$3:H242)</f>
        <v>7778730</v>
      </c>
      <c r="Q242" s="2">
        <f>SUM($I$3:I242)</f>
        <v>720</v>
      </c>
    </row>
    <row r="243" spans="1:17" x14ac:dyDescent="0.3">
      <c r="A243" s="7">
        <f t="shared" si="52"/>
        <v>241</v>
      </c>
      <c r="B243" s="2">
        <f t="shared" si="52"/>
        <v>518</v>
      </c>
      <c r="C243" s="2">
        <f t="shared" si="46"/>
        <v>482</v>
      </c>
      <c r="D243" s="2">
        <f t="shared" si="53"/>
        <v>3048</v>
      </c>
      <c r="E243" s="2">
        <v>0.7</v>
      </c>
      <c r="F243" s="2">
        <f t="shared" si="54"/>
        <v>1.7999999999999998</v>
      </c>
      <c r="G243" s="17">
        <f t="shared" si="56"/>
        <v>7.1099999999999997E-2</v>
      </c>
      <c r="H243" s="8">
        <f t="shared" si="47"/>
        <v>96830</v>
      </c>
      <c r="I243" s="9">
        <f t="shared" si="55"/>
        <v>6</v>
      </c>
      <c r="L243" s="2">
        <f t="shared" si="48"/>
        <v>96830</v>
      </c>
      <c r="M243" s="2">
        <f t="shared" si="49"/>
        <v>518</v>
      </c>
      <c r="N243" s="15">
        <f t="shared" si="50"/>
        <v>482</v>
      </c>
      <c r="O243" s="15">
        <f t="shared" si="51"/>
        <v>3048</v>
      </c>
      <c r="P243" s="16">
        <f>SUM($H$3:H243)</f>
        <v>7875560</v>
      </c>
      <c r="Q243" s="2">
        <f>SUM($I$3:I243)</f>
        <v>726</v>
      </c>
    </row>
    <row r="244" spans="1:17" x14ac:dyDescent="0.3">
      <c r="A244" s="7">
        <f t="shared" si="52"/>
        <v>242</v>
      </c>
      <c r="B244" s="2">
        <f t="shared" si="52"/>
        <v>519</v>
      </c>
      <c r="C244" s="2">
        <f t="shared" si="46"/>
        <v>484</v>
      </c>
      <c r="D244" s="2">
        <f t="shared" si="53"/>
        <v>3055</v>
      </c>
      <c r="E244" s="2">
        <v>0.7</v>
      </c>
      <c r="F244" s="2">
        <f t="shared" si="54"/>
        <v>1.7999999999999998</v>
      </c>
      <c r="G244" s="17">
        <f t="shared" si="56"/>
        <v>7.1533333333333338E-2</v>
      </c>
      <c r="H244" s="8">
        <f t="shared" si="47"/>
        <v>97630</v>
      </c>
      <c r="I244" s="9">
        <f t="shared" si="55"/>
        <v>6</v>
      </c>
      <c r="L244" s="2">
        <f t="shared" si="48"/>
        <v>97630</v>
      </c>
      <c r="M244" s="2">
        <f t="shared" si="49"/>
        <v>519</v>
      </c>
      <c r="N244" s="15">
        <f t="shared" si="50"/>
        <v>484</v>
      </c>
      <c r="O244" s="15">
        <f t="shared" si="51"/>
        <v>3055</v>
      </c>
      <c r="P244" s="16">
        <f>SUM($H$3:H244)</f>
        <v>7973190</v>
      </c>
      <c r="Q244" s="2">
        <f>SUM($I$3:I244)</f>
        <v>732</v>
      </c>
    </row>
    <row r="245" spans="1:17" x14ac:dyDescent="0.3">
      <c r="A245" s="7">
        <f t="shared" si="52"/>
        <v>243</v>
      </c>
      <c r="B245" s="2">
        <f t="shared" si="52"/>
        <v>520</v>
      </c>
      <c r="C245" s="2">
        <f t="shared" si="46"/>
        <v>486</v>
      </c>
      <c r="D245" s="2">
        <f t="shared" si="53"/>
        <v>3062</v>
      </c>
      <c r="E245" s="2">
        <v>0.7</v>
      </c>
      <c r="F245" s="2">
        <f t="shared" si="54"/>
        <v>1.7999999999999998</v>
      </c>
      <c r="G245" s="17">
        <f t="shared" si="56"/>
        <v>7.1966666666666665E-2</v>
      </c>
      <c r="H245" s="8">
        <f t="shared" si="47"/>
        <v>98440</v>
      </c>
      <c r="I245" s="9">
        <f t="shared" si="55"/>
        <v>6</v>
      </c>
      <c r="L245" s="2">
        <f t="shared" si="48"/>
        <v>98440</v>
      </c>
      <c r="M245" s="2">
        <f t="shared" si="49"/>
        <v>520</v>
      </c>
      <c r="N245" s="15">
        <f t="shared" si="50"/>
        <v>486</v>
      </c>
      <c r="O245" s="15">
        <f t="shared" si="51"/>
        <v>3062</v>
      </c>
      <c r="P245" s="16">
        <f>SUM($H$3:H245)</f>
        <v>8071630</v>
      </c>
      <c r="Q245" s="2">
        <f>SUM($I$3:I245)</f>
        <v>738</v>
      </c>
    </row>
    <row r="246" spans="1:17" x14ac:dyDescent="0.3">
      <c r="A246" s="7">
        <f t="shared" si="52"/>
        <v>244</v>
      </c>
      <c r="B246" s="2">
        <f t="shared" si="52"/>
        <v>521</v>
      </c>
      <c r="C246" s="2">
        <f t="shared" si="46"/>
        <v>488</v>
      </c>
      <c r="D246" s="2">
        <f t="shared" si="53"/>
        <v>3069</v>
      </c>
      <c r="E246" s="2">
        <v>0.7</v>
      </c>
      <c r="F246" s="2">
        <f t="shared" si="54"/>
        <v>1.7999999999999998</v>
      </c>
      <c r="G246" s="17">
        <f t="shared" si="56"/>
        <v>7.2400000000000006E-2</v>
      </c>
      <c r="H246" s="8">
        <f t="shared" si="47"/>
        <v>99250</v>
      </c>
      <c r="I246" s="9">
        <f t="shared" si="55"/>
        <v>6</v>
      </c>
      <c r="L246" s="2">
        <f t="shared" si="48"/>
        <v>99250</v>
      </c>
      <c r="M246" s="2">
        <f t="shared" si="49"/>
        <v>521</v>
      </c>
      <c r="N246" s="15">
        <f t="shared" si="50"/>
        <v>488</v>
      </c>
      <c r="O246" s="15">
        <f t="shared" si="51"/>
        <v>3069</v>
      </c>
      <c r="P246" s="16">
        <f>SUM($H$3:H246)</f>
        <v>8170880</v>
      </c>
      <c r="Q246" s="2">
        <f>SUM($I$3:I246)</f>
        <v>744</v>
      </c>
    </row>
    <row r="247" spans="1:17" x14ac:dyDescent="0.3">
      <c r="A247" s="7">
        <f t="shared" si="52"/>
        <v>245</v>
      </c>
      <c r="B247" s="2">
        <f t="shared" si="52"/>
        <v>522</v>
      </c>
      <c r="C247" s="2">
        <f t="shared" si="46"/>
        <v>490</v>
      </c>
      <c r="D247" s="2">
        <f t="shared" si="53"/>
        <v>3076</v>
      </c>
      <c r="E247" s="2">
        <v>0.7</v>
      </c>
      <c r="F247" s="2">
        <f t="shared" si="54"/>
        <v>1.7999999999999998</v>
      </c>
      <c r="G247" s="17">
        <f t="shared" si="56"/>
        <v>7.2833333333333333E-2</v>
      </c>
      <c r="H247" s="8">
        <f t="shared" si="47"/>
        <v>100060</v>
      </c>
      <c r="I247" s="9">
        <f t="shared" si="55"/>
        <v>6</v>
      </c>
      <c r="L247" s="2">
        <f t="shared" si="48"/>
        <v>100060</v>
      </c>
      <c r="M247" s="2">
        <f t="shared" si="49"/>
        <v>522</v>
      </c>
      <c r="N247" s="15">
        <f t="shared" si="50"/>
        <v>490</v>
      </c>
      <c r="O247" s="15">
        <f t="shared" si="51"/>
        <v>3076</v>
      </c>
      <c r="P247" s="16">
        <f>SUM($H$3:H247)</f>
        <v>8270940</v>
      </c>
      <c r="Q247" s="2">
        <f>SUM($I$3:I247)</f>
        <v>750</v>
      </c>
    </row>
    <row r="248" spans="1:17" x14ac:dyDescent="0.3">
      <c r="A248" s="7">
        <f t="shared" si="52"/>
        <v>246</v>
      </c>
      <c r="B248" s="2">
        <f t="shared" si="52"/>
        <v>523</v>
      </c>
      <c r="C248" s="2">
        <f t="shared" si="46"/>
        <v>492</v>
      </c>
      <c r="D248" s="2">
        <f t="shared" si="53"/>
        <v>3083</v>
      </c>
      <c r="E248" s="2">
        <v>0.7</v>
      </c>
      <c r="F248" s="2">
        <f t="shared" si="54"/>
        <v>1.7999999999999998</v>
      </c>
      <c r="G248" s="17">
        <f t="shared" si="56"/>
        <v>7.3266666666666661E-2</v>
      </c>
      <c r="H248" s="8">
        <f t="shared" si="47"/>
        <v>100880</v>
      </c>
      <c r="I248" s="9">
        <f t="shared" si="55"/>
        <v>6</v>
      </c>
      <c r="L248" s="2">
        <f t="shared" si="48"/>
        <v>100880</v>
      </c>
      <c r="M248" s="2">
        <f t="shared" si="49"/>
        <v>523</v>
      </c>
      <c r="N248" s="15">
        <f t="shared" si="50"/>
        <v>492</v>
      </c>
      <c r="O248" s="15">
        <f t="shared" si="51"/>
        <v>3083</v>
      </c>
      <c r="P248" s="16">
        <f>SUM($H$3:H248)</f>
        <v>8371820</v>
      </c>
      <c r="Q248" s="2">
        <f>SUM($I$3:I248)</f>
        <v>756</v>
      </c>
    </row>
    <row r="249" spans="1:17" x14ac:dyDescent="0.3">
      <c r="A249" s="7">
        <f t="shared" si="52"/>
        <v>247</v>
      </c>
      <c r="B249" s="2">
        <f t="shared" si="52"/>
        <v>524</v>
      </c>
      <c r="C249" s="2">
        <f t="shared" si="46"/>
        <v>494</v>
      </c>
      <c r="D249" s="2">
        <f t="shared" si="53"/>
        <v>3090</v>
      </c>
      <c r="E249" s="2">
        <v>0.7</v>
      </c>
      <c r="F249" s="2">
        <f t="shared" si="54"/>
        <v>1.7999999999999998</v>
      </c>
      <c r="G249" s="17">
        <f t="shared" si="56"/>
        <v>7.3700000000000002E-2</v>
      </c>
      <c r="H249" s="8">
        <f t="shared" si="47"/>
        <v>101700</v>
      </c>
      <c r="I249" s="9">
        <f t="shared" si="55"/>
        <v>6</v>
      </c>
      <c r="L249" s="2">
        <f t="shared" si="48"/>
        <v>101700</v>
      </c>
      <c r="M249" s="2">
        <f t="shared" si="49"/>
        <v>524</v>
      </c>
      <c r="N249" s="15">
        <f t="shared" si="50"/>
        <v>494</v>
      </c>
      <c r="O249" s="15">
        <f t="shared" si="51"/>
        <v>3090</v>
      </c>
      <c r="P249" s="16">
        <f>SUM($H$3:H249)</f>
        <v>8473520</v>
      </c>
      <c r="Q249" s="2">
        <f>SUM($I$3:I249)</f>
        <v>762</v>
      </c>
    </row>
    <row r="250" spans="1:17" x14ac:dyDescent="0.3">
      <c r="A250" s="7">
        <f t="shared" si="52"/>
        <v>248</v>
      </c>
      <c r="B250" s="2">
        <f t="shared" si="52"/>
        <v>525</v>
      </c>
      <c r="C250" s="2">
        <f t="shared" si="46"/>
        <v>496</v>
      </c>
      <c r="D250" s="2">
        <f t="shared" si="53"/>
        <v>3097</v>
      </c>
      <c r="E250" s="2">
        <v>0.7</v>
      </c>
      <c r="F250" s="2">
        <f t="shared" si="54"/>
        <v>1.7999999999999998</v>
      </c>
      <c r="G250" s="17">
        <f t="shared" si="56"/>
        <v>7.4133333333333329E-2</v>
      </c>
      <c r="H250" s="8">
        <f t="shared" si="47"/>
        <v>102530</v>
      </c>
      <c r="I250" s="9">
        <f t="shared" si="55"/>
        <v>6</v>
      </c>
      <c r="L250" s="2">
        <f t="shared" si="48"/>
        <v>102530</v>
      </c>
      <c r="M250" s="2">
        <f t="shared" si="49"/>
        <v>525</v>
      </c>
      <c r="N250" s="15">
        <f t="shared" si="50"/>
        <v>496</v>
      </c>
      <c r="O250" s="15">
        <f t="shared" si="51"/>
        <v>3097</v>
      </c>
      <c r="P250" s="16">
        <f>SUM($H$3:H250)</f>
        <v>8576050</v>
      </c>
      <c r="Q250" s="2">
        <f>SUM($I$3:I250)</f>
        <v>768</v>
      </c>
    </row>
    <row r="251" spans="1:17" x14ac:dyDescent="0.3">
      <c r="A251" s="7">
        <f t="shared" si="52"/>
        <v>249</v>
      </c>
      <c r="B251" s="2">
        <f t="shared" si="52"/>
        <v>526</v>
      </c>
      <c r="C251" s="2">
        <f t="shared" si="46"/>
        <v>498</v>
      </c>
      <c r="D251" s="2">
        <f t="shared" si="53"/>
        <v>3104</v>
      </c>
      <c r="E251" s="2">
        <v>0.7</v>
      </c>
      <c r="F251" s="2">
        <f t="shared" si="54"/>
        <v>1.7999999999999998</v>
      </c>
      <c r="G251" s="17">
        <f t="shared" si="56"/>
        <v>7.4566666666666656E-2</v>
      </c>
      <c r="H251" s="8">
        <f t="shared" si="47"/>
        <v>103350</v>
      </c>
      <c r="I251" s="9">
        <f t="shared" si="55"/>
        <v>6</v>
      </c>
      <c r="L251" s="2">
        <f t="shared" si="48"/>
        <v>103350</v>
      </c>
      <c r="M251" s="2">
        <f t="shared" si="49"/>
        <v>526</v>
      </c>
      <c r="N251" s="15">
        <f t="shared" si="50"/>
        <v>498</v>
      </c>
      <c r="O251" s="15">
        <f t="shared" si="51"/>
        <v>3104</v>
      </c>
      <c r="P251" s="16">
        <f>SUM($H$3:H251)</f>
        <v>8679400</v>
      </c>
      <c r="Q251" s="2">
        <f>SUM($I$3:I251)</f>
        <v>774</v>
      </c>
    </row>
    <row r="252" spans="1:17" x14ac:dyDescent="0.3">
      <c r="A252" s="7">
        <f t="shared" si="52"/>
        <v>250</v>
      </c>
      <c r="B252" s="2">
        <f>B251+2</f>
        <v>528</v>
      </c>
      <c r="C252" s="2">
        <f t="shared" si="46"/>
        <v>500</v>
      </c>
      <c r="D252" s="2">
        <f t="shared" si="53"/>
        <v>3111</v>
      </c>
      <c r="E252" s="2">
        <v>0.8</v>
      </c>
      <c r="F252" s="2">
        <f t="shared" si="54"/>
        <v>1.7999999999999998</v>
      </c>
      <c r="G252" s="17">
        <f t="shared" si="56"/>
        <v>7.4999999999999997E-2</v>
      </c>
      <c r="H252" s="8">
        <f t="shared" si="47"/>
        <v>104190</v>
      </c>
      <c r="I252" s="9">
        <f t="shared" si="55"/>
        <v>7</v>
      </c>
      <c r="L252" s="2">
        <f t="shared" si="48"/>
        <v>104190</v>
      </c>
      <c r="M252" s="2">
        <f t="shared" si="49"/>
        <v>528</v>
      </c>
      <c r="N252" s="15">
        <f t="shared" si="50"/>
        <v>500</v>
      </c>
      <c r="O252" s="15">
        <f t="shared" si="51"/>
        <v>3111</v>
      </c>
      <c r="P252" s="16">
        <f>SUM($H$3:H252)</f>
        <v>8783590</v>
      </c>
      <c r="Q252" s="2">
        <f>SUM($I$3:I252)</f>
        <v>781</v>
      </c>
    </row>
    <row r="253" spans="1:17" x14ac:dyDescent="0.3">
      <c r="A253" s="7">
        <f t="shared" si="52"/>
        <v>251</v>
      </c>
      <c r="B253" s="2">
        <f t="shared" ref="B253:B301" si="57">B252+2</f>
        <v>530</v>
      </c>
      <c r="C253" s="2">
        <f t="shared" si="46"/>
        <v>502</v>
      </c>
      <c r="D253" s="2">
        <f t="shared" si="53"/>
        <v>3118</v>
      </c>
      <c r="E253" s="2">
        <v>0.8</v>
      </c>
      <c r="F253" s="2">
        <f t="shared" si="54"/>
        <v>1.7999999999999998</v>
      </c>
      <c r="G253" s="17">
        <f t="shared" si="56"/>
        <v>7.5433333333333324E-2</v>
      </c>
      <c r="H253" s="8">
        <f t="shared" si="47"/>
        <v>105020</v>
      </c>
      <c r="I253" s="9">
        <f t="shared" si="55"/>
        <v>7</v>
      </c>
      <c r="L253" s="2">
        <f t="shared" si="48"/>
        <v>105020</v>
      </c>
      <c r="M253" s="2">
        <f t="shared" si="49"/>
        <v>530</v>
      </c>
      <c r="N253" s="15">
        <f t="shared" si="50"/>
        <v>502</v>
      </c>
      <c r="O253" s="15">
        <f t="shared" si="51"/>
        <v>3118</v>
      </c>
      <c r="P253" s="16">
        <f>SUM($H$3:H253)</f>
        <v>8888610</v>
      </c>
      <c r="Q253" s="2">
        <f>SUM($I$3:I253)</f>
        <v>788</v>
      </c>
    </row>
    <row r="254" spans="1:17" x14ac:dyDescent="0.3">
      <c r="A254" s="7">
        <f t="shared" si="52"/>
        <v>252</v>
      </c>
      <c r="B254" s="2">
        <f t="shared" si="57"/>
        <v>532</v>
      </c>
      <c r="C254" s="2">
        <f t="shared" si="46"/>
        <v>504</v>
      </c>
      <c r="D254" s="2">
        <f t="shared" si="53"/>
        <v>3125</v>
      </c>
      <c r="E254" s="2">
        <v>0.8</v>
      </c>
      <c r="F254" s="2">
        <f t="shared" si="54"/>
        <v>1.7999999999999998</v>
      </c>
      <c r="G254" s="17">
        <f t="shared" si="56"/>
        <v>7.5866666666666666E-2</v>
      </c>
      <c r="H254" s="8">
        <f t="shared" si="47"/>
        <v>105860</v>
      </c>
      <c r="I254" s="9">
        <f t="shared" si="55"/>
        <v>7</v>
      </c>
      <c r="L254" s="2">
        <f t="shared" si="48"/>
        <v>105860</v>
      </c>
      <c r="M254" s="2">
        <f t="shared" si="49"/>
        <v>532</v>
      </c>
      <c r="N254" s="15">
        <f t="shared" si="50"/>
        <v>504</v>
      </c>
      <c r="O254" s="15">
        <f t="shared" si="51"/>
        <v>3125</v>
      </c>
      <c r="P254" s="16">
        <f>SUM($H$3:H254)</f>
        <v>8994470</v>
      </c>
      <c r="Q254" s="2">
        <f>SUM($I$3:I254)</f>
        <v>795</v>
      </c>
    </row>
    <row r="255" spans="1:17" x14ac:dyDescent="0.3">
      <c r="A255" s="7">
        <f t="shared" si="52"/>
        <v>253</v>
      </c>
      <c r="B255" s="2">
        <f t="shared" si="57"/>
        <v>534</v>
      </c>
      <c r="C255" s="2">
        <f t="shared" si="46"/>
        <v>506</v>
      </c>
      <c r="D255" s="2">
        <f t="shared" si="53"/>
        <v>3132</v>
      </c>
      <c r="E255" s="2">
        <v>0.8</v>
      </c>
      <c r="F255" s="2">
        <f t="shared" si="54"/>
        <v>1.7999999999999998</v>
      </c>
      <c r="G255" s="17">
        <f t="shared" si="56"/>
        <v>7.6299999999999993E-2</v>
      </c>
      <c r="H255" s="8">
        <f t="shared" si="47"/>
        <v>106700</v>
      </c>
      <c r="I255" s="9">
        <f t="shared" si="55"/>
        <v>7</v>
      </c>
      <c r="L255" s="2">
        <f t="shared" si="48"/>
        <v>106700</v>
      </c>
      <c r="M255" s="2">
        <f t="shared" si="49"/>
        <v>534</v>
      </c>
      <c r="N255" s="15">
        <f t="shared" si="50"/>
        <v>506</v>
      </c>
      <c r="O255" s="15">
        <f t="shared" si="51"/>
        <v>3132</v>
      </c>
      <c r="P255" s="16">
        <f>SUM($H$3:H255)</f>
        <v>9101170</v>
      </c>
      <c r="Q255" s="2">
        <f>SUM($I$3:I255)</f>
        <v>802</v>
      </c>
    </row>
    <row r="256" spans="1:17" x14ac:dyDescent="0.3">
      <c r="A256" s="7">
        <f t="shared" si="52"/>
        <v>254</v>
      </c>
      <c r="B256" s="2">
        <f t="shared" si="57"/>
        <v>536</v>
      </c>
      <c r="C256" s="2">
        <f t="shared" si="46"/>
        <v>508</v>
      </c>
      <c r="D256" s="2">
        <f t="shared" si="53"/>
        <v>3139</v>
      </c>
      <c r="E256" s="2">
        <v>0.8</v>
      </c>
      <c r="F256" s="2">
        <f t="shared" si="54"/>
        <v>1.7999999999999998</v>
      </c>
      <c r="G256" s="17">
        <f t="shared" si="56"/>
        <v>7.6733333333333334E-2</v>
      </c>
      <c r="H256" s="8">
        <f t="shared" si="47"/>
        <v>107540</v>
      </c>
      <c r="I256" s="9">
        <f t="shared" si="55"/>
        <v>7</v>
      </c>
      <c r="L256" s="2">
        <f t="shared" si="48"/>
        <v>107540</v>
      </c>
      <c r="M256" s="2">
        <f t="shared" si="49"/>
        <v>536</v>
      </c>
      <c r="N256" s="15">
        <f t="shared" si="50"/>
        <v>508</v>
      </c>
      <c r="O256" s="15">
        <f t="shared" si="51"/>
        <v>3139</v>
      </c>
      <c r="P256" s="16">
        <f>SUM($H$3:H256)</f>
        <v>9208710</v>
      </c>
      <c r="Q256" s="2">
        <f>SUM($I$3:I256)</f>
        <v>809</v>
      </c>
    </row>
    <row r="257" spans="1:17" x14ac:dyDescent="0.3">
      <c r="A257" s="7">
        <f t="shared" si="52"/>
        <v>255</v>
      </c>
      <c r="B257" s="2">
        <f t="shared" si="57"/>
        <v>538</v>
      </c>
      <c r="C257" s="2">
        <f t="shared" si="46"/>
        <v>510</v>
      </c>
      <c r="D257" s="2">
        <f t="shared" si="53"/>
        <v>3146</v>
      </c>
      <c r="E257" s="2">
        <v>0.8</v>
      </c>
      <c r="F257" s="2">
        <f t="shared" si="54"/>
        <v>1.7999999999999998</v>
      </c>
      <c r="G257" s="17">
        <f t="shared" si="56"/>
        <v>7.7166666666666661E-2</v>
      </c>
      <c r="H257" s="8">
        <f t="shared" si="47"/>
        <v>108390</v>
      </c>
      <c r="I257" s="9">
        <f t="shared" si="55"/>
        <v>7</v>
      </c>
      <c r="L257" s="2">
        <f t="shared" si="48"/>
        <v>108390</v>
      </c>
      <c r="M257" s="2">
        <f t="shared" si="49"/>
        <v>538</v>
      </c>
      <c r="N257" s="15">
        <f t="shared" si="50"/>
        <v>510</v>
      </c>
      <c r="O257" s="15">
        <f t="shared" si="51"/>
        <v>3146</v>
      </c>
      <c r="P257" s="16">
        <f>SUM($H$3:H257)</f>
        <v>9317100</v>
      </c>
      <c r="Q257" s="2">
        <f>SUM($I$3:I257)</f>
        <v>816</v>
      </c>
    </row>
    <row r="258" spans="1:17" x14ac:dyDescent="0.3">
      <c r="A258" s="7">
        <f t="shared" si="52"/>
        <v>256</v>
      </c>
      <c r="B258" s="2">
        <f t="shared" si="57"/>
        <v>540</v>
      </c>
      <c r="C258" s="2">
        <f t="shared" si="46"/>
        <v>512</v>
      </c>
      <c r="D258" s="2">
        <f t="shared" si="53"/>
        <v>3153</v>
      </c>
      <c r="E258" s="2">
        <v>0.8</v>
      </c>
      <c r="F258" s="2">
        <f t="shared" si="54"/>
        <v>1.7999999999999998</v>
      </c>
      <c r="G258" s="17">
        <f t="shared" si="56"/>
        <v>7.7600000000000002E-2</v>
      </c>
      <c r="H258" s="8">
        <f t="shared" si="47"/>
        <v>109240</v>
      </c>
      <c r="I258" s="9">
        <f t="shared" si="55"/>
        <v>7</v>
      </c>
      <c r="L258" s="2">
        <f t="shared" si="48"/>
        <v>109240</v>
      </c>
      <c r="M258" s="2">
        <f t="shared" si="49"/>
        <v>540</v>
      </c>
      <c r="N258" s="15">
        <f t="shared" si="50"/>
        <v>512</v>
      </c>
      <c r="O258" s="15">
        <f t="shared" si="51"/>
        <v>3153</v>
      </c>
      <c r="P258" s="16">
        <f>SUM($H$3:H258)</f>
        <v>9426340</v>
      </c>
      <c r="Q258" s="2">
        <f>SUM($I$3:I258)</f>
        <v>823</v>
      </c>
    </row>
    <row r="259" spans="1:17" x14ac:dyDescent="0.3">
      <c r="A259" s="7">
        <f t="shared" si="52"/>
        <v>257</v>
      </c>
      <c r="B259" s="2">
        <f t="shared" si="57"/>
        <v>542</v>
      </c>
      <c r="C259" s="2">
        <f t="shared" ref="C259:C300" si="58">C260-2</f>
        <v>514</v>
      </c>
      <c r="D259" s="2">
        <f t="shared" si="53"/>
        <v>3160</v>
      </c>
      <c r="E259" s="2">
        <v>0.8</v>
      </c>
      <c r="F259" s="2">
        <f t="shared" si="54"/>
        <v>1.7999999999999998</v>
      </c>
      <c r="G259" s="17">
        <f t="shared" si="56"/>
        <v>7.803333333333333E-2</v>
      </c>
      <c r="H259" s="8">
        <f t="shared" ref="H259:H300" si="59">ROUNDUP(500 + (150000-500) * ((A259-1)/(300-1))^2, -1)</f>
        <v>110100</v>
      </c>
      <c r="I259" s="9">
        <f t="shared" si="55"/>
        <v>7</v>
      </c>
      <c r="L259" s="2">
        <f t="shared" si="48"/>
        <v>110100</v>
      </c>
      <c r="M259" s="2">
        <f t="shared" si="49"/>
        <v>542</v>
      </c>
      <c r="N259" s="15">
        <f t="shared" si="50"/>
        <v>514</v>
      </c>
      <c r="O259" s="15">
        <f t="shared" si="51"/>
        <v>3160</v>
      </c>
      <c r="P259" s="16">
        <f>SUM($H$3:H259)</f>
        <v>9536440</v>
      </c>
      <c r="Q259" s="2">
        <f>SUM($I$3:I259)</f>
        <v>830</v>
      </c>
    </row>
    <row r="260" spans="1:17" x14ac:dyDescent="0.3">
      <c r="A260" s="7">
        <f t="shared" si="52"/>
        <v>258</v>
      </c>
      <c r="B260" s="2">
        <f t="shared" si="57"/>
        <v>544</v>
      </c>
      <c r="C260" s="2">
        <f t="shared" si="58"/>
        <v>516</v>
      </c>
      <c r="D260" s="2">
        <f t="shared" si="53"/>
        <v>3167</v>
      </c>
      <c r="E260" s="2">
        <v>0.8</v>
      </c>
      <c r="F260" s="2">
        <f t="shared" si="54"/>
        <v>1.7999999999999998</v>
      </c>
      <c r="G260" s="17">
        <f t="shared" si="56"/>
        <v>7.8466666666666671E-2</v>
      </c>
      <c r="H260" s="8">
        <f t="shared" si="59"/>
        <v>110950</v>
      </c>
      <c r="I260" s="9">
        <f t="shared" si="55"/>
        <v>7</v>
      </c>
      <c r="L260" s="2">
        <f t="shared" ref="L260:L301" si="60">H260</f>
        <v>110950</v>
      </c>
      <c r="M260" s="2">
        <f t="shared" ref="M260:M302" si="61">B260</f>
        <v>544</v>
      </c>
      <c r="N260" s="15">
        <f t="shared" ref="N260:N302" si="62">C260</f>
        <v>516</v>
      </c>
      <c r="O260" s="15">
        <f t="shared" ref="O260:O302" si="63">D260</f>
        <v>3167</v>
      </c>
      <c r="P260" s="16">
        <f>SUM($H$3:H260)</f>
        <v>9647390</v>
      </c>
      <c r="Q260" s="2">
        <f>SUM($I$3:I260)</f>
        <v>837</v>
      </c>
    </row>
    <row r="261" spans="1:17" x14ac:dyDescent="0.3">
      <c r="A261" s="7">
        <f t="shared" ref="A261:B324" si="64">A260+1</f>
        <v>259</v>
      </c>
      <c r="B261" s="2">
        <f t="shared" si="57"/>
        <v>546</v>
      </c>
      <c r="C261" s="2">
        <f t="shared" si="58"/>
        <v>518</v>
      </c>
      <c r="D261" s="2">
        <f t="shared" si="53"/>
        <v>3174</v>
      </c>
      <c r="E261" s="2">
        <v>0.8</v>
      </c>
      <c r="F261" s="2">
        <f t="shared" si="54"/>
        <v>1.7999999999999998</v>
      </c>
      <c r="G261" s="17">
        <f t="shared" si="56"/>
        <v>7.8899999999999998E-2</v>
      </c>
      <c r="H261" s="8">
        <f t="shared" si="59"/>
        <v>111820</v>
      </c>
      <c r="I261" s="9">
        <f t="shared" si="55"/>
        <v>7</v>
      </c>
      <c r="L261" s="2">
        <f t="shared" si="60"/>
        <v>111820</v>
      </c>
      <c r="M261" s="2">
        <f t="shared" si="61"/>
        <v>546</v>
      </c>
      <c r="N261" s="15">
        <f t="shared" si="62"/>
        <v>518</v>
      </c>
      <c r="O261" s="15">
        <f t="shared" si="63"/>
        <v>3174</v>
      </c>
      <c r="P261" s="16">
        <f>SUM($H$3:H261)</f>
        <v>9759210</v>
      </c>
      <c r="Q261" s="2">
        <f>SUM($I$3:I261)</f>
        <v>844</v>
      </c>
    </row>
    <row r="262" spans="1:17" x14ac:dyDescent="0.3">
      <c r="A262" s="7">
        <f t="shared" si="64"/>
        <v>260</v>
      </c>
      <c r="B262" s="2">
        <f t="shared" si="57"/>
        <v>548</v>
      </c>
      <c r="C262" s="2">
        <f t="shared" si="58"/>
        <v>520</v>
      </c>
      <c r="D262" s="2">
        <f t="shared" si="53"/>
        <v>3181</v>
      </c>
      <c r="E262" s="2">
        <v>0.8</v>
      </c>
      <c r="F262" s="2">
        <f t="shared" si="54"/>
        <v>1.9999999999999998</v>
      </c>
      <c r="G262" s="17">
        <f t="shared" si="56"/>
        <v>7.9333333333333339E-2</v>
      </c>
      <c r="H262" s="8">
        <f t="shared" si="59"/>
        <v>112680</v>
      </c>
      <c r="I262" s="9">
        <f t="shared" si="55"/>
        <v>7</v>
      </c>
      <c r="L262" s="2">
        <f t="shared" si="60"/>
        <v>112680</v>
      </c>
      <c r="M262" s="2">
        <f t="shared" si="61"/>
        <v>548</v>
      </c>
      <c r="N262" s="15">
        <f t="shared" si="62"/>
        <v>520</v>
      </c>
      <c r="O262" s="15">
        <f t="shared" si="63"/>
        <v>3181</v>
      </c>
      <c r="P262" s="16">
        <f>SUM($H$3:H262)</f>
        <v>9871890</v>
      </c>
      <c r="Q262" s="2">
        <f>SUM($I$3:I262)</f>
        <v>851</v>
      </c>
    </row>
    <row r="263" spans="1:17" x14ac:dyDescent="0.3">
      <c r="A263" s="7">
        <f t="shared" si="64"/>
        <v>261</v>
      </c>
      <c r="B263" s="2">
        <f t="shared" si="57"/>
        <v>550</v>
      </c>
      <c r="C263" s="2">
        <f t="shared" si="58"/>
        <v>522</v>
      </c>
      <c r="D263" s="2">
        <f t="shared" si="53"/>
        <v>3188</v>
      </c>
      <c r="E263" s="2">
        <v>0.8</v>
      </c>
      <c r="F263" s="2">
        <f t="shared" si="54"/>
        <v>1.9999999999999998</v>
      </c>
      <c r="G263" s="17">
        <f t="shared" si="56"/>
        <v>7.9766666666666666E-2</v>
      </c>
      <c r="H263" s="8">
        <f t="shared" si="59"/>
        <v>113550</v>
      </c>
      <c r="I263" s="9">
        <f t="shared" si="55"/>
        <v>7</v>
      </c>
      <c r="L263" s="2">
        <f t="shared" si="60"/>
        <v>113550</v>
      </c>
      <c r="M263" s="2">
        <f t="shared" si="61"/>
        <v>550</v>
      </c>
      <c r="N263" s="15">
        <f t="shared" si="62"/>
        <v>522</v>
      </c>
      <c r="O263" s="15">
        <f t="shared" si="63"/>
        <v>3188</v>
      </c>
      <c r="P263" s="16">
        <f>SUM($H$3:H263)</f>
        <v>9985440</v>
      </c>
      <c r="Q263" s="2">
        <f>SUM($I$3:I263)</f>
        <v>858</v>
      </c>
    </row>
    <row r="264" spans="1:17" x14ac:dyDescent="0.3">
      <c r="A264" s="7">
        <f t="shared" si="64"/>
        <v>262</v>
      </c>
      <c r="B264" s="2">
        <f t="shared" si="57"/>
        <v>552</v>
      </c>
      <c r="C264" s="2">
        <f t="shared" si="58"/>
        <v>524</v>
      </c>
      <c r="D264" s="2">
        <f t="shared" si="53"/>
        <v>3195</v>
      </c>
      <c r="E264" s="2">
        <v>0.8</v>
      </c>
      <c r="F264" s="2">
        <f t="shared" si="54"/>
        <v>1.9999999999999998</v>
      </c>
      <c r="G264" s="17">
        <f t="shared" si="56"/>
        <v>8.0199999999999994E-2</v>
      </c>
      <c r="H264" s="8">
        <f t="shared" si="59"/>
        <v>114420</v>
      </c>
      <c r="I264" s="9">
        <f t="shared" si="55"/>
        <v>7</v>
      </c>
      <c r="L264" s="2">
        <f t="shared" si="60"/>
        <v>114420</v>
      </c>
      <c r="M264" s="2">
        <f t="shared" si="61"/>
        <v>552</v>
      </c>
      <c r="N264" s="15">
        <f t="shared" si="62"/>
        <v>524</v>
      </c>
      <c r="O264" s="15">
        <f t="shared" si="63"/>
        <v>3195</v>
      </c>
      <c r="P264" s="16">
        <f>SUM($H$3:H264)</f>
        <v>10099860</v>
      </c>
      <c r="Q264" s="2">
        <f>SUM($I$3:I264)</f>
        <v>865</v>
      </c>
    </row>
    <row r="265" spans="1:17" x14ac:dyDescent="0.3">
      <c r="A265" s="7">
        <f t="shared" si="64"/>
        <v>263</v>
      </c>
      <c r="B265" s="2">
        <f t="shared" si="57"/>
        <v>554</v>
      </c>
      <c r="C265" s="2">
        <f t="shared" si="58"/>
        <v>526</v>
      </c>
      <c r="D265" s="2">
        <f t="shared" si="53"/>
        <v>3202</v>
      </c>
      <c r="E265" s="2">
        <v>0.8</v>
      </c>
      <c r="F265" s="2">
        <f t="shared" si="54"/>
        <v>1.9999999999999998</v>
      </c>
      <c r="G265" s="17">
        <f t="shared" si="56"/>
        <v>8.0633333333333335E-2</v>
      </c>
      <c r="H265" s="8">
        <f t="shared" si="59"/>
        <v>115290</v>
      </c>
      <c r="I265" s="9">
        <f t="shared" si="55"/>
        <v>7</v>
      </c>
      <c r="L265" s="2">
        <f t="shared" si="60"/>
        <v>115290</v>
      </c>
      <c r="M265" s="2">
        <f t="shared" si="61"/>
        <v>554</v>
      </c>
      <c r="N265" s="15">
        <f t="shared" si="62"/>
        <v>526</v>
      </c>
      <c r="O265" s="15">
        <f t="shared" si="63"/>
        <v>3202</v>
      </c>
      <c r="P265" s="16">
        <f>SUM($H$3:H265)</f>
        <v>10215150</v>
      </c>
      <c r="Q265" s="2">
        <f>SUM($I$3:I265)</f>
        <v>872</v>
      </c>
    </row>
    <row r="266" spans="1:17" x14ac:dyDescent="0.3">
      <c r="A266" s="7">
        <f t="shared" si="64"/>
        <v>264</v>
      </c>
      <c r="B266" s="2">
        <f t="shared" si="57"/>
        <v>556</v>
      </c>
      <c r="C266" s="2">
        <f t="shared" si="58"/>
        <v>528</v>
      </c>
      <c r="D266" s="2">
        <f t="shared" si="53"/>
        <v>3209</v>
      </c>
      <c r="E266" s="2">
        <v>0.8</v>
      </c>
      <c r="F266" s="2">
        <f t="shared" si="54"/>
        <v>1.9999999999999998</v>
      </c>
      <c r="G266" s="17">
        <f t="shared" si="56"/>
        <v>8.1066666666666662E-2</v>
      </c>
      <c r="H266" s="8">
        <f t="shared" si="59"/>
        <v>116170</v>
      </c>
      <c r="I266" s="9">
        <f t="shared" si="55"/>
        <v>7</v>
      </c>
      <c r="L266" s="2">
        <f t="shared" si="60"/>
        <v>116170</v>
      </c>
      <c r="M266" s="2">
        <f t="shared" si="61"/>
        <v>556</v>
      </c>
      <c r="N266" s="15">
        <f t="shared" si="62"/>
        <v>528</v>
      </c>
      <c r="O266" s="15">
        <f t="shared" si="63"/>
        <v>3209</v>
      </c>
      <c r="P266" s="16">
        <f>SUM($H$3:H266)</f>
        <v>10331320</v>
      </c>
      <c r="Q266" s="2">
        <f>SUM($I$3:I266)</f>
        <v>879</v>
      </c>
    </row>
    <row r="267" spans="1:17" x14ac:dyDescent="0.3">
      <c r="A267" s="7">
        <f t="shared" si="64"/>
        <v>265</v>
      </c>
      <c r="B267" s="2">
        <f t="shared" si="57"/>
        <v>558</v>
      </c>
      <c r="C267" s="2">
        <f t="shared" si="58"/>
        <v>530</v>
      </c>
      <c r="D267" s="2">
        <f t="shared" ref="D267:D301" si="65">D266+7</f>
        <v>3216</v>
      </c>
      <c r="E267" s="2">
        <v>0.8</v>
      </c>
      <c r="F267" s="2">
        <f t="shared" ref="F267:F330" si="66">F247+0.2</f>
        <v>1.9999999999999998</v>
      </c>
      <c r="G267" s="17">
        <f t="shared" si="56"/>
        <v>8.1500000000000003E-2</v>
      </c>
      <c r="H267" s="8">
        <f t="shared" si="59"/>
        <v>117050</v>
      </c>
      <c r="I267" s="9">
        <f t="shared" si="55"/>
        <v>7</v>
      </c>
      <c r="L267" s="2">
        <f t="shared" si="60"/>
        <v>117050</v>
      </c>
      <c r="M267" s="2">
        <f t="shared" si="61"/>
        <v>558</v>
      </c>
      <c r="N267" s="15">
        <f t="shared" si="62"/>
        <v>530</v>
      </c>
      <c r="O267" s="15">
        <f t="shared" si="63"/>
        <v>3216</v>
      </c>
      <c r="P267" s="16">
        <f>SUM($H$3:H267)</f>
        <v>10448370</v>
      </c>
      <c r="Q267" s="2">
        <f>SUM($I$3:I267)</f>
        <v>886</v>
      </c>
    </row>
    <row r="268" spans="1:17" x14ac:dyDescent="0.3">
      <c r="A268" s="7">
        <f t="shared" si="64"/>
        <v>266</v>
      </c>
      <c r="B268" s="2">
        <f t="shared" si="57"/>
        <v>560</v>
      </c>
      <c r="C268" s="2">
        <f t="shared" si="58"/>
        <v>532</v>
      </c>
      <c r="D268" s="2">
        <f t="shared" si="65"/>
        <v>3223</v>
      </c>
      <c r="E268" s="2">
        <v>0.8</v>
      </c>
      <c r="F268" s="2">
        <f t="shared" si="66"/>
        <v>1.9999999999999998</v>
      </c>
      <c r="G268" s="17">
        <f t="shared" si="56"/>
        <v>8.1933333333333344E-2</v>
      </c>
      <c r="H268" s="8">
        <f t="shared" si="59"/>
        <v>117940</v>
      </c>
      <c r="I268" s="9">
        <f t="shared" si="55"/>
        <v>7</v>
      </c>
      <c r="L268" s="2">
        <f t="shared" si="60"/>
        <v>117940</v>
      </c>
      <c r="M268" s="2">
        <f t="shared" si="61"/>
        <v>560</v>
      </c>
      <c r="N268" s="15">
        <f t="shared" si="62"/>
        <v>532</v>
      </c>
      <c r="O268" s="15">
        <f t="shared" si="63"/>
        <v>3223</v>
      </c>
      <c r="P268" s="16">
        <f>SUM($H$3:H268)</f>
        <v>10566310</v>
      </c>
      <c r="Q268" s="2">
        <f>SUM($I$3:I268)</f>
        <v>893</v>
      </c>
    </row>
    <row r="269" spans="1:17" x14ac:dyDescent="0.3">
      <c r="A269" s="7">
        <f t="shared" si="64"/>
        <v>267</v>
      </c>
      <c r="B269" s="2">
        <f t="shared" si="57"/>
        <v>562</v>
      </c>
      <c r="C269" s="2">
        <f t="shared" si="58"/>
        <v>534</v>
      </c>
      <c r="D269" s="2">
        <f t="shared" si="65"/>
        <v>3230</v>
      </c>
      <c r="E269" s="2">
        <v>0.8</v>
      </c>
      <c r="F269" s="2">
        <f t="shared" si="66"/>
        <v>1.9999999999999998</v>
      </c>
      <c r="G269" s="17">
        <f t="shared" si="56"/>
        <v>8.2366666666666657E-2</v>
      </c>
      <c r="H269" s="8">
        <f t="shared" si="59"/>
        <v>118830</v>
      </c>
      <c r="I269" s="9">
        <f t="shared" si="55"/>
        <v>7</v>
      </c>
      <c r="L269" s="2">
        <f t="shared" si="60"/>
        <v>118830</v>
      </c>
      <c r="M269" s="2">
        <f t="shared" si="61"/>
        <v>562</v>
      </c>
      <c r="N269" s="15">
        <f t="shared" si="62"/>
        <v>534</v>
      </c>
      <c r="O269" s="15">
        <f t="shared" si="63"/>
        <v>3230</v>
      </c>
      <c r="P269" s="16">
        <f>SUM($H$3:H269)</f>
        <v>10685140</v>
      </c>
      <c r="Q269" s="2">
        <f>SUM($I$3:I269)</f>
        <v>900</v>
      </c>
    </row>
    <row r="270" spans="1:17" x14ac:dyDescent="0.3">
      <c r="A270" s="7">
        <f t="shared" si="64"/>
        <v>268</v>
      </c>
      <c r="B270" s="2">
        <f t="shared" si="57"/>
        <v>564</v>
      </c>
      <c r="C270" s="2">
        <f t="shared" si="58"/>
        <v>536</v>
      </c>
      <c r="D270" s="2">
        <f t="shared" si="65"/>
        <v>3237</v>
      </c>
      <c r="E270" s="2">
        <v>0.8</v>
      </c>
      <c r="F270" s="2">
        <f t="shared" si="66"/>
        <v>1.9999999999999998</v>
      </c>
      <c r="G270" s="17">
        <f t="shared" si="56"/>
        <v>8.2799999999999985E-2</v>
      </c>
      <c r="H270" s="8">
        <f t="shared" si="59"/>
        <v>119720</v>
      </c>
      <c r="I270" s="9">
        <f t="shared" si="55"/>
        <v>7</v>
      </c>
      <c r="L270" s="2">
        <f t="shared" si="60"/>
        <v>119720</v>
      </c>
      <c r="M270" s="2">
        <f t="shared" si="61"/>
        <v>564</v>
      </c>
      <c r="N270" s="15">
        <f t="shared" si="62"/>
        <v>536</v>
      </c>
      <c r="O270" s="15">
        <f t="shared" si="63"/>
        <v>3237</v>
      </c>
      <c r="P270" s="16">
        <f>SUM($H$3:H270)</f>
        <v>10804860</v>
      </c>
      <c r="Q270" s="2">
        <f>SUM($I$3:I270)</f>
        <v>907</v>
      </c>
    </row>
    <row r="271" spans="1:17" x14ac:dyDescent="0.3">
      <c r="A271" s="7">
        <f t="shared" si="64"/>
        <v>269</v>
      </c>
      <c r="B271" s="2">
        <f t="shared" si="57"/>
        <v>566</v>
      </c>
      <c r="C271" s="2">
        <f t="shared" si="58"/>
        <v>538</v>
      </c>
      <c r="D271" s="2">
        <f t="shared" si="65"/>
        <v>3244</v>
      </c>
      <c r="E271" s="2">
        <v>0.8</v>
      </c>
      <c r="F271" s="2">
        <f t="shared" si="66"/>
        <v>1.9999999999999998</v>
      </c>
      <c r="G271" s="17">
        <f t="shared" si="56"/>
        <v>8.3233333333333326E-2</v>
      </c>
      <c r="H271" s="8">
        <f t="shared" si="59"/>
        <v>120610</v>
      </c>
      <c r="I271" s="9">
        <f t="shared" si="55"/>
        <v>7</v>
      </c>
      <c r="L271" s="2">
        <f t="shared" si="60"/>
        <v>120610</v>
      </c>
      <c r="M271" s="2">
        <f t="shared" si="61"/>
        <v>566</v>
      </c>
      <c r="N271" s="15">
        <f t="shared" si="62"/>
        <v>538</v>
      </c>
      <c r="O271" s="15">
        <f t="shared" si="63"/>
        <v>3244</v>
      </c>
      <c r="P271" s="16">
        <f>SUM($H$3:H271)</f>
        <v>10925470</v>
      </c>
      <c r="Q271" s="2">
        <f>SUM($I$3:I271)</f>
        <v>914</v>
      </c>
    </row>
    <row r="272" spans="1:17" x14ac:dyDescent="0.3">
      <c r="A272" s="7">
        <f t="shared" si="64"/>
        <v>270</v>
      </c>
      <c r="B272" s="2">
        <f t="shared" si="57"/>
        <v>568</v>
      </c>
      <c r="C272" s="2">
        <f t="shared" si="58"/>
        <v>540</v>
      </c>
      <c r="D272" s="2">
        <f t="shared" si="65"/>
        <v>3251</v>
      </c>
      <c r="E272" s="2">
        <v>0.8</v>
      </c>
      <c r="F272" s="2">
        <f t="shared" si="66"/>
        <v>1.9999999999999998</v>
      </c>
      <c r="G272" s="17">
        <f t="shared" si="56"/>
        <v>8.3666666666666653E-2</v>
      </c>
      <c r="H272" s="8">
        <f t="shared" si="59"/>
        <v>121510</v>
      </c>
      <c r="I272" s="9">
        <f t="shared" si="55"/>
        <v>7</v>
      </c>
      <c r="L272" s="2">
        <f t="shared" si="60"/>
        <v>121510</v>
      </c>
      <c r="M272" s="2">
        <f t="shared" si="61"/>
        <v>568</v>
      </c>
      <c r="N272" s="15">
        <f t="shared" si="62"/>
        <v>540</v>
      </c>
      <c r="O272" s="15">
        <f t="shared" si="63"/>
        <v>3251</v>
      </c>
      <c r="P272" s="16">
        <f>SUM($H$3:H272)</f>
        <v>11046980</v>
      </c>
      <c r="Q272" s="2">
        <f>SUM($I$3:I272)</f>
        <v>921</v>
      </c>
    </row>
    <row r="273" spans="1:17" x14ac:dyDescent="0.3">
      <c r="A273" s="7">
        <f t="shared" si="64"/>
        <v>271</v>
      </c>
      <c r="B273" s="2">
        <f t="shared" si="57"/>
        <v>570</v>
      </c>
      <c r="C273" s="2">
        <f t="shared" si="58"/>
        <v>542</v>
      </c>
      <c r="D273" s="2">
        <f t="shared" si="65"/>
        <v>3258</v>
      </c>
      <c r="E273" s="2">
        <v>0.8</v>
      </c>
      <c r="F273" s="2">
        <f t="shared" si="66"/>
        <v>1.9999999999999998</v>
      </c>
      <c r="G273" s="17">
        <f t="shared" si="56"/>
        <v>8.4099999999999994E-2</v>
      </c>
      <c r="H273" s="8">
        <f t="shared" si="59"/>
        <v>122410</v>
      </c>
      <c r="I273" s="9">
        <f t="shared" si="55"/>
        <v>7</v>
      </c>
      <c r="L273" s="2">
        <f t="shared" si="60"/>
        <v>122410</v>
      </c>
      <c r="M273" s="2">
        <f t="shared" si="61"/>
        <v>570</v>
      </c>
      <c r="N273" s="15">
        <f t="shared" si="62"/>
        <v>542</v>
      </c>
      <c r="O273" s="15">
        <f t="shared" si="63"/>
        <v>3258</v>
      </c>
      <c r="P273" s="16">
        <f>SUM($H$3:H273)</f>
        <v>11169390</v>
      </c>
      <c r="Q273" s="2">
        <f>SUM($I$3:I273)</f>
        <v>928</v>
      </c>
    </row>
    <row r="274" spans="1:17" x14ac:dyDescent="0.3">
      <c r="A274" s="7">
        <f t="shared" si="64"/>
        <v>272</v>
      </c>
      <c r="B274" s="2">
        <f t="shared" si="57"/>
        <v>572</v>
      </c>
      <c r="C274" s="2">
        <f t="shared" si="58"/>
        <v>544</v>
      </c>
      <c r="D274" s="2">
        <f t="shared" si="65"/>
        <v>3265</v>
      </c>
      <c r="E274" s="2">
        <v>0.8</v>
      </c>
      <c r="F274" s="2">
        <f t="shared" si="66"/>
        <v>1.9999999999999998</v>
      </c>
      <c r="G274" s="17">
        <f t="shared" si="56"/>
        <v>8.4533333333333321E-2</v>
      </c>
      <c r="H274" s="8">
        <f t="shared" si="59"/>
        <v>123320</v>
      </c>
      <c r="I274" s="9">
        <f t="shared" si="55"/>
        <v>7</v>
      </c>
      <c r="L274" s="2">
        <f t="shared" si="60"/>
        <v>123320</v>
      </c>
      <c r="M274" s="2">
        <f t="shared" si="61"/>
        <v>572</v>
      </c>
      <c r="N274" s="15">
        <f t="shared" si="62"/>
        <v>544</v>
      </c>
      <c r="O274" s="15">
        <f t="shared" si="63"/>
        <v>3265</v>
      </c>
      <c r="P274" s="16">
        <f>SUM($H$3:H274)</f>
        <v>11292710</v>
      </c>
      <c r="Q274" s="2">
        <f>SUM($I$3:I274)</f>
        <v>935</v>
      </c>
    </row>
    <row r="275" spans="1:17" x14ac:dyDescent="0.3">
      <c r="A275" s="7">
        <f t="shared" si="64"/>
        <v>273</v>
      </c>
      <c r="B275" s="2">
        <f t="shared" si="57"/>
        <v>574</v>
      </c>
      <c r="C275" s="2">
        <f t="shared" si="58"/>
        <v>546</v>
      </c>
      <c r="D275" s="2">
        <f t="shared" si="65"/>
        <v>3272</v>
      </c>
      <c r="E275" s="2">
        <v>0.8</v>
      </c>
      <c r="F275" s="2">
        <f t="shared" si="66"/>
        <v>1.9999999999999998</v>
      </c>
      <c r="G275" s="17">
        <f t="shared" si="56"/>
        <v>8.4966666666666663E-2</v>
      </c>
      <c r="H275" s="8">
        <f t="shared" si="59"/>
        <v>124220</v>
      </c>
      <c r="I275" s="9">
        <f t="shared" si="55"/>
        <v>7</v>
      </c>
      <c r="L275" s="2">
        <f t="shared" si="60"/>
        <v>124220</v>
      </c>
      <c r="M275" s="2">
        <f t="shared" si="61"/>
        <v>574</v>
      </c>
      <c r="N275" s="15">
        <f t="shared" si="62"/>
        <v>546</v>
      </c>
      <c r="O275" s="15">
        <f t="shared" si="63"/>
        <v>3272</v>
      </c>
      <c r="P275" s="16">
        <f>SUM($H$3:H275)</f>
        <v>11416930</v>
      </c>
      <c r="Q275" s="2">
        <f>SUM($I$3:I275)</f>
        <v>942</v>
      </c>
    </row>
    <row r="276" spans="1:17" x14ac:dyDescent="0.3">
      <c r="A276" s="7">
        <f t="shared" si="64"/>
        <v>274</v>
      </c>
      <c r="B276" s="2">
        <f t="shared" si="57"/>
        <v>576</v>
      </c>
      <c r="C276" s="2">
        <f t="shared" si="58"/>
        <v>548</v>
      </c>
      <c r="D276" s="2">
        <f t="shared" si="65"/>
        <v>3279</v>
      </c>
      <c r="E276" s="2">
        <v>0.8</v>
      </c>
      <c r="F276" s="2">
        <f t="shared" si="66"/>
        <v>1.9999999999999998</v>
      </c>
      <c r="G276" s="17">
        <f t="shared" si="56"/>
        <v>8.539999999999999E-2</v>
      </c>
      <c r="H276" s="8">
        <f t="shared" si="59"/>
        <v>125140</v>
      </c>
      <c r="I276" s="9">
        <f t="shared" si="55"/>
        <v>7</v>
      </c>
      <c r="L276" s="2">
        <f t="shared" si="60"/>
        <v>125140</v>
      </c>
      <c r="M276" s="2">
        <f t="shared" si="61"/>
        <v>576</v>
      </c>
      <c r="N276" s="15">
        <f t="shared" si="62"/>
        <v>548</v>
      </c>
      <c r="O276" s="15">
        <f t="shared" si="63"/>
        <v>3279</v>
      </c>
      <c r="P276" s="16">
        <f>SUM($H$3:H276)</f>
        <v>11542070</v>
      </c>
      <c r="Q276" s="2">
        <f>SUM($I$3:I276)</f>
        <v>949</v>
      </c>
    </row>
    <row r="277" spans="1:17" x14ac:dyDescent="0.3">
      <c r="A277" s="7">
        <f t="shared" si="64"/>
        <v>275</v>
      </c>
      <c r="B277" s="2">
        <f t="shared" si="57"/>
        <v>578</v>
      </c>
      <c r="C277" s="2">
        <f t="shared" si="58"/>
        <v>550</v>
      </c>
      <c r="D277" s="2">
        <f t="shared" si="65"/>
        <v>3286</v>
      </c>
      <c r="E277" s="2">
        <v>0.8</v>
      </c>
      <c r="F277" s="2">
        <f t="shared" si="66"/>
        <v>1.9999999999999998</v>
      </c>
      <c r="G277" s="17">
        <f t="shared" si="56"/>
        <v>8.5833333333333331E-2</v>
      </c>
      <c r="H277" s="8">
        <f t="shared" si="59"/>
        <v>126050</v>
      </c>
      <c r="I277" s="9">
        <f t="shared" si="55"/>
        <v>8</v>
      </c>
      <c r="L277" s="2">
        <f t="shared" si="60"/>
        <v>126050</v>
      </c>
      <c r="M277" s="2">
        <f t="shared" si="61"/>
        <v>578</v>
      </c>
      <c r="N277" s="15">
        <f t="shared" si="62"/>
        <v>550</v>
      </c>
      <c r="O277" s="15">
        <f t="shared" si="63"/>
        <v>3286</v>
      </c>
      <c r="P277" s="16">
        <f>SUM($H$3:H277)</f>
        <v>11668120</v>
      </c>
      <c r="Q277" s="2">
        <f>SUM($I$3:I277)</f>
        <v>957</v>
      </c>
    </row>
    <row r="278" spans="1:17" x14ac:dyDescent="0.3">
      <c r="A278" s="7">
        <f t="shared" si="64"/>
        <v>276</v>
      </c>
      <c r="B278" s="2">
        <f t="shared" si="57"/>
        <v>580</v>
      </c>
      <c r="C278" s="2">
        <f t="shared" si="58"/>
        <v>552</v>
      </c>
      <c r="D278" s="2">
        <f t="shared" si="65"/>
        <v>3293</v>
      </c>
      <c r="E278" s="2">
        <v>0.8</v>
      </c>
      <c r="F278" s="2">
        <f t="shared" si="66"/>
        <v>1.9999999999999998</v>
      </c>
      <c r="G278" s="17">
        <f t="shared" si="56"/>
        <v>8.6266666666666658E-2</v>
      </c>
      <c r="H278" s="8">
        <f t="shared" si="59"/>
        <v>126970</v>
      </c>
      <c r="I278" s="9">
        <f t="shared" si="55"/>
        <v>8</v>
      </c>
      <c r="L278" s="2">
        <f t="shared" si="60"/>
        <v>126970</v>
      </c>
      <c r="M278" s="2">
        <f t="shared" si="61"/>
        <v>580</v>
      </c>
      <c r="N278" s="15">
        <f t="shared" si="62"/>
        <v>552</v>
      </c>
      <c r="O278" s="15">
        <f t="shared" si="63"/>
        <v>3293</v>
      </c>
      <c r="P278" s="16">
        <f>SUM($H$3:H278)</f>
        <v>11795090</v>
      </c>
      <c r="Q278" s="2">
        <f>SUM($I$3:I278)</f>
        <v>965</v>
      </c>
    </row>
    <row r="279" spans="1:17" x14ac:dyDescent="0.3">
      <c r="A279" s="7">
        <f t="shared" si="64"/>
        <v>277</v>
      </c>
      <c r="B279" s="2">
        <f t="shared" si="57"/>
        <v>582</v>
      </c>
      <c r="C279" s="2">
        <f t="shared" si="58"/>
        <v>554</v>
      </c>
      <c r="D279" s="2">
        <f t="shared" si="65"/>
        <v>3300</v>
      </c>
      <c r="E279" s="2">
        <v>0.8</v>
      </c>
      <c r="F279" s="2">
        <f t="shared" si="66"/>
        <v>1.9999999999999998</v>
      </c>
      <c r="G279" s="17">
        <f t="shared" si="56"/>
        <v>8.6699999999999999E-2</v>
      </c>
      <c r="H279" s="8">
        <f t="shared" si="59"/>
        <v>127890</v>
      </c>
      <c r="I279" s="9">
        <f t="shared" si="55"/>
        <v>8</v>
      </c>
      <c r="L279" s="2">
        <f t="shared" si="60"/>
        <v>127890</v>
      </c>
      <c r="M279" s="2">
        <f t="shared" si="61"/>
        <v>582</v>
      </c>
      <c r="N279" s="15">
        <f t="shared" si="62"/>
        <v>554</v>
      </c>
      <c r="O279" s="15">
        <f t="shared" si="63"/>
        <v>3300</v>
      </c>
      <c r="P279" s="16">
        <f>SUM($H$3:H279)</f>
        <v>11922980</v>
      </c>
      <c r="Q279" s="2">
        <f>SUM($I$3:I279)</f>
        <v>973</v>
      </c>
    </row>
    <row r="280" spans="1:17" x14ac:dyDescent="0.3">
      <c r="A280" s="7">
        <f t="shared" si="64"/>
        <v>278</v>
      </c>
      <c r="B280" s="2">
        <f t="shared" si="57"/>
        <v>584</v>
      </c>
      <c r="C280" s="2">
        <f t="shared" si="58"/>
        <v>556</v>
      </c>
      <c r="D280" s="2">
        <f t="shared" si="65"/>
        <v>3307</v>
      </c>
      <c r="E280" s="2">
        <v>0.8</v>
      </c>
      <c r="F280" s="2">
        <f t="shared" si="66"/>
        <v>1.9999999999999998</v>
      </c>
      <c r="G280" s="17">
        <f t="shared" si="56"/>
        <v>8.7133333333333327E-2</v>
      </c>
      <c r="H280" s="8">
        <f t="shared" si="59"/>
        <v>128810</v>
      </c>
      <c r="I280" s="9">
        <f t="shared" si="55"/>
        <v>8</v>
      </c>
      <c r="L280" s="2">
        <f t="shared" si="60"/>
        <v>128810</v>
      </c>
      <c r="M280" s="2">
        <f t="shared" si="61"/>
        <v>584</v>
      </c>
      <c r="N280" s="15">
        <f t="shared" si="62"/>
        <v>556</v>
      </c>
      <c r="O280" s="15">
        <f t="shared" si="63"/>
        <v>3307</v>
      </c>
      <c r="P280" s="16">
        <f>SUM($H$3:H280)</f>
        <v>12051790</v>
      </c>
      <c r="Q280" s="2">
        <f>SUM($I$3:I280)</f>
        <v>981</v>
      </c>
    </row>
    <row r="281" spans="1:17" x14ac:dyDescent="0.3">
      <c r="A281" s="7">
        <f t="shared" si="64"/>
        <v>279</v>
      </c>
      <c r="B281" s="2">
        <f t="shared" si="57"/>
        <v>586</v>
      </c>
      <c r="C281" s="2">
        <f t="shared" si="58"/>
        <v>558</v>
      </c>
      <c r="D281" s="2">
        <f t="shared" si="65"/>
        <v>3314</v>
      </c>
      <c r="E281" s="2">
        <v>0.8</v>
      </c>
      <c r="F281" s="2">
        <f t="shared" si="66"/>
        <v>1.9999999999999998</v>
      </c>
      <c r="G281" s="17">
        <f t="shared" si="56"/>
        <v>8.7566666666666668E-2</v>
      </c>
      <c r="H281" s="8">
        <f t="shared" si="59"/>
        <v>129740</v>
      </c>
      <c r="I281" s="9">
        <f t="shared" si="55"/>
        <v>8</v>
      </c>
      <c r="L281" s="2">
        <f t="shared" si="60"/>
        <v>129740</v>
      </c>
      <c r="M281" s="2">
        <f t="shared" si="61"/>
        <v>586</v>
      </c>
      <c r="N281" s="15">
        <f t="shared" si="62"/>
        <v>558</v>
      </c>
      <c r="O281" s="15">
        <f t="shared" si="63"/>
        <v>3314</v>
      </c>
      <c r="P281" s="16">
        <f>SUM($H$3:H281)</f>
        <v>12181530</v>
      </c>
      <c r="Q281" s="2">
        <f>SUM($I$3:I281)</f>
        <v>989</v>
      </c>
    </row>
    <row r="282" spans="1:17" x14ac:dyDescent="0.3">
      <c r="A282" s="7">
        <f t="shared" si="64"/>
        <v>280</v>
      </c>
      <c r="B282" s="2">
        <f t="shared" si="57"/>
        <v>588</v>
      </c>
      <c r="C282" s="2">
        <f t="shared" si="58"/>
        <v>560</v>
      </c>
      <c r="D282" s="2">
        <f t="shared" si="65"/>
        <v>3321</v>
      </c>
      <c r="E282" s="2">
        <v>0.8</v>
      </c>
      <c r="F282" s="2">
        <f t="shared" si="66"/>
        <v>2.1999999999999997</v>
      </c>
      <c r="G282" s="17">
        <f t="shared" si="56"/>
        <v>8.7999999999999995E-2</v>
      </c>
      <c r="H282" s="8">
        <f t="shared" si="59"/>
        <v>130670</v>
      </c>
      <c r="I282" s="9">
        <f t="shared" si="55"/>
        <v>8</v>
      </c>
      <c r="L282" s="2">
        <f t="shared" si="60"/>
        <v>130670</v>
      </c>
      <c r="M282" s="2">
        <f t="shared" si="61"/>
        <v>588</v>
      </c>
      <c r="N282" s="15">
        <f t="shared" si="62"/>
        <v>560</v>
      </c>
      <c r="O282" s="15">
        <f t="shared" si="63"/>
        <v>3321</v>
      </c>
      <c r="P282" s="16">
        <f>SUM($H$3:H282)</f>
        <v>12312200</v>
      </c>
      <c r="Q282" s="2">
        <f>SUM($I$3:I282)</f>
        <v>997</v>
      </c>
    </row>
    <row r="283" spans="1:17" x14ac:dyDescent="0.3">
      <c r="A283" s="7">
        <f t="shared" si="64"/>
        <v>281</v>
      </c>
      <c r="B283" s="2">
        <f t="shared" si="57"/>
        <v>590</v>
      </c>
      <c r="C283" s="2">
        <f t="shared" si="58"/>
        <v>562</v>
      </c>
      <c r="D283" s="2">
        <f t="shared" si="65"/>
        <v>3328</v>
      </c>
      <c r="E283" s="2">
        <v>0.8</v>
      </c>
      <c r="F283" s="2">
        <f t="shared" si="66"/>
        <v>2.1999999999999997</v>
      </c>
      <c r="G283" s="17">
        <f t="shared" si="56"/>
        <v>8.8433333333333336E-2</v>
      </c>
      <c r="H283" s="8">
        <f t="shared" si="59"/>
        <v>131610</v>
      </c>
      <c r="I283" s="9">
        <f t="shared" si="55"/>
        <v>8</v>
      </c>
      <c r="L283" s="2">
        <f t="shared" si="60"/>
        <v>131610</v>
      </c>
      <c r="M283" s="2">
        <f t="shared" si="61"/>
        <v>590</v>
      </c>
      <c r="N283" s="15">
        <f t="shared" si="62"/>
        <v>562</v>
      </c>
      <c r="O283" s="15">
        <f t="shared" si="63"/>
        <v>3328</v>
      </c>
      <c r="P283" s="16">
        <f>SUM($H$3:H283)</f>
        <v>12443810</v>
      </c>
      <c r="Q283" s="2">
        <f>SUM($I$3:I283)</f>
        <v>1005</v>
      </c>
    </row>
    <row r="284" spans="1:17" x14ac:dyDescent="0.3">
      <c r="A284" s="7">
        <f t="shared" si="64"/>
        <v>282</v>
      </c>
      <c r="B284" s="2">
        <f t="shared" si="57"/>
        <v>592</v>
      </c>
      <c r="C284" s="2">
        <f t="shared" si="58"/>
        <v>564</v>
      </c>
      <c r="D284" s="2">
        <f t="shared" si="65"/>
        <v>3335</v>
      </c>
      <c r="E284" s="2">
        <v>0.8</v>
      </c>
      <c r="F284" s="2">
        <f t="shared" si="66"/>
        <v>2.1999999999999997</v>
      </c>
      <c r="G284" s="17">
        <f t="shared" si="56"/>
        <v>8.8866666666666663E-2</v>
      </c>
      <c r="H284" s="8">
        <f t="shared" si="59"/>
        <v>132550</v>
      </c>
      <c r="I284" s="9">
        <f t="shared" si="55"/>
        <v>8</v>
      </c>
      <c r="L284" s="2">
        <f t="shared" si="60"/>
        <v>132550</v>
      </c>
      <c r="M284" s="2">
        <f t="shared" si="61"/>
        <v>592</v>
      </c>
      <c r="N284" s="15">
        <f t="shared" si="62"/>
        <v>564</v>
      </c>
      <c r="O284" s="15">
        <f t="shared" si="63"/>
        <v>3335</v>
      </c>
      <c r="P284" s="16">
        <f>SUM($H$3:H284)</f>
        <v>12576360</v>
      </c>
      <c r="Q284" s="2">
        <f>SUM($I$3:I284)</f>
        <v>1013</v>
      </c>
    </row>
    <row r="285" spans="1:17" x14ac:dyDescent="0.3">
      <c r="A285" s="7">
        <f t="shared" si="64"/>
        <v>283</v>
      </c>
      <c r="B285" s="2">
        <f t="shared" si="57"/>
        <v>594</v>
      </c>
      <c r="C285" s="2">
        <f t="shared" si="58"/>
        <v>566</v>
      </c>
      <c r="D285" s="2">
        <f t="shared" si="65"/>
        <v>3342</v>
      </c>
      <c r="E285" s="2">
        <v>0.8</v>
      </c>
      <c r="F285" s="2">
        <f t="shared" si="66"/>
        <v>2.1999999999999997</v>
      </c>
      <c r="G285" s="17">
        <f t="shared" si="56"/>
        <v>8.9300000000000004E-2</v>
      </c>
      <c r="H285" s="8">
        <f t="shared" si="59"/>
        <v>133490</v>
      </c>
      <c r="I285" s="9">
        <f t="shared" si="55"/>
        <v>8</v>
      </c>
      <c r="L285" s="2">
        <f t="shared" si="60"/>
        <v>133490</v>
      </c>
      <c r="M285" s="2">
        <f t="shared" si="61"/>
        <v>594</v>
      </c>
      <c r="N285" s="15">
        <f t="shared" si="62"/>
        <v>566</v>
      </c>
      <c r="O285" s="15">
        <f t="shared" si="63"/>
        <v>3342</v>
      </c>
      <c r="P285" s="16">
        <f>SUM($H$3:H285)</f>
        <v>12709850</v>
      </c>
      <c r="Q285" s="2">
        <f>SUM($I$3:I285)</f>
        <v>1021</v>
      </c>
    </row>
    <row r="286" spans="1:17" x14ac:dyDescent="0.3">
      <c r="A286" s="7">
        <f t="shared" si="64"/>
        <v>284</v>
      </c>
      <c r="B286" s="2">
        <f t="shared" si="57"/>
        <v>596</v>
      </c>
      <c r="C286" s="2">
        <f t="shared" si="58"/>
        <v>568</v>
      </c>
      <c r="D286" s="2">
        <f t="shared" si="65"/>
        <v>3349</v>
      </c>
      <c r="E286" s="2">
        <v>0.8</v>
      </c>
      <c r="F286" s="2">
        <f t="shared" si="66"/>
        <v>2.1999999999999997</v>
      </c>
      <c r="G286" s="17">
        <f t="shared" si="56"/>
        <v>8.9733333333333332E-2</v>
      </c>
      <c r="H286" s="8">
        <f t="shared" si="59"/>
        <v>134430</v>
      </c>
      <c r="I286" s="9">
        <f t="shared" si="55"/>
        <v>8</v>
      </c>
      <c r="L286" s="2">
        <f t="shared" si="60"/>
        <v>134430</v>
      </c>
      <c r="M286" s="2">
        <f t="shared" si="61"/>
        <v>596</v>
      </c>
      <c r="N286" s="15">
        <f t="shared" si="62"/>
        <v>568</v>
      </c>
      <c r="O286" s="15">
        <f t="shared" si="63"/>
        <v>3349</v>
      </c>
      <c r="P286" s="16">
        <f>SUM($H$3:H286)</f>
        <v>12844280</v>
      </c>
      <c r="Q286" s="2">
        <f>SUM($I$3:I286)</f>
        <v>1029</v>
      </c>
    </row>
    <row r="287" spans="1:17" x14ac:dyDescent="0.3">
      <c r="A287" s="7">
        <f t="shared" si="64"/>
        <v>285</v>
      </c>
      <c r="B287" s="2">
        <f t="shared" si="57"/>
        <v>598</v>
      </c>
      <c r="C287" s="2">
        <f t="shared" si="58"/>
        <v>570</v>
      </c>
      <c r="D287" s="2">
        <f t="shared" si="65"/>
        <v>3356</v>
      </c>
      <c r="E287" s="2">
        <v>0.8</v>
      </c>
      <c r="F287" s="2">
        <f t="shared" si="66"/>
        <v>2.1999999999999997</v>
      </c>
      <c r="G287" s="17">
        <f t="shared" si="56"/>
        <v>9.0166666666666673E-2</v>
      </c>
      <c r="H287" s="8">
        <f t="shared" si="59"/>
        <v>135380</v>
      </c>
      <c r="I287" s="9">
        <f t="shared" si="55"/>
        <v>8</v>
      </c>
      <c r="L287" s="2">
        <f t="shared" si="60"/>
        <v>135380</v>
      </c>
      <c r="M287" s="2">
        <f t="shared" si="61"/>
        <v>598</v>
      </c>
      <c r="N287" s="15">
        <f t="shared" si="62"/>
        <v>570</v>
      </c>
      <c r="O287" s="15">
        <f t="shared" si="63"/>
        <v>3356</v>
      </c>
      <c r="P287" s="16">
        <f>SUM($H$3:H287)</f>
        <v>12979660</v>
      </c>
      <c r="Q287" s="2">
        <f>SUM($I$3:I287)</f>
        <v>1037</v>
      </c>
    </row>
    <row r="288" spans="1:17" x14ac:dyDescent="0.3">
      <c r="A288" s="7">
        <f t="shared" si="64"/>
        <v>286</v>
      </c>
      <c r="B288" s="2">
        <f t="shared" si="57"/>
        <v>600</v>
      </c>
      <c r="C288" s="2">
        <f t="shared" si="58"/>
        <v>572</v>
      </c>
      <c r="D288" s="2">
        <f t="shared" si="65"/>
        <v>3363</v>
      </c>
      <c r="E288" s="2">
        <v>0.8</v>
      </c>
      <c r="F288" s="2">
        <f t="shared" si="66"/>
        <v>2.1999999999999997</v>
      </c>
      <c r="G288" s="17">
        <f t="shared" si="56"/>
        <v>9.06E-2</v>
      </c>
      <c r="H288" s="8">
        <f t="shared" si="59"/>
        <v>136330</v>
      </c>
      <c r="I288" s="9">
        <f t="shared" si="55"/>
        <v>8</v>
      </c>
      <c r="L288" s="2">
        <f t="shared" si="60"/>
        <v>136330</v>
      </c>
      <c r="M288" s="2">
        <f t="shared" si="61"/>
        <v>600</v>
      </c>
      <c r="N288" s="15">
        <f t="shared" si="62"/>
        <v>572</v>
      </c>
      <c r="O288" s="15">
        <f t="shared" si="63"/>
        <v>3363</v>
      </c>
      <c r="P288" s="16">
        <f>SUM($H$3:H288)</f>
        <v>13115990</v>
      </c>
      <c r="Q288" s="2">
        <f>SUM($I$3:I288)</f>
        <v>1045</v>
      </c>
    </row>
    <row r="289" spans="1:17" x14ac:dyDescent="0.3">
      <c r="A289" s="7">
        <f t="shared" si="64"/>
        <v>287</v>
      </c>
      <c r="B289" s="2">
        <f t="shared" si="57"/>
        <v>602</v>
      </c>
      <c r="C289" s="2">
        <f t="shared" si="58"/>
        <v>574</v>
      </c>
      <c r="D289" s="2">
        <f t="shared" si="65"/>
        <v>3370</v>
      </c>
      <c r="E289" s="2">
        <v>0.8</v>
      </c>
      <c r="F289" s="2">
        <f t="shared" si="66"/>
        <v>2.1999999999999997</v>
      </c>
      <c r="G289" s="17">
        <f t="shared" si="56"/>
        <v>9.1033333333333341E-2</v>
      </c>
      <c r="H289" s="8">
        <f t="shared" si="59"/>
        <v>137290</v>
      </c>
      <c r="I289" s="9">
        <f t="shared" si="55"/>
        <v>8</v>
      </c>
      <c r="L289" s="2">
        <f t="shared" si="60"/>
        <v>137290</v>
      </c>
      <c r="M289" s="2">
        <f t="shared" si="61"/>
        <v>602</v>
      </c>
      <c r="N289" s="15">
        <f t="shared" si="62"/>
        <v>574</v>
      </c>
      <c r="O289" s="15">
        <f t="shared" si="63"/>
        <v>3370</v>
      </c>
      <c r="P289" s="16">
        <f>SUM($H$3:H289)</f>
        <v>13253280</v>
      </c>
      <c r="Q289" s="2">
        <f>SUM($I$3:I289)</f>
        <v>1053</v>
      </c>
    </row>
    <row r="290" spans="1:17" x14ac:dyDescent="0.3">
      <c r="A290" s="7">
        <f t="shared" si="64"/>
        <v>288</v>
      </c>
      <c r="B290" s="2">
        <f t="shared" si="57"/>
        <v>604</v>
      </c>
      <c r="C290" s="2">
        <f t="shared" si="58"/>
        <v>576</v>
      </c>
      <c r="D290" s="2">
        <f t="shared" si="65"/>
        <v>3377</v>
      </c>
      <c r="E290" s="2">
        <v>0.8</v>
      </c>
      <c r="F290" s="2">
        <f t="shared" si="66"/>
        <v>2.1999999999999997</v>
      </c>
      <c r="G290" s="17">
        <f t="shared" si="56"/>
        <v>9.1466666666666668E-2</v>
      </c>
      <c r="H290" s="8">
        <f t="shared" si="59"/>
        <v>138250</v>
      </c>
      <c r="I290" s="9">
        <f t="shared" si="55"/>
        <v>8</v>
      </c>
      <c r="L290" s="2">
        <f t="shared" si="60"/>
        <v>138250</v>
      </c>
      <c r="M290" s="2">
        <f t="shared" si="61"/>
        <v>604</v>
      </c>
      <c r="N290" s="15">
        <f t="shared" si="62"/>
        <v>576</v>
      </c>
      <c r="O290" s="15">
        <f t="shared" si="63"/>
        <v>3377</v>
      </c>
      <c r="P290" s="16">
        <f>SUM($H$3:H290)</f>
        <v>13391530</v>
      </c>
      <c r="Q290" s="2">
        <f>SUM($I$3:I290)</f>
        <v>1061</v>
      </c>
    </row>
    <row r="291" spans="1:17" x14ac:dyDescent="0.3">
      <c r="A291" s="7">
        <f t="shared" si="64"/>
        <v>289</v>
      </c>
      <c r="B291" s="2">
        <f t="shared" si="57"/>
        <v>606</v>
      </c>
      <c r="C291" s="2">
        <f t="shared" si="58"/>
        <v>578</v>
      </c>
      <c r="D291" s="2">
        <f t="shared" si="65"/>
        <v>3384</v>
      </c>
      <c r="E291" s="2">
        <v>0.8</v>
      </c>
      <c r="F291" s="2">
        <f t="shared" si="66"/>
        <v>2.1999999999999997</v>
      </c>
      <c r="G291" s="17">
        <f t="shared" si="56"/>
        <v>9.1900000000000009E-2</v>
      </c>
      <c r="H291" s="8">
        <f t="shared" si="59"/>
        <v>139210</v>
      </c>
      <c r="I291" s="9">
        <f t="shared" si="55"/>
        <v>8</v>
      </c>
      <c r="L291" s="2">
        <f t="shared" si="60"/>
        <v>139210</v>
      </c>
      <c r="M291" s="2">
        <f t="shared" si="61"/>
        <v>606</v>
      </c>
      <c r="N291" s="15">
        <f t="shared" si="62"/>
        <v>578</v>
      </c>
      <c r="O291" s="15">
        <f t="shared" si="63"/>
        <v>3384</v>
      </c>
      <c r="P291" s="16">
        <f>SUM($H$3:H291)</f>
        <v>13530740</v>
      </c>
      <c r="Q291" s="2">
        <f>SUM($I$3:I291)</f>
        <v>1069</v>
      </c>
    </row>
    <row r="292" spans="1:17" x14ac:dyDescent="0.3">
      <c r="A292" s="7">
        <f t="shared" si="64"/>
        <v>290</v>
      </c>
      <c r="B292" s="2">
        <f t="shared" si="57"/>
        <v>608</v>
      </c>
      <c r="C292" s="2">
        <f t="shared" si="58"/>
        <v>580</v>
      </c>
      <c r="D292" s="2">
        <f t="shared" si="65"/>
        <v>3391</v>
      </c>
      <c r="E292" s="2">
        <v>0.8</v>
      </c>
      <c r="F292" s="2">
        <f t="shared" si="66"/>
        <v>2.1999999999999997</v>
      </c>
      <c r="G292" s="17">
        <f t="shared" si="56"/>
        <v>9.2333333333333337E-2</v>
      </c>
      <c r="H292" s="8">
        <f t="shared" si="59"/>
        <v>140170</v>
      </c>
      <c r="I292" s="9">
        <f t="shared" ref="I292:I355" si="67">I267+1</f>
        <v>8</v>
      </c>
      <c r="L292" s="2">
        <f t="shared" si="60"/>
        <v>140170</v>
      </c>
      <c r="M292" s="2">
        <f t="shared" si="61"/>
        <v>608</v>
      </c>
      <c r="N292" s="15">
        <f t="shared" si="62"/>
        <v>580</v>
      </c>
      <c r="O292" s="15">
        <f t="shared" si="63"/>
        <v>3391</v>
      </c>
      <c r="P292" s="16">
        <f>SUM($H$3:H292)</f>
        <v>13670910</v>
      </c>
      <c r="Q292" s="2">
        <f>SUM($I$3:I292)</f>
        <v>1077</v>
      </c>
    </row>
    <row r="293" spans="1:17" x14ac:dyDescent="0.3">
      <c r="A293" s="7">
        <f t="shared" si="64"/>
        <v>291</v>
      </c>
      <c r="B293" s="2">
        <f t="shared" si="57"/>
        <v>610</v>
      </c>
      <c r="C293" s="2">
        <f t="shared" si="58"/>
        <v>582</v>
      </c>
      <c r="D293" s="2">
        <f t="shared" si="65"/>
        <v>3398</v>
      </c>
      <c r="E293" s="2">
        <v>0.8</v>
      </c>
      <c r="F293" s="2">
        <f t="shared" si="66"/>
        <v>2.1999999999999997</v>
      </c>
      <c r="G293" s="17">
        <f t="shared" si="56"/>
        <v>9.2766666666666678E-2</v>
      </c>
      <c r="H293" s="8">
        <f t="shared" si="59"/>
        <v>141140</v>
      </c>
      <c r="I293" s="9">
        <f t="shared" si="67"/>
        <v>8</v>
      </c>
      <c r="L293" s="2">
        <f t="shared" si="60"/>
        <v>141140</v>
      </c>
      <c r="M293" s="2">
        <f t="shared" si="61"/>
        <v>610</v>
      </c>
      <c r="N293" s="15">
        <f t="shared" si="62"/>
        <v>582</v>
      </c>
      <c r="O293" s="15">
        <f t="shared" si="63"/>
        <v>3398</v>
      </c>
      <c r="P293" s="16">
        <f>SUM($H$3:H293)</f>
        <v>13812050</v>
      </c>
      <c r="Q293" s="2">
        <f>SUM($I$3:I293)</f>
        <v>1085</v>
      </c>
    </row>
    <row r="294" spans="1:17" x14ac:dyDescent="0.3">
      <c r="A294" s="7">
        <f t="shared" si="64"/>
        <v>292</v>
      </c>
      <c r="B294" s="2">
        <f t="shared" si="57"/>
        <v>612</v>
      </c>
      <c r="C294" s="2">
        <f t="shared" si="58"/>
        <v>584</v>
      </c>
      <c r="D294" s="2">
        <f t="shared" si="65"/>
        <v>3405</v>
      </c>
      <c r="E294" s="2">
        <v>0.8</v>
      </c>
      <c r="F294" s="2">
        <f t="shared" si="66"/>
        <v>2.1999999999999997</v>
      </c>
      <c r="G294" s="17">
        <f t="shared" si="56"/>
        <v>9.3199999999999991E-2</v>
      </c>
      <c r="H294" s="8">
        <f t="shared" si="59"/>
        <v>142110</v>
      </c>
      <c r="I294" s="9">
        <f t="shared" si="67"/>
        <v>8</v>
      </c>
      <c r="L294" s="2">
        <f t="shared" si="60"/>
        <v>142110</v>
      </c>
      <c r="M294" s="2">
        <f t="shared" si="61"/>
        <v>612</v>
      </c>
      <c r="N294" s="15">
        <f t="shared" si="62"/>
        <v>584</v>
      </c>
      <c r="O294" s="15">
        <f t="shared" si="63"/>
        <v>3405</v>
      </c>
      <c r="P294" s="16">
        <f>SUM($H$3:H294)</f>
        <v>13954160</v>
      </c>
      <c r="Q294" s="2">
        <f>SUM($I$3:I294)</f>
        <v>1093</v>
      </c>
    </row>
    <row r="295" spans="1:17" x14ac:dyDescent="0.3">
      <c r="A295" s="7">
        <f t="shared" si="64"/>
        <v>293</v>
      </c>
      <c r="B295" s="2">
        <f t="shared" si="57"/>
        <v>614</v>
      </c>
      <c r="C295" s="2">
        <f t="shared" si="58"/>
        <v>586</v>
      </c>
      <c r="D295" s="2">
        <f t="shared" si="65"/>
        <v>3412</v>
      </c>
      <c r="E295" s="2">
        <v>0.8</v>
      </c>
      <c r="F295" s="2">
        <f t="shared" si="66"/>
        <v>2.1999999999999997</v>
      </c>
      <c r="G295" s="17">
        <f t="shared" ref="G295:G358" si="68">0.01 + (A295-100)*(0.4-0.01)/(1000-100)</f>
        <v>9.3633333333333318E-2</v>
      </c>
      <c r="H295" s="8">
        <f t="shared" si="59"/>
        <v>143090</v>
      </c>
      <c r="I295" s="9">
        <f t="shared" si="67"/>
        <v>8</v>
      </c>
      <c r="L295" s="2">
        <f t="shared" si="60"/>
        <v>143090</v>
      </c>
      <c r="M295" s="2">
        <f t="shared" si="61"/>
        <v>614</v>
      </c>
      <c r="N295" s="15">
        <f t="shared" si="62"/>
        <v>586</v>
      </c>
      <c r="O295" s="15">
        <f t="shared" si="63"/>
        <v>3412</v>
      </c>
      <c r="P295" s="16">
        <f>SUM($H$3:H295)</f>
        <v>14097250</v>
      </c>
      <c r="Q295" s="2">
        <f>SUM($I$3:I295)</f>
        <v>1101</v>
      </c>
    </row>
    <row r="296" spans="1:17" x14ac:dyDescent="0.3">
      <c r="A296" s="7">
        <f t="shared" si="64"/>
        <v>294</v>
      </c>
      <c r="B296" s="2">
        <f t="shared" si="57"/>
        <v>616</v>
      </c>
      <c r="C296" s="2">
        <f t="shared" si="58"/>
        <v>588</v>
      </c>
      <c r="D296" s="2">
        <f t="shared" si="65"/>
        <v>3419</v>
      </c>
      <c r="E296" s="2">
        <v>0.8</v>
      </c>
      <c r="F296" s="2">
        <f t="shared" si="66"/>
        <v>2.1999999999999997</v>
      </c>
      <c r="G296" s="17">
        <f t="shared" si="68"/>
        <v>9.406666666666666E-2</v>
      </c>
      <c r="H296" s="8">
        <f t="shared" si="59"/>
        <v>144070</v>
      </c>
      <c r="I296" s="9">
        <f t="shared" si="67"/>
        <v>8</v>
      </c>
      <c r="L296" s="2">
        <f t="shared" si="60"/>
        <v>144070</v>
      </c>
      <c r="M296" s="2">
        <f t="shared" si="61"/>
        <v>616</v>
      </c>
      <c r="N296" s="15">
        <f t="shared" si="62"/>
        <v>588</v>
      </c>
      <c r="O296" s="15">
        <f t="shared" si="63"/>
        <v>3419</v>
      </c>
      <c r="P296" s="16">
        <f>SUM($H$3:H296)</f>
        <v>14241320</v>
      </c>
      <c r="Q296" s="2">
        <f>SUM($I$3:I296)</f>
        <v>1109</v>
      </c>
    </row>
    <row r="297" spans="1:17" x14ac:dyDescent="0.3">
      <c r="A297" s="7">
        <f t="shared" si="64"/>
        <v>295</v>
      </c>
      <c r="B297" s="2">
        <f t="shared" si="57"/>
        <v>618</v>
      </c>
      <c r="C297" s="2">
        <f t="shared" si="58"/>
        <v>590</v>
      </c>
      <c r="D297" s="2">
        <f t="shared" si="65"/>
        <v>3426</v>
      </c>
      <c r="E297" s="2">
        <v>0.8</v>
      </c>
      <c r="F297" s="2">
        <f t="shared" si="66"/>
        <v>2.1999999999999997</v>
      </c>
      <c r="G297" s="17">
        <f t="shared" si="68"/>
        <v>9.4499999999999987E-2</v>
      </c>
      <c r="H297" s="8">
        <f t="shared" si="59"/>
        <v>145050</v>
      </c>
      <c r="I297" s="9">
        <f t="shared" si="67"/>
        <v>8</v>
      </c>
      <c r="L297" s="2">
        <f t="shared" si="60"/>
        <v>145050</v>
      </c>
      <c r="M297" s="2">
        <f t="shared" si="61"/>
        <v>618</v>
      </c>
      <c r="N297" s="15">
        <f t="shared" si="62"/>
        <v>590</v>
      </c>
      <c r="O297" s="15">
        <f t="shared" si="63"/>
        <v>3426</v>
      </c>
      <c r="P297" s="16">
        <f>SUM($H$3:H297)</f>
        <v>14386370</v>
      </c>
      <c r="Q297" s="2">
        <f>SUM($I$3:I297)</f>
        <v>1117</v>
      </c>
    </row>
    <row r="298" spans="1:17" x14ac:dyDescent="0.3">
      <c r="A298" s="7">
        <f t="shared" si="64"/>
        <v>296</v>
      </c>
      <c r="B298" s="2">
        <f t="shared" si="57"/>
        <v>620</v>
      </c>
      <c r="C298" s="2">
        <f t="shared" si="58"/>
        <v>592</v>
      </c>
      <c r="D298" s="2">
        <f t="shared" si="65"/>
        <v>3433</v>
      </c>
      <c r="E298" s="2">
        <v>0.8</v>
      </c>
      <c r="F298" s="2">
        <f t="shared" si="66"/>
        <v>2.1999999999999997</v>
      </c>
      <c r="G298" s="17">
        <f t="shared" si="68"/>
        <v>9.4933333333333328E-2</v>
      </c>
      <c r="H298" s="8">
        <f t="shared" si="59"/>
        <v>146030</v>
      </c>
      <c r="I298" s="9">
        <f t="shared" si="67"/>
        <v>8</v>
      </c>
      <c r="L298" s="2">
        <f t="shared" si="60"/>
        <v>146030</v>
      </c>
      <c r="M298" s="2">
        <f t="shared" si="61"/>
        <v>620</v>
      </c>
      <c r="N298" s="15">
        <f t="shared" si="62"/>
        <v>592</v>
      </c>
      <c r="O298" s="15">
        <f t="shared" si="63"/>
        <v>3433</v>
      </c>
      <c r="P298" s="16">
        <f>SUM($H$3:H298)</f>
        <v>14532400</v>
      </c>
      <c r="Q298" s="2">
        <f>SUM($I$3:I298)</f>
        <v>1125</v>
      </c>
    </row>
    <row r="299" spans="1:17" x14ac:dyDescent="0.3">
      <c r="A299" s="7">
        <f t="shared" si="64"/>
        <v>297</v>
      </c>
      <c r="B299" s="2">
        <f t="shared" si="57"/>
        <v>622</v>
      </c>
      <c r="C299" s="2">
        <f t="shared" si="58"/>
        <v>594</v>
      </c>
      <c r="D299" s="2">
        <f t="shared" si="65"/>
        <v>3440</v>
      </c>
      <c r="E299" s="2">
        <v>0.8</v>
      </c>
      <c r="F299" s="2">
        <f t="shared" si="66"/>
        <v>2.1999999999999997</v>
      </c>
      <c r="G299" s="17">
        <f t="shared" si="68"/>
        <v>9.5366666666666655E-2</v>
      </c>
      <c r="H299" s="8">
        <f t="shared" si="59"/>
        <v>147020</v>
      </c>
      <c r="I299" s="9">
        <f t="shared" si="67"/>
        <v>8</v>
      </c>
      <c r="L299" s="2">
        <f t="shared" si="60"/>
        <v>147020</v>
      </c>
      <c r="M299" s="2">
        <f t="shared" si="61"/>
        <v>622</v>
      </c>
      <c r="N299" s="15">
        <f t="shared" si="62"/>
        <v>594</v>
      </c>
      <c r="O299" s="15">
        <f t="shared" si="63"/>
        <v>3440</v>
      </c>
      <c r="P299" s="16">
        <f>SUM($H$3:H299)</f>
        <v>14679420</v>
      </c>
      <c r="Q299" s="2">
        <f>SUM($I$3:I299)</f>
        <v>1133</v>
      </c>
    </row>
    <row r="300" spans="1:17" x14ac:dyDescent="0.3">
      <c r="A300" s="7">
        <f t="shared" si="64"/>
        <v>298</v>
      </c>
      <c r="B300" s="2">
        <f t="shared" si="57"/>
        <v>624</v>
      </c>
      <c r="C300" s="2">
        <f t="shared" si="58"/>
        <v>596</v>
      </c>
      <c r="D300" s="2">
        <f t="shared" si="65"/>
        <v>3447</v>
      </c>
      <c r="E300" s="2">
        <v>0.8</v>
      </c>
      <c r="F300" s="2">
        <f t="shared" si="66"/>
        <v>2.1999999999999997</v>
      </c>
      <c r="G300" s="17">
        <f t="shared" si="68"/>
        <v>9.5799999999999996E-2</v>
      </c>
      <c r="H300" s="8">
        <f t="shared" si="59"/>
        <v>148010</v>
      </c>
      <c r="I300" s="9">
        <f t="shared" si="67"/>
        <v>8</v>
      </c>
      <c r="L300" s="2">
        <f t="shared" si="60"/>
        <v>148010</v>
      </c>
      <c r="M300" s="2">
        <f t="shared" si="61"/>
        <v>624</v>
      </c>
      <c r="N300" s="15">
        <f t="shared" si="62"/>
        <v>596</v>
      </c>
      <c r="O300" s="15">
        <f t="shared" si="63"/>
        <v>3447</v>
      </c>
      <c r="P300" s="16">
        <f>SUM($H$3:H300)</f>
        <v>14827430</v>
      </c>
      <c r="Q300" s="2">
        <f>SUM($I$3:I300)</f>
        <v>1141</v>
      </c>
    </row>
    <row r="301" spans="1:17" x14ac:dyDescent="0.3">
      <c r="A301" s="7">
        <f t="shared" si="64"/>
        <v>299</v>
      </c>
      <c r="B301" s="2">
        <f t="shared" si="57"/>
        <v>626</v>
      </c>
      <c r="C301" s="2">
        <f>C302-2</f>
        <v>598</v>
      </c>
      <c r="D301" s="2">
        <f t="shared" si="65"/>
        <v>3454</v>
      </c>
      <c r="E301" s="2">
        <v>0.8</v>
      </c>
      <c r="F301" s="2">
        <f t="shared" si="66"/>
        <v>2.1999999999999997</v>
      </c>
      <c r="G301" s="17">
        <f t="shared" si="68"/>
        <v>9.6233333333333324E-2</v>
      </c>
      <c r="H301" s="8">
        <f t="shared" ref="H301" si="69">ROUNDUP(500 + (150000-500) * ((A301-1)/(300-1))^2, -1)</f>
        <v>149010</v>
      </c>
      <c r="I301" s="9">
        <f t="shared" si="67"/>
        <v>8</v>
      </c>
      <c r="L301" s="2">
        <f t="shared" si="60"/>
        <v>149010</v>
      </c>
      <c r="M301" s="2">
        <f t="shared" si="61"/>
        <v>626</v>
      </c>
      <c r="N301" s="15">
        <f t="shared" si="62"/>
        <v>598</v>
      </c>
      <c r="O301" s="15">
        <f t="shared" si="63"/>
        <v>3454</v>
      </c>
      <c r="P301" s="16">
        <f>SUM($H$3:H301)</f>
        <v>14976440</v>
      </c>
      <c r="Q301" s="2">
        <f>SUM($I$3:I301)</f>
        <v>1149</v>
      </c>
    </row>
    <row r="302" spans="1:17" x14ac:dyDescent="0.3">
      <c r="A302" s="10">
        <f t="shared" si="64"/>
        <v>300</v>
      </c>
      <c r="B302" s="11">
        <v>650</v>
      </c>
      <c r="C302" s="11">
        <v>600</v>
      </c>
      <c r="D302" s="11">
        <v>3500</v>
      </c>
      <c r="E302" s="11">
        <v>0.8</v>
      </c>
      <c r="F302" s="11">
        <f t="shared" si="66"/>
        <v>2.4</v>
      </c>
      <c r="G302" s="17">
        <f t="shared" si="68"/>
        <v>9.6666666666666665E-2</v>
      </c>
      <c r="H302" s="12">
        <f>ROUNDUP(500 + (150000-500) * ((A302-1)/(300-1))^2, -1)</f>
        <v>150000</v>
      </c>
      <c r="I302" s="13">
        <f t="shared" si="67"/>
        <v>9</v>
      </c>
      <c r="L302" s="2">
        <f>H302</f>
        <v>150000</v>
      </c>
      <c r="M302" s="2">
        <f t="shared" si="61"/>
        <v>650</v>
      </c>
      <c r="N302" s="15">
        <f t="shared" si="62"/>
        <v>600</v>
      </c>
      <c r="O302" s="15">
        <f t="shared" si="63"/>
        <v>3500</v>
      </c>
      <c r="P302" s="16">
        <f>SUM($H$3:H302)</f>
        <v>15126440</v>
      </c>
      <c r="Q302" s="2">
        <f>SUM($I$3:I302)</f>
        <v>1158</v>
      </c>
    </row>
    <row r="303" spans="1:17" x14ac:dyDescent="0.3">
      <c r="A303" s="7">
        <f t="shared" si="64"/>
        <v>301</v>
      </c>
      <c r="B303" s="2">
        <f>B302+1</f>
        <v>651</v>
      </c>
      <c r="C303" s="14">
        <f>9.525*(A303-300)^1.2 + 600</f>
        <v>609.52499999999998</v>
      </c>
      <c r="D303" s="14">
        <f>4.055*(A303-300)^1.4 + 3500</f>
        <v>3504.0549999999998</v>
      </c>
      <c r="E303" s="2">
        <v>0.8</v>
      </c>
      <c r="F303" s="2">
        <f t="shared" si="66"/>
        <v>2.4</v>
      </c>
      <c r="G303" s="17">
        <f t="shared" si="68"/>
        <v>9.7099999999999992E-2</v>
      </c>
      <c r="H303" s="8">
        <f>110000+(A303-250)*790</f>
        <v>150290</v>
      </c>
      <c r="I303" s="9">
        <f t="shared" si="67"/>
        <v>9</v>
      </c>
      <c r="L303" s="2">
        <f t="shared" ref="L303:L366" si="70">H303</f>
        <v>150290</v>
      </c>
      <c r="M303" s="2">
        <f t="shared" ref="M303:M366" si="71">B303</f>
        <v>651</v>
      </c>
      <c r="N303" s="15">
        <f t="shared" ref="N303:N366" si="72">C303</f>
        <v>609.52499999999998</v>
      </c>
      <c r="O303" s="15">
        <f t="shared" ref="O303:O366" si="73">D303</f>
        <v>3504.0549999999998</v>
      </c>
      <c r="P303" s="16">
        <f>SUM($H$3:H303)</f>
        <v>15276730</v>
      </c>
      <c r="Q303" s="2">
        <f>SUM($I$3:I303)</f>
        <v>1167</v>
      </c>
    </row>
    <row r="304" spans="1:17" x14ac:dyDescent="0.3">
      <c r="A304" s="7">
        <f t="shared" si="64"/>
        <v>302</v>
      </c>
      <c r="B304" s="2">
        <f t="shared" si="64"/>
        <v>652</v>
      </c>
      <c r="C304" s="14">
        <f t="shared" ref="C304:C367" si="74">9.525*(A304-300)^1.2 + 600</f>
        <v>621.88270366269353</v>
      </c>
      <c r="D304" s="14">
        <f t="shared" ref="D304:D367" si="75">4.055*(A304-300)^1.4 + 3500</f>
        <v>3510.7012091563683</v>
      </c>
      <c r="E304" s="2">
        <v>0.8</v>
      </c>
      <c r="F304" s="2">
        <f t="shared" si="66"/>
        <v>2.4</v>
      </c>
      <c r="G304" s="17">
        <f t="shared" si="68"/>
        <v>9.7533333333333333E-2</v>
      </c>
      <c r="H304" s="8">
        <f t="shared" ref="H304:H367" si="76">110000+(A304-250)*790</f>
        <v>151080</v>
      </c>
      <c r="I304" s="9">
        <f t="shared" si="67"/>
        <v>9</v>
      </c>
      <c r="L304" s="2">
        <f t="shared" si="70"/>
        <v>151080</v>
      </c>
      <c r="M304" s="2">
        <f t="shared" si="71"/>
        <v>652</v>
      </c>
      <c r="N304" s="15">
        <f t="shared" si="72"/>
        <v>621.88270366269353</v>
      </c>
      <c r="O304" s="15">
        <f t="shared" si="73"/>
        <v>3510.7012091563683</v>
      </c>
      <c r="P304" s="16">
        <f>SUM($H$3:H304)</f>
        <v>15427810</v>
      </c>
      <c r="Q304" s="2">
        <f>SUM($I$3:I304)</f>
        <v>1176</v>
      </c>
    </row>
    <row r="305" spans="1:17" x14ac:dyDescent="0.3">
      <c r="A305" s="7">
        <f t="shared" si="64"/>
        <v>303</v>
      </c>
      <c r="B305" s="2">
        <f t="shared" si="64"/>
        <v>653</v>
      </c>
      <c r="C305" s="14">
        <f t="shared" si="74"/>
        <v>635.59676159951346</v>
      </c>
      <c r="D305" s="14">
        <f t="shared" si="75"/>
        <v>3518.8782014066805</v>
      </c>
      <c r="E305" s="2">
        <v>0.8</v>
      </c>
      <c r="F305" s="2">
        <f t="shared" si="66"/>
        <v>2.4</v>
      </c>
      <c r="G305" s="17">
        <f t="shared" si="68"/>
        <v>9.796666666666666E-2</v>
      </c>
      <c r="H305" s="8">
        <f t="shared" si="76"/>
        <v>151870</v>
      </c>
      <c r="I305" s="9">
        <f t="shared" si="67"/>
        <v>9</v>
      </c>
      <c r="L305" s="2">
        <f t="shared" si="70"/>
        <v>151870</v>
      </c>
      <c r="M305" s="2">
        <f t="shared" si="71"/>
        <v>653</v>
      </c>
      <c r="N305" s="15">
        <f t="shared" si="72"/>
        <v>635.59676159951346</v>
      </c>
      <c r="O305" s="15">
        <f t="shared" si="73"/>
        <v>3518.8782014066805</v>
      </c>
      <c r="P305" s="16">
        <f>SUM($H$3:H305)</f>
        <v>15579680</v>
      </c>
      <c r="Q305" s="2">
        <f>SUM($I$3:I305)</f>
        <v>1185</v>
      </c>
    </row>
    <row r="306" spans="1:17" x14ac:dyDescent="0.3">
      <c r="A306" s="7">
        <f t="shared" si="64"/>
        <v>304</v>
      </c>
      <c r="B306" s="2">
        <f t="shared" si="64"/>
        <v>654</v>
      </c>
      <c r="C306" s="14">
        <f t="shared" si="74"/>
        <v>650.27325140044729</v>
      </c>
      <c r="D306" s="14">
        <f t="shared" si="75"/>
        <v>3528.2406602733263</v>
      </c>
      <c r="E306" s="2">
        <v>0.8</v>
      </c>
      <c r="F306" s="2">
        <f t="shared" si="66"/>
        <v>2.4</v>
      </c>
      <c r="G306" s="17">
        <f t="shared" si="68"/>
        <v>9.8400000000000001E-2</v>
      </c>
      <c r="H306" s="8">
        <f t="shared" si="76"/>
        <v>152660</v>
      </c>
      <c r="I306" s="9">
        <f t="shared" si="67"/>
        <v>9</v>
      </c>
      <c r="L306" s="2">
        <f t="shared" si="70"/>
        <v>152660</v>
      </c>
      <c r="M306" s="2">
        <f t="shared" si="71"/>
        <v>654</v>
      </c>
      <c r="N306" s="15">
        <f t="shared" si="72"/>
        <v>650.27325140044729</v>
      </c>
      <c r="O306" s="15">
        <f t="shared" si="73"/>
        <v>3528.2406602733263</v>
      </c>
      <c r="P306" s="16">
        <f>SUM($H$3:H306)</f>
        <v>15732340</v>
      </c>
      <c r="Q306" s="2">
        <f>SUM($I$3:I306)</f>
        <v>1194</v>
      </c>
    </row>
    <row r="307" spans="1:17" x14ac:dyDescent="0.3">
      <c r="A307" s="7">
        <f t="shared" si="64"/>
        <v>305</v>
      </c>
      <c r="B307" s="2">
        <f t="shared" si="64"/>
        <v>655</v>
      </c>
      <c r="C307" s="14">
        <f t="shared" si="74"/>
        <v>665.70962512709036</v>
      </c>
      <c r="D307" s="14">
        <f t="shared" si="75"/>
        <v>3538.5965836074643</v>
      </c>
      <c r="E307" s="2">
        <v>0.8</v>
      </c>
      <c r="F307" s="2">
        <f t="shared" si="66"/>
        <v>2.4</v>
      </c>
      <c r="G307" s="17">
        <f t="shared" si="68"/>
        <v>9.8833333333333329E-2</v>
      </c>
      <c r="H307" s="8">
        <f t="shared" si="76"/>
        <v>153450</v>
      </c>
      <c r="I307" s="9">
        <f t="shared" si="67"/>
        <v>9</v>
      </c>
      <c r="L307" s="2">
        <f t="shared" si="70"/>
        <v>153450</v>
      </c>
      <c r="M307" s="2">
        <f t="shared" si="71"/>
        <v>655</v>
      </c>
      <c r="N307" s="15">
        <f t="shared" si="72"/>
        <v>665.70962512709036</v>
      </c>
      <c r="O307" s="15">
        <f t="shared" si="73"/>
        <v>3538.5965836074643</v>
      </c>
      <c r="P307" s="16">
        <f>SUM($H$3:H307)</f>
        <v>15885790</v>
      </c>
      <c r="Q307" s="2">
        <f>SUM($I$3:I307)</f>
        <v>1203</v>
      </c>
    </row>
    <row r="308" spans="1:17" x14ac:dyDescent="0.3">
      <c r="A308" s="7">
        <f t="shared" si="64"/>
        <v>306</v>
      </c>
      <c r="B308" s="2">
        <f t="shared" si="64"/>
        <v>656</v>
      </c>
      <c r="C308" s="14">
        <f t="shared" si="74"/>
        <v>681.77988298516539</v>
      </c>
      <c r="D308" s="14">
        <f t="shared" si="75"/>
        <v>3549.8198721945573</v>
      </c>
      <c r="E308" s="2">
        <v>0.8</v>
      </c>
      <c r="F308" s="2">
        <f t="shared" si="66"/>
        <v>2.4</v>
      </c>
      <c r="G308" s="17">
        <f t="shared" si="68"/>
        <v>9.926666666666667E-2</v>
      </c>
      <c r="H308" s="8">
        <f t="shared" si="76"/>
        <v>154240</v>
      </c>
      <c r="I308" s="9">
        <f t="shared" si="67"/>
        <v>9</v>
      </c>
      <c r="L308" s="2">
        <f t="shared" si="70"/>
        <v>154240</v>
      </c>
      <c r="M308" s="2">
        <f t="shared" si="71"/>
        <v>656</v>
      </c>
      <c r="N308" s="15">
        <f t="shared" si="72"/>
        <v>681.77988298516539</v>
      </c>
      <c r="O308" s="15">
        <f t="shared" si="73"/>
        <v>3549.8198721945573</v>
      </c>
      <c r="P308" s="16">
        <f>SUM($H$3:H308)</f>
        <v>16040030</v>
      </c>
      <c r="Q308" s="2">
        <f>SUM($I$3:I308)</f>
        <v>1212</v>
      </c>
    </row>
    <row r="309" spans="1:17" x14ac:dyDescent="0.3">
      <c r="A309" s="7">
        <f t="shared" si="64"/>
        <v>307</v>
      </c>
      <c r="B309" s="2">
        <f t="shared" si="64"/>
        <v>657</v>
      </c>
      <c r="C309" s="14">
        <f t="shared" si="74"/>
        <v>698.39717554931678</v>
      </c>
      <c r="D309" s="14">
        <f t="shared" si="75"/>
        <v>3561.8198738589435</v>
      </c>
      <c r="E309" s="2">
        <v>0.8</v>
      </c>
      <c r="F309" s="2">
        <f t="shared" si="66"/>
        <v>2.4</v>
      </c>
      <c r="G309" s="17">
        <f t="shared" si="68"/>
        <v>9.9699999999999997E-2</v>
      </c>
      <c r="H309" s="8">
        <f t="shared" si="76"/>
        <v>155030</v>
      </c>
      <c r="I309" s="9">
        <f t="shared" si="67"/>
        <v>9</v>
      </c>
      <c r="L309" s="2">
        <f t="shared" si="70"/>
        <v>155030</v>
      </c>
      <c r="M309" s="2">
        <f t="shared" si="71"/>
        <v>657</v>
      </c>
      <c r="N309" s="15">
        <f t="shared" si="72"/>
        <v>698.39717554931678</v>
      </c>
      <c r="O309" s="15">
        <f t="shared" si="73"/>
        <v>3561.8198738589435</v>
      </c>
      <c r="P309" s="16">
        <f>SUM($H$3:H309)</f>
        <v>16195060</v>
      </c>
      <c r="Q309" s="2">
        <f>SUM($I$3:I309)</f>
        <v>1221</v>
      </c>
    </row>
    <row r="310" spans="1:17" x14ac:dyDescent="0.3">
      <c r="A310" s="7">
        <f t="shared" si="64"/>
        <v>308</v>
      </c>
      <c r="B310" s="2">
        <f t="shared" si="64"/>
        <v>658</v>
      </c>
      <c r="C310" s="14">
        <f t="shared" si="74"/>
        <v>715.49760236809232</v>
      </c>
      <c r="D310" s="14">
        <f t="shared" si="75"/>
        <v>3574.5275492722076</v>
      </c>
      <c r="E310" s="2">
        <v>0.8</v>
      </c>
      <c r="F310" s="2">
        <f t="shared" si="66"/>
        <v>2.4</v>
      </c>
      <c r="G310" s="17">
        <f t="shared" si="68"/>
        <v>0.10013333333333334</v>
      </c>
      <c r="H310" s="8">
        <f t="shared" si="76"/>
        <v>155820</v>
      </c>
      <c r="I310" s="9">
        <f t="shared" si="67"/>
        <v>9</v>
      </c>
      <c r="L310" s="2">
        <f t="shared" si="70"/>
        <v>155820</v>
      </c>
      <c r="M310" s="2">
        <f t="shared" si="71"/>
        <v>658</v>
      </c>
      <c r="N310" s="15">
        <f t="shared" si="72"/>
        <v>715.49760236809232</v>
      </c>
      <c r="O310" s="15">
        <f t="shared" si="73"/>
        <v>3574.5275492722076</v>
      </c>
      <c r="P310" s="16">
        <f>SUM($H$3:H310)</f>
        <v>16350880</v>
      </c>
      <c r="Q310" s="2">
        <f>SUM($I$3:I310)</f>
        <v>1230</v>
      </c>
    </row>
    <row r="311" spans="1:17" x14ac:dyDescent="0.3">
      <c r="A311" s="7">
        <f t="shared" si="64"/>
        <v>309</v>
      </c>
      <c r="B311" s="2">
        <f t="shared" si="64"/>
        <v>659</v>
      </c>
      <c r="C311" s="14">
        <f t="shared" si="74"/>
        <v>733.03196182389422</v>
      </c>
      <c r="D311" s="14">
        <f t="shared" si="75"/>
        <v>3587.888159889319</v>
      </c>
      <c r="E311" s="2">
        <v>0.8</v>
      </c>
      <c r="F311" s="2">
        <f t="shared" si="66"/>
        <v>2.4</v>
      </c>
      <c r="G311" s="17">
        <f t="shared" si="68"/>
        <v>0.10056666666666667</v>
      </c>
      <c r="H311" s="8">
        <f t="shared" si="76"/>
        <v>156610</v>
      </c>
      <c r="I311" s="9">
        <f t="shared" si="67"/>
        <v>9</v>
      </c>
      <c r="L311" s="2">
        <f t="shared" si="70"/>
        <v>156610</v>
      </c>
      <c r="M311" s="2">
        <f t="shared" si="71"/>
        <v>659</v>
      </c>
      <c r="N311" s="15">
        <f t="shared" si="72"/>
        <v>733.03196182389422</v>
      </c>
      <c r="O311" s="15">
        <f t="shared" si="73"/>
        <v>3587.888159889319</v>
      </c>
      <c r="P311" s="16">
        <f>SUM($H$3:H311)</f>
        <v>16507490</v>
      </c>
      <c r="Q311" s="2">
        <f>SUM($I$3:I311)</f>
        <v>1239</v>
      </c>
    </row>
    <row r="312" spans="1:17" x14ac:dyDescent="0.3">
      <c r="A312" s="7">
        <f t="shared" si="64"/>
        <v>310</v>
      </c>
      <c r="B312" s="2">
        <f t="shared" si="64"/>
        <v>660</v>
      </c>
      <c r="C312" s="14">
        <f t="shared" si="74"/>
        <v>750.96107658192113</v>
      </c>
      <c r="D312" s="14">
        <f t="shared" si="75"/>
        <v>3601.8569947977135</v>
      </c>
      <c r="E312" s="2">
        <v>0.8</v>
      </c>
      <c r="F312" s="2">
        <f t="shared" si="66"/>
        <v>2.4</v>
      </c>
      <c r="G312" s="17">
        <f t="shared" si="68"/>
        <v>0.10100000000000001</v>
      </c>
      <c r="H312" s="8">
        <f t="shared" si="76"/>
        <v>157400</v>
      </c>
      <c r="I312" s="9">
        <f t="shared" si="67"/>
        <v>9</v>
      </c>
      <c r="L312" s="2">
        <f t="shared" si="70"/>
        <v>157400</v>
      </c>
      <c r="M312" s="2">
        <f t="shared" si="71"/>
        <v>660</v>
      </c>
      <c r="N312" s="15">
        <f t="shared" si="72"/>
        <v>750.96107658192113</v>
      </c>
      <c r="O312" s="15">
        <f t="shared" si="73"/>
        <v>3601.8569947977135</v>
      </c>
      <c r="P312" s="16">
        <f>SUM($H$3:H312)</f>
        <v>16664890</v>
      </c>
      <c r="Q312" s="2">
        <f>SUM($I$3:I312)</f>
        <v>1248</v>
      </c>
    </row>
    <row r="313" spans="1:17" x14ac:dyDescent="0.3">
      <c r="A313" s="7">
        <f t="shared" si="64"/>
        <v>311</v>
      </c>
      <c r="B313" s="2">
        <f t="shared" si="64"/>
        <v>661</v>
      </c>
      <c r="C313" s="14">
        <f t="shared" si="74"/>
        <v>769.25293424133315</v>
      </c>
      <c r="D313" s="14">
        <f t="shared" si="75"/>
        <v>3616.3966866266142</v>
      </c>
      <c r="E313" s="2">
        <v>0.8</v>
      </c>
      <c r="F313" s="2">
        <f t="shared" si="66"/>
        <v>2.4</v>
      </c>
      <c r="G313" s="17">
        <f t="shared" si="68"/>
        <v>0.10143333333333333</v>
      </c>
      <c r="H313" s="8">
        <f t="shared" si="76"/>
        <v>158190</v>
      </c>
      <c r="I313" s="9">
        <f t="shared" si="67"/>
        <v>9</v>
      </c>
      <c r="L313" s="2">
        <f t="shared" si="70"/>
        <v>158190</v>
      </c>
      <c r="M313" s="2">
        <f t="shared" si="71"/>
        <v>661</v>
      </c>
      <c r="N313" s="15">
        <f t="shared" si="72"/>
        <v>769.25293424133315</v>
      </c>
      <c r="O313" s="15">
        <f t="shared" si="73"/>
        <v>3616.3966866266142</v>
      </c>
      <c r="P313" s="16">
        <f>SUM($H$3:H313)</f>
        <v>16823080</v>
      </c>
      <c r="Q313" s="2">
        <f>SUM($I$3:I313)</f>
        <v>1257</v>
      </c>
    </row>
    <row r="314" spans="1:17" x14ac:dyDescent="0.3">
      <c r="A314" s="7">
        <f t="shared" si="64"/>
        <v>312</v>
      </c>
      <c r="B314" s="2">
        <f t="shared" si="64"/>
        <v>662</v>
      </c>
      <c r="C314" s="14">
        <f t="shared" si="74"/>
        <v>787.88083411381888</v>
      </c>
      <c r="D314" s="14">
        <f t="shared" si="75"/>
        <v>3631.4754309488262</v>
      </c>
      <c r="E314" s="2">
        <v>0.8</v>
      </c>
      <c r="F314" s="2">
        <f t="shared" si="66"/>
        <v>2.4</v>
      </c>
      <c r="G314" s="17">
        <f t="shared" si="68"/>
        <v>0.10186666666666667</v>
      </c>
      <c r="H314" s="8">
        <f t="shared" si="76"/>
        <v>158980</v>
      </c>
      <c r="I314" s="9">
        <f t="shared" si="67"/>
        <v>9</v>
      </c>
      <c r="L314" s="2">
        <f t="shared" si="70"/>
        <v>158980</v>
      </c>
      <c r="M314" s="2">
        <f t="shared" si="71"/>
        <v>662</v>
      </c>
      <c r="N314" s="15">
        <f t="shared" si="72"/>
        <v>787.88083411381888</v>
      </c>
      <c r="O314" s="15">
        <f t="shared" si="73"/>
        <v>3631.4754309488262</v>
      </c>
      <c r="P314" s="16">
        <f>SUM($H$3:H314)</f>
        <v>16982060</v>
      </c>
      <c r="Q314" s="2">
        <f>SUM($I$3:I314)</f>
        <v>1266</v>
      </c>
    </row>
    <row r="315" spans="1:17" x14ac:dyDescent="0.3">
      <c r="A315" s="7">
        <f t="shared" si="64"/>
        <v>313</v>
      </c>
      <c r="B315" s="2">
        <f t="shared" si="64"/>
        <v>663</v>
      </c>
      <c r="C315" s="14">
        <f t="shared" si="74"/>
        <v>806.82213030035791</v>
      </c>
      <c r="D315" s="14">
        <f t="shared" si="75"/>
        <v>3647.0657532828932</v>
      </c>
      <c r="E315" s="2">
        <v>0.8</v>
      </c>
      <c r="F315" s="2">
        <f t="shared" si="66"/>
        <v>2.4</v>
      </c>
      <c r="G315" s="17">
        <f t="shared" si="68"/>
        <v>0.1023</v>
      </c>
      <c r="H315" s="8">
        <f t="shared" si="76"/>
        <v>159770</v>
      </c>
      <c r="I315" s="9">
        <f t="shared" si="67"/>
        <v>9</v>
      </c>
      <c r="L315" s="2">
        <f t="shared" si="70"/>
        <v>159770</v>
      </c>
      <c r="M315" s="2">
        <f t="shared" si="71"/>
        <v>663</v>
      </c>
      <c r="N315" s="15">
        <f t="shared" si="72"/>
        <v>806.82213030035791</v>
      </c>
      <c r="O315" s="15">
        <f t="shared" si="73"/>
        <v>3647.0657532828932</v>
      </c>
      <c r="P315" s="16">
        <f>SUM($H$3:H315)</f>
        <v>17141830</v>
      </c>
      <c r="Q315" s="2">
        <f>SUM($I$3:I315)</f>
        <v>1275</v>
      </c>
    </row>
    <row r="316" spans="1:17" x14ac:dyDescent="0.3">
      <c r="A316" s="7">
        <f t="shared" si="64"/>
        <v>314</v>
      </c>
      <c r="B316" s="2">
        <f t="shared" si="64"/>
        <v>664</v>
      </c>
      <c r="C316" s="14">
        <f t="shared" si="74"/>
        <v>826.0573473797092</v>
      </c>
      <c r="D316" s="14">
        <f t="shared" si="75"/>
        <v>3663.1436251997175</v>
      </c>
      <c r="E316" s="2">
        <v>0.8</v>
      </c>
      <c r="F316" s="2">
        <f t="shared" si="66"/>
        <v>2.4</v>
      </c>
      <c r="G316" s="17">
        <f t="shared" si="68"/>
        <v>0.10273333333333334</v>
      </c>
      <c r="H316" s="8">
        <f t="shared" si="76"/>
        <v>160560</v>
      </c>
      <c r="I316" s="9">
        <f t="shared" si="67"/>
        <v>9</v>
      </c>
      <c r="L316" s="2">
        <f t="shared" si="70"/>
        <v>160560</v>
      </c>
      <c r="M316" s="2">
        <f t="shared" si="71"/>
        <v>664</v>
      </c>
      <c r="N316" s="15">
        <f t="shared" si="72"/>
        <v>826.0573473797092</v>
      </c>
      <c r="O316" s="15">
        <f t="shared" si="73"/>
        <v>3663.1436251997175</v>
      </c>
      <c r="P316" s="16">
        <f>SUM($H$3:H316)</f>
        <v>17302390</v>
      </c>
      <c r="Q316" s="2">
        <f>SUM($I$3:I316)</f>
        <v>1284</v>
      </c>
    </row>
    <row r="317" spans="1:17" x14ac:dyDescent="0.3">
      <c r="A317" s="7">
        <f t="shared" si="64"/>
        <v>315</v>
      </c>
      <c r="B317" s="2">
        <f t="shared" si="64"/>
        <v>665</v>
      </c>
      <c r="C317" s="14">
        <f t="shared" si="74"/>
        <v>845.56953915406109</v>
      </c>
      <c r="D317" s="14">
        <f t="shared" si="75"/>
        <v>3679.6878123184933</v>
      </c>
      <c r="E317" s="2">
        <v>0.8</v>
      </c>
      <c r="F317" s="2">
        <f t="shared" si="66"/>
        <v>2.4</v>
      </c>
      <c r="G317" s="17">
        <f t="shared" si="68"/>
        <v>0.10316666666666667</v>
      </c>
      <c r="H317" s="8">
        <f t="shared" si="76"/>
        <v>161350</v>
      </c>
      <c r="I317" s="9">
        <f t="shared" si="67"/>
        <v>9</v>
      </c>
      <c r="L317" s="2">
        <f t="shared" si="70"/>
        <v>161350</v>
      </c>
      <c r="M317" s="2">
        <f t="shared" si="71"/>
        <v>665</v>
      </c>
      <c r="N317" s="15">
        <f t="shared" si="72"/>
        <v>845.56953915406109</v>
      </c>
      <c r="O317" s="15">
        <f t="shared" si="73"/>
        <v>3679.6878123184933</v>
      </c>
      <c r="P317" s="16">
        <f>SUM($H$3:H317)</f>
        <v>17463740</v>
      </c>
      <c r="Q317" s="2">
        <f>SUM($I$3:I317)</f>
        <v>1293</v>
      </c>
    </row>
    <row r="318" spans="1:17" x14ac:dyDescent="0.3">
      <c r="A318" s="7">
        <f t="shared" si="64"/>
        <v>316</v>
      </c>
      <c r="B318" s="2">
        <f t="shared" si="64"/>
        <v>666</v>
      </c>
      <c r="C318" s="14">
        <f t="shared" si="74"/>
        <v>865.34381169265862</v>
      </c>
      <c r="D318" s="14">
        <f t="shared" si="75"/>
        <v>3696.6793816703894</v>
      </c>
      <c r="E318" s="2">
        <v>0.8</v>
      </c>
      <c r="F318" s="2">
        <f t="shared" si="66"/>
        <v>2.4</v>
      </c>
      <c r="G318" s="17">
        <f t="shared" si="68"/>
        <v>0.10360000000000001</v>
      </c>
      <c r="H318" s="8">
        <f t="shared" si="76"/>
        <v>162140</v>
      </c>
      <c r="I318" s="9">
        <f t="shared" si="67"/>
        <v>9</v>
      </c>
      <c r="L318" s="2">
        <f t="shared" si="70"/>
        <v>162140</v>
      </c>
      <c r="M318" s="2">
        <f t="shared" si="71"/>
        <v>666</v>
      </c>
      <c r="N318" s="15">
        <f t="shared" si="72"/>
        <v>865.34381169265862</v>
      </c>
      <c r="O318" s="15">
        <f t="shared" si="73"/>
        <v>3696.6793816703894</v>
      </c>
      <c r="P318" s="16">
        <f>SUM($H$3:H318)</f>
        <v>17625880</v>
      </c>
      <c r="Q318" s="2">
        <f>SUM($I$3:I318)</f>
        <v>1302</v>
      </c>
    </row>
    <row r="319" spans="1:17" x14ac:dyDescent="0.3">
      <c r="A319" s="7">
        <f t="shared" si="64"/>
        <v>317</v>
      </c>
      <c r="B319" s="2">
        <f t="shared" si="64"/>
        <v>667</v>
      </c>
      <c r="C319" s="14">
        <f t="shared" si="74"/>
        <v>885.36696082274796</v>
      </c>
      <c r="D319" s="14">
        <f t="shared" si="75"/>
        <v>3714.1013217826398</v>
      </c>
      <c r="E319" s="2">
        <v>0.8</v>
      </c>
      <c r="F319" s="2">
        <f t="shared" si="66"/>
        <v>2.4</v>
      </c>
      <c r="G319" s="17">
        <f t="shared" si="68"/>
        <v>0.10403333333333334</v>
      </c>
      <c r="H319" s="8">
        <f t="shared" si="76"/>
        <v>162930</v>
      </c>
      <c r="I319" s="9">
        <f t="shared" si="67"/>
        <v>9</v>
      </c>
      <c r="L319" s="2">
        <f t="shared" si="70"/>
        <v>162930</v>
      </c>
      <c r="M319" s="2">
        <f t="shared" si="71"/>
        <v>667</v>
      </c>
      <c r="N319" s="15">
        <f t="shared" si="72"/>
        <v>885.36696082274796</v>
      </c>
      <c r="O319" s="15">
        <f t="shared" si="73"/>
        <v>3714.1013217826398</v>
      </c>
      <c r="P319" s="16">
        <f>SUM($H$3:H319)</f>
        <v>17788810</v>
      </c>
      <c r="Q319" s="2">
        <f>SUM($I$3:I319)</f>
        <v>1311</v>
      </c>
    </row>
    <row r="320" spans="1:17" x14ac:dyDescent="0.3">
      <c r="A320" s="7">
        <f t="shared" si="64"/>
        <v>318</v>
      </c>
      <c r="B320" s="2">
        <f t="shared" si="64"/>
        <v>668</v>
      </c>
      <c r="C320" s="14">
        <f t="shared" si="74"/>
        <v>905.6271914182712</v>
      </c>
      <c r="D320" s="14">
        <f t="shared" si="75"/>
        <v>3731.9382444744583</v>
      </c>
      <c r="E320" s="2">
        <v>0.8</v>
      </c>
      <c r="F320" s="2">
        <f t="shared" si="66"/>
        <v>2.4</v>
      </c>
      <c r="G320" s="17">
        <f t="shared" si="68"/>
        <v>0.10446666666666665</v>
      </c>
      <c r="H320" s="8">
        <f t="shared" si="76"/>
        <v>163720</v>
      </c>
      <c r="I320" s="9">
        <f t="shared" si="67"/>
        <v>9</v>
      </c>
      <c r="L320" s="2">
        <f t="shared" si="70"/>
        <v>163720</v>
      </c>
      <c r="M320" s="2">
        <f t="shared" si="71"/>
        <v>668</v>
      </c>
      <c r="N320" s="15">
        <f t="shared" si="72"/>
        <v>905.6271914182712</v>
      </c>
      <c r="O320" s="15">
        <f t="shared" si="73"/>
        <v>3731.9382444744583</v>
      </c>
      <c r="P320" s="16">
        <f>SUM($H$3:H320)</f>
        <v>17952530</v>
      </c>
      <c r="Q320" s="2">
        <f>SUM($I$3:I320)</f>
        <v>1320</v>
      </c>
    </row>
    <row r="321" spans="1:17" x14ac:dyDescent="0.3">
      <c r="A321" s="7">
        <f t="shared" si="64"/>
        <v>319</v>
      </c>
      <c r="B321" s="2">
        <f t="shared" si="64"/>
        <v>669</v>
      </c>
      <c r="C321" s="14">
        <f t="shared" si="74"/>
        <v>926.11389646621967</v>
      </c>
      <c r="D321" s="14">
        <f t="shared" si="75"/>
        <v>3750.1761471610475</v>
      </c>
      <c r="E321" s="2">
        <v>0.8</v>
      </c>
      <c r="F321" s="2">
        <f t="shared" si="66"/>
        <v>2.4</v>
      </c>
      <c r="G321" s="17">
        <f t="shared" si="68"/>
        <v>0.10489999999999999</v>
      </c>
      <c r="H321" s="8">
        <f t="shared" si="76"/>
        <v>164510</v>
      </c>
      <c r="I321" s="9">
        <f t="shared" si="67"/>
        <v>9</v>
      </c>
      <c r="L321" s="2">
        <f t="shared" si="70"/>
        <v>164510</v>
      </c>
      <c r="M321" s="2">
        <f t="shared" si="71"/>
        <v>669</v>
      </c>
      <c r="N321" s="15">
        <f t="shared" si="72"/>
        <v>926.11389646621967</v>
      </c>
      <c r="O321" s="15">
        <f t="shared" si="73"/>
        <v>3750.1761471610475</v>
      </c>
      <c r="P321" s="16">
        <f>SUM($H$3:H321)</f>
        <v>18117040</v>
      </c>
      <c r="Q321" s="2">
        <f>SUM($I$3:I321)</f>
        <v>1329</v>
      </c>
    </row>
    <row r="322" spans="1:17" x14ac:dyDescent="0.3">
      <c r="A322" s="7">
        <f t="shared" si="64"/>
        <v>320</v>
      </c>
      <c r="B322" s="2">
        <f t="shared" si="64"/>
        <v>670</v>
      </c>
      <c r="C322" s="14">
        <f t="shared" si="74"/>
        <v>946.81748067646822</v>
      </c>
      <c r="D322" s="14">
        <f t="shared" si="75"/>
        <v>3768.8022208062725</v>
      </c>
      <c r="E322" s="2">
        <v>0.8</v>
      </c>
      <c r="F322" s="2">
        <f t="shared" si="66"/>
        <v>2.6</v>
      </c>
      <c r="G322" s="17">
        <f t="shared" si="68"/>
        <v>0.10533333333333332</v>
      </c>
      <c r="H322" s="8">
        <f t="shared" si="76"/>
        <v>165300</v>
      </c>
      <c r="I322" s="9">
        <f t="shared" si="67"/>
        <v>9</v>
      </c>
      <c r="L322" s="2">
        <f t="shared" si="70"/>
        <v>165300</v>
      </c>
      <c r="M322" s="2">
        <f t="shared" si="71"/>
        <v>670</v>
      </c>
      <c r="N322" s="15">
        <f t="shared" si="72"/>
        <v>946.81748067646822</v>
      </c>
      <c r="O322" s="15">
        <f t="shared" si="73"/>
        <v>3768.8022208062725</v>
      </c>
      <c r="P322" s="16">
        <f>SUM($H$3:H322)</f>
        <v>18282340</v>
      </c>
      <c r="Q322" s="2">
        <f>SUM($I$3:I322)</f>
        <v>1338</v>
      </c>
    </row>
    <row r="323" spans="1:17" x14ac:dyDescent="0.3">
      <c r="A323" s="7">
        <f t="shared" si="64"/>
        <v>321</v>
      </c>
      <c r="B323" s="2">
        <f t="shared" si="64"/>
        <v>671</v>
      </c>
      <c r="C323" s="14">
        <f t="shared" si="74"/>
        <v>967.72921785769017</v>
      </c>
      <c r="D323" s="14">
        <f t="shared" si="75"/>
        <v>3787.8046928840226</v>
      </c>
      <c r="E323" s="2">
        <v>0.8</v>
      </c>
      <c r="F323" s="2">
        <f t="shared" si="66"/>
        <v>2.6</v>
      </c>
      <c r="G323" s="17">
        <f t="shared" si="68"/>
        <v>0.10576666666666666</v>
      </c>
      <c r="H323" s="8">
        <f t="shared" si="76"/>
        <v>166090</v>
      </c>
      <c r="I323" s="9">
        <f t="shared" si="67"/>
        <v>9</v>
      </c>
      <c r="L323" s="2">
        <f t="shared" si="70"/>
        <v>166090</v>
      </c>
      <c r="M323" s="2">
        <f t="shared" si="71"/>
        <v>671</v>
      </c>
      <c r="N323" s="15">
        <f t="shared" si="72"/>
        <v>967.72921785769017</v>
      </c>
      <c r="O323" s="15">
        <f t="shared" si="73"/>
        <v>3787.8046928840226</v>
      </c>
      <c r="P323" s="16">
        <f>SUM($H$3:H323)</f>
        <v>18448430</v>
      </c>
      <c r="Q323" s="2">
        <f>SUM($I$3:I323)</f>
        <v>1347</v>
      </c>
    </row>
    <row r="324" spans="1:17" x14ac:dyDescent="0.3">
      <c r="A324" s="7">
        <f t="shared" si="64"/>
        <v>322</v>
      </c>
      <c r="B324" s="2">
        <f t="shared" si="64"/>
        <v>672</v>
      </c>
      <c r="C324" s="14">
        <f t="shared" si="74"/>
        <v>988.84113428288163</v>
      </c>
      <c r="D324" s="14">
        <f t="shared" si="75"/>
        <v>3807.1726975831416</v>
      </c>
      <c r="E324" s="2">
        <v>0.8</v>
      </c>
      <c r="F324" s="2">
        <f t="shared" si="66"/>
        <v>2.6</v>
      </c>
      <c r="G324" s="17">
        <f t="shared" si="68"/>
        <v>0.10619999999999999</v>
      </c>
      <c r="H324" s="8">
        <f t="shared" si="76"/>
        <v>166880</v>
      </c>
      <c r="I324" s="9">
        <f t="shared" si="67"/>
        <v>9</v>
      </c>
      <c r="L324" s="2">
        <f t="shared" si="70"/>
        <v>166880</v>
      </c>
      <c r="M324" s="2">
        <f t="shared" si="71"/>
        <v>672</v>
      </c>
      <c r="N324" s="15">
        <f t="shared" si="72"/>
        <v>988.84113428288163</v>
      </c>
      <c r="O324" s="15">
        <f t="shared" si="73"/>
        <v>3807.1726975831416</v>
      </c>
      <c r="P324" s="16">
        <f>SUM($H$3:H324)</f>
        <v>18615310</v>
      </c>
      <c r="Q324" s="2">
        <f>SUM($I$3:I324)</f>
        <v>1356</v>
      </c>
    </row>
    <row r="325" spans="1:17" x14ac:dyDescent="0.3">
      <c r="A325" s="7">
        <f t="shared" ref="A325:B388" si="77">A324+1</f>
        <v>323</v>
      </c>
      <c r="B325" s="2">
        <f t="shared" si="77"/>
        <v>673</v>
      </c>
      <c r="C325" s="14">
        <f t="shared" si="74"/>
        <v>1010.1459123338054</v>
      </c>
      <c r="D325" s="14">
        <f t="shared" si="75"/>
        <v>3826.8961674919847</v>
      </c>
      <c r="E325" s="2">
        <v>0.8</v>
      </c>
      <c r="F325" s="2">
        <f t="shared" si="66"/>
        <v>2.6</v>
      </c>
      <c r="G325" s="17">
        <f t="shared" si="68"/>
        <v>0.10663333333333333</v>
      </c>
      <c r="H325" s="8">
        <f t="shared" si="76"/>
        <v>167670</v>
      </c>
      <c r="I325" s="9">
        <f t="shared" si="67"/>
        <v>9</v>
      </c>
      <c r="L325" s="2">
        <f t="shared" si="70"/>
        <v>167670</v>
      </c>
      <c r="M325" s="2">
        <f t="shared" si="71"/>
        <v>673</v>
      </c>
      <c r="N325" s="15">
        <f t="shared" si="72"/>
        <v>1010.1459123338054</v>
      </c>
      <c r="O325" s="15">
        <f t="shared" si="73"/>
        <v>3826.8961674919847</v>
      </c>
      <c r="P325" s="16">
        <f>SUM($H$3:H325)</f>
        <v>18782980</v>
      </c>
      <c r="Q325" s="2">
        <f>SUM($I$3:I325)</f>
        <v>1365</v>
      </c>
    </row>
    <row r="326" spans="1:17" x14ac:dyDescent="0.3">
      <c r="A326" s="7">
        <f t="shared" si="77"/>
        <v>324</v>
      </c>
      <c r="B326" s="2">
        <f t="shared" si="77"/>
        <v>674</v>
      </c>
      <c r="C326" s="14">
        <f t="shared" si="74"/>
        <v>1031.6368101640292</v>
      </c>
      <c r="D326" s="14">
        <f t="shared" si="75"/>
        <v>3846.9657424185029</v>
      </c>
      <c r="E326" s="2">
        <v>0.8</v>
      </c>
      <c r="F326" s="2">
        <f t="shared" si="66"/>
        <v>2.6</v>
      </c>
      <c r="G326" s="17">
        <f t="shared" si="68"/>
        <v>0.10706666666666666</v>
      </c>
      <c r="H326" s="8">
        <f t="shared" si="76"/>
        <v>168460</v>
      </c>
      <c r="I326" s="9">
        <f t="shared" si="67"/>
        <v>9</v>
      </c>
      <c r="L326" s="2">
        <f t="shared" si="70"/>
        <v>168460</v>
      </c>
      <c r="M326" s="2">
        <f t="shared" si="71"/>
        <v>674</v>
      </c>
      <c r="N326" s="15">
        <f t="shared" si="72"/>
        <v>1031.6368101640292</v>
      </c>
      <c r="O326" s="15">
        <f t="shared" si="73"/>
        <v>3846.9657424185029</v>
      </c>
      <c r="P326" s="16">
        <f>SUM($H$3:H326)</f>
        <v>18951440</v>
      </c>
      <c r="Q326" s="2">
        <f>SUM($I$3:I326)</f>
        <v>1374</v>
      </c>
    </row>
    <row r="327" spans="1:17" x14ac:dyDescent="0.3">
      <c r="A327" s="7">
        <f t="shared" si="77"/>
        <v>325</v>
      </c>
      <c r="B327" s="2">
        <f t="shared" si="77"/>
        <v>675</v>
      </c>
      <c r="C327" s="14">
        <f t="shared" si="74"/>
        <v>1053.3075941567183</v>
      </c>
      <c r="D327" s="14">
        <f t="shared" si="75"/>
        <v>3867.3726920266317</v>
      </c>
      <c r="E327" s="2">
        <v>0.8</v>
      </c>
      <c r="F327" s="2">
        <f t="shared" si="66"/>
        <v>2.6</v>
      </c>
      <c r="G327" s="17">
        <f t="shared" si="68"/>
        <v>0.1075</v>
      </c>
      <c r="H327" s="8">
        <f t="shared" si="76"/>
        <v>169250</v>
      </c>
      <c r="I327" s="9">
        <f t="shared" si="67"/>
        <v>10</v>
      </c>
      <c r="L327" s="2">
        <f t="shared" si="70"/>
        <v>169250</v>
      </c>
      <c r="M327" s="2">
        <f t="shared" si="71"/>
        <v>675</v>
      </c>
      <c r="N327" s="15">
        <f t="shared" si="72"/>
        <v>1053.3075941567183</v>
      </c>
      <c r="O327" s="15">
        <f t="shared" si="73"/>
        <v>3867.3726920266317</v>
      </c>
      <c r="P327" s="16">
        <f>SUM($H$3:H327)</f>
        <v>19120690</v>
      </c>
      <c r="Q327" s="2">
        <f>SUM($I$3:I327)</f>
        <v>1384</v>
      </c>
    </row>
    <row r="328" spans="1:17" x14ac:dyDescent="0.3">
      <c r="A328" s="7">
        <f t="shared" si="77"/>
        <v>326</v>
      </c>
      <c r="B328" s="2">
        <f t="shared" si="77"/>
        <v>676</v>
      </c>
      <c r="C328" s="14">
        <f t="shared" si="74"/>
        <v>1075.1524817060072</v>
      </c>
      <c r="D328" s="14">
        <f t="shared" si="75"/>
        <v>3888.1088497211044</v>
      </c>
      <c r="E328" s="2">
        <v>0.8</v>
      </c>
      <c r="F328" s="2">
        <f t="shared" si="66"/>
        <v>2.6</v>
      </c>
      <c r="G328" s="17">
        <f t="shared" si="68"/>
        <v>0.10793333333333333</v>
      </c>
      <c r="H328" s="8">
        <f t="shared" si="76"/>
        <v>170040</v>
      </c>
      <c r="I328" s="9">
        <f t="shared" si="67"/>
        <v>10</v>
      </c>
      <c r="L328" s="2">
        <f t="shared" si="70"/>
        <v>170040</v>
      </c>
      <c r="M328" s="2">
        <f t="shared" si="71"/>
        <v>676</v>
      </c>
      <c r="N328" s="15">
        <f t="shared" si="72"/>
        <v>1075.1524817060072</v>
      </c>
      <c r="O328" s="15">
        <f t="shared" si="73"/>
        <v>3888.1088497211044</v>
      </c>
      <c r="P328" s="16">
        <f>SUM($H$3:H328)</f>
        <v>19290730</v>
      </c>
      <c r="Q328" s="2">
        <f>SUM($I$3:I328)</f>
        <v>1394</v>
      </c>
    </row>
    <row r="329" spans="1:17" x14ac:dyDescent="0.3">
      <c r="A329" s="7">
        <f t="shared" si="77"/>
        <v>327</v>
      </c>
      <c r="B329" s="2">
        <f t="shared" si="77"/>
        <v>677</v>
      </c>
      <c r="C329" s="14">
        <f t="shared" si="74"/>
        <v>1097.1660924053263</v>
      </c>
      <c r="D329" s="14">
        <f t="shared" si="75"/>
        <v>3909.1665557714146</v>
      </c>
      <c r="E329" s="2">
        <v>0.8</v>
      </c>
      <c r="F329" s="2">
        <f t="shared" si="66"/>
        <v>2.6</v>
      </c>
      <c r="G329" s="17">
        <f t="shared" si="68"/>
        <v>0.10836666666666667</v>
      </c>
      <c r="H329" s="8">
        <f t="shared" si="76"/>
        <v>170830</v>
      </c>
      <c r="I329" s="9">
        <f t="shared" si="67"/>
        <v>10</v>
      </c>
      <c r="L329" s="2">
        <f t="shared" si="70"/>
        <v>170830</v>
      </c>
      <c r="M329" s="2">
        <f t="shared" si="71"/>
        <v>677</v>
      </c>
      <c r="N329" s="15">
        <f t="shared" si="72"/>
        <v>1097.1660924053263</v>
      </c>
      <c r="O329" s="15">
        <f t="shared" si="73"/>
        <v>3909.1665557714146</v>
      </c>
      <c r="P329" s="16">
        <f>SUM($H$3:H329)</f>
        <v>19461560</v>
      </c>
      <c r="Q329" s="2">
        <f>SUM($I$3:I329)</f>
        <v>1404</v>
      </c>
    </row>
    <row r="330" spans="1:17" x14ac:dyDescent="0.3">
      <c r="A330" s="7">
        <f t="shared" si="77"/>
        <v>328</v>
      </c>
      <c r="B330" s="2">
        <f t="shared" si="77"/>
        <v>678</v>
      </c>
      <c r="C330" s="14">
        <f t="shared" si="74"/>
        <v>1119.3434061401306</v>
      </c>
      <c r="D330" s="14">
        <f t="shared" si="75"/>
        <v>3930.53860808639</v>
      </c>
      <c r="E330" s="2">
        <v>0.8</v>
      </c>
      <c r="F330" s="2">
        <f t="shared" si="66"/>
        <v>2.6</v>
      </c>
      <c r="G330" s="17">
        <f t="shared" si="68"/>
        <v>0.10879999999999999</v>
      </c>
      <c r="H330" s="8">
        <f t="shared" si="76"/>
        <v>171620</v>
      </c>
      <c r="I330" s="9">
        <f t="shared" si="67"/>
        <v>10</v>
      </c>
      <c r="L330" s="2">
        <f t="shared" si="70"/>
        <v>171620</v>
      </c>
      <c r="M330" s="2">
        <f t="shared" si="71"/>
        <v>678</v>
      </c>
      <c r="N330" s="15">
        <f t="shared" si="72"/>
        <v>1119.3434061401306</v>
      </c>
      <c r="O330" s="15">
        <f t="shared" si="73"/>
        <v>3930.53860808639</v>
      </c>
      <c r="P330" s="16">
        <f>SUM($H$3:H330)</f>
        <v>19633180</v>
      </c>
      <c r="Q330" s="2">
        <f>SUM($I$3:I330)</f>
        <v>1414</v>
      </c>
    </row>
    <row r="331" spans="1:17" x14ac:dyDescent="0.3">
      <c r="A331" s="7">
        <f t="shared" si="77"/>
        <v>329</v>
      </c>
      <c r="B331" s="2">
        <f t="shared" si="77"/>
        <v>679</v>
      </c>
      <c r="C331" s="14">
        <f t="shared" si="74"/>
        <v>1141.6797268953826</v>
      </c>
      <c r="D331" s="14">
        <f t="shared" si="75"/>
        <v>3952.2182193714307</v>
      </c>
      <c r="E331" s="2">
        <v>0.8</v>
      </c>
      <c r="F331" s="2">
        <f t="shared" ref="F331:F394" si="78">F311+0.2</f>
        <v>2.6</v>
      </c>
      <c r="G331" s="17">
        <f t="shared" si="68"/>
        <v>0.10923333333333334</v>
      </c>
      <c r="H331" s="8">
        <f t="shared" si="76"/>
        <v>172410</v>
      </c>
      <c r="I331" s="9">
        <f t="shared" si="67"/>
        <v>10</v>
      </c>
      <c r="L331" s="2">
        <f t="shared" si="70"/>
        <v>172410</v>
      </c>
      <c r="M331" s="2">
        <f t="shared" si="71"/>
        <v>679</v>
      </c>
      <c r="N331" s="15">
        <f t="shared" si="72"/>
        <v>1141.6797268953826</v>
      </c>
      <c r="O331" s="15">
        <f t="shared" si="73"/>
        <v>3952.2182193714307</v>
      </c>
      <c r="P331" s="16">
        <f>SUM($H$3:H331)</f>
        <v>19805590</v>
      </c>
      <c r="Q331" s="2">
        <f>SUM($I$3:I331)</f>
        <v>1424</v>
      </c>
    </row>
    <row r="332" spans="1:17" x14ac:dyDescent="0.3">
      <c r="A332" s="7">
        <f t="shared" si="77"/>
        <v>330</v>
      </c>
      <c r="B332" s="2">
        <f t="shared" si="77"/>
        <v>680</v>
      </c>
      <c r="C332" s="14">
        <f t="shared" si="74"/>
        <v>1164.1706513272998</v>
      </c>
      <c r="D332" s="14">
        <f t="shared" si="75"/>
        <v>3974.1989796474541</v>
      </c>
      <c r="E332" s="2">
        <v>0.8</v>
      </c>
      <c r="F332" s="2">
        <f t="shared" si="78"/>
        <v>2.6</v>
      </c>
      <c r="G332" s="17">
        <f t="shared" si="68"/>
        <v>0.10966666666666666</v>
      </c>
      <c r="H332" s="8">
        <f t="shared" si="76"/>
        <v>173200</v>
      </c>
      <c r="I332" s="9">
        <f t="shared" si="67"/>
        <v>10</v>
      </c>
      <c r="L332" s="2">
        <f t="shared" si="70"/>
        <v>173200</v>
      </c>
      <c r="M332" s="2">
        <f t="shared" si="71"/>
        <v>680</v>
      </c>
      <c r="N332" s="15">
        <f t="shared" si="72"/>
        <v>1164.1706513272998</v>
      </c>
      <c r="O332" s="15">
        <f t="shared" si="73"/>
        <v>3974.1989796474541</v>
      </c>
      <c r="P332" s="16">
        <f>SUM($H$3:H332)</f>
        <v>19978790</v>
      </c>
      <c r="Q332" s="2">
        <f>SUM($I$3:I332)</f>
        <v>1434</v>
      </c>
    </row>
    <row r="333" spans="1:17" x14ac:dyDescent="0.3">
      <c r="A333" s="7">
        <f t="shared" si="77"/>
        <v>331</v>
      </c>
      <c r="B333" s="2">
        <f t="shared" si="77"/>
        <v>681</v>
      </c>
      <c r="C333" s="14">
        <f t="shared" si="74"/>
        <v>1186.812041333548</v>
      </c>
      <c r="D333" s="14">
        <f t="shared" si="75"/>
        <v>3996.4748233027676</v>
      </c>
      <c r="E333" s="2">
        <v>0.8</v>
      </c>
      <c r="F333" s="2">
        <f t="shared" si="78"/>
        <v>2.6</v>
      </c>
      <c r="G333" s="17">
        <f t="shared" si="68"/>
        <v>0.1101</v>
      </c>
      <c r="H333" s="8">
        <f t="shared" si="76"/>
        <v>173990</v>
      </c>
      <c r="I333" s="9">
        <f t="shared" si="67"/>
        <v>10</v>
      </c>
      <c r="L333" s="2">
        <f t="shared" si="70"/>
        <v>173990</v>
      </c>
      <c r="M333" s="2">
        <f t="shared" si="71"/>
        <v>681</v>
      </c>
      <c r="N333" s="15">
        <f t="shared" si="72"/>
        <v>1186.812041333548</v>
      </c>
      <c r="O333" s="15">
        <f t="shared" si="73"/>
        <v>3996.4748233027676</v>
      </c>
      <c r="P333" s="16">
        <f>SUM($H$3:H333)</f>
        <v>20152780</v>
      </c>
      <c r="Q333" s="2">
        <f>SUM($I$3:I333)</f>
        <v>1444</v>
      </c>
    </row>
    <row r="334" spans="1:17" x14ac:dyDescent="0.3">
      <c r="A334" s="7">
        <f t="shared" si="77"/>
        <v>332</v>
      </c>
      <c r="B334" s="2">
        <f t="shared" si="77"/>
        <v>682</v>
      </c>
      <c r="C334" s="14">
        <f t="shared" si="74"/>
        <v>1209.5999999999999</v>
      </c>
      <c r="D334" s="14">
        <f t="shared" si="75"/>
        <v>4019.04</v>
      </c>
      <c r="E334" s="2">
        <v>0.8</v>
      </c>
      <c r="F334" s="2">
        <f t="shared" si="78"/>
        <v>2.6</v>
      </c>
      <c r="G334" s="17">
        <f t="shared" si="68"/>
        <v>0.11053333333333333</v>
      </c>
      <c r="H334" s="8">
        <f t="shared" si="76"/>
        <v>174780</v>
      </c>
      <c r="I334" s="9">
        <f t="shared" si="67"/>
        <v>10</v>
      </c>
      <c r="L334" s="2">
        <f t="shared" si="70"/>
        <v>174780</v>
      </c>
      <c r="M334" s="2">
        <f t="shared" si="71"/>
        <v>682</v>
      </c>
      <c r="N334" s="15">
        <f t="shared" si="72"/>
        <v>1209.5999999999999</v>
      </c>
      <c r="O334" s="15">
        <f t="shared" si="73"/>
        <v>4019.04</v>
      </c>
      <c r="P334" s="16">
        <f>SUM($H$3:H334)</f>
        <v>20327560</v>
      </c>
      <c r="Q334" s="2">
        <f>SUM($I$3:I334)</f>
        <v>1454</v>
      </c>
    </row>
    <row r="335" spans="1:17" x14ac:dyDescent="0.3">
      <c r="A335" s="7">
        <f t="shared" si="77"/>
        <v>333</v>
      </c>
      <c r="B335" s="2">
        <f t="shared" si="77"/>
        <v>683</v>
      </c>
      <c r="C335" s="14">
        <f t="shared" si="74"/>
        <v>1232.5308504154177</v>
      </c>
      <c r="D335" s="14">
        <f t="shared" si="75"/>
        <v>4041.8890488797724</v>
      </c>
      <c r="E335" s="2">
        <v>0.8</v>
      </c>
      <c r="F335" s="2">
        <f t="shared" si="78"/>
        <v>2.6</v>
      </c>
      <c r="G335" s="17">
        <f t="shared" si="68"/>
        <v>0.11096666666666667</v>
      </c>
      <c r="H335" s="8">
        <f t="shared" si="76"/>
        <v>175570</v>
      </c>
      <c r="I335" s="9">
        <f t="shared" si="67"/>
        <v>10</v>
      </c>
      <c r="L335" s="2">
        <f t="shared" si="70"/>
        <v>175570</v>
      </c>
      <c r="M335" s="2">
        <f t="shared" si="71"/>
        <v>683</v>
      </c>
      <c r="N335" s="15">
        <f t="shared" si="72"/>
        <v>1232.5308504154177</v>
      </c>
      <c r="O335" s="15">
        <f t="shared" si="73"/>
        <v>4041.8890488797724</v>
      </c>
      <c r="P335" s="16">
        <f>SUM($H$3:H335)</f>
        <v>20503130</v>
      </c>
      <c r="Q335" s="2">
        <f>SUM($I$3:I335)</f>
        <v>1464</v>
      </c>
    </row>
    <row r="336" spans="1:17" x14ac:dyDescent="0.3">
      <c r="A336" s="7">
        <f t="shared" si="77"/>
        <v>334</v>
      </c>
      <c r="B336" s="2">
        <f t="shared" si="77"/>
        <v>684</v>
      </c>
      <c r="C336" s="14">
        <f t="shared" si="74"/>
        <v>1255.6011169351875</v>
      </c>
      <c r="D336" s="14">
        <f t="shared" si="75"/>
        <v>4065.016775598252</v>
      </c>
      <c r="E336" s="2">
        <v>0.8</v>
      </c>
      <c r="F336" s="2">
        <f t="shared" si="78"/>
        <v>2.6</v>
      </c>
      <c r="G336" s="17">
        <f t="shared" si="68"/>
        <v>0.1114</v>
      </c>
      <c r="H336" s="8">
        <f t="shared" si="76"/>
        <v>176360</v>
      </c>
      <c r="I336" s="9">
        <f t="shared" si="67"/>
        <v>10</v>
      </c>
      <c r="L336" s="2">
        <f t="shared" si="70"/>
        <v>176360</v>
      </c>
      <c r="M336" s="2">
        <f t="shared" si="71"/>
        <v>684</v>
      </c>
      <c r="N336" s="15">
        <f t="shared" si="72"/>
        <v>1255.6011169351875</v>
      </c>
      <c r="O336" s="15">
        <f t="shared" si="73"/>
        <v>4065.016775598252</v>
      </c>
      <c r="P336" s="16">
        <f>SUM($H$3:H336)</f>
        <v>20679490</v>
      </c>
      <c r="Q336" s="2">
        <f>SUM($I$3:I336)</f>
        <v>1474</v>
      </c>
    </row>
    <row r="337" spans="1:17" x14ac:dyDescent="0.3">
      <c r="A337" s="7">
        <f t="shared" si="77"/>
        <v>335</v>
      </c>
      <c r="B337" s="2">
        <f t="shared" si="77"/>
        <v>685</v>
      </c>
      <c r="C337" s="14">
        <f t="shared" si="74"/>
        <v>1278.8075085469923</v>
      </c>
      <c r="D337" s="14">
        <f t="shared" si="75"/>
        <v>4088.4182318124845</v>
      </c>
      <c r="E337" s="2">
        <v>0.8</v>
      </c>
      <c r="F337" s="2">
        <f t="shared" si="78"/>
        <v>2.6</v>
      </c>
      <c r="G337" s="17">
        <f t="shared" si="68"/>
        <v>0.11183333333333334</v>
      </c>
      <c r="H337" s="8">
        <f t="shared" si="76"/>
        <v>177150</v>
      </c>
      <c r="I337" s="9">
        <f t="shared" si="67"/>
        <v>10</v>
      </c>
      <c r="L337" s="2">
        <f t="shared" si="70"/>
        <v>177150</v>
      </c>
      <c r="M337" s="2">
        <f t="shared" si="71"/>
        <v>685</v>
      </c>
      <c r="N337" s="15">
        <f t="shared" si="72"/>
        <v>1278.8075085469923</v>
      </c>
      <c r="O337" s="15">
        <f t="shared" si="73"/>
        <v>4088.4182318124845</v>
      </c>
      <c r="P337" s="16">
        <f>SUM($H$3:H337)</f>
        <v>20856640</v>
      </c>
      <c r="Q337" s="2">
        <f>SUM($I$3:I337)</f>
        <v>1484</v>
      </c>
    </row>
    <row r="338" spans="1:17" x14ac:dyDescent="0.3">
      <c r="A338" s="7">
        <f t="shared" si="77"/>
        <v>336</v>
      </c>
      <c r="B338" s="2">
        <f t="shared" si="77"/>
        <v>686</v>
      </c>
      <c r="C338" s="14">
        <f t="shared" si="74"/>
        <v>1302.1469040490638</v>
      </c>
      <c r="D338" s="14">
        <f t="shared" si="75"/>
        <v>4112.0886967896504</v>
      </c>
      <c r="E338" s="2">
        <v>0.8</v>
      </c>
      <c r="F338" s="2">
        <f t="shared" si="78"/>
        <v>2.6</v>
      </c>
      <c r="G338" s="17">
        <f t="shared" si="68"/>
        <v>0.11226666666666667</v>
      </c>
      <c r="H338" s="8">
        <f t="shared" si="76"/>
        <v>177940</v>
      </c>
      <c r="I338" s="9">
        <f t="shared" si="67"/>
        <v>10</v>
      </c>
      <c r="L338" s="2">
        <f t="shared" si="70"/>
        <v>177940</v>
      </c>
      <c r="M338" s="2">
        <f t="shared" si="71"/>
        <v>686</v>
      </c>
      <c r="N338" s="15">
        <f t="shared" si="72"/>
        <v>1302.1469040490638</v>
      </c>
      <c r="O338" s="15">
        <f t="shared" si="73"/>
        <v>4112.0886967896504</v>
      </c>
      <c r="P338" s="16">
        <f>SUM($H$3:H338)</f>
        <v>21034580</v>
      </c>
      <c r="Q338" s="2">
        <f>SUM($I$3:I338)</f>
        <v>1494</v>
      </c>
    </row>
    <row r="339" spans="1:17" x14ac:dyDescent="0.3">
      <c r="A339" s="7">
        <f t="shared" si="77"/>
        <v>337</v>
      </c>
      <c r="B339" s="2">
        <f t="shared" si="77"/>
        <v>687</v>
      </c>
      <c r="C339" s="14">
        <f t="shared" si="74"/>
        <v>1325.6163387984411</v>
      </c>
      <c r="D339" s="14">
        <f t="shared" si="75"/>
        <v>4136.023660867063</v>
      </c>
      <c r="E339" s="2">
        <v>0.8</v>
      </c>
      <c r="F339" s="2">
        <f t="shared" si="78"/>
        <v>2.6</v>
      </c>
      <c r="G339" s="17">
        <f t="shared" si="68"/>
        <v>0.11270000000000001</v>
      </c>
      <c r="H339" s="8">
        <f t="shared" si="76"/>
        <v>178730</v>
      </c>
      <c r="I339" s="9">
        <f t="shared" si="67"/>
        <v>10</v>
      </c>
      <c r="L339" s="2">
        <f t="shared" si="70"/>
        <v>178730</v>
      </c>
      <c r="M339" s="2">
        <f t="shared" si="71"/>
        <v>687</v>
      </c>
      <c r="N339" s="15">
        <f t="shared" si="72"/>
        <v>1325.6163387984411</v>
      </c>
      <c r="O339" s="15">
        <f t="shared" si="73"/>
        <v>4136.023660867063</v>
      </c>
      <c r="P339" s="16">
        <f>SUM($H$3:H339)</f>
        <v>21213310</v>
      </c>
      <c r="Q339" s="2">
        <f>SUM($I$3:I339)</f>
        <v>1504</v>
      </c>
    </row>
    <row r="340" spans="1:17" x14ac:dyDescent="0.3">
      <c r="A340" s="7">
        <f t="shared" si="77"/>
        <v>338</v>
      </c>
      <c r="B340" s="2">
        <f t="shared" si="77"/>
        <v>688</v>
      </c>
      <c r="C340" s="14">
        <f t="shared" si="74"/>
        <v>1349.2129928248401</v>
      </c>
      <c r="D340" s="14">
        <f t="shared" si="75"/>
        <v>4160.2188105313717</v>
      </c>
      <c r="E340" s="2">
        <v>0.8</v>
      </c>
      <c r="F340" s="2">
        <f t="shared" si="78"/>
        <v>2.6</v>
      </c>
      <c r="G340" s="17">
        <f t="shared" si="68"/>
        <v>0.11313333333333334</v>
      </c>
      <c r="H340" s="8">
        <f t="shared" si="76"/>
        <v>179520</v>
      </c>
      <c r="I340" s="9">
        <f t="shared" si="67"/>
        <v>10</v>
      </c>
      <c r="L340" s="2">
        <f t="shared" si="70"/>
        <v>179520</v>
      </c>
      <c r="M340" s="2">
        <f t="shared" si="71"/>
        <v>688</v>
      </c>
      <c r="N340" s="15">
        <f t="shared" si="72"/>
        <v>1349.2129928248401</v>
      </c>
      <c r="O340" s="15">
        <f t="shared" si="73"/>
        <v>4160.2188105313717</v>
      </c>
      <c r="P340" s="16">
        <f>SUM($H$3:H340)</f>
        <v>21392830</v>
      </c>
      <c r="Q340" s="2">
        <f>SUM($I$3:I340)</f>
        <v>1514</v>
      </c>
    </row>
    <row r="341" spans="1:17" x14ac:dyDescent="0.3">
      <c r="A341" s="7">
        <f t="shared" si="77"/>
        <v>339</v>
      </c>
      <c r="B341" s="2">
        <f t="shared" si="77"/>
        <v>689</v>
      </c>
      <c r="C341" s="14">
        <f t="shared" si="74"/>
        <v>1372.9341801370433</v>
      </c>
      <c r="D341" s="14">
        <f t="shared" si="75"/>
        <v>4184.6700149197577</v>
      </c>
      <c r="E341" s="2">
        <v>0.8</v>
      </c>
      <c r="F341" s="2">
        <f t="shared" si="78"/>
        <v>2.6</v>
      </c>
      <c r="G341" s="17">
        <f t="shared" si="68"/>
        <v>0.11356666666666668</v>
      </c>
      <c r="H341" s="8">
        <f t="shared" si="76"/>
        <v>180310</v>
      </c>
      <c r="I341" s="9">
        <f t="shared" si="67"/>
        <v>10</v>
      </c>
      <c r="L341" s="2">
        <f t="shared" si="70"/>
        <v>180310</v>
      </c>
      <c r="M341" s="2">
        <f t="shared" si="71"/>
        <v>689</v>
      </c>
      <c r="N341" s="15">
        <f t="shared" si="72"/>
        <v>1372.9341801370433</v>
      </c>
      <c r="O341" s="15">
        <f t="shared" si="73"/>
        <v>4184.6700149197577</v>
      </c>
      <c r="P341" s="16">
        <f>SUM($H$3:H341)</f>
        <v>21573140</v>
      </c>
      <c r="Q341" s="2">
        <f>SUM($I$3:I341)</f>
        <v>1524</v>
      </c>
    </row>
    <row r="342" spans="1:17" x14ac:dyDescent="0.3">
      <c r="A342" s="7">
        <f t="shared" si="77"/>
        <v>340</v>
      </c>
      <c r="B342" s="2">
        <f t="shared" si="77"/>
        <v>690</v>
      </c>
      <c r="C342" s="14">
        <f t="shared" si="74"/>
        <v>1396.7773390745497</v>
      </c>
      <c r="D342" s="14">
        <f t="shared" si="75"/>
        <v>4209.3733135743987</v>
      </c>
      <c r="E342" s="2">
        <v>0.8</v>
      </c>
      <c r="F342" s="2">
        <f t="shared" si="78"/>
        <v>2.8000000000000003</v>
      </c>
      <c r="G342" s="17">
        <f t="shared" si="68"/>
        <v>0.114</v>
      </c>
      <c r="H342" s="8">
        <f t="shared" si="76"/>
        <v>181100</v>
      </c>
      <c r="I342" s="9">
        <f t="shared" si="67"/>
        <v>10</v>
      </c>
      <c r="L342" s="2">
        <f t="shared" si="70"/>
        <v>181100</v>
      </c>
      <c r="M342" s="2">
        <f t="shared" si="71"/>
        <v>690</v>
      </c>
      <c r="N342" s="15">
        <f t="shared" si="72"/>
        <v>1396.7773390745497</v>
      </c>
      <c r="O342" s="15">
        <f t="shared" si="73"/>
        <v>4209.3733135743987</v>
      </c>
      <c r="P342" s="16">
        <f>SUM($H$3:H342)</f>
        <v>21754240</v>
      </c>
      <c r="Q342" s="2">
        <f>SUM($I$3:I342)</f>
        <v>1534</v>
      </c>
    </row>
    <row r="343" spans="1:17" x14ac:dyDescent="0.3">
      <c r="A343" s="7">
        <f t="shared" si="77"/>
        <v>341</v>
      </c>
      <c r="B343" s="2">
        <f t="shared" si="77"/>
        <v>691</v>
      </c>
      <c r="C343" s="14">
        <f t="shared" si="74"/>
        <v>1420.7400235786508</v>
      </c>
      <c r="D343" s="14">
        <f t="shared" si="75"/>
        <v>4234.324905305245</v>
      </c>
      <c r="E343" s="2">
        <v>0.8</v>
      </c>
      <c r="F343" s="2">
        <f t="shared" si="78"/>
        <v>2.8000000000000003</v>
      </c>
      <c r="G343" s="17">
        <f t="shared" si="68"/>
        <v>0.11443333333333335</v>
      </c>
      <c r="H343" s="8">
        <f t="shared" si="76"/>
        <v>181890</v>
      </c>
      <c r="I343" s="9">
        <f t="shared" si="67"/>
        <v>10</v>
      </c>
      <c r="L343" s="2">
        <f t="shared" si="70"/>
        <v>181890</v>
      </c>
      <c r="M343" s="2">
        <f t="shared" si="71"/>
        <v>691</v>
      </c>
      <c r="N343" s="15">
        <f t="shared" si="72"/>
        <v>1420.7400235786508</v>
      </c>
      <c r="O343" s="15">
        <f t="shared" si="73"/>
        <v>4234.324905305245</v>
      </c>
      <c r="P343" s="16">
        <f>SUM($H$3:H343)</f>
        <v>21936130</v>
      </c>
      <c r="Q343" s="2">
        <f>SUM($I$3:I343)</f>
        <v>1544</v>
      </c>
    </row>
    <row r="344" spans="1:17" x14ac:dyDescent="0.3">
      <c r="A344" s="7">
        <f t="shared" si="77"/>
        <v>342</v>
      </c>
      <c r="B344" s="2">
        <f t="shared" si="77"/>
        <v>692</v>
      </c>
      <c r="C344" s="14">
        <f t="shared" si="74"/>
        <v>1444.8198952749497</v>
      </c>
      <c r="D344" s="14">
        <f t="shared" si="75"/>
        <v>4259.5211380360624</v>
      </c>
      <c r="E344" s="2">
        <v>0.8</v>
      </c>
      <c r="F344" s="2">
        <f t="shared" si="78"/>
        <v>2.8000000000000003</v>
      </c>
      <c r="G344" s="17">
        <f t="shared" si="68"/>
        <v>0.11486666666666667</v>
      </c>
      <c r="H344" s="8">
        <f t="shared" si="76"/>
        <v>182680</v>
      </c>
      <c r="I344" s="9">
        <f t="shared" si="67"/>
        <v>10</v>
      </c>
      <c r="L344" s="2">
        <f t="shared" si="70"/>
        <v>182680</v>
      </c>
      <c r="M344" s="2">
        <f t="shared" si="71"/>
        <v>692</v>
      </c>
      <c r="N344" s="15">
        <f t="shared" si="72"/>
        <v>1444.8198952749497</v>
      </c>
      <c r="O344" s="15">
        <f t="shared" si="73"/>
        <v>4259.5211380360624</v>
      </c>
      <c r="P344" s="16">
        <f>SUM($H$3:H344)</f>
        <v>22118810</v>
      </c>
      <c r="Q344" s="2">
        <f>SUM($I$3:I344)</f>
        <v>1554</v>
      </c>
    </row>
    <row r="345" spans="1:17" x14ac:dyDescent="0.3">
      <c r="A345" s="7">
        <f t="shared" si="77"/>
        <v>343</v>
      </c>
      <c r="B345" s="2">
        <f t="shared" si="77"/>
        <v>693</v>
      </c>
      <c r="C345" s="14">
        <f t="shared" si="74"/>
        <v>1469.0147162743201</v>
      </c>
      <c r="D345" s="14">
        <f t="shared" si="75"/>
        <v>4284.9584995254627</v>
      </c>
      <c r="E345" s="2">
        <v>0.8</v>
      </c>
      <c r="F345" s="2">
        <f t="shared" si="78"/>
        <v>2.8000000000000003</v>
      </c>
      <c r="G345" s="17">
        <f t="shared" si="68"/>
        <v>0.1153</v>
      </c>
      <c r="H345" s="8">
        <f t="shared" si="76"/>
        <v>183470</v>
      </c>
      <c r="I345" s="9">
        <f t="shared" si="67"/>
        <v>10</v>
      </c>
      <c r="L345" s="2">
        <f t="shared" si="70"/>
        <v>183470</v>
      </c>
      <c r="M345" s="2">
        <f t="shared" si="71"/>
        <v>693</v>
      </c>
      <c r="N345" s="15">
        <f t="shared" si="72"/>
        <v>1469.0147162743201</v>
      </c>
      <c r="O345" s="15">
        <f t="shared" si="73"/>
        <v>4284.9584995254627</v>
      </c>
      <c r="P345" s="16">
        <f>SUM($H$3:H345)</f>
        <v>22302280</v>
      </c>
      <c r="Q345" s="2">
        <f>SUM($I$3:I345)</f>
        <v>1564</v>
      </c>
    </row>
    <row r="346" spans="1:17" x14ac:dyDescent="0.3">
      <c r="A346" s="7">
        <f t="shared" si="77"/>
        <v>344</v>
      </c>
      <c r="B346" s="2">
        <f t="shared" si="77"/>
        <v>694</v>
      </c>
      <c r="C346" s="14">
        <f t="shared" si="74"/>
        <v>1493.3223426118543</v>
      </c>
      <c r="D346" s="14">
        <f t="shared" si="75"/>
        <v>4310.6336088688113</v>
      </c>
      <c r="E346" s="2">
        <v>0.8</v>
      </c>
      <c r="F346" s="2">
        <f t="shared" si="78"/>
        <v>2.8000000000000003</v>
      </c>
      <c r="G346" s="17">
        <f t="shared" si="68"/>
        <v>0.11573333333333333</v>
      </c>
      <c r="H346" s="8">
        <f t="shared" si="76"/>
        <v>184260</v>
      </c>
      <c r="I346" s="9">
        <f t="shared" si="67"/>
        <v>10</v>
      </c>
      <c r="L346" s="2">
        <f t="shared" si="70"/>
        <v>184260</v>
      </c>
      <c r="M346" s="2">
        <f t="shared" si="71"/>
        <v>694</v>
      </c>
      <c r="N346" s="15">
        <f t="shared" si="72"/>
        <v>1493.3223426118543</v>
      </c>
      <c r="O346" s="15">
        <f t="shared" si="73"/>
        <v>4310.6336088688113</v>
      </c>
      <c r="P346" s="16">
        <f>SUM($H$3:H346)</f>
        <v>22486540</v>
      </c>
      <c r="Q346" s="2">
        <f>SUM($I$3:I346)</f>
        <v>1574</v>
      </c>
    </row>
    <row r="347" spans="1:17" x14ac:dyDescent="0.3">
      <c r="A347" s="7">
        <f t="shared" si="77"/>
        <v>345</v>
      </c>
      <c r="B347" s="2">
        <f t="shared" si="77"/>
        <v>695</v>
      </c>
      <c r="C347" s="14">
        <f t="shared" si="74"/>
        <v>1517.7407182540142</v>
      </c>
      <c r="D347" s="14">
        <f t="shared" si="75"/>
        <v>4336.5432086989631</v>
      </c>
      <c r="E347" s="2">
        <v>0.8</v>
      </c>
      <c r="F347" s="2">
        <f t="shared" si="78"/>
        <v>2.8000000000000003</v>
      </c>
      <c r="G347" s="17">
        <f t="shared" si="68"/>
        <v>0.11616666666666665</v>
      </c>
      <c r="H347" s="8">
        <f t="shared" si="76"/>
        <v>185050</v>
      </c>
      <c r="I347" s="9">
        <f t="shared" si="67"/>
        <v>10</v>
      </c>
      <c r="L347" s="2">
        <f t="shared" si="70"/>
        <v>185050</v>
      </c>
      <c r="M347" s="2">
        <f t="shared" si="71"/>
        <v>695</v>
      </c>
      <c r="N347" s="15">
        <f t="shared" si="72"/>
        <v>1517.7407182540142</v>
      </c>
      <c r="O347" s="15">
        <f t="shared" si="73"/>
        <v>4336.5432086989631</v>
      </c>
      <c r="P347" s="16">
        <f>SUM($H$3:H347)</f>
        <v>22671590</v>
      </c>
      <c r="Q347" s="2">
        <f>SUM($I$3:I347)</f>
        <v>1584</v>
      </c>
    </row>
    <row r="348" spans="1:17" x14ac:dyDescent="0.3">
      <c r="A348" s="7">
        <f t="shared" si="77"/>
        <v>346</v>
      </c>
      <c r="B348" s="2">
        <f t="shared" si="77"/>
        <v>696</v>
      </c>
      <c r="C348" s="14">
        <f t="shared" si="74"/>
        <v>1542.2678696132007</v>
      </c>
      <c r="D348" s="14">
        <f t="shared" si="75"/>
        <v>4362.6841580140299</v>
      </c>
      <c r="E348" s="2">
        <v>0.8</v>
      </c>
      <c r="F348" s="2">
        <f t="shared" si="78"/>
        <v>2.8000000000000003</v>
      </c>
      <c r="G348" s="17">
        <f t="shared" si="68"/>
        <v>0.1166</v>
      </c>
      <c r="H348" s="8">
        <f t="shared" si="76"/>
        <v>185840</v>
      </c>
      <c r="I348" s="9">
        <f t="shared" si="67"/>
        <v>10</v>
      </c>
      <c r="L348" s="2">
        <f t="shared" si="70"/>
        <v>185840</v>
      </c>
      <c r="M348" s="2">
        <f t="shared" si="71"/>
        <v>696</v>
      </c>
      <c r="N348" s="15">
        <f t="shared" si="72"/>
        <v>1542.2678696132007</v>
      </c>
      <c r="O348" s="15">
        <f t="shared" si="73"/>
        <v>4362.6841580140299</v>
      </c>
      <c r="P348" s="16">
        <f>SUM($H$3:H348)</f>
        <v>22857430</v>
      </c>
      <c r="Q348" s="2">
        <f>SUM($I$3:I348)</f>
        <v>1594</v>
      </c>
    </row>
    <row r="349" spans="1:17" x14ac:dyDescent="0.3">
      <c r="A349" s="7">
        <f t="shared" si="77"/>
        <v>347</v>
      </c>
      <c r="B349" s="2">
        <f t="shared" si="77"/>
        <v>697</v>
      </c>
      <c r="C349" s="14">
        <f t="shared" si="74"/>
        <v>1566.901900516657</v>
      </c>
      <c r="D349" s="14">
        <f t="shared" si="75"/>
        <v>4389.0534255691482</v>
      </c>
      <c r="E349" s="2">
        <v>0.8</v>
      </c>
      <c r="F349" s="2">
        <f t="shared" si="78"/>
        <v>2.8000000000000003</v>
      </c>
      <c r="G349" s="17">
        <f t="shared" si="68"/>
        <v>0.11703333333333332</v>
      </c>
      <c r="H349" s="8">
        <f t="shared" si="76"/>
        <v>186630</v>
      </c>
      <c r="I349" s="9">
        <f t="shared" si="67"/>
        <v>10</v>
      </c>
      <c r="L349" s="2">
        <f t="shared" si="70"/>
        <v>186630</v>
      </c>
      <c r="M349" s="2">
        <f t="shared" si="71"/>
        <v>697</v>
      </c>
      <c r="N349" s="15">
        <f t="shared" si="72"/>
        <v>1566.901900516657</v>
      </c>
      <c r="O349" s="15">
        <f t="shared" si="73"/>
        <v>4389.0534255691482</v>
      </c>
      <c r="P349" s="16">
        <f>SUM($H$3:H349)</f>
        <v>23044060</v>
      </c>
      <c r="Q349" s="2">
        <f>SUM($I$3:I349)</f>
        <v>1604</v>
      </c>
    </row>
    <row r="350" spans="1:17" x14ac:dyDescent="0.3">
      <c r="A350" s="7">
        <f t="shared" si="77"/>
        <v>348</v>
      </c>
      <c r="B350" s="2">
        <f t="shared" si="77"/>
        <v>698</v>
      </c>
      <c r="C350" s="14">
        <f t="shared" si="74"/>
        <v>1591.640987583176</v>
      </c>
      <c r="D350" s="14">
        <f t="shared" si="75"/>
        <v>4415.6480837768104</v>
      </c>
      <c r="E350" s="2">
        <v>0.8</v>
      </c>
      <c r="F350" s="2">
        <f t="shared" si="78"/>
        <v>2.8000000000000003</v>
      </c>
      <c r="G350" s="17">
        <f t="shared" si="68"/>
        <v>0.11746666666666666</v>
      </c>
      <c r="H350" s="8">
        <f t="shared" si="76"/>
        <v>187420</v>
      </c>
      <c r="I350" s="9">
        <f t="shared" si="67"/>
        <v>10</v>
      </c>
      <c r="L350" s="2">
        <f t="shared" si="70"/>
        <v>187420</v>
      </c>
      <c r="M350" s="2">
        <f t="shared" si="71"/>
        <v>698</v>
      </c>
      <c r="N350" s="15">
        <f t="shared" si="72"/>
        <v>1591.640987583176</v>
      </c>
      <c r="O350" s="15">
        <f t="shared" si="73"/>
        <v>4415.6480837768104</v>
      </c>
      <c r="P350" s="16">
        <f>SUM($H$3:H350)</f>
        <v>23231480</v>
      </c>
      <c r="Q350" s="2">
        <f>SUM($I$3:I350)</f>
        <v>1614</v>
      </c>
    </row>
    <row r="351" spans="1:17" x14ac:dyDescent="0.3">
      <c r="A351" s="7">
        <f t="shared" si="77"/>
        <v>349</v>
      </c>
      <c r="B351" s="2">
        <f t="shared" si="77"/>
        <v>699</v>
      </c>
      <c r="C351" s="14">
        <f t="shared" si="74"/>
        <v>1616.4833759667254</v>
      </c>
      <c r="D351" s="14">
        <f t="shared" si="75"/>
        <v>4442.4653030667596</v>
      </c>
      <c r="E351" s="2">
        <v>0.8</v>
      </c>
      <c r="F351" s="2">
        <f t="shared" si="78"/>
        <v>2.8000000000000003</v>
      </c>
      <c r="G351" s="17">
        <f t="shared" si="68"/>
        <v>0.11789999999999999</v>
      </c>
      <c r="H351" s="8">
        <f t="shared" si="76"/>
        <v>188210</v>
      </c>
      <c r="I351" s="9">
        <f t="shared" si="67"/>
        <v>10</v>
      </c>
      <c r="L351" s="2">
        <f t="shared" si="70"/>
        <v>188210</v>
      </c>
      <c r="M351" s="2">
        <f t="shared" si="71"/>
        <v>699</v>
      </c>
      <c r="N351" s="15">
        <f t="shared" si="72"/>
        <v>1616.4833759667254</v>
      </c>
      <c r="O351" s="15">
        <f t="shared" si="73"/>
        <v>4442.4653030667596</v>
      </c>
      <c r="P351" s="16">
        <f>SUM($H$3:H351)</f>
        <v>23419690</v>
      </c>
      <c r="Q351" s="2">
        <f>SUM($I$3:I351)</f>
        <v>1624</v>
      </c>
    </row>
    <row r="352" spans="1:17" x14ac:dyDescent="0.3">
      <c r="A352" s="7">
        <f t="shared" si="77"/>
        <v>350</v>
      </c>
      <c r="B352" s="2">
        <f t="shared" si="77"/>
        <v>700</v>
      </c>
      <c r="C352" s="14">
        <f t="shared" si="74"/>
        <v>1641.4273754309725</v>
      </c>
      <c r="D352" s="14">
        <f t="shared" si="75"/>
        <v>4469.5023466621496</v>
      </c>
      <c r="E352" s="2">
        <v>0.8</v>
      </c>
      <c r="F352" s="2">
        <f t="shared" si="78"/>
        <v>2.8000000000000003</v>
      </c>
      <c r="G352" s="17">
        <f t="shared" si="68"/>
        <v>0.11833333333333333</v>
      </c>
      <c r="H352" s="8">
        <f t="shared" si="76"/>
        <v>189000</v>
      </c>
      <c r="I352" s="9">
        <f t="shared" si="67"/>
        <v>11</v>
      </c>
      <c r="L352" s="2">
        <f t="shared" si="70"/>
        <v>189000</v>
      </c>
      <c r="M352" s="2">
        <f t="shared" si="71"/>
        <v>700</v>
      </c>
      <c r="N352" s="15">
        <f t="shared" si="72"/>
        <v>1641.4273754309725</v>
      </c>
      <c r="O352" s="15">
        <f t="shared" si="73"/>
        <v>4469.5023466621496</v>
      </c>
      <c r="P352" s="16">
        <f>SUM($H$3:H352)</f>
        <v>23608690</v>
      </c>
      <c r="Q352" s="2">
        <f>SUM($I$3:I352)</f>
        <v>1635</v>
      </c>
    </row>
    <row r="353" spans="1:17" x14ac:dyDescent="0.3">
      <c r="A353" s="7">
        <f t="shared" si="77"/>
        <v>351</v>
      </c>
      <c r="B353" s="2">
        <f t="shared" si="77"/>
        <v>701</v>
      </c>
      <c r="C353" s="14">
        <f t="shared" si="74"/>
        <v>1666.4713567228384</v>
      </c>
      <c r="D353" s="14">
        <f t="shared" si="75"/>
        <v>4496.7565657334526</v>
      </c>
      <c r="E353" s="2">
        <v>0.8</v>
      </c>
      <c r="F353" s="2">
        <f t="shared" si="78"/>
        <v>2.8000000000000003</v>
      </c>
      <c r="G353" s="17">
        <f t="shared" si="68"/>
        <v>0.11876666666666666</v>
      </c>
      <c r="H353" s="8">
        <f t="shared" si="76"/>
        <v>189790</v>
      </c>
      <c r="I353" s="9">
        <f t="shared" si="67"/>
        <v>11</v>
      </c>
      <c r="L353" s="2">
        <f t="shared" si="70"/>
        <v>189790</v>
      </c>
      <c r="M353" s="2">
        <f t="shared" si="71"/>
        <v>701</v>
      </c>
      <c r="N353" s="15">
        <f t="shared" si="72"/>
        <v>1666.4713567228384</v>
      </c>
      <c r="O353" s="15">
        <f t="shared" si="73"/>
        <v>4496.7565657334526</v>
      </c>
      <c r="P353" s="16">
        <f>SUM($H$3:H353)</f>
        <v>23798480</v>
      </c>
      <c r="Q353" s="2">
        <f>SUM($I$3:I353)</f>
        <v>1646</v>
      </c>
    </row>
    <row r="354" spans="1:17" x14ac:dyDescent="0.3">
      <c r="A354" s="7">
        <f t="shared" si="77"/>
        <v>352</v>
      </c>
      <c r="B354" s="2">
        <f t="shared" si="77"/>
        <v>702</v>
      </c>
      <c r="C354" s="14">
        <f t="shared" si="74"/>
        <v>1691.6137482168986</v>
      </c>
      <c r="D354" s="14">
        <f t="shared" si="75"/>
        <v>4524.2253948959315</v>
      </c>
      <c r="E354" s="2">
        <v>0.8</v>
      </c>
      <c r="F354" s="2">
        <f t="shared" si="78"/>
        <v>2.8000000000000003</v>
      </c>
      <c r="G354" s="17">
        <f t="shared" si="68"/>
        <v>0.1192</v>
      </c>
      <c r="H354" s="8">
        <f t="shared" si="76"/>
        <v>190580</v>
      </c>
      <c r="I354" s="9">
        <f t="shared" si="67"/>
        <v>11</v>
      </c>
      <c r="L354" s="2">
        <f t="shared" si="70"/>
        <v>190580</v>
      </c>
      <c r="M354" s="2">
        <f t="shared" si="71"/>
        <v>702</v>
      </c>
      <c r="N354" s="15">
        <f t="shared" si="72"/>
        <v>1691.6137482168986</v>
      </c>
      <c r="O354" s="15">
        <f t="shared" si="73"/>
        <v>4524.2253948959315</v>
      </c>
      <c r="P354" s="16">
        <f>SUM($H$3:H354)</f>
        <v>23989060</v>
      </c>
      <c r="Q354" s="2">
        <f>SUM($I$3:I354)</f>
        <v>1657</v>
      </c>
    </row>
    <row r="355" spans="1:17" x14ac:dyDescent="0.3">
      <c r="A355" s="7">
        <f t="shared" si="77"/>
        <v>353</v>
      </c>
      <c r="B355" s="2">
        <f t="shared" si="77"/>
        <v>703</v>
      </c>
      <c r="C355" s="14">
        <f t="shared" si="74"/>
        <v>1716.8530328055408</v>
      </c>
      <c r="D355" s="14">
        <f t="shared" si="75"/>
        <v>4551.9063480201394</v>
      </c>
      <c r="E355" s="2">
        <v>0.8</v>
      </c>
      <c r="F355" s="2">
        <f t="shared" si="78"/>
        <v>2.8000000000000003</v>
      </c>
      <c r="G355" s="17">
        <f t="shared" si="68"/>
        <v>0.11963333333333333</v>
      </c>
      <c r="H355" s="8">
        <f t="shared" si="76"/>
        <v>191370</v>
      </c>
      <c r="I355" s="9">
        <f t="shared" si="67"/>
        <v>11</v>
      </c>
      <c r="L355" s="2">
        <f t="shared" si="70"/>
        <v>191370</v>
      </c>
      <c r="M355" s="2">
        <f t="shared" si="71"/>
        <v>703</v>
      </c>
      <c r="N355" s="15">
        <f t="shared" si="72"/>
        <v>1716.8530328055408</v>
      </c>
      <c r="O355" s="15">
        <f t="shared" si="73"/>
        <v>4551.9063480201394</v>
      </c>
      <c r="P355" s="16">
        <f>SUM($H$3:H355)</f>
        <v>24180430</v>
      </c>
      <c r="Q355" s="2">
        <f>SUM($I$3:I355)</f>
        <v>1668</v>
      </c>
    </row>
    <row r="356" spans="1:17" x14ac:dyDescent="0.3">
      <c r="A356" s="7">
        <f t="shared" si="77"/>
        <v>354</v>
      </c>
      <c r="B356" s="2">
        <f t="shared" si="77"/>
        <v>704</v>
      </c>
      <c r="C356" s="14">
        <f t="shared" si="74"/>
        <v>1742.1877450126042</v>
      </c>
      <c r="D356" s="14">
        <f t="shared" si="75"/>
        <v>4579.7970143281609</v>
      </c>
      <c r="E356" s="2">
        <v>0.8</v>
      </c>
      <c r="F356" s="2">
        <f t="shared" si="78"/>
        <v>2.8000000000000003</v>
      </c>
      <c r="G356" s="17">
        <f t="shared" si="68"/>
        <v>0.12006666666666667</v>
      </c>
      <c r="H356" s="8">
        <f t="shared" si="76"/>
        <v>192160</v>
      </c>
      <c r="I356" s="9">
        <f t="shared" ref="I356:I419" si="79">I331+1</f>
        <v>11</v>
      </c>
      <c r="L356" s="2">
        <f t="shared" si="70"/>
        <v>192160</v>
      </c>
      <c r="M356" s="2">
        <f t="shared" si="71"/>
        <v>704</v>
      </c>
      <c r="N356" s="15">
        <f t="shared" si="72"/>
        <v>1742.1877450126042</v>
      </c>
      <c r="O356" s="15">
        <f t="shared" si="73"/>
        <v>4579.7970143281609</v>
      </c>
      <c r="P356" s="16">
        <f>SUM($H$3:H356)</f>
        <v>24372590</v>
      </c>
      <c r="Q356" s="2">
        <f>SUM($I$3:I356)</f>
        <v>1679</v>
      </c>
    </row>
    <row r="357" spans="1:17" x14ac:dyDescent="0.3">
      <c r="A357" s="7">
        <f t="shared" si="77"/>
        <v>355</v>
      </c>
      <c r="B357" s="2">
        <f t="shared" si="77"/>
        <v>705</v>
      </c>
      <c r="C357" s="14">
        <f t="shared" si="74"/>
        <v>1767.6164683105599</v>
      </c>
      <c r="D357" s="14">
        <f t="shared" si="75"/>
        <v>4607.8950547511595</v>
      </c>
      <c r="E357" s="2">
        <v>0.8</v>
      </c>
      <c r="F357" s="2">
        <f t="shared" si="78"/>
        <v>2.8000000000000003</v>
      </c>
      <c r="G357" s="17">
        <f t="shared" si="68"/>
        <v>0.1205</v>
      </c>
      <c r="H357" s="8">
        <f t="shared" si="76"/>
        <v>192950</v>
      </c>
      <c r="I357" s="9">
        <f t="shared" si="79"/>
        <v>11</v>
      </c>
      <c r="L357" s="2">
        <f t="shared" si="70"/>
        <v>192950</v>
      </c>
      <c r="M357" s="2">
        <f t="shared" si="71"/>
        <v>705</v>
      </c>
      <c r="N357" s="15">
        <f t="shared" si="72"/>
        <v>1767.6164683105599</v>
      </c>
      <c r="O357" s="15">
        <f t="shared" si="73"/>
        <v>4607.8950547511595</v>
      </c>
      <c r="P357" s="16">
        <f>SUM($H$3:H357)</f>
        <v>24565540</v>
      </c>
      <c r="Q357" s="2">
        <f>SUM($I$3:I357)</f>
        <v>1690</v>
      </c>
    </row>
    <row r="358" spans="1:17" x14ac:dyDescent="0.3">
      <c r="A358" s="7">
        <f t="shared" si="77"/>
        <v>356</v>
      </c>
      <c r="B358" s="2">
        <f t="shared" si="77"/>
        <v>706</v>
      </c>
      <c r="C358" s="14">
        <f t="shared" si="74"/>
        <v>1793.1378326234512</v>
      </c>
      <c r="D358" s="14">
        <f t="shared" si="75"/>
        <v>4636.1981985262855</v>
      </c>
      <c r="E358" s="2">
        <v>0.8</v>
      </c>
      <c r="F358" s="2">
        <f t="shared" si="78"/>
        <v>2.8000000000000003</v>
      </c>
      <c r="G358" s="17">
        <f t="shared" si="68"/>
        <v>0.12093333333333334</v>
      </c>
      <c r="H358" s="8">
        <f t="shared" si="76"/>
        <v>193740</v>
      </c>
      <c r="I358" s="9">
        <f t="shared" si="79"/>
        <v>11</v>
      </c>
      <c r="L358" s="2">
        <f t="shared" si="70"/>
        <v>193740</v>
      </c>
      <c r="M358" s="2">
        <f t="shared" si="71"/>
        <v>706</v>
      </c>
      <c r="N358" s="15">
        <f t="shared" si="72"/>
        <v>1793.1378326234512</v>
      </c>
      <c r="O358" s="15">
        <f t="shared" si="73"/>
        <v>4636.1981985262855</v>
      </c>
      <c r="P358" s="16">
        <f>SUM($H$3:H358)</f>
        <v>24759280</v>
      </c>
      <c r="Q358" s="2">
        <f>SUM($I$3:I358)</f>
        <v>1701</v>
      </c>
    </row>
    <row r="359" spans="1:17" x14ac:dyDescent="0.3">
      <c r="A359" s="7">
        <f t="shared" si="77"/>
        <v>357</v>
      </c>
      <c r="B359" s="2">
        <f t="shared" si="77"/>
        <v>707</v>
      </c>
      <c r="C359" s="14">
        <f t="shared" si="74"/>
        <v>1818.7505119996242</v>
      </c>
      <c r="D359" s="14">
        <f t="shared" si="75"/>
        <v>4664.7042400132077</v>
      </c>
      <c r="E359" s="2">
        <v>0.8</v>
      </c>
      <c r="F359" s="2">
        <f t="shared" si="78"/>
        <v>2.8000000000000003</v>
      </c>
      <c r="G359" s="17">
        <f t="shared" ref="G359:G422" si="80">0.01 + (A359-100)*(0.4-0.01)/(1000-100)</f>
        <v>0.12136666666666666</v>
      </c>
      <c r="H359" s="8">
        <f t="shared" si="76"/>
        <v>194530</v>
      </c>
      <c r="I359" s="9">
        <f t="shared" si="79"/>
        <v>11</v>
      </c>
      <c r="L359" s="2">
        <f t="shared" si="70"/>
        <v>194530</v>
      </c>
      <c r="M359" s="2">
        <f t="shared" si="71"/>
        <v>707</v>
      </c>
      <c r="N359" s="15">
        <f t="shared" si="72"/>
        <v>1818.7505119996242</v>
      </c>
      <c r="O359" s="15">
        <f t="shared" si="73"/>
        <v>4664.7042400132077</v>
      </c>
      <c r="P359" s="16">
        <f>SUM($H$3:H359)</f>
        <v>24953810</v>
      </c>
      <c r="Q359" s="2">
        <f>SUM($I$3:I359)</f>
        <v>1712</v>
      </c>
    </row>
    <row r="360" spans="1:17" x14ac:dyDescent="0.3">
      <c r="A360" s="7">
        <f t="shared" si="77"/>
        <v>358</v>
      </c>
      <c r="B360" s="2">
        <f t="shared" si="77"/>
        <v>708</v>
      </c>
      <c r="C360" s="14">
        <f t="shared" si="74"/>
        <v>1844.4532224399375</v>
      </c>
      <c r="D360" s="14">
        <f t="shared" si="75"/>
        <v>4693.4110357124691</v>
      </c>
      <c r="E360" s="2">
        <v>0.8</v>
      </c>
      <c r="F360" s="2">
        <f t="shared" si="78"/>
        <v>2.8000000000000003</v>
      </c>
      <c r="G360" s="17">
        <f t="shared" si="80"/>
        <v>0.12180000000000001</v>
      </c>
      <c r="H360" s="8">
        <f t="shared" si="76"/>
        <v>195320</v>
      </c>
      <c r="I360" s="9">
        <f t="shared" si="79"/>
        <v>11</v>
      </c>
      <c r="L360" s="2">
        <f t="shared" si="70"/>
        <v>195320</v>
      </c>
      <c r="M360" s="2">
        <f t="shared" si="71"/>
        <v>708</v>
      </c>
      <c r="N360" s="15">
        <f t="shared" si="72"/>
        <v>1844.4532224399375</v>
      </c>
      <c r="O360" s="15">
        <f t="shared" si="73"/>
        <v>4693.4110357124691</v>
      </c>
      <c r="P360" s="16">
        <f>SUM($H$3:H360)</f>
        <v>25149130</v>
      </c>
      <c r="Q360" s="2">
        <f>SUM($I$3:I360)</f>
        <v>1723</v>
      </c>
    </row>
    <row r="361" spans="1:17" x14ac:dyDescent="0.3">
      <c r="A361" s="7">
        <f t="shared" si="77"/>
        <v>359</v>
      </c>
      <c r="B361" s="2">
        <f t="shared" si="77"/>
        <v>709</v>
      </c>
      <c r="C361" s="14">
        <f t="shared" si="74"/>
        <v>1870.24471986853</v>
      </c>
      <c r="D361" s="14">
        <f t="shared" si="75"/>
        <v>4722.3165014696096</v>
      </c>
      <c r="E361" s="2">
        <v>0.8</v>
      </c>
      <c r="F361" s="2">
        <f t="shared" si="78"/>
        <v>2.8000000000000003</v>
      </c>
      <c r="G361" s="17">
        <f t="shared" si="80"/>
        <v>0.12223333333333333</v>
      </c>
      <c r="H361" s="8">
        <f t="shared" si="76"/>
        <v>196110</v>
      </c>
      <c r="I361" s="9">
        <f t="shared" si="79"/>
        <v>11</v>
      </c>
      <c r="L361" s="2">
        <f t="shared" si="70"/>
        <v>196110</v>
      </c>
      <c r="M361" s="2">
        <f t="shared" si="71"/>
        <v>709</v>
      </c>
      <c r="N361" s="15">
        <f t="shared" si="72"/>
        <v>1870.24471986853</v>
      </c>
      <c r="O361" s="15">
        <f t="shared" si="73"/>
        <v>4722.3165014696096</v>
      </c>
      <c r="P361" s="16">
        <f>SUM($H$3:H361)</f>
        <v>25345240</v>
      </c>
      <c r="Q361" s="2">
        <f>SUM($I$3:I361)</f>
        <v>1734</v>
      </c>
    </row>
    <row r="362" spans="1:17" x14ac:dyDescent="0.3">
      <c r="A362" s="7">
        <f t="shared" si="77"/>
        <v>360</v>
      </c>
      <c r="B362" s="2">
        <f t="shared" si="77"/>
        <v>710</v>
      </c>
      <c r="C362" s="14">
        <f t="shared" si="74"/>
        <v>1896.1237982345492</v>
      </c>
      <c r="D362" s="14">
        <f t="shared" si="75"/>
        <v>4751.4186098504997</v>
      </c>
      <c r="E362" s="2">
        <v>0.8</v>
      </c>
      <c r="F362" s="2">
        <f t="shared" si="78"/>
        <v>3.0000000000000004</v>
      </c>
      <c r="G362" s="17">
        <f t="shared" si="80"/>
        <v>0.12266666666666667</v>
      </c>
      <c r="H362" s="8">
        <f t="shared" si="76"/>
        <v>196900</v>
      </c>
      <c r="I362" s="9">
        <f t="shared" si="79"/>
        <v>11</v>
      </c>
      <c r="L362" s="2">
        <f t="shared" si="70"/>
        <v>196900</v>
      </c>
      <c r="M362" s="2">
        <f t="shared" si="71"/>
        <v>710</v>
      </c>
      <c r="N362" s="15">
        <f t="shared" si="72"/>
        <v>1896.1237982345492</v>
      </c>
      <c r="O362" s="15">
        <f t="shared" si="73"/>
        <v>4751.4186098504997</v>
      </c>
      <c r="P362" s="16">
        <f>SUM($H$3:H362)</f>
        <v>25542140</v>
      </c>
      <c r="Q362" s="2">
        <f>SUM($I$3:I362)</f>
        <v>1745</v>
      </c>
    </row>
    <row r="363" spans="1:17" x14ac:dyDescent="0.3">
      <c r="A363" s="7">
        <f t="shared" si="77"/>
        <v>361</v>
      </c>
      <c r="B363" s="2">
        <f t="shared" si="77"/>
        <v>711</v>
      </c>
      <c r="C363" s="14">
        <f t="shared" si="74"/>
        <v>1922.0892877343454</v>
      </c>
      <c r="D363" s="14">
        <f t="shared" si="75"/>
        <v>4780.715387674747</v>
      </c>
      <c r="E363" s="2">
        <v>0.8</v>
      </c>
      <c r="F363" s="2">
        <f t="shared" si="78"/>
        <v>3.0000000000000004</v>
      </c>
      <c r="G363" s="17">
        <f t="shared" si="80"/>
        <v>0.1231</v>
      </c>
      <c r="H363" s="8">
        <f t="shared" si="76"/>
        <v>197690</v>
      </c>
      <c r="I363" s="9">
        <f t="shared" si="79"/>
        <v>11</v>
      </c>
      <c r="L363" s="2">
        <f t="shared" si="70"/>
        <v>197690</v>
      </c>
      <c r="M363" s="2">
        <f t="shared" si="71"/>
        <v>711</v>
      </c>
      <c r="N363" s="15">
        <f t="shared" si="72"/>
        <v>1922.0892877343454</v>
      </c>
      <c r="O363" s="15">
        <f t="shared" si="73"/>
        <v>4780.715387674747</v>
      </c>
      <c r="P363" s="16">
        <f>SUM($H$3:H363)</f>
        <v>25739830</v>
      </c>
      <c r="Q363" s="2">
        <f>SUM($I$3:I363)</f>
        <v>1756</v>
      </c>
    </row>
    <row r="364" spans="1:17" x14ac:dyDescent="0.3">
      <c r="A364" s="7">
        <f t="shared" si="77"/>
        <v>362</v>
      </c>
      <c r="B364" s="2">
        <f t="shared" si="77"/>
        <v>712</v>
      </c>
      <c r="C364" s="14">
        <f t="shared" si="74"/>
        <v>1948.1400531445975</v>
      </c>
      <c r="D364" s="14">
        <f t="shared" si="75"/>
        <v>4810.2049136951537</v>
      </c>
      <c r="E364" s="2">
        <v>0.8</v>
      </c>
      <c r="F364" s="2">
        <f t="shared" si="78"/>
        <v>3.0000000000000004</v>
      </c>
      <c r="G364" s="17">
        <f t="shared" si="80"/>
        <v>0.12353333333333334</v>
      </c>
      <c r="H364" s="8">
        <f t="shared" si="76"/>
        <v>198480</v>
      </c>
      <c r="I364" s="9">
        <f t="shared" si="79"/>
        <v>11</v>
      </c>
      <c r="L364" s="2">
        <f t="shared" si="70"/>
        <v>198480</v>
      </c>
      <c r="M364" s="2">
        <f t="shared" si="71"/>
        <v>712</v>
      </c>
      <c r="N364" s="15">
        <f t="shared" si="72"/>
        <v>1948.1400531445975</v>
      </c>
      <c r="O364" s="15">
        <f t="shared" si="73"/>
        <v>4810.2049136951537</v>
      </c>
      <c r="P364" s="16">
        <f>SUM($H$3:H364)</f>
        <v>25938310</v>
      </c>
      <c r="Q364" s="2">
        <f>SUM($I$3:I364)</f>
        <v>1767</v>
      </c>
    </row>
    <row r="365" spans="1:17" x14ac:dyDescent="0.3">
      <c r="A365" s="7">
        <f t="shared" si="77"/>
        <v>363</v>
      </c>
      <c r="B365" s="2">
        <f t="shared" si="77"/>
        <v>713</v>
      </c>
      <c r="C365" s="14">
        <f t="shared" si="74"/>
        <v>1974.2749922578182</v>
      </c>
      <c r="D365" s="14">
        <f t="shared" si="75"/>
        <v>4839.8853164124193</v>
      </c>
      <c r="E365" s="2">
        <v>0.8</v>
      </c>
      <c r="F365" s="2">
        <f t="shared" si="78"/>
        <v>3.0000000000000004</v>
      </c>
      <c r="G365" s="17">
        <f t="shared" si="80"/>
        <v>0.12396666666666667</v>
      </c>
      <c r="H365" s="8">
        <f t="shared" si="76"/>
        <v>199270</v>
      </c>
      <c r="I365" s="9">
        <f t="shared" si="79"/>
        <v>11</v>
      </c>
      <c r="L365" s="2">
        <f t="shared" si="70"/>
        <v>199270</v>
      </c>
      <c r="M365" s="2">
        <f t="shared" si="71"/>
        <v>713</v>
      </c>
      <c r="N365" s="15">
        <f t="shared" si="72"/>
        <v>1974.2749922578182</v>
      </c>
      <c r="O365" s="15">
        <f t="shared" si="73"/>
        <v>4839.8853164124193</v>
      </c>
      <c r="P365" s="16">
        <f>SUM($H$3:H365)</f>
        <v>26137580</v>
      </c>
      <c r="Q365" s="2">
        <f>SUM($I$3:I365)</f>
        <v>1778</v>
      </c>
    </row>
    <row r="366" spans="1:17" x14ac:dyDescent="0.3">
      <c r="A366" s="7">
        <f t="shared" si="77"/>
        <v>364</v>
      </c>
      <c r="B366" s="2">
        <f t="shared" si="77"/>
        <v>714</v>
      </c>
      <c r="C366" s="14">
        <f t="shared" si="74"/>
        <v>2000.4930344123848</v>
      </c>
      <c r="D366" s="14">
        <f t="shared" si="75"/>
        <v>4869.7547720151242</v>
      </c>
      <c r="E366" s="2">
        <v>0.8</v>
      </c>
      <c r="F366" s="2">
        <f t="shared" si="78"/>
        <v>3.0000000000000004</v>
      </c>
      <c r="G366" s="17">
        <f t="shared" si="80"/>
        <v>0.12440000000000001</v>
      </c>
      <c r="H366" s="8">
        <f t="shared" si="76"/>
        <v>200060</v>
      </c>
      <c r="I366" s="9">
        <f t="shared" si="79"/>
        <v>11</v>
      </c>
      <c r="L366" s="2">
        <f t="shared" si="70"/>
        <v>200060</v>
      </c>
      <c r="M366" s="2">
        <f t="shared" si="71"/>
        <v>714</v>
      </c>
      <c r="N366" s="15">
        <f t="shared" si="72"/>
        <v>2000.4930344123848</v>
      </c>
      <c r="O366" s="15">
        <f t="shared" si="73"/>
        <v>4869.7547720151242</v>
      </c>
      <c r="P366" s="16">
        <f>SUM($H$3:H366)</f>
        <v>26337640</v>
      </c>
      <c r="Q366" s="2">
        <f>SUM($I$3:I366)</f>
        <v>1789</v>
      </c>
    </row>
    <row r="367" spans="1:17" x14ac:dyDescent="0.3">
      <c r="A367" s="7">
        <f t="shared" si="77"/>
        <v>365</v>
      </c>
      <c r="B367" s="2">
        <f t="shared" si="77"/>
        <v>715</v>
      </c>
      <c r="C367" s="14">
        <f t="shared" si="74"/>
        <v>2026.7931391099992</v>
      </c>
      <c r="D367" s="14">
        <f t="shared" si="75"/>
        <v>4899.8115024359849</v>
      </c>
      <c r="E367" s="2">
        <v>0.8</v>
      </c>
      <c r="F367" s="2">
        <f t="shared" si="78"/>
        <v>3.0000000000000004</v>
      </c>
      <c r="G367" s="17">
        <f t="shared" si="80"/>
        <v>0.12483333333333334</v>
      </c>
      <c r="H367" s="8">
        <f t="shared" si="76"/>
        <v>200850</v>
      </c>
      <c r="I367" s="9">
        <f t="shared" si="79"/>
        <v>11</v>
      </c>
      <c r="L367" s="2">
        <f t="shared" ref="L367:L430" si="81">H367</f>
        <v>200850</v>
      </c>
      <c r="M367" s="2">
        <f t="shared" ref="M367:M430" si="82">B367</f>
        <v>715</v>
      </c>
      <c r="N367" s="15">
        <f t="shared" ref="N367:N430" si="83">C367</f>
        <v>2026.7931391099992</v>
      </c>
      <c r="O367" s="15">
        <f t="shared" ref="O367:O430" si="84">D367</f>
        <v>4899.8115024359849</v>
      </c>
      <c r="P367" s="16">
        <f>SUM($H$3:H367)</f>
        <v>26538490</v>
      </c>
      <c r="Q367" s="2">
        <f>SUM($I$3:I367)</f>
        <v>1800</v>
      </c>
    </row>
    <row r="368" spans="1:17" x14ac:dyDescent="0.3">
      <c r="A368" s="7">
        <f t="shared" si="77"/>
        <v>366</v>
      </c>
      <c r="B368" s="2">
        <f t="shared" si="77"/>
        <v>716</v>
      </c>
      <c r="C368" s="14">
        <f t="shared" ref="C368:C431" si="85">9.525*(A368-300)^1.2 + 600</f>
        <v>2053.174294714132</v>
      </c>
      <c r="D368" s="14">
        <f t="shared" ref="D368:D431" si="86">4.055*(A368-300)^1.4 + 3500</f>
        <v>4930.0537735161188</v>
      </c>
      <c r="E368" s="2">
        <v>0.8</v>
      </c>
      <c r="F368" s="2">
        <f t="shared" si="78"/>
        <v>3.0000000000000004</v>
      </c>
      <c r="G368" s="17">
        <f t="shared" si="80"/>
        <v>0.12526666666666667</v>
      </c>
      <c r="H368" s="8">
        <f t="shared" ref="H368:H431" si="87">110000+(A368-250)*790</f>
        <v>201640</v>
      </c>
      <c r="I368" s="9">
        <f t="shared" si="79"/>
        <v>11</v>
      </c>
      <c r="L368" s="2">
        <f t="shared" si="81"/>
        <v>201640</v>
      </c>
      <c r="M368" s="2">
        <f t="shared" si="82"/>
        <v>716</v>
      </c>
      <c r="N368" s="15">
        <f t="shared" si="83"/>
        <v>2053.174294714132</v>
      </c>
      <c r="O368" s="15">
        <f t="shared" si="84"/>
        <v>4930.0537735161188</v>
      </c>
      <c r="P368" s="16">
        <f>SUM($H$3:H368)</f>
        <v>26740130</v>
      </c>
      <c r="Q368" s="2">
        <f>SUM($I$3:I368)</f>
        <v>1811</v>
      </c>
    </row>
    <row r="369" spans="1:17" x14ac:dyDescent="0.3">
      <c r="A369" s="7">
        <f t="shared" si="77"/>
        <v>367</v>
      </c>
      <c r="B369" s="2">
        <f t="shared" si="77"/>
        <v>717</v>
      </c>
      <c r="C369" s="14">
        <f t="shared" si="85"/>
        <v>2079.6355172235162</v>
      </c>
      <c r="D369" s="14">
        <f t="shared" si="86"/>
        <v>4960.4798932697704</v>
      </c>
      <c r="E369" s="2">
        <v>0.8</v>
      </c>
      <c r="F369" s="2">
        <f t="shared" si="78"/>
        <v>3.0000000000000004</v>
      </c>
      <c r="G369" s="17">
        <f t="shared" si="80"/>
        <v>0.12570000000000001</v>
      </c>
      <c r="H369" s="8">
        <f t="shared" si="87"/>
        <v>202430</v>
      </c>
      <c r="I369" s="9">
        <f t="shared" si="79"/>
        <v>11</v>
      </c>
      <c r="L369" s="2">
        <f t="shared" si="81"/>
        <v>202430</v>
      </c>
      <c r="M369" s="2">
        <f t="shared" si="82"/>
        <v>717</v>
      </c>
      <c r="N369" s="15">
        <f t="shared" si="83"/>
        <v>2079.6355172235162</v>
      </c>
      <c r="O369" s="15">
        <f t="shared" si="84"/>
        <v>4960.4798932697704</v>
      </c>
      <c r="P369" s="16">
        <f>SUM($H$3:H369)</f>
        <v>26942560</v>
      </c>
      <c r="Q369" s="2">
        <f>SUM($I$3:I369)</f>
        <v>1822</v>
      </c>
    </row>
    <row r="370" spans="1:17" x14ac:dyDescent="0.3">
      <c r="A370" s="7">
        <f t="shared" si="77"/>
        <v>368</v>
      </c>
      <c r="B370" s="2">
        <f t="shared" si="77"/>
        <v>718</v>
      </c>
      <c r="C370" s="14">
        <f t="shared" si="85"/>
        <v>2106.1758491153378</v>
      </c>
      <c r="D370" s="14">
        <f t="shared" si="86"/>
        <v>4991.088210242574</v>
      </c>
      <c r="E370" s="2">
        <v>0.8</v>
      </c>
      <c r="F370" s="2">
        <f t="shared" si="78"/>
        <v>3.0000000000000004</v>
      </c>
      <c r="G370" s="17">
        <f t="shared" si="80"/>
        <v>0.12613333333333335</v>
      </c>
      <c r="H370" s="8">
        <f t="shared" si="87"/>
        <v>203220</v>
      </c>
      <c r="I370" s="9">
        <f t="shared" si="79"/>
        <v>11</v>
      </c>
      <c r="L370" s="2">
        <f t="shared" si="81"/>
        <v>203220</v>
      </c>
      <c r="M370" s="2">
        <f t="shared" si="82"/>
        <v>718</v>
      </c>
      <c r="N370" s="15">
        <f t="shared" si="83"/>
        <v>2106.1758491153378</v>
      </c>
      <c r="O370" s="15">
        <f t="shared" si="84"/>
        <v>4991.088210242574</v>
      </c>
      <c r="P370" s="16">
        <f>SUM($H$3:H370)</f>
        <v>27145780</v>
      </c>
      <c r="Q370" s="2">
        <f>SUM($I$3:I370)</f>
        <v>1833</v>
      </c>
    </row>
    <row r="371" spans="1:17" x14ac:dyDescent="0.3">
      <c r="A371" s="7">
        <f t="shared" si="77"/>
        <v>369</v>
      </c>
      <c r="B371" s="2">
        <f t="shared" si="77"/>
        <v>719</v>
      </c>
      <c r="C371" s="14">
        <f t="shared" si="85"/>
        <v>2132.7943582531648</v>
      </c>
      <c r="D371" s="14">
        <f t="shared" si="86"/>
        <v>5021.8771119569928</v>
      </c>
      <c r="E371" s="2">
        <v>0.8</v>
      </c>
      <c r="F371" s="2">
        <f t="shared" si="78"/>
        <v>3.0000000000000004</v>
      </c>
      <c r="G371" s="17">
        <f t="shared" si="80"/>
        <v>0.12656666666666666</v>
      </c>
      <c r="H371" s="8">
        <f t="shared" si="87"/>
        <v>204010</v>
      </c>
      <c r="I371" s="9">
        <f t="shared" si="79"/>
        <v>11</v>
      </c>
      <c r="L371" s="2">
        <f t="shared" si="81"/>
        <v>204010</v>
      </c>
      <c r="M371" s="2">
        <f t="shared" si="82"/>
        <v>719</v>
      </c>
      <c r="N371" s="15">
        <f t="shared" si="83"/>
        <v>2132.7943582531648</v>
      </c>
      <c r="O371" s="15">
        <f t="shared" si="84"/>
        <v>5021.8771119569928</v>
      </c>
      <c r="P371" s="16">
        <f>SUM($H$3:H371)</f>
        <v>27349790</v>
      </c>
      <c r="Q371" s="2">
        <f>SUM($I$3:I371)</f>
        <v>1844</v>
      </c>
    </row>
    <row r="372" spans="1:17" x14ac:dyDescent="0.3">
      <c r="A372" s="7">
        <f t="shared" si="77"/>
        <v>370</v>
      </c>
      <c r="B372" s="2">
        <f t="shared" si="77"/>
        <v>720</v>
      </c>
      <c r="C372" s="14">
        <f t="shared" si="85"/>
        <v>2159.4901368551336</v>
      </c>
      <c r="D372" s="14">
        <f t="shared" si="86"/>
        <v>5052.8450234391457</v>
      </c>
      <c r="E372" s="2">
        <v>0.8</v>
      </c>
      <c r="F372" s="2">
        <f t="shared" si="78"/>
        <v>3.0000000000000004</v>
      </c>
      <c r="G372" s="17">
        <f t="shared" si="80"/>
        <v>0.127</v>
      </c>
      <c r="H372" s="8">
        <f t="shared" si="87"/>
        <v>204800</v>
      </c>
      <c r="I372" s="9">
        <f t="shared" si="79"/>
        <v>11</v>
      </c>
      <c r="L372" s="2">
        <f t="shared" si="81"/>
        <v>204800</v>
      </c>
      <c r="M372" s="2">
        <f t="shared" si="82"/>
        <v>720</v>
      </c>
      <c r="N372" s="15">
        <f t="shared" si="83"/>
        <v>2159.4901368551336</v>
      </c>
      <c r="O372" s="15">
        <f t="shared" si="84"/>
        <v>5052.8450234391457</v>
      </c>
      <c r="P372" s="16">
        <f>SUM($H$3:H372)</f>
        <v>27554590</v>
      </c>
      <c r="Q372" s="2">
        <f>SUM($I$3:I372)</f>
        <v>1855</v>
      </c>
    </row>
    <row r="373" spans="1:17" x14ac:dyDescent="0.3">
      <c r="A373" s="7">
        <f t="shared" si="77"/>
        <v>371</v>
      </c>
      <c r="B373" s="2">
        <f t="shared" si="77"/>
        <v>721</v>
      </c>
      <c r="C373" s="14">
        <f t="shared" si="85"/>
        <v>2186.2623005182213</v>
      </c>
      <c r="D373" s="14">
        <f t="shared" si="86"/>
        <v>5083.9904058215971</v>
      </c>
      <c r="E373" s="2">
        <v>0.8</v>
      </c>
      <c r="F373" s="2">
        <f t="shared" si="78"/>
        <v>3.0000000000000004</v>
      </c>
      <c r="G373" s="17">
        <f t="shared" si="80"/>
        <v>0.12743333333333334</v>
      </c>
      <c r="H373" s="8">
        <f t="shared" si="87"/>
        <v>205590</v>
      </c>
      <c r="I373" s="9">
        <f t="shared" si="79"/>
        <v>11</v>
      </c>
      <c r="L373" s="2">
        <f t="shared" si="81"/>
        <v>205590</v>
      </c>
      <c r="M373" s="2">
        <f t="shared" si="82"/>
        <v>721</v>
      </c>
      <c r="N373" s="15">
        <f t="shared" si="83"/>
        <v>2186.2623005182213</v>
      </c>
      <c r="O373" s="15">
        <f t="shared" si="84"/>
        <v>5083.9904058215971</v>
      </c>
      <c r="P373" s="16">
        <f>SUM($H$3:H373)</f>
        <v>27760180</v>
      </c>
      <c r="Q373" s="2">
        <f>SUM($I$3:I373)</f>
        <v>1866</v>
      </c>
    </row>
    <row r="374" spans="1:17" x14ac:dyDescent="0.3">
      <c r="A374" s="7">
        <f t="shared" si="77"/>
        <v>372</v>
      </c>
      <c r="B374" s="2">
        <f t="shared" si="77"/>
        <v>722</v>
      </c>
      <c r="C374" s="14">
        <f t="shared" si="85"/>
        <v>2213.1099872948416</v>
      </c>
      <c r="D374" s="14">
        <f t="shared" si="86"/>
        <v>5115.311755017231</v>
      </c>
      <c r="E374" s="2">
        <v>0.8</v>
      </c>
      <c r="F374" s="2">
        <f t="shared" si="78"/>
        <v>3.0000000000000004</v>
      </c>
      <c r="G374" s="17">
        <f t="shared" si="80"/>
        <v>0.12786666666666666</v>
      </c>
      <c r="H374" s="8">
        <f t="shared" si="87"/>
        <v>206380</v>
      </c>
      <c r="I374" s="9">
        <f t="shared" si="79"/>
        <v>11</v>
      </c>
      <c r="L374" s="2">
        <f t="shared" si="81"/>
        <v>206380</v>
      </c>
      <c r="M374" s="2">
        <f t="shared" si="82"/>
        <v>722</v>
      </c>
      <c r="N374" s="15">
        <f t="shared" si="83"/>
        <v>2213.1099872948416</v>
      </c>
      <c r="O374" s="15">
        <f t="shared" si="84"/>
        <v>5115.311755017231</v>
      </c>
      <c r="P374" s="16">
        <f>SUM($H$3:H374)</f>
        <v>27966560</v>
      </c>
      <c r="Q374" s="2">
        <f>SUM($I$3:I374)</f>
        <v>1877</v>
      </c>
    </row>
    <row r="375" spans="1:17" x14ac:dyDescent="0.3">
      <c r="A375" s="7">
        <f t="shared" si="77"/>
        <v>373</v>
      </c>
      <c r="B375" s="2">
        <f t="shared" si="77"/>
        <v>723</v>
      </c>
      <c r="C375" s="14">
        <f t="shared" si="85"/>
        <v>2240.0323568182394</v>
      </c>
      <c r="D375" s="14">
        <f t="shared" si="86"/>
        <v>5146.8076004596114</v>
      </c>
      <c r="E375" s="2">
        <v>0.8</v>
      </c>
      <c r="F375" s="2">
        <f t="shared" si="78"/>
        <v>3.0000000000000004</v>
      </c>
      <c r="G375" s="17">
        <f t="shared" si="80"/>
        <v>0.1283</v>
      </c>
      <c r="H375" s="8">
        <f t="shared" si="87"/>
        <v>207170</v>
      </c>
      <c r="I375" s="9">
        <f t="shared" si="79"/>
        <v>11</v>
      </c>
      <c r="L375" s="2">
        <f t="shared" si="81"/>
        <v>207170</v>
      </c>
      <c r="M375" s="2">
        <f t="shared" si="82"/>
        <v>723</v>
      </c>
      <c r="N375" s="15">
        <f t="shared" si="83"/>
        <v>2240.0323568182394</v>
      </c>
      <c r="O375" s="15">
        <f t="shared" si="84"/>
        <v>5146.8076004596114</v>
      </c>
      <c r="P375" s="16">
        <f>SUM($H$3:H375)</f>
        <v>28173730</v>
      </c>
      <c r="Q375" s="2">
        <f>SUM($I$3:I375)</f>
        <v>1888</v>
      </c>
    </row>
    <row r="376" spans="1:17" x14ac:dyDescent="0.3">
      <c r="A376" s="7">
        <f t="shared" si="77"/>
        <v>374</v>
      </c>
      <c r="B376" s="2">
        <f t="shared" si="77"/>
        <v>724</v>
      </c>
      <c r="C376" s="14">
        <f t="shared" si="85"/>
        <v>2267.0285894734825</v>
      </c>
      <c r="D376" s="14">
        <f t="shared" si="86"/>
        <v>5178.4765039056538</v>
      </c>
      <c r="E376" s="2">
        <v>0.8</v>
      </c>
      <c r="F376" s="2">
        <f t="shared" si="78"/>
        <v>3.0000000000000004</v>
      </c>
      <c r="G376" s="17">
        <f t="shared" si="80"/>
        <v>0.12873333333333334</v>
      </c>
      <c r="H376" s="8">
        <f t="shared" si="87"/>
        <v>207960</v>
      </c>
      <c r="I376" s="9">
        <f t="shared" si="79"/>
        <v>11</v>
      </c>
      <c r="L376" s="2">
        <f t="shared" si="81"/>
        <v>207960</v>
      </c>
      <c r="M376" s="2">
        <f t="shared" si="82"/>
        <v>724</v>
      </c>
      <c r="N376" s="15">
        <f t="shared" si="83"/>
        <v>2267.0285894734825</v>
      </c>
      <c r="O376" s="15">
        <f t="shared" si="84"/>
        <v>5178.4765039056538</v>
      </c>
      <c r="P376" s="16">
        <f>SUM($H$3:H376)</f>
        <v>28381690</v>
      </c>
      <c r="Q376" s="2">
        <f>SUM($I$3:I376)</f>
        <v>1899</v>
      </c>
    </row>
    <row r="377" spans="1:17" x14ac:dyDescent="0.3">
      <c r="A377" s="7">
        <f t="shared" si="77"/>
        <v>375</v>
      </c>
      <c r="B377" s="2">
        <f t="shared" si="77"/>
        <v>725</v>
      </c>
      <c r="C377" s="14">
        <f t="shared" si="85"/>
        <v>2294.0978856110942</v>
      </c>
      <c r="D377" s="14">
        <f t="shared" si="86"/>
        <v>5210.3170582966968</v>
      </c>
      <c r="E377" s="2">
        <v>0.8</v>
      </c>
      <c r="F377" s="2">
        <f t="shared" si="78"/>
        <v>3.0000000000000004</v>
      </c>
      <c r="G377" s="17">
        <f t="shared" si="80"/>
        <v>0.12916666666666668</v>
      </c>
      <c r="H377" s="8">
        <f t="shared" si="87"/>
        <v>208750</v>
      </c>
      <c r="I377" s="9">
        <f t="shared" si="79"/>
        <v>12</v>
      </c>
      <c r="L377" s="2">
        <f t="shared" si="81"/>
        <v>208750</v>
      </c>
      <c r="M377" s="2">
        <f t="shared" si="82"/>
        <v>725</v>
      </c>
      <c r="N377" s="15">
        <f t="shared" si="83"/>
        <v>2294.0978856110942</v>
      </c>
      <c r="O377" s="15">
        <f t="shared" si="84"/>
        <v>5210.3170582966968</v>
      </c>
      <c r="P377" s="16">
        <f>SUM($H$3:H377)</f>
        <v>28590440</v>
      </c>
      <c r="Q377" s="2">
        <f>SUM($I$3:I377)</f>
        <v>1911</v>
      </c>
    </row>
    <row r="378" spans="1:17" x14ac:dyDescent="0.3">
      <c r="A378" s="7">
        <f t="shared" si="77"/>
        <v>376</v>
      </c>
      <c r="B378" s="2">
        <f t="shared" si="77"/>
        <v>726</v>
      </c>
      <c r="C378" s="14">
        <f t="shared" si="85"/>
        <v>2321.2394648005984</v>
      </c>
      <c r="D378" s="14">
        <f t="shared" si="86"/>
        <v>5242.3278866744313</v>
      </c>
      <c r="E378" s="2">
        <v>0.8</v>
      </c>
      <c r="F378" s="2">
        <f t="shared" si="78"/>
        <v>3.0000000000000004</v>
      </c>
      <c r="G378" s="17">
        <f t="shared" si="80"/>
        <v>0.12959999999999999</v>
      </c>
      <c r="H378" s="8">
        <f t="shared" si="87"/>
        <v>209540</v>
      </c>
      <c r="I378" s="9">
        <f t="shared" si="79"/>
        <v>12</v>
      </c>
      <c r="L378" s="2">
        <f t="shared" si="81"/>
        <v>209540</v>
      </c>
      <c r="M378" s="2">
        <f t="shared" si="82"/>
        <v>726</v>
      </c>
      <c r="N378" s="15">
        <f t="shared" si="83"/>
        <v>2321.2394648005984</v>
      </c>
      <c r="O378" s="15">
        <f t="shared" si="84"/>
        <v>5242.3278866744313</v>
      </c>
      <c r="P378" s="16">
        <f>SUM($H$3:H378)</f>
        <v>28799980</v>
      </c>
      <c r="Q378" s="2">
        <f>SUM($I$3:I378)</f>
        <v>1923</v>
      </c>
    </row>
    <row r="379" spans="1:17" x14ac:dyDescent="0.3">
      <c r="A379" s="7">
        <f t="shared" si="77"/>
        <v>377</v>
      </c>
      <c r="B379" s="2">
        <f t="shared" si="77"/>
        <v>727</v>
      </c>
      <c r="C379" s="14">
        <f t="shared" si="85"/>
        <v>2348.4525651214099</v>
      </c>
      <c r="D379" s="14">
        <f t="shared" si="86"/>
        <v>5274.5076411482823</v>
      </c>
      <c r="E379" s="2">
        <v>0.8</v>
      </c>
      <c r="F379" s="2">
        <f t="shared" si="78"/>
        <v>3.0000000000000004</v>
      </c>
      <c r="G379" s="17">
        <f t="shared" si="80"/>
        <v>0.13003333333333333</v>
      </c>
      <c r="H379" s="8">
        <f t="shared" si="87"/>
        <v>210330</v>
      </c>
      <c r="I379" s="9">
        <f t="shared" si="79"/>
        <v>12</v>
      </c>
      <c r="L379" s="2">
        <f t="shared" si="81"/>
        <v>210330</v>
      </c>
      <c r="M379" s="2">
        <f t="shared" si="82"/>
        <v>727</v>
      </c>
      <c r="N379" s="15">
        <f t="shared" si="83"/>
        <v>2348.4525651214099</v>
      </c>
      <c r="O379" s="15">
        <f t="shared" si="84"/>
        <v>5274.5076411482823</v>
      </c>
      <c r="P379" s="16">
        <f>SUM($H$3:H379)</f>
        <v>29010310</v>
      </c>
      <c r="Q379" s="2">
        <f>SUM($I$3:I379)</f>
        <v>1935</v>
      </c>
    </row>
    <row r="380" spans="1:17" x14ac:dyDescent="0.3">
      <c r="A380" s="7">
        <f t="shared" si="77"/>
        <v>378</v>
      </c>
      <c r="B380" s="2">
        <f t="shared" si="77"/>
        <v>728</v>
      </c>
      <c r="C380" s="14">
        <f t="shared" si="85"/>
        <v>2375.7364424888074</v>
      </c>
      <c r="D380" s="14">
        <f t="shared" si="86"/>
        <v>5306.8550019112317</v>
      </c>
      <c r="E380" s="2">
        <v>0.8</v>
      </c>
      <c r="F380" s="2">
        <f t="shared" si="78"/>
        <v>3.0000000000000004</v>
      </c>
      <c r="G380" s="17">
        <f t="shared" si="80"/>
        <v>0.13046666666666668</v>
      </c>
      <c r="H380" s="8">
        <f t="shared" si="87"/>
        <v>211120</v>
      </c>
      <c r="I380" s="9">
        <f t="shared" si="79"/>
        <v>12</v>
      </c>
      <c r="L380" s="2">
        <f t="shared" si="81"/>
        <v>211120</v>
      </c>
      <c r="M380" s="2">
        <f t="shared" si="82"/>
        <v>728</v>
      </c>
      <c r="N380" s="15">
        <f t="shared" si="83"/>
        <v>2375.7364424888074</v>
      </c>
      <c r="O380" s="15">
        <f t="shared" si="84"/>
        <v>5306.8550019112317</v>
      </c>
      <c r="P380" s="16">
        <f>SUM($H$3:H380)</f>
        <v>29221430</v>
      </c>
      <c r="Q380" s="2">
        <f>SUM($I$3:I380)</f>
        <v>1947</v>
      </c>
    </row>
    <row r="381" spans="1:17" x14ac:dyDescent="0.3">
      <c r="A381" s="7">
        <f t="shared" si="77"/>
        <v>379</v>
      </c>
      <c r="B381" s="2">
        <f t="shared" si="77"/>
        <v>729</v>
      </c>
      <c r="C381" s="14">
        <f t="shared" si="85"/>
        <v>2403.0903700127687</v>
      </c>
      <c r="D381" s="14">
        <f t="shared" si="86"/>
        <v>5339.3686763011819</v>
      </c>
      <c r="E381" s="2">
        <v>0.8</v>
      </c>
      <c r="F381" s="2">
        <f t="shared" si="78"/>
        <v>3.0000000000000004</v>
      </c>
      <c r="G381" s="17">
        <f t="shared" si="80"/>
        <v>0.13090000000000002</v>
      </c>
      <c r="H381" s="8">
        <f t="shared" si="87"/>
        <v>211910</v>
      </c>
      <c r="I381" s="9">
        <f t="shared" si="79"/>
        <v>12</v>
      </c>
      <c r="L381" s="2">
        <f t="shared" si="81"/>
        <v>211910</v>
      </c>
      <c r="M381" s="2">
        <f t="shared" si="82"/>
        <v>729</v>
      </c>
      <c r="N381" s="15">
        <f t="shared" si="83"/>
        <v>2403.0903700127687</v>
      </c>
      <c r="O381" s="15">
        <f t="shared" si="84"/>
        <v>5339.3686763011819</v>
      </c>
      <c r="P381" s="16">
        <f>SUM($H$3:H381)</f>
        <v>29433340</v>
      </c>
      <c r="Q381" s="2">
        <f>SUM($I$3:I381)</f>
        <v>1959</v>
      </c>
    </row>
    <row r="382" spans="1:17" x14ac:dyDescent="0.3">
      <c r="A382" s="7">
        <f t="shared" si="77"/>
        <v>380</v>
      </c>
      <c r="B382" s="2">
        <f t="shared" si="77"/>
        <v>730</v>
      </c>
      <c r="C382" s="14">
        <f t="shared" si="85"/>
        <v>2430.5136373877003</v>
      </c>
      <c r="D382" s="14">
        <f t="shared" si="86"/>
        <v>5372.0473979051985</v>
      </c>
      <c r="E382" s="2">
        <v>0.8</v>
      </c>
      <c r="F382" s="2">
        <f t="shared" si="78"/>
        <v>3.2000000000000006</v>
      </c>
      <c r="G382" s="17">
        <f t="shared" si="80"/>
        <v>0.13133333333333333</v>
      </c>
      <c r="H382" s="8">
        <f t="shared" si="87"/>
        <v>212700</v>
      </c>
      <c r="I382" s="9">
        <f t="shared" si="79"/>
        <v>12</v>
      </c>
      <c r="L382" s="2">
        <f t="shared" si="81"/>
        <v>212700</v>
      </c>
      <c r="M382" s="2">
        <f t="shared" si="82"/>
        <v>730</v>
      </c>
      <c r="N382" s="15">
        <f t="shared" si="83"/>
        <v>2430.5136373877003</v>
      </c>
      <c r="O382" s="15">
        <f t="shared" si="84"/>
        <v>5372.0473979051985</v>
      </c>
      <c r="P382" s="16">
        <f>SUM($H$3:H382)</f>
        <v>29646040</v>
      </c>
      <c r="Q382" s="2">
        <f>SUM($I$3:I382)</f>
        <v>1971</v>
      </c>
    </row>
    <row r="383" spans="1:17" x14ac:dyDescent="0.3">
      <c r="A383" s="7">
        <f t="shared" si="77"/>
        <v>381</v>
      </c>
      <c r="B383" s="2">
        <f t="shared" si="77"/>
        <v>731</v>
      </c>
      <c r="C383" s="14">
        <f t="shared" si="85"/>
        <v>2458.0055503111862</v>
      </c>
      <c r="D383" s="14">
        <f t="shared" si="86"/>
        <v>5404.8899257041858</v>
      </c>
      <c r="E383" s="2">
        <v>0.8</v>
      </c>
      <c r="F383" s="2">
        <f t="shared" si="78"/>
        <v>3.2000000000000006</v>
      </c>
      <c r="G383" s="17">
        <f t="shared" si="80"/>
        <v>0.13176666666666667</v>
      </c>
      <c r="H383" s="8">
        <f t="shared" si="87"/>
        <v>213490</v>
      </c>
      <c r="I383" s="9">
        <f t="shared" si="79"/>
        <v>12</v>
      </c>
      <c r="L383" s="2">
        <f t="shared" si="81"/>
        <v>213490</v>
      </c>
      <c r="M383" s="2">
        <f t="shared" si="82"/>
        <v>731</v>
      </c>
      <c r="N383" s="15">
        <f t="shared" si="83"/>
        <v>2458.0055503111862</v>
      </c>
      <c r="O383" s="15">
        <f t="shared" si="84"/>
        <v>5404.8899257041858</v>
      </c>
      <c r="P383" s="16">
        <f>SUM($H$3:H383)</f>
        <v>29859530</v>
      </c>
      <c r="Q383" s="2">
        <f>SUM($I$3:I383)</f>
        <v>1983</v>
      </c>
    </row>
    <row r="384" spans="1:17" x14ac:dyDescent="0.3">
      <c r="A384" s="7">
        <f t="shared" si="77"/>
        <v>382</v>
      </c>
      <c r="B384" s="2">
        <f t="shared" si="77"/>
        <v>732</v>
      </c>
      <c r="C384" s="14">
        <f t="shared" si="85"/>
        <v>2485.5654299300481</v>
      </c>
      <c r="D384" s="14">
        <f t="shared" si="86"/>
        <v>5437.8950432556539</v>
      </c>
      <c r="E384" s="2">
        <v>0.8</v>
      </c>
      <c r="F384" s="2">
        <f t="shared" si="78"/>
        <v>3.2000000000000006</v>
      </c>
      <c r="G384" s="17">
        <f t="shared" si="80"/>
        <v>0.13220000000000001</v>
      </c>
      <c r="H384" s="8">
        <f t="shared" si="87"/>
        <v>214280</v>
      </c>
      <c r="I384" s="9">
        <f t="shared" si="79"/>
        <v>12</v>
      </c>
      <c r="L384" s="2">
        <f t="shared" si="81"/>
        <v>214280</v>
      </c>
      <c r="M384" s="2">
        <f t="shared" si="82"/>
        <v>732</v>
      </c>
      <c r="N384" s="15">
        <f t="shared" si="83"/>
        <v>2485.5654299300481</v>
      </c>
      <c r="O384" s="15">
        <f t="shared" si="84"/>
        <v>5437.8950432556539</v>
      </c>
      <c r="P384" s="16">
        <f>SUM($H$3:H384)</f>
        <v>30073810</v>
      </c>
      <c r="Q384" s="2">
        <f>SUM($I$3:I384)</f>
        <v>1995</v>
      </c>
    </row>
    <row r="385" spans="1:17" x14ac:dyDescent="0.3">
      <c r="A385" s="7">
        <f t="shared" si="77"/>
        <v>383</v>
      </c>
      <c r="B385" s="2">
        <f t="shared" si="77"/>
        <v>733</v>
      </c>
      <c r="C385" s="14">
        <f t="shared" si="85"/>
        <v>2513.192612312117</v>
      </c>
      <c r="D385" s="14">
        <f t="shared" si="86"/>
        <v>5471.0615579124815</v>
      </c>
      <c r="E385" s="2">
        <v>0.8</v>
      </c>
      <c r="F385" s="2">
        <f t="shared" si="78"/>
        <v>3.2000000000000006</v>
      </c>
      <c r="G385" s="17">
        <f t="shared" si="80"/>
        <v>0.13263333333333335</v>
      </c>
      <c r="H385" s="8">
        <f t="shared" si="87"/>
        <v>215070</v>
      </c>
      <c r="I385" s="9">
        <f t="shared" si="79"/>
        <v>12</v>
      </c>
      <c r="L385" s="2">
        <f t="shared" si="81"/>
        <v>215070</v>
      </c>
      <c r="M385" s="2">
        <f t="shared" si="82"/>
        <v>733</v>
      </c>
      <c r="N385" s="15">
        <f t="shared" si="83"/>
        <v>2513.192612312117</v>
      </c>
      <c r="O385" s="15">
        <f t="shared" si="84"/>
        <v>5471.0615579124815</v>
      </c>
      <c r="P385" s="16">
        <f>SUM($H$3:H385)</f>
        <v>30288880</v>
      </c>
      <c r="Q385" s="2">
        <f>SUM($I$3:I385)</f>
        <v>2007</v>
      </c>
    </row>
    <row r="386" spans="1:17" x14ac:dyDescent="0.3">
      <c r="A386" s="7">
        <f t="shared" si="77"/>
        <v>384</v>
      </c>
      <c r="B386" s="2">
        <f t="shared" si="77"/>
        <v>734</v>
      </c>
      <c r="C386" s="14">
        <f t="shared" si="85"/>
        <v>2540.8864479422045</v>
      </c>
      <c r="D386" s="14">
        <f t="shared" si="86"/>
        <v>5504.3883000756323</v>
      </c>
      <c r="E386" s="2">
        <v>0.8</v>
      </c>
      <c r="F386" s="2">
        <f t="shared" si="78"/>
        <v>3.2000000000000006</v>
      </c>
      <c r="G386" s="17">
        <f t="shared" si="80"/>
        <v>0.13306666666666667</v>
      </c>
      <c r="H386" s="8">
        <f t="shared" si="87"/>
        <v>215860</v>
      </c>
      <c r="I386" s="9">
        <f t="shared" si="79"/>
        <v>12</v>
      </c>
      <c r="L386" s="2">
        <f t="shared" si="81"/>
        <v>215860</v>
      </c>
      <c r="M386" s="2">
        <f t="shared" si="82"/>
        <v>734</v>
      </c>
      <c r="N386" s="15">
        <f t="shared" si="83"/>
        <v>2540.8864479422045</v>
      </c>
      <c r="O386" s="15">
        <f t="shared" si="84"/>
        <v>5504.3883000756323</v>
      </c>
      <c r="P386" s="16">
        <f>SUM($H$3:H386)</f>
        <v>30504740</v>
      </c>
      <c r="Q386" s="2">
        <f>SUM($I$3:I386)</f>
        <v>2019</v>
      </c>
    </row>
    <row r="387" spans="1:17" x14ac:dyDescent="0.3">
      <c r="A387" s="7">
        <f t="shared" si="77"/>
        <v>385</v>
      </c>
      <c r="B387" s="2">
        <f t="shared" si="77"/>
        <v>735</v>
      </c>
      <c r="C387" s="14">
        <f t="shared" si="85"/>
        <v>2568.6463012409295</v>
      </c>
      <c r="D387" s="14">
        <f t="shared" si="86"/>
        <v>5537.8741224789883</v>
      </c>
      <c r="E387" s="2">
        <v>0.8</v>
      </c>
      <c r="F387" s="2">
        <f t="shared" si="78"/>
        <v>3.2000000000000006</v>
      </c>
      <c r="G387" s="17">
        <f t="shared" si="80"/>
        <v>0.13350000000000001</v>
      </c>
      <c r="H387" s="8">
        <f t="shared" si="87"/>
        <v>216650</v>
      </c>
      <c r="I387" s="9">
        <f t="shared" si="79"/>
        <v>12</v>
      </c>
      <c r="L387" s="2">
        <f t="shared" si="81"/>
        <v>216650</v>
      </c>
      <c r="M387" s="2">
        <f t="shared" si="82"/>
        <v>735</v>
      </c>
      <c r="N387" s="15">
        <f t="shared" si="83"/>
        <v>2568.6463012409295</v>
      </c>
      <c r="O387" s="15">
        <f t="shared" si="84"/>
        <v>5537.8741224789883</v>
      </c>
      <c r="P387" s="16">
        <f>SUM($H$3:H387)</f>
        <v>30721390</v>
      </c>
      <c r="Q387" s="2">
        <f>SUM($I$3:I387)</f>
        <v>2031</v>
      </c>
    </row>
    <row r="388" spans="1:17" x14ac:dyDescent="0.3">
      <c r="A388" s="7">
        <f t="shared" si="77"/>
        <v>386</v>
      </c>
      <c r="B388" s="2">
        <f t="shared" si="77"/>
        <v>736</v>
      </c>
      <c r="C388" s="14">
        <f t="shared" si="85"/>
        <v>2596.4715501050518</v>
      </c>
      <c r="D388" s="14">
        <f t="shared" si="86"/>
        <v>5571.517899504538</v>
      </c>
      <c r="E388" s="2">
        <v>0.8</v>
      </c>
      <c r="F388" s="2">
        <f t="shared" si="78"/>
        <v>3.2000000000000006</v>
      </c>
      <c r="G388" s="17">
        <f t="shared" si="80"/>
        <v>0.13393333333333335</v>
      </c>
      <c r="H388" s="8">
        <f t="shared" si="87"/>
        <v>217440</v>
      </c>
      <c r="I388" s="9">
        <f t="shared" si="79"/>
        <v>12</v>
      </c>
      <c r="L388" s="2">
        <f t="shared" si="81"/>
        <v>217440</v>
      </c>
      <c r="M388" s="2">
        <f t="shared" si="82"/>
        <v>736</v>
      </c>
      <c r="N388" s="15">
        <f t="shared" si="83"/>
        <v>2596.4715501050518</v>
      </c>
      <c r="O388" s="15">
        <f t="shared" si="84"/>
        <v>5571.517899504538</v>
      </c>
      <c r="P388" s="16">
        <f>SUM($H$3:H388)</f>
        <v>30938830</v>
      </c>
      <c r="Q388" s="2">
        <f>SUM($I$3:I388)</f>
        <v>2043</v>
      </c>
    </row>
    <row r="389" spans="1:17" x14ac:dyDescent="0.3">
      <c r="A389" s="7">
        <f t="shared" ref="A389:B452" si="88">A388+1</f>
        <v>387</v>
      </c>
      <c r="B389" s="2">
        <f t="shared" si="88"/>
        <v>737</v>
      </c>
      <c r="C389" s="14">
        <f t="shared" si="85"/>
        <v>2624.3615854681857</v>
      </c>
      <c r="D389" s="14">
        <f t="shared" si="86"/>
        <v>5605.3185265263191</v>
      </c>
      <c r="E389" s="2">
        <v>0.8</v>
      </c>
      <c r="F389" s="2">
        <f t="shared" si="78"/>
        <v>3.2000000000000006</v>
      </c>
      <c r="G389" s="17">
        <f t="shared" si="80"/>
        <v>0.13436666666666669</v>
      </c>
      <c r="H389" s="8">
        <f t="shared" si="87"/>
        <v>218230</v>
      </c>
      <c r="I389" s="9">
        <f t="shared" si="79"/>
        <v>12</v>
      </c>
      <c r="L389" s="2">
        <f t="shared" si="81"/>
        <v>218230</v>
      </c>
      <c r="M389" s="2">
        <f t="shared" si="82"/>
        <v>737</v>
      </c>
      <c r="N389" s="15">
        <f t="shared" si="83"/>
        <v>2624.3615854681857</v>
      </c>
      <c r="O389" s="15">
        <f t="shared" si="84"/>
        <v>5605.3185265263191</v>
      </c>
      <c r="P389" s="16">
        <f>SUM($H$3:H389)</f>
        <v>31157060</v>
      </c>
      <c r="Q389" s="2">
        <f>SUM($I$3:I389)</f>
        <v>2055</v>
      </c>
    </row>
    <row r="390" spans="1:17" x14ac:dyDescent="0.3">
      <c r="A390" s="7">
        <f t="shared" si="88"/>
        <v>388</v>
      </c>
      <c r="B390" s="2">
        <f t="shared" si="88"/>
        <v>738</v>
      </c>
      <c r="C390" s="14">
        <f t="shared" si="85"/>
        <v>2652.3158108806715</v>
      </c>
      <c r="D390" s="14">
        <f t="shared" si="86"/>
        <v>5639.2749192815518</v>
      </c>
      <c r="E390" s="2">
        <v>0.8</v>
      </c>
      <c r="F390" s="2">
        <f t="shared" si="78"/>
        <v>3.2000000000000006</v>
      </c>
      <c r="G390" s="17">
        <f t="shared" si="80"/>
        <v>0.1348</v>
      </c>
      <c r="H390" s="8">
        <f t="shared" si="87"/>
        <v>219020</v>
      </c>
      <c r="I390" s="9">
        <f t="shared" si="79"/>
        <v>12</v>
      </c>
      <c r="L390" s="2">
        <f t="shared" si="81"/>
        <v>219020</v>
      </c>
      <c r="M390" s="2">
        <f t="shared" si="82"/>
        <v>738</v>
      </c>
      <c r="N390" s="15">
        <f t="shared" si="83"/>
        <v>2652.3158108806715</v>
      </c>
      <c r="O390" s="15">
        <f t="shared" si="84"/>
        <v>5639.2749192815518</v>
      </c>
      <c r="P390" s="16">
        <f>SUM($H$3:H390)</f>
        <v>31376080</v>
      </c>
      <c r="Q390" s="2">
        <f>SUM($I$3:I390)</f>
        <v>2067</v>
      </c>
    </row>
    <row r="391" spans="1:17" x14ac:dyDescent="0.3">
      <c r="A391" s="7">
        <f t="shared" si="88"/>
        <v>389</v>
      </c>
      <c r="B391" s="2">
        <f t="shared" si="88"/>
        <v>739</v>
      </c>
      <c r="C391" s="14">
        <f t="shared" si="85"/>
        <v>2680.333642107661</v>
      </c>
      <c r="D391" s="14">
        <f t="shared" si="86"/>
        <v>5673.3860132675782</v>
      </c>
      <c r="E391" s="2">
        <v>0.8</v>
      </c>
      <c r="F391" s="2">
        <f t="shared" si="78"/>
        <v>3.2000000000000006</v>
      </c>
      <c r="G391" s="17">
        <f t="shared" si="80"/>
        <v>0.13523333333333334</v>
      </c>
      <c r="H391" s="8">
        <f t="shared" si="87"/>
        <v>219810</v>
      </c>
      <c r="I391" s="9">
        <f t="shared" si="79"/>
        <v>12</v>
      </c>
      <c r="L391" s="2">
        <f t="shared" si="81"/>
        <v>219810</v>
      </c>
      <c r="M391" s="2">
        <f t="shared" si="82"/>
        <v>739</v>
      </c>
      <c r="N391" s="15">
        <f t="shared" si="83"/>
        <v>2680.333642107661</v>
      </c>
      <c r="O391" s="15">
        <f t="shared" si="84"/>
        <v>5673.3860132675782</v>
      </c>
      <c r="P391" s="16">
        <f>SUM($H$3:H391)</f>
        <v>31595890</v>
      </c>
      <c r="Q391" s="2">
        <f>SUM($I$3:I391)</f>
        <v>2079</v>
      </c>
    </row>
    <row r="392" spans="1:17" x14ac:dyDescent="0.3">
      <c r="A392" s="7">
        <f t="shared" si="88"/>
        <v>390</v>
      </c>
      <c r="B392" s="2">
        <f t="shared" si="88"/>
        <v>740</v>
      </c>
      <c r="C392" s="14">
        <f t="shared" si="85"/>
        <v>2708.4145067443669</v>
      </c>
      <c r="D392" s="14">
        <f t="shared" si="86"/>
        <v>5707.6507631632439</v>
      </c>
      <c r="E392" s="2">
        <v>0.8</v>
      </c>
      <c r="F392" s="2">
        <f t="shared" si="78"/>
        <v>3.2000000000000006</v>
      </c>
      <c r="G392" s="17">
        <f t="shared" si="80"/>
        <v>0.13566666666666669</v>
      </c>
      <c r="H392" s="8">
        <f t="shared" si="87"/>
        <v>220600</v>
      </c>
      <c r="I392" s="9">
        <f t="shared" si="79"/>
        <v>12</v>
      </c>
      <c r="L392" s="2">
        <f t="shared" si="81"/>
        <v>220600</v>
      </c>
      <c r="M392" s="2">
        <f t="shared" si="82"/>
        <v>740</v>
      </c>
      <c r="N392" s="15">
        <f t="shared" si="83"/>
        <v>2708.4145067443669</v>
      </c>
      <c r="O392" s="15">
        <f t="shared" si="84"/>
        <v>5707.6507631632439</v>
      </c>
      <c r="P392" s="16">
        <f>SUM($H$3:H392)</f>
        <v>31816490</v>
      </c>
      <c r="Q392" s="2">
        <f>SUM($I$3:I392)</f>
        <v>2091</v>
      </c>
    </row>
    <row r="393" spans="1:17" x14ac:dyDescent="0.3">
      <c r="A393" s="7">
        <f t="shared" si="88"/>
        <v>391</v>
      </c>
      <c r="B393" s="2">
        <f t="shared" si="88"/>
        <v>741</v>
      </c>
      <c r="C393" s="14">
        <f t="shared" si="85"/>
        <v>2736.5578438475559</v>
      </c>
      <c r="D393" s="14">
        <f t="shared" si="86"/>
        <v>5742.0681422734851</v>
      </c>
      <c r="E393" s="2">
        <v>0.8</v>
      </c>
      <c r="F393" s="2">
        <f t="shared" si="78"/>
        <v>3.2000000000000006</v>
      </c>
      <c r="G393" s="17">
        <f t="shared" si="80"/>
        <v>0.13610000000000003</v>
      </c>
      <c r="H393" s="8">
        <f t="shared" si="87"/>
        <v>221390</v>
      </c>
      <c r="I393" s="9">
        <f t="shared" si="79"/>
        <v>12</v>
      </c>
      <c r="L393" s="2">
        <f t="shared" si="81"/>
        <v>221390</v>
      </c>
      <c r="M393" s="2">
        <f t="shared" si="82"/>
        <v>741</v>
      </c>
      <c r="N393" s="15">
        <f t="shared" si="83"/>
        <v>2736.5578438475559</v>
      </c>
      <c r="O393" s="15">
        <f t="shared" si="84"/>
        <v>5742.0681422734851</v>
      </c>
      <c r="P393" s="16">
        <f>SUM($H$3:H393)</f>
        <v>32037880</v>
      </c>
      <c r="Q393" s="2">
        <f>SUM($I$3:I393)</f>
        <v>2103</v>
      </c>
    </row>
    <row r="394" spans="1:17" x14ac:dyDescent="0.3">
      <c r="A394" s="7">
        <f t="shared" si="88"/>
        <v>392</v>
      </c>
      <c r="B394" s="2">
        <f t="shared" si="88"/>
        <v>742</v>
      </c>
      <c r="C394" s="14">
        <f t="shared" si="85"/>
        <v>2764.7631035824888</v>
      </c>
      <c r="D394" s="14">
        <f t="shared" si="86"/>
        <v>5776.6371419959323</v>
      </c>
      <c r="E394" s="2">
        <v>0.8</v>
      </c>
      <c r="F394" s="2">
        <f t="shared" si="78"/>
        <v>3.2000000000000006</v>
      </c>
      <c r="G394" s="17">
        <f t="shared" si="80"/>
        <v>0.13653333333333334</v>
      </c>
      <c r="H394" s="8">
        <f t="shared" si="87"/>
        <v>222180</v>
      </c>
      <c r="I394" s="9">
        <f t="shared" si="79"/>
        <v>12</v>
      </c>
      <c r="L394" s="2">
        <f t="shared" si="81"/>
        <v>222180</v>
      </c>
      <c r="M394" s="2">
        <f t="shared" si="82"/>
        <v>742</v>
      </c>
      <c r="N394" s="15">
        <f t="shared" si="83"/>
        <v>2764.7631035824888</v>
      </c>
      <c r="O394" s="15">
        <f t="shared" si="84"/>
        <v>5776.6371419959323</v>
      </c>
      <c r="P394" s="16">
        <f>SUM($H$3:H394)</f>
        <v>32260060</v>
      </c>
      <c r="Q394" s="2">
        <f>SUM($I$3:I394)</f>
        <v>2115</v>
      </c>
    </row>
    <row r="395" spans="1:17" x14ac:dyDescent="0.3">
      <c r="A395" s="7">
        <f t="shared" si="88"/>
        <v>393</v>
      </c>
      <c r="B395" s="2">
        <f t="shared" si="88"/>
        <v>743</v>
      </c>
      <c r="C395" s="14">
        <f t="shared" si="85"/>
        <v>2793.0297468844215</v>
      </c>
      <c r="D395" s="14">
        <f t="shared" si="86"/>
        <v>5811.3567713084331</v>
      </c>
      <c r="E395" s="2">
        <v>0.8</v>
      </c>
      <c r="F395" s="2">
        <f t="shared" ref="F395:F458" si="89">F375+0.2</f>
        <v>3.2000000000000006</v>
      </c>
      <c r="G395" s="17">
        <f t="shared" si="80"/>
        <v>0.13696666666666668</v>
      </c>
      <c r="H395" s="8">
        <f t="shared" si="87"/>
        <v>222970</v>
      </c>
      <c r="I395" s="9">
        <f t="shared" si="79"/>
        <v>12</v>
      </c>
      <c r="L395" s="2">
        <f t="shared" si="81"/>
        <v>222970</v>
      </c>
      <c r="M395" s="2">
        <f t="shared" si="82"/>
        <v>743</v>
      </c>
      <c r="N395" s="15">
        <f t="shared" si="83"/>
        <v>2793.0297468844215</v>
      </c>
      <c r="O395" s="15">
        <f t="shared" si="84"/>
        <v>5811.3567713084331</v>
      </c>
      <c r="P395" s="16">
        <f>SUM($H$3:H395)</f>
        <v>32483030</v>
      </c>
      <c r="Q395" s="2">
        <f>SUM($I$3:I395)</f>
        <v>2127</v>
      </c>
    </row>
    <row r="396" spans="1:17" x14ac:dyDescent="0.3">
      <c r="A396" s="7">
        <f t="shared" si="88"/>
        <v>394</v>
      </c>
      <c r="B396" s="2">
        <f t="shared" si="88"/>
        <v>744</v>
      </c>
      <c r="C396" s="14">
        <f t="shared" si="85"/>
        <v>2821.3572451339815</v>
      </c>
      <c r="D396" s="14">
        <f t="shared" si="86"/>
        <v>5846.2260562764641</v>
      </c>
      <c r="E396" s="2">
        <v>0.8</v>
      </c>
      <c r="F396" s="2">
        <f t="shared" si="89"/>
        <v>3.2000000000000006</v>
      </c>
      <c r="G396" s="17">
        <f t="shared" si="80"/>
        <v>0.13740000000000002</v>
      </c>
      <c r="H396" s="8">
        <f t="shared" si="87"/>
        <v>223760</v>
      </c>
      <c r="I396" s="9">
        <f t="shared" si="79"/>
        <v>12</v>
      </c>
      <c r="L396" s="2">
        <f t="shared" si="81"/>
        <v>223760</v>
      </c>
      <c r="M396" s="2">
        <f t="shared" si="82"/>
        <v>744</v>
      </c>
      <c r="N396" s="15">
        <f t="shared" si="83"/>
        <v>2821.3572451339815</v>
      </c>
      <c r="O396" s="15">
        <f t="shared" si="84"/>
        <v>5846.2260562764641</v>
      </c>
      <c r="P396" s="16">
        <f>SUM($H$3:H396)</f>
        <v>32706790</v>
      </c>
      <c r="Q396" s="2">
        <f>SUM($I$3:I396)</f>
        <v>2139</v>
      </c>
    </row>
    <row r="397" spans="1:17" x14ac:dyDescent="0.3">
      <c r="A397" s="7">
        <f t="shared" si="88"/>
        <v>395</v>
      </c>
      <c r="B397" s="2">
        <f t="shared" si="88"/>
        <v>745</v>
      </c>
      <c r="C397" s="14">
        <f t="shared" si="85"/>
        <v>2849.7450798456748</v>
      </c>
      <c r="D397" s="14">
        <f t="shared" si="86"/>
        <v>5881.2440395794547</v>
      </c>
      <c r="E397" s="2">
        <v>0.8</v>
      </c>
      <c r="F397" s="2">
        <f t="shared" si="89"/>
        <v>3.2000000000000006</v>
      </c>
      <c r="G397" s="17">
        <f t="shared" si="80"/>
        <v>0.13783333333333334</v>
      </c>
      <c r="H397" s="8">
        <f t="shared" si="87"/>
        <v>224550</v>
      </c>
      <c r="I397" s="9">
        <f t="shared" si="79"/>
        <v>12</v>
      </c>
      <c r="L397" s="2">
        <f t="shared" si="81"/>
        <v>224550</v>
      </c>
      <c r="M397" s="2">
        <f t="shared" si="82"/>
        <v>745</v>
      </c>
      <c r="N397" s="15">
        <f t="shared" si="83"/>
        <v>2849.7450798456748</v>
      </c>
      <c r="O397" s="15">
        <f t="shared" si="84"/>
        <v>5881.2440395794547</v>
      </c>
      <c r="P397" s="16">
        <f>SUM($H$3:H397)</f>
        <v>32931340</v>
      </c>
      <c r="Q397" s="2">
        <f>SUM($I$3:I397)</f>
        <v>2151</v>
      </c>
    </row>
    <row r="398" spans="1:17" x14ac:dyDescent="0.3">
      <c r="A398" s="7">
        <f t="shared" si="88"/>
        <v>396</v>
      </c>
      <c r="B398" s="2">
        <f t="shared" si="88"/>
        <v>746</v>
      </c>
      <c r="C398" s="14">
        <f t="shared" si="85"/>
        <v>2878.1927423688576</v>
      </c>
      <c r="D398" s="14">
        <f t="shared" si="86"/>
        <v>5916.4097800550835</v>
      </c>
      <c r="E398" s="2">
        <v>0.8</v>
      </c>
      <c r="F398" s="2">
        <f t="shared" si="89"/>
        <v>3.2000000000000006</v>
      </c>
      <c r="G398" s="17">
        <f t="shared" si="80"/>
        <v>0.13826666666666668</v>
      </c>
      <c r="H398" s="8">
        <f t="shared" si="87"/>
        <v>225340</v>
      </c>
      <c r="I398" s="9">
        <f t="shared" si="79"/>
        <v>12</v>
      </c>
      <c r="L398" s="2">
        <f t="shared" si="81"/>
        <v>225340</v>
      </c>
      <c r="M398" s="2">
        <f t="shared" si="82"/>
        <v>746</v>
      </c>
      <c r="N398" s="15">
        <f t="shared" si="83"/>
        <v>2878.1927423688576</v>
      </c>
      <c r="O398" s="15">
        <f t="shared" si="84"/>
        <v>5916.4097800550835</v>
      </c>
      <c r="P398" s="16">
        <f>SUM($H$3:H398)</f>
        <v>33156680</v>
      </c>
      <c r="Q398" s="2">
        <f>SUM($I$3:I398)</f>
        <v>2163</v>
      </c>
    </row>
    <row r="399" spans="1:17" x14ac:dyDescent="0.3">
      <c r="A399" s="7">
        <f t="shared" si="88"/>
        <v>397</v>
      </c>
      <c r="B399" s="2">
        <f t="shared" si="88"/>
        <v>747</v>
      </c>
      <c r="C399" s="14">
        <f t="shared" si="85"/>
        <v>2906.6997336005675</v>
      </c>
      <c r="D399" s="14">
        <f t="shared" si="86"/>
        <v>5951.7223522607101</v>
      </c>
      <c r="E399" s="2">
        <v>0.8</v>
      </c>
      <c r="F399" s="2">
        <f t="shared" si="89"/>
        <v>3.2000000000000006</v>
      </c>
      <c r="G399" s="17">
        <f t="shared" si="80"/>
        <v>0.13870000000000002</v>
      </c>
      <c r="H399" s="8">
        <f t="shared" si="87"/>
        <v>226130</v>
      </c>
      <c r="I399" s="9">
        <f t="shared" si="79"/>
        <v>12</v>
      </c>
      <c r="L399" s="2">
        <f t="shared" si="81"/>
        <v>226130</v>
      </c>
      <c r="M399" s="2">
        <f t="shared" si="82"/>
        <v>747</v>
      </c>
      <c r="N399" s="15">
        <f t="shared" si="83"/>
        <v>2906.6997336005675</v>
      </c>
      <c r="O399" s="15">
        <f t="shared" si="84"/>
        <v>5951.7223522607101</v>
      </c>
      <c r="P399" s="16">
        <f>SUM($H$3:H399)</f>
        <v>33382810</v>
      </c>
      <c r="Q399" s="2">
        <f>SUM($I$3:I399)</f>
        <v>2175</v>
      </c>
    </row>
    <row r="400" spans="1:17" x14ac:dyDescent="0.3">
      <c r="A400" s="7">
        <f t="shared" si="88"/>
        <v>398</v>
      </c>
      <c r="B400" s="2">
        <f t="shared" si="88"/>
        <v>748</v>
      </c>
      <c r="C400" s="14">
        <f t="shared" si="85"/>
        <v>2935.2655637096204</v>
      </c>
      <c r="D400" s="14">
        <f t="shared" si="86"/>
        <v>5987.1808460511265</v>
      </c>
      <c r="E400" s="2">
        <v>0.8</v>
      </c>
      <c r="F400" s="2">
        <f t="shared" si="89"/>
        <v>3.2000000000000006</v>
      </c>
      <c r="G400" s="17">
        <f t="shared" si="80"/>
        <v>0.13913333333333333</v>
      </c>
      <c r="H400" s="8">
        <f t="shared" si="87"/>
        <v>226920</v>
      </c>
      <c r="I400" s="9">
        <f t="shared" si="79"/>
        <v>12</v>
      </c>
      <c r="L400" s="2">
        <f t="shared" si="81"/>
        <v>226920</v>
      </c>
      <c r="M400" s="2">
        <f t="shared" si="82"/>
        <v>748</v>
      </c>
      <c r="N400" s="15">
        <f t="shared" si="83"/>
        <v>2935.2655637096204</v>
      </c>
      <c r="O400" s="15">
        <f t="shared" si="84"/>
        <v>5987.1808460511265</v>
      </c>
      <c r="P400" s="16">
        <f>SUM($H$3:H400)</f>
        <v>33609730</v>
      </c>
      <c r="Q400" s="2">
        <f>SUM($I$3:I400)</f>
        <v>2187</v>
      </c>
    </row>
    <row r="401" spans="1:17" x14ac:dyDescent="0.3">
      <c r="A401" s="7">
        <f t="shared" si="88"/>
        <v>399</v>
      </c>
      <c r="B401" s="2">
        <f t="shared" si="88"/>
        <v>749</v>
      </c>
      <c r="C401" s="14">
        <f t="shared" si="85"/>
        <v>2963.889751871402</v>
      </c>
      <c r="D401" s="14">
        <f t="shared" si="86"/>
        <v>6022.7843661718362</v>
      </c>
      <c r="E401" s="2">
        <v>0.8</v>
      </c>
      <c r="F401" s="2">
        <f t="shared" si="89"/>
        <v>3.2000000000000006</v>
      </c>
      <c r="G401" s="17">
        <f t="shared" si="80"/>
        <v>0.13956666666666667</v>
      </c>
      <c r="H401" s="8">
        <f t="shared" si="87"/>
        <v>227710</v>
      </c>
      <c r="I401" s="9">
        <f t="shared" si="79"/>
        <v>12</v>
      </c>
      <c r="L401" s="2">
        <f t="shared" si="81"/>
        <v>227710</v>
      </c>
      <c r="M401" s="2">
        <f t="shared" si="82"/>
        <v>749</v>
      </c>
      <c r="N401" s="15">
        <f t="shared" si="83"/>
        <v>2963.889751871402</v>
      </c>
      <c r="O401" s="15">
        <f t="shared" si="84"/>
        <v>6022.7843661718362</v>
      </c>
      <c r="P401" s="16">
        <f>SUM($H$3:H401)</f>
        <v>33837440</v>
      </c>
      <c r="Q401" s="2">
        <f>SUM($I$3:I401)</f>
        <v>2199</v>
      </c>
    </row>
    <row r="402" spans="1:17" x14ac:dyDescent="0.3">
      <c r="A402" s="7">
        <f t="shared" si="88"/>
        <v>400</v>
      </c>
      <c r="B402" s="2">
        <f t="shared" si="88"/>
        <v>750</v>
      </c>
      <c r="C402" s="14">
        <f t="shared" si="85"/>
        <v>2992.5718260128756</v>
      </c>
      <c r="D402" s="14">
        <f t="shared" si="86"/>
        <v>6058.5320318671838</v>
      </c>
      <c r="E402" s="2">
        <v>0.9</v>
      </c>
      <c r="F402" s="2">
        <f t="shared" si="89"/>
        <v>3.4000000000000008</v>
      </c>
      <c r="G402" s="17">
        <f t="shared" si="80"/>
        <v>0.14000000000000001</v>
      </c>
      <c r="H402" s="8">
        <f t="shared" si="87"/>
        <v>228500</v>
      </c>
      <c r="I402" s="9">
        <f t="shared" si="79"/>
        <v>13</v>
      </c>
      <c r="L402" s="2">
        <f t="shared" si="81"/>
        <v>228500</v>
      </c>
      <c r="M402" s="2">
        <f t="shared" si="82"/>
        <v>750</v>
      </c>
      <c r="N402" s="15">
        <f t="shared" si="83"/>
        <v>2992.5718260128756</v>
      </c>
      <c r="O402" s="15">
        <f t="shared" si="84"/>
        <v>6058.5320318671838</v>
      </c>
      <c r="P402" s="16">
        <f>SUM($H$3:H402)</f>
        <v>34065940</v>
      </c>
      <c r="Q402" s="2">
        <f>SUM($I$3:I402)</f>
        <v>2212</v>
      </c>
    </row>
    <row r="403" spans="1:17" x14ac:dyDescent="0.3">
      <c r="A403" s="7">
        <f t="shared" si="88"/>
        <v>401</v>
      </c>
      <c r="B403" s="2">
        <f t="shared" si="88"/>
        <v>751</v>
      </c>
      <c r="C403" s="14">
        <f t="shared" si="85"/>
        <v>3021.311322567256</v>
      </c>
      <c r="D403" s="14">
        <f t="shared" si="86"/>
        <v>6094.4229765025702</v>
      </c>
      <c r="E403" s="2">
        <v>0.9</v>
      </c>
      <c r="F403" s="2">
        <f t="shared" si="89"/>
        <v>3.4000000000000008</v>
      </c>
      <c r="G403" s="17">
        <f t="shared" si="80"/>
        <v>0.14043333333333335</v>
      </c>
      <c r="H403" s="8">
        <f t="shared" si="87"/>
        <v>229290</v>
      </c>
      <c r="I403" s="9">
        <f t="shared" si="79"/>
        <v>13</v>
      </c>
      <c r="L403" s="2">
        <f t="shared" si="81"/>
        <v>229290</v>
      </c>
      <c r="M403" s="2">
        <f t="shared" si="82"/>
        <v>751</v>
      </c>
      <c r="N403" s="15">
        <f t="shared" si="83"/>
        <v>3021.311322567256</v>
      </c>
      <c r="O403" s="15">
        <f t="shared" si="84"/>
        <v>6094.4229765025702</v>
      </c>
      <c r="P403" s="16">
        <f>SUM($H$3:H403)</f>
        <v>34295230</v>
      </c>
      <c r="Q403" s="2">
        <f>SUM($I$3:I403)</f>
        <v>2225</v>
      </c>
    </row>
    <row r="404" spans="1:17" x14ac:dyDescent="0.3">
      <c r="A404" s="7">
        <f t="shared" si="88"/>
        <v>402</v>
      </c>
      <c r="B404" s="2">
        <f t="shared" si="88"/>
        <v>752</v>
      </c>
      <c r="C404" s="14">
        <f t="shared" si="85"/>
        <v>3050.1077862379616</v>
      </c>
      <c r="D404" s="14">
        <f t="shared" si="86"/>
        <v>6130.4563472002228</v>
      </c>
      <c r="E404" s="2">
        <v>0.9</v>
      </c>
      <c r="F404" s="2">
        <f t="shared" si="89"/>
        <v>3.4000000000000008</v>
      </c>
      <c r="G404" s="17">
        <f t="shared" si="80"/>
        <v>0.14086666666666667</v>
      </c>
      <c r="H404" s="8">
        <f t="shared" si="87"/>
        <v>230080</v>
      </c>
      <c r="I404" s="9">
        <f t="shared" si="79"/>
        <v>13</v>
      </c>
      <c r="L404" s="2">
        <f t="shared" si="81"/>
        <v>230080</v>
      </c>
      <c r="M404" s="2">
        <f t="shared" si="82"/>
        <v>752</v>
      </c>
      <c r="N404" s="15">
        <f t="shared" si="83"/>
        <v>3050.1077862379616</v>
      </c>
      <c r="O404" s="15">
        <f t="shared" si="84"/>
        <v>6130.4563472002228</v>
      </c>
      <c r="P404" s="16">
        <f>SUM($H$3:H404)</f>
        <v>34525310</v>
      </c>
      <c r="Q404" s="2">
        <f>SUM($I$3:I404)</f>
        <v>2238</v>
      </c>
    </row>
    <row r="405" spans="1:17" x14ac:dyDescent="0.3">
      <c r="A405" s="7">
        <f t="shared" si="88"/>
        <v>403</v>
      </c>
      <c r="B405" s="2">
        <f t="shared" si="88"/>
        <v>753</v>
      </c>
      <c r="C405" s="14">
        <f t="shared" si="85"/>
        <v>3078.96076977134</v>
      </c>
      <c r="D405" s="14">
        <f t="shared" si="86"/>
        <v>6166.6313044878079</v>
      </c>
      <c r="E405" s="2">
        <v>0.9</v>
      </c>
      <c r="F405" s="2">
        <f t="shared" si="89"/>
        <v>3.4000000000000008</v>
      </c>
      <c r="G405" s="17">
        <f t="shared" si="80"/>
        <v>0.14130000000000001</v>
      </c>
      <c r="H405" s="8">
        <f t="shared" si="87"/>
        <v>230870</v>
      </c>
      <c r="I405" s="9">
        <f t="shared" si="79"/>
        <v>13</v>
      </c>
      <c r="L405" s="2">
        <f t="shared" si="81"/>
        <v>230870</v>
      </c>
      <c r="M405" s="2">
        <f t="shared" si="82"/>
        <v>753</v>
      </c>
      <c r="N405" s="15">
        <f t="shared" si="83"/>
        <v>3078.96076977134</v>
      </c>
      <c r="O405" s="15">
        <f t="shared" si="84"/>
        <v>6166.6313044878079</v>
      </c>
      <c r="P405" s="16">
        <f>SUM($H$3:H405)</f>
        <v>34756180</v>
      </c>
      <c r="Q405" s="2">
        <f>SUM($I$3:I405)</f>
        <v>2251</v>
      </c>
    </row>
    <row r="406" spans="1:17" x14ac:dyDescent="0.3">
      <c r="A406" s="7">
        <f t="shared" si="88"/>
        <v>404</v>
      </c>
      <c r="B406" s="2">
        <f t="shared" si="88"/>
        <v>754</v>
      </c>
      <c r="C406" s="14">
        <f t="shared" si="85"/>
        <v>3107.8698337377955</v>
      </c>
      <c r="D406" s="14">
        <f t="shared" si="86"/>
        <v>6202.9470219593441</v>
      </c>
      <c r="E406" s="2">
        <v>0.9</v>
      </c>
      <c r="F406" s="2">
        <f t="shared" si="89"/>
        <v>3.4000000000000008</v>
      </c>
      <c r="G406" s="17">
        <f t="shared" si="80"/>
        <v>0.14173333333333335</v>
      </c>
      <c r="H406" s="8">
        <f t="shared" si="87"/>
        <v>231660</v>
      </c>
      <c r="I406" s="9">
        <f t="shared" si="79"/>
        <v>13</v>
      </c>
      <c r="L406" s="2">
        <f t="shared" si="81"/>
        <v>231660</v>
      </c>
      <c r="M406" s="2">
        <f t="shared" si="82"/>
        <v>754</v>
      </c>
      <c r="N406" s="15">
        <f t="shared" si="83"/>
        <v>3107.8698337377955</v>
      </c>
      <c r="O406" s="15">
        <f t="shared" si="84"/>
        <v>6202.9470219593441</v>
      </c>
      <c r="P406" s="16">
        <f>SUM($H$3:H406)</f>
        <v>34987840</v>
      </c>
      <c r="Q406" s="2">
        <f>SUM($I$3:I406)</f>
        <v>2264</v>
      </c>
    </row>
    <row r="407" spans="1:17" x14ac:dyDescent="0.3">
      <c r="A407" s="7">
        <f t="shared" si="88"/>
        <v>405</v>
      </c>
      <c r="B407" s="2">
        <f t="shared" si="88"/>
        <v>755</v>
      </c>
      <c r="C407" s="14">
        <f t="shared" si="85"/>
        <v>3136.8345463209394</v>
      </c>
      <c r="D407" s="14">
        <f t="shared" si="86"/>
        <v>6239.4026859479181</v>
      </c>
      <c r="E407" s="2">
        <v>0.9</v>
      </c>
      <c r="F407" s="2">
        <f t="shared" si="89"/>
        <v>3.4000000000000008</v>
      </c>
      <c r="G407" s="17">
        <f t="shared" si="80"/>
        <v>0.14216666666666669</v>
      </c>
      <c r="H407" s="8">
        <f t="shared" si="87"/>
        <v>232450</v>
      </c>
      <c r="I407" s="9">
        <f t="shared" si="79"/>
        <v>13</v>
      </c>
      <c r="L407" s="2">
        <f t="shared" si="81"/>
        <v>232450</v>
      </c>
      <c r="M407" s="2">
        <f t="shared" si="82"/>
        <v>755</v>
      </c>
      <c r="N407" s="15">
        <f t="shared" si="83"/>
        <v>3136.8345463209394</v>
      </c>
      <c r="O407" s="15">
        <f t="shared" si="84"/>
        <v>6239.4026859479181</v>
      </c>
      <c r="P407" s="16">
        <f>SUM($H$3:H407)</f>
        <v>35220290</v>
      </c>
      <c r="Q407" s="2">
        <f>SUM($I$3:I407)</f>
        <v>2277</v>
      </c>
    </row>
    <row r="408" spans="1:17" x14ac:dyDescent="0.3">
      <c r="A408" s="7">
        <f t="shared" si="88"/>
        <v>406</v>
      </c>
      <c r="B408" s="2">
        <f t="shared" si="88"/>
        <v>756</v>
      </c>
      <c r="C408" s="14">
        <f t="shared" si="85"/>
        <v>3165.8544831143467</v>
      </c>
      <c r="D408" s="14">
        <f t="shared" si="86"/>
        <v>6275.9974952095963</v>
      </c>
      <c r="E408" s="2">
        <v>0.9</v>
      </c>
      <c r="F408" s="2">
        <f t="shared" si="89"/>
        <v>3.4000000000000008</v>
      </c>
      <c r="G408" s="17">
        <f t="shared" si="80"/>
        <v>0.1426</v>
      </c>
      <c r="H408" s="8">
        <f t="shared" si="87"/>
        <v>233240</v>
      </c>
      <c r="I408" s="9">
        <f t="shared" si="79"/>
        <v>13</v>
      </c>
      <c r="L408" s="2">
        <f t="shared" si="81"/>
        <v>233240</v>
      </c>
      <c r="M408" s="2">
        <f t="shared" si="82"/>
        <v>756</v>
      </c>
      <c r="N408" s="15">
        <f t="shared" si="83"/>
        <v>3165.8544831143467</v>
      </c>
      <c r="O408" s="15">
        <f t="shared" si="84"/>
        <v>6275.9974952095963</v>
      </c>
      <c r="P408" s="16">
        <f>SUM($H$3:H408)</f>
        <v>35453530</v>
      </c>
      <c r="Q408" s="2">
        <f>SUM($I$3:I408)</f>
        <v>2290</v>
      </c>
    </row>
    <row r="409" spans="1:17" x14ac:dyDescent="0.3">
      <c r="A409" s="7">
        <f t="shared" si="88"/>
        <v>407</v>
      </c>
      <c r="B409" s="2">
        <f t="shared" si="88"/>
        <v>757</v>
      </c>
      <c r="C409" s="14">
        <f t="shared" si="85"/>
        <v>3194.9292269256362</v>
      </c>
      <c r="D409" s="14">
        <f t="shared" si="86"/>
        <v>6312.7306606181264</v>
      </c>
      <c r="E409" s="2">
        <v>0.9</v>
      </c>
      <c r="F409" s="2">
        <f t="shared" si="89"/>
        <v>3.4000000000000008</v>
      </c>
      <c r="G409" s="17">
        <f t="shared" si="80"/>
        <v>0.14303333333333335</v>
      </c>
      <c r="H409" s="8">
        <f t="shared" si="87"/>
        <v>234030</v>
      </c>
      <c r="I409" s="9">
        <f t="shared" si="79"/>
        <v>13</v>
      </c>
      <c r="L409" s="2">
        <f t="shared" si="81"/>
        <v>234030</v>
      </c>
      <c r="M409" s="2">
        <f t="shared" si="82"/>
        <v>757</v>
      </c>
      <c r="N409" s="15">
        <f t="shared" si="83"/>
        <v>3194.9292269256362</v>
      </c>
      <c r="O409" s="15">
        <f t="shared" si="84"/>
        <v>6312.7306606181264</v>
      </c>
      <c r="P409" s="16">
        <f>SUM($H$3:H409)</f>
        <v>35687560</v>
      </c>
      <c r="Q409" s="2">
        <f>SUM($I$3:I409)</f>
        <v>2303</v>
      </c>
    </row>
    <row r="410" spans="1:17" x14ac:dyDescent="0.3">
      <c r="A410" s="7">
        <f t="shared" si="88"/>
        <v>408</v>
      </c>
      <c r="B410" s="2">
        <f t="shared" si="88"/>
        <v>758</v>
      </c>
      <c r="C410" s="14">
        <f t="shared" si="85"/>
        <v>3224.0583675875032</v>
      </c>
      <c r="D410" s="14">
        <f t="shared" si="86"/>
        <v>6349.6014048699217</v>
      </c>
      <c r="E410" s="2">
        <v>0.9</v>
      </c>
      <c r="F410" s="2">
        <f t="shared" si="89"/>
        <v>3.4000000000000008</v>
      </c>
      <c r="G410" s="17">
        <f t="shared" si="80"/>
        <v>0.14346666666666669</v>
      </c>
      <c r="H410" s="8">
        <f t="shared" si="87"/>
        <v>234820</v>
      </c>
      <c r="I410" s="9">
        <f t="shared" si="79"/>
        <v>13</v>
      </c>
      <c r="L410" s="2">
        <f t="shared" si="81"/>
        <v>234820</v>
      </c>
      <c r="M410" s="2">
        <f t="shared" si="82"/>
        <v>758</v>
      </c>
      <c r="N410" s="15">
        <f t="shared" si="83"/>
        <v>3224.0583675875032</v>
      </c>
      <c r="O410" s="15">
        <f t="shared" si="84"/>
        <v>6349.6014048699217</v>
      </c>
      <c r="P410" s="16">
        <f>SUM($H$3:H410)</f>
        <v>35922380</v>
      </c>
      <c r="Q410" s="2">
        <f>SUM($I$3:I410)</f>
        <v>2316</v>
      </c>
    </row>
    <row r="411" spans="1:17" x14ac:dyDescent="0.3">
      <c r="A411" s="7">
        <f t="shared" si="88"/>
        <v>409</v>
      </c>
      <c r="B411" s="2">
        <f t="shared" si="88"/>
        <v>759</v>
      </c>
      <c r="C411" s="14">
        <f t="shared" si="85"/>
        <v>3253.2415017753924</v>
      </c>
      <c r="D411" s="14">
        <f t="shared" si="86"/>
        <v>6386.6089621988685</v>
      </c>
      <c r="E411" s="2">
        <v>0.9</v>
      </c>
      <c r="F411" s="2">
        <f t="shared" si="89"/>
        <v>3.4000000000000008</v>
      </c>
      <c r="G411" s="17">
        <f t="shared" si="80"/>
        <v>0.14390000000000003</v>
      </c>
      <c r="H411" s="8">
        <f t="shared" si="87"/>
        <v>235610</v>
      </c>
      <c r="I411" s="9">
        <f t="shared" si="79"/>
        <v>13</v>
      </c>
      <c r="L411" s="2">
        <f t="shared" si="81"/>
        <v>235610</v>
      </c>
      <c r="M411" s="2">
        <f t="shared" si="82"/>
        <v>759</v>
      </c>
      <c r="N411" s="15">
        <f t="shared" si="83"/>
        <v>3253.2415017753924</v>
      </c>
      <c r="O411" s="15">
        <f t="shared" si="84"/>
        <v>6386.6089621988685</v>
      </c>
      <c r="P411" s="16">
        <f>SUM($H$3:H411)</f>
        <v>36157990</v>
      </c>
      <c r="Q411" s="2">
        <f>SUM($I$3:I411)</f>
        <v>2329</v>
      </c>
    </row>
    <row r="412" spans="1:17" x14ac:dyDescent="0.3">
      <c r="A412" s="7">
        <f t="shared" si="88"/>
        <v>410</v>
      </c>
      <c r="B412" s="2">
        <f t="shared" si="88"/>
        <v>760</v>
      </c>
      <c r="C412" s="14">
        <f t="shared" si="85"/>
        <v>3282.478232831576</v>
      </c>
      <c r="D412" s="14">
        <f t="shared" si="86"/>
        <v>6423.752578100648</v>
      </c>
      <c r="E412" s="2">
        <v>0.9</v>
      </c>
      <c r="F412" s="2">
        <f t="shared" si="89"/>
        <v>3.4000000000000008</v>
      </c>
      <c r="G412" s="17">
        <f t="shared" si="80"/>
        <v>0.14433333333333334</v>
      </c>
      <c r="H412" s="8">
        <f t="shared" si="87"/>
        <v>236400</v>
      </c>
      <c r="I412" s="9">
        <f t="shared" si="79"/>
        <v>13</v>
      </c>
      <c r="L412" s="2">
        <f t="shared" si="81"/>
        <v>236400</v>
      </c>
      <c r="M412" s="2">
        <f t="shared" si="82"/>
        <v>760</v>
      </c>
      <c r="N412" s="15">
        <f t="shared" si="83"/>
        <v>3282.478232831576</v>
      </c>
      <c r="O412" s="15">
        <f t="shared" si="84"/>
        <v>6423.752578100648</v>
      </c>
      <c r="P412" s="16">
        <f>SUM($H$3:H412)</f>
        <v>36394390</v>
      </c>
      <c r="Q412" s="2">
        <f>SUM($I$3:I412)</f>
        <v>2342</v>
      </c>
    </row>
    <row r="413" spans="1:17" x14ac:dyDescent="0.3">
      <c r="A413" s="7">
        <f t="shared" si="88"/>
        <v>411</v>
      </c>
      <c r="B413" s="2">
        <f t="shared" si="88"/>
        <v>761</v>
      </c>
      <c r="C413" s="14">
        <f t="shared" si="85"/>
        <v>3311.7681705952609</v>
      </c>
      <c r="D413" s="14">
        <f t="shared" si="86"/>
        <v>6461.031509065986</v>
      </c>
      <c r="E413" s="2">
        <v>0.9</v>
      </c>
      <c r="F413" s="2">
        <f t="shared" si="89"/>
        <v>3.4000000000000008</v>
      </c>
      <c r="G413" s="17">
        <f t="shared" si="80"/>
        <v>0.14476666666666668</v>
      </c>
      <c r="H413" s="8">
        <f t="shared" si="87"/>
        <v>237190</v>
      </c>
      <c r="I413" s="9">
        <f t="shared" si="79"/>
        <v>13</v>
      </c>
      <c r="L413" s="2">
        <f t="shared" si="81"/>
        <v>237190</v>
      </c>
      <c r="M413" s="2">
        <f t="shared" si="82"/>
        <v>761</v>
      </c>
      <c r="N413" s="15">
        <f t="shared" si="83"/>
        <v>3311.7681705952609</v>
      </c>
      <c r="O413" s="15">
        <f t="shared" si="84"/>
        <v>6461.031509065986</v>
      </c>
      <c r="P413" s="16">
        <f>SUM($H$3:H413)</f>
        <v>36631580</v>
      </c>
      <c r="Q413" s="2">
        <f>SUM($I$3:I413)</f>
        <v>2355</v>
      </c>
    </row>
    <row r="414" spans="1:17" x14ac:dyDescent="0.3">
      <c r="A414" s="7">
        <f t="shared" si="88"/>
        <v>412</v>
      </c>
      <c r="B414" s="2">
        <f t="shared" si="88"/>
        <v>762</v>
      </c>
      <c r="C414" s="14">
        <f t="shared" si="85"/>
        <v>3341.1109312385674</v>
      </c>
      <c r="D414" s="14">
        <f t="shared" si="86"/>
        <v>6498.4450223226877</v>
      </c>
      <c r="E414" s="2">
        <v>0.9</v>
      </c>
      <c r="F414" s="2">
        <f t="shared" si="89"/>
        <v>3.4000000000000008</v>
      </c>
      <c r="G414" s="17">
        <f t="shared" si="80"/>
        <v>0.14520000000000002</v>
      </c>
      <c r="H414" s="8">
        <f t="shared" si="87"/>
        <v>237980</v>
      </c>
      <c r="I414" s="9">
        <f t="shared" si="79"/>
        <v>13</v>
      </c>
      <c r="L414" s="2">
        <f t="shared" si="81"/>
        <v>237980</v>
      </c>
      <c r="M414" s="2">
        <f t="shared" si="82"/>
        <v>762</v>
      </c>
      <c r="N414" s="15">
        <f t="shared" si="83"/>
        <v>3341.1109312385674</v>
      </c>
      <c r="O414" s="15">
        <f t="shared" si="84"/>
        <v>6498.4450223226877</v>
      </c>
      <c r="P414" s="16">
        <f>SUM($H$3:H414)</f>
        <v>36869560</v>
      </c>
      <c r="Q414" s="2">
        <f>SUM($I$3:I414)</f>
        <v>2368</v>
      </c>
    </row>
    <row r="415" spans="1:17" x14ac:dyDescent="0.3">
      <c r="A415" s="7">
        <f t="shared" si="88"/>
        <v>413</v>
      </c>
      <c r="B415" s="2">
        <f t="shared" si="88"/>
        <v>763</v>
      </c>
      <c r="C415" s="14">
        <f t="shared" si="85"/>
        <v>3370.5061371080465</v>
      </c>
      <c r="D415" s="14">
        <f t="shared" si="86"/>
        <v>6535.9923955858903</v>
      </c>
      <c r="E415" s="2">
        <v>0.9</v>
      </c>
      <c r="F415" s="2">
        <f t="shared" si="89"/>
        <v>3.4000000000000008</v>
      </c>
      <c r="G415" s="17">
        <f t="shared" si="80"/>
        <v>0.14563333333333334</v>
      </c>
      <c r="H415" s="8">
        <f t="shared" si="87"/>
        <v>238770</v>
      </c>
      <c r="I415" s="9">
        <f t="shared" si="79"/>
        <v>13</v>
      </c>
      <c r="L415" s="2">
        <f t="shared" si="81"/>
        <v>238770</v>
      </c>
      <c r="M415" s="2">
        <f t="shared" si="82"/>
        <v>763</v>
      </c>
      <c r="N415" s="15">
        <f t="shared" si="83"/>
        <v>3370.5061371080465</v>
      </c>
      <c r="O415" s="15">
        <f t="shared" si="84"/>
        <v>6535.9923955858903</v>
      </c>
      <c r="P415" s="16">
        <f>SUM($H$3:H415)</f>
        <v>37108330</v>
      </c>
      <c r="Q415" s="2">
        <f>SUM($I$3:I415)</f>
        <v>2381</v>
      </c>
    </row>
    <row r="416" spans="1:17" x14ac:dyDescent="0.3">
      <c r="A416" s="7">
        <f t="shared" si="88"/>
        <v>414</v>
      </c>
      <c r="B416" s="2">
        <f t="shared" si="88"/>
        <v>764</v>
      </c>
      <c r="C416" s="14">
        <f t="shared" si="85"/>
        <v>3399.9534165715254</v>
      </c>
      <c r="D416" s="14">
        <f t="shared" si="86"/>
        <v>6573.6729168163192</v>
      </c>
      <c r="E416" s="2">
        <v>0.9</v>
      </c>
      <c r="F416" s="2">
        <f t="shared" si="89"/>
        <v>3.4000000000000008</v>
      </c>
      <c r="G416" s="17">
        <f t="shared" si="80"/>
        <v>0.14606666666666668</v>
      </c>
      <c r="H416" s="8">
        <f t="shared" si="87"/>
        <v>239560</v>
      </c>
      <c r="I416" s="9">
        <f t="shared" si="79"/>
        <v>13</v>
      </c>
      <c r="L416" s="2">
        <f t="shared" si="81"/>
        <v>239560</v>
      </c>
      <c r="M416" s="2">
        <f t="shared" si="82"/>
        <v>764</v>
      </c>
      <c r="N416" s="15">
        <f t="shared" si="83"/>
        <v>3399.9534165715254</v>
      </c>
      <c r="O416" s="15">
        <f t="shared" si="84"/>
        <v>6573.6729168163192</v>
      </c>
      <c r="P416" s="16">
        <f>SUM($H$3:H416)</f>
        <v>37347890</v>
      </c>
      <c r="Q416" s="2">
        <f>SUM($I$3:I416)</f>
        <v>2394</v>
      </c>
    </row>
    <row r="417" spans="1:17" x14ac:dyDescent="0.3">
      <c r="A417" s="7">
        <f t="shared" si="88"/>
        <v>415</v>
      </c>
      <c r="B417" s="2">
        <f t="shared" si="88"/>
        <v>765</v>
      </c>
      <c r="C417" s="14">
        <f t="shared" si="85"/>
        <v>3429.4524038701115</v>
      </c>
      <c r="D417" s="14">
        <f t="shared" si="86"/>
        <v>6611.4858839862118</v>
      </c>
      <c r="E417" s="2">
        <v>0.9</v>
      </c>
      <c r="F417" s="2">
        <f t="shared" si="89"/>
        <v>3.4000000000000008</v>
      </c>
      <c r="G417" s="17">
        <f t="shared" si="80"/>
        <v>0.14650000000000002</v>
      </c>
      <c r="H417" s="8">
        <f t="shared" si="87"/>
        <v>240350</v>
      </c>
      <c r="I417" s="9">
        <f t="shared" si="79"/>
        <v>13</v>
      </c>
      <c r="L417" s="2">
        <f t="shared" si="81"/>
        <v>240350</v>
      </c>
      <c r="M417" s="2">
        <f t="shared" si="82"/>
        <v>765</v>
      </c>
      <c r="N417" s="15">
        <f t="shared" si="83"/>
        <v>3429.4524038701115</v>
      </c>
      <c r="O417" s="15">
        <f t="shared" si="84"/>
        <v>6611.4858839862118</v>
      </c>
      <c r="P417" s="16">
        <f>SUM($H$3:H417)</f>
        <v>37588240</v>
      </c>
      <c r="Q417" s="2">
        <f>SUM($I$3:I417)</f>
        <v>2407</v>
      </c>
    </row>
    <row r="418" spans="1:17" x14ac:dyDescent="0.3">
      <c r="A418" s="7">
        <f t="shared" si="88"/>
        <v>416</v>
      </c>
      <c r="B418" s="2">
        <f t="shared" si="88"/>
        <v>766</v>
      </c>
      <c r="C418" s="14">
        <f t="shared" si="85"/>
        <v>3459.0027389750312</v>
      </c>
      <c r="D418" s="14">
        <f t="shared" si="86"/>
        <v>6649.4306048525514</v>
      </c>
      <c r="E418" s="2">
        <v>0.9</v>
      </c>
      <c r="F418" s="2">
        <f t="shared" si="89"/>
        <v>3.4000000000000008</v>
      </c>
      <c r="G418" s="17">
        <f t="shared" si="80"/>
        <v>0.14693333333333336</v>
      </c>
      <c r="H418" s="8">
        <f t="shared" si="87"/>
        <v>241140</v>
      </c>
      <c r="I418" s="9">
        <f t="shared" si="79"/>
        <v>13</v>
      </c>
      <c r="L418" s="2">
        <f t="shared" si="81"/>
        <v>241140</v>
      </c>
      <c r="M418" s="2">
        <f t="shared" si="82"/>
        <v>766</v>
      </c>
      <c r="N418" s="15">
        <f t="shared" si="83"/>
        <v>3459.0027389750312</v>
      </c>
      <c r="O418" s="15">
        <f t="shared" si="84"/>
        <v>6649.4306048525514</v>
      </c>
      <c r="P418" s="16">
        <f>SUM($H$3:H418)</f>
        <v>37829380</v>
      </c>
      <c r="Q418" s="2">
        <f>SUM($I$3:I418)</f>
        <v>2420</v>
      </c>
    </row>
    <row r="419" spans="1:17" x14ac:dyDescent="0.3">
      <c r="A419" s="7">
        <f t="shared" si="88"/>
        <v>417</v>
      </c>
      <c r="B419" s="2">
        <f t="shared" si="88"/>
        <v>767</v>
      </c>
      <c r="C419" s="14">
        <f t="shared" si="85"/>
        <v>3488.604067449206</v>
      </c>
      <c r="D419" s="14">
        <f t="shared" si="86"/>
        <v>6687.506396737368</v>
      </c>
      <c r="E419" s="2">
        <v>0.9</v>
      </c>
      <c r="F419" s="2">
        <f t="shared" si="89"/>
        <v>3.4000000000000008</v>
      </c>
      <c r="G419" s="17">
        <f t="shared" si="80"/>
        <v>0.14736666666666667</v>
      </c>
      <c r="H419" s="8">
        <f t="shared" si="87"/>
        <v>241930</v>
      </c>
      <c r="I419" s="9">
        <f t="shared" si="79"/>
        <v>13</v>
      </c>
      <c r="L419" s="2">
        <f t="shared" si="81"/>
        <v>241930</v>
      </c>
      <c r="M419" s="2">
        <f t="shared" si="82"/>
        <v>767</v>
      </c>
      <c r="N419" s="15">
        <f t="shared" si="83"/>
        <v>3488.604067449206</v>
      </c>
      <c r="O419" s="15">
        <f t="shared" si="84"/>
        <v>6687.506396737368</v>
      </c>
      <c r="P419" s="16">
        <f>SUM($H$3:H419)</f>
        <v>38071310</v>
      </c>
      <c r="Q419" s="2">
        <f>SUM($I$3:I419)</f>
        <v>2433</v>
      </c>
    </row>
    <row r="420" spans="1:17" x14ac:dyDescent="0.3">
      <c r="A420" s="7">
        <f t="shared" si="88"/>
        <v>418</v>
      </c>
      <c r="B420" s="2">
        <f t="shared" si="88"/>
        <v>768</v>
      </c>
      <c r="C420" s="14">
        <f t="shared" si="85"/>
        <v>3518.2560403133002</v>
      </c>
      <c r="D420" s="14">
        <f t="shared" si="86"/>
        <v>6725.7125863147958</v>
      </c>
      <c r="E420" s="2">
        <v>0.9</v>
      </c>
      <c r="F420" s="2">
        <f t="shared" si="89"/>
        <v>3.4000000000000008</v>
      </c>
      <c r="G420" s="17">
        <f t="shared" si="80"/>
        <v>0.14780000000000001</v>
      </c>
      <c r="H420" s="8">
        <f t="shared" si="87"/>
        <v>242720</v>
      </c>
      <c r="I420" s="9">
        <f t="shared" ref="I420:I483" si="90">I395+1</f>
        <v>13</v>
      </c>
      <c r="L420" s="2">
        <f t="shared" si="81"/>
        <v>242720</v>
      </c>
      <c r="M420" s="2">
        <f t="shared" si="82"/>
        <v>768</v>
      </c>
      <c r="N420" s="15">
        <f t="shared" si="83"/>
        <v>3518.2560403133002</v>
      </c>
      <c r="O420" s="15">
        <f t="shared" si="84"/>
        <v>6725.7125863147958</v>
      </c>
      <c r="P420" s="16">
        <f>SUM($H$3:H420)</f>
        <v>38314030</v>
      </c>
      <c r="Q420" s="2">
        <f>SUM($I$3:I420)</f>
        <v>2446</v>
      </c>
    </row>
    <row r="421" spans="1:17" x14ac:dyDescent="0.3">
      <c r="A421" s="7">
        <f t="shared" si="88"/>
        <v>419</v>
      </c>
      <c r="B421" s="2">
        <f t="shared" si="88"/>
        <v>769</v>
      </c>
      <c r="C421" s="14">
        <f t="shared" si="85"/>
        <v>3547.9583139161077</v>
      </c>
      <c r="D421" s="14">
        <f t="shared" si="86"/>
        <v>6764.0485094046599</v>
      </c>
      <c r="E421" s="2">
        <v>0.9</v>
      </c>
      <c r="F421" s="2">
        <f t="shared" si="89"/>
        <v>3.4000000000000008</v>
      </c>
      <c r="G421" s="17">
        <f t="shared" si="80"/>
        <v>0.14823333333333336</v>
      </c>
      <c r="H421" s="8">
        <f t="shared" si="87"/>
        <v>243510</v>
      </c>
      <c r="I421" s="9">
        <f t="shared" si="90"/>
        <v>13</v>
      </c>
      <c r="L421" s="2">
        <f t="shared" si="81"/>
        <v>243510</v>
      </c>
      <c r="M421" s="2">
        <f t="shared" si="82"/>
        <v>769</v>
      </c>
      <c r="N421" s="15">
        <f t="shared" si="83"/>
        <v>3547.9583139161077</v>
      </c>
      <c r="O421" s="15">
        <f t="shared" si="84"/>
        <v>6764.0485094046599</v>
      </c>
      <c r="P421" s="16">
        <f>SUM($H$3:H421)</f>
        <v>38557540</v>
      </c>
      <c r="Q421" s="2">
        <f>SUM($I$3:I421)</f>
        <v>2459</v>
      </c>
    </row>
    <row r="422" spans="1:17" x14ac:dyDescent="0.3">
      <c r="A422" s="7">
        <f t="shared" si="88"/>
        <v>420</v>
      </c>
      <c r="B422" s="2">
        <f t="shared" si="88"/>
        <v>770</v>
      </c>
      <c r="C422" s="14">
        <f t="shared" si="85"/>
        <v>3577.7105498090714</v>
      </c>
      <c r="D422" s="14">
        <f t="shared" si="86"/>
        <v>6802.5135107723072</v>
      </c>
      <c r="E422" s="2">
        <v>0.9</v>
      </c>
      <c r="F422" s="2">
        <f t="shared" si="89"/>
        <v>3.600000000000001</v>
      </c>
      <c r="G422" s="17">
        <f t="shared" si="80"/>
        <v>0.1486666666666667</v>
      </c>
      <c r="H422" s="8">
        <f t="shared" si="87"/>
        <v>244300</v>
      </c>
      <c r="I422" s="9">
        <f t="shared" si="90"/>
        <v>13</v>
      </c>
      <c r="L422" s="2">
        <f t="shared" si="81"/>
        <v>244300</v>
      </c>
      <c r="M422" s="2">
        <f t="shared" si="82"/>
        <v>770</v>
      </c>
      <c r="N422" s="15">
        <f t="shared" si="83"/>
        <v>3577.7105498090714</v>
      </c>
      <c r="O422" s="15">
        <f t="shared" si="84"/>
        <v>6802.5135107723072</v>
      </c>
      <c r="P422" s="16">
        <f>SUM($H$3:H422)</f>
        <v>38801840</v>
      </c>
      <c r="Q422" s="2">
        <f>SUM($I$3:I422)</f>
        <v>2472</v>
      </c>
    </row>
    <row r="423" spans="1:17" x14ac:dyDescent="0.3">
      <c r="A423" s="7">
        <f t="shared" si="88"/>
        <v>421</v>
      </c>
      <c r="B423" s="2">
        <f t="shared" si="88"/>
        <v>771</v>
      </c>
      <c r="C423" s="14">
        <f t="shared" si="85"/>
        <v>3607.5124146247827</v>
      </c>
      <c r="D423" s="14">
        <f t="shared" si="86"/>
        <v>6841.1069439344556</v>
      </c>
      <c r="E423" s="2">
        <v>0.9</v>
      </c>
      <c r="F423" s="2">
        <f t="shared" si="89"/>
        <v>3.600000000000001</v>
      </c>
      <c r="G423" s="17">
        <f t="shared" ref="G423:G486" si="91">0.01 + (A423-100)*(0.4-0.01)/(1000-100)</f>
        <v>0.14910000000000001</v>
      </c>
      <c r="H423" s="8">
        <f t="shared" si="87"/>
        <v>245090</v>
      </c>
      <c r="I423" s="9">
        <f t="shared" si="90"/>
        <v>13</v>
      </c>
      <c r="L423" s="2">
        <f t="shared" si="81"/>
        <v>245090</v>
      </c>
      <c r="M423" s="2">
        <f t="shared" si="82"/>
        <v>771</v>
      </c>
      <c r="N423" s="15">
        <f t="shared" si="83"/>
        <v>3607.5124146247827</v>
      </c>
      <c r="O423" s="15">
        <f t="shared" si="84"/>
        <v>6841.1069439344556</v>
      </c>
      <c r="P423" s="16">
        <f>SUM($H$3:H423)</f>
        <v>39046930</v>
      </c>
      <c r="Q423" s="2">
        <f>SUM($I$3:I423)</f>
        <v>2485</v>
      </c>
    </row>
    <row r="424" spans="1:17" x14ac:dyDescent="0.3">
      <c r="A424" s="7">
        <f t="shared" si="88"/>
        <v>422</v>
      </c>
      <c r="B424" s="2">
        <f t="shared" si="88"/>
        <v>772</v>
      </c>
      <c r="C424" s="14">
        <f t="shared" si="85"/>
        <v>3637.3635799592885</v>
      </c>
      <c r="D424" s="14">
        <f t="shared" si="86"/>
        <v>6879.8281709708062</v>
      </c>
      <c r="E424" s="2">
        <v>0.9</v>
      </c>
      <c r="F424" s="2">
        <f t="shared" si="89"/>
        <v>3.600000000000001</v>
      </c>
      <c r="G424" s="17">
        <f t="shared" si="91"/>
        <v>0.14953333333333335</v>
      </c>
      <c r="H424" s="8">
        <f t="shared" si="87"/>
        <v>245880</v>
      </c>
      <c r="I424" s="9">
        <f t="shared" si="90"/>
        <v>13</v>
      </c>
      <c r="L424" s="2">
        <f t="shared" si="81"/>
        <v>245880</v>
      </c>
      <c r="M424" s="2">
        <f t="shared" si="82"/>
        <v>772</v>
      </c>
      <c r="N424" s="15">
        <f t="shared" si="83"/>
        <v>3637.3635799592885</v>
      </c>
      <c r="O424" s="15">
        <f t="shared" si="84"/>
        <v>6879.8281709708062</v>
      </c>
      <c r="P424" s="16">
        <f>SUM($H$3:H424)</f>
        <v>39292810</v>
      </c>
      <c r="Q424" s="2">
        <f>SUM($I$3:I424)</f>
        <v>2498</v>
      </c>
    </row>
    <row r="425" spans="1:17" x14ac:dyDescent="0.3">
      <c r="A425" s="7">
        <f t="shared" si="88"/>
        <v>423</v>
      </c>
      <c r="B425" s="2">
        <f t="shared" si="88"/>
        <v>773</v>
      </c>
      <c r="C425" s="14">
        <f t="shared" si="85"/>
        <v>3667.2637222580811</v>
      </c>
      <c r="D425" s="14">
        <f t="shared" si="86"/>
        <v>6918.6765623412757</v>
      </c>
      <c r="E425" s="2">
        <v>0.9</v>
      </c>
      <c r="F425" s="2">
        <f t="shared" si="89"/>
        <v>3.600000000000001</v>
      </c>
      <c r="G425" s="17">
        <f t="shared" si="91"/>
        <v>0.14996666666666666</v>
      </c>
      <c r="H425" s="8">
        <f t="shared" si="87"/>
        <v>246670</v>
      </c>
      <c r="I425" s="9">
        <f t="shared" si="90"/>
        <v>13</v>
      </c>
      <c r="L425" s="2">
        <f t="shared" si="81"/>
        <v>246670</v>
      </c>
      <c r="M425" s="2">
        <f t="shared" si="82"/>
        <v>773</v>
      </c>
      <c r="N425" s="15">
        <f t="shared" si="83"/>
        <v>3667.2637222580811</v>
      </c>
      <c r="O425" s="15">
        <f t="shared" si="84"/>
        <v>6918.6765623412757</v>
      </c>
      <c r="P425" s="16">
        <f>SUM($H$3:H425)</f>
        <v>39539480</v>
      </c>
      <c r="Q425" s="2">
        <f>SUM($I$3:I425)</f>
        <v>2511</v>
      </c>
    </row>
    <row r="426" spans="1:17" x14ac:dyDescent="0.3">
      <c r="A426" s="7">
        <f t="shared" si="88"/>
        <v>424</v>
      </c>
      <c r="B426" s="2">
        <f t="shared" si="88"/>
        <v>774</v>
      </c>
      <c r="C426" s="14">
        <f t="shared" si="85"/>
        <v>3697.212522705629</v>
      </c>
      <c r="D426" s="14">
        <f t="shared" si="86"/>
        <v>6957.6514967085468</v>
      </c>
      <c r="E426" s="2">
        <v>0.9</v>
      </c>
      <c r="F426" s="2">
        <f t="shared" si="89"/>
        <v>3.600000000000001</v>
      </c>
      <c r="G426" s="17">
        <f t="shared" si="91"/>
        <v>0.15040000000000001</v>
      </c>
      <c r="H426" s="8">
        <f t="shared" si="87"/>
        <v>247460</v>
      </c>
      <c r="I426" s="9">
        <f t="shared" si="90"/>
        <v>13</v>
      </c>
      <c r="L426" s="2">
        <f t="shared" si="81"/>
        <v>247460</v>
      </c>
      <c r="M426" s="2">
        <f t="shared" si="82"/>
        <v>774</v>
      </c>
      <c r="N426" s="15">
        <f t="shared" si="83"/>
        <v>3697.212522705629</v>
      </c>
      <c r="O426" s="15">
        <f t="shared" si="84"/>
        <v>6957.6514967085468</v>
      </c>
      <c r="P426" s="16">
        <f>SUM($H$3:H426)</f>
        <v>39786940</v>
      </c>
      <c r="Q426" s="2">
        <f>SUM($I$3:I426)</f>
        <v>2524</v>
      </c>
    </row>
    <row r="427" spans="1:17" x14ac:dyDescent="0.3">
      <c r="A427" s="7">
        <f t="shared" si="88"/>
        <v>425</v>
      </c>
      <c r="B427" s="2">
        <f t="shared" si="88"/>
        <v>775</v>
      </c>
      <c r="C427" s="14">
        <f t="shared" si="85"/>
        <v>3727.2096671182358</v>
      </c>
      <c r="D427" s="14">
        <f t="shared" si="86"/>
        <v>6996.7523607657677</v>
      </c>
      <c r="E427" s="2">
        <v>0.9</v>
      </c>
      <c r="F427" s="2">
        <f t="shared" si="89"/>
        <v>3.600000000000001</v>
      </c>
      <c r="G427" s="17">
        <f t="shared" si="91"/>
        <v>0.15083333333333335</v>
      </c>
      <c r="H427" s="8">
        <f t="shared" si="87"/>
        <v>248250</v>
      </c>
      <c r="I427" s="9">
        <f t="shared" si="90"/>
        <v>14</v>
      </c>
      <c r="L427" s="2">
        <f t="shared" si="81"/>
        <v>248250</v>
      </c>
      <c r="M427" s="2">
        <f t="shared" si="82"/>
        <v>775</v>
      </c>
      <c r="N427" s="15">
        <f t="shared" si="83"/>
        <v>3727.2096671182358</v>
      </c>
      <c r="O427" s="15">
        <f t="shared" si="84"/>
        <v>6996.7523607657677</v>
      </c>
      <c r="P427" s="16">
        <f>SUM($H$3:H427)</f>
        <v>40035190</v>
      </c>
      <c r="Q427" s="2">
        <f>SUM($I$3:I427)</f>
        <v>2538</v>
      </c>
    </row>
    <row r="428" spans="1:17" x14ac:dyDescent="0.3">
      <c r="A428" s="7">
        <f t="shared" si="88"/>
        <v>426</v>
      </c>
      <c r="B428" s="2">
        <f t="shared" si="88"/>
        <v>776</v>
      </c>
      <c r="C428" s="14">
        <f t="shared" si="85"/>
        <v>3757.254845840238</v>
      </c>
      <c r="D428" s="14">
        <f t="shared" si="86"/>
        <v>7035.9785490692611</v>
      </c>
      <c r="E428" s="2">
        <v>0.9</v>
      </c>
      <c r="F428" s="2">
        <f t="shared" si="89"/>
        <v>3.600000000000001</v>
      </c>
      <c r="G428" s="17">
        <f t="shared" si="91"/>
        <v>0.15126666666666669</v>
      </c>
      <c r="H428" s="8">
        <f t="shared" si="87"/>
        <v>249040</v>
      </c>
      <c r="I428" s="9">
        <f t="shared" si="90"/>
        <v>14</v>
      </c>
      <c r="L428" s="2">
        <f t="shared" si="81"/>
        <v>249040</v>
      </c>
      <c r="M428" s="2">
        <f t="shared" si="82"/>
        <v>776</v>
      </c>
      <c r="N428" s="15">
        <f t="shared" si="83"/>
        <v>3757.254845840238</v>
      </c>
      <c r="O428" s="15">
        <f t="shared" si="84"/>
        <v>7035.9785490692611</v>
      </c>
      <c r="P428" s="16">
        <f>SUM($H$3:H428)</f>
        <v>40284230</v>
      </c>
      <c r="Q428" s="2">
        <f>SUM($I$3:I428)</f>
        <v>2552</v>
      </c>
    </row>
    <row r="429" spans="1:17" x14ac:dyDescent="0.3">
      <c r="A429" s="7">
        <f t="shared" si="88"/>
        <v>427</v>
      </c>
      <c r="B429" s="2">
        <f t="shared" si="88"/>
        <v>777</v>
      </c>
      <c r="C429" s="14">
        <f t="shared" si="85"/>
        <v>3787.3477536432811</v>
      </c>
      <c r="D429" s="14">
        <f t="shared" si="86"/>
        <v>7075.3294638760217</v>
      </c>
      <c r="E429" s="2">
        <v>0.9</v>
      </c>
      <c r="F429" s="2">
        <f t="shared" si="89"/>
        <v>3.600000000000001</v>
      </c>
      <c r="G429" s="17">
        <f t="shared" si="91"/>
        <v>0.1517</v>
      </c>
      <c r="H429" s="8">
        <f t="shared" si="87"/>
        <v>249830</v>
      </c>
      <c r="I429" s="9">
        <f t="shared" si="90"/>
        <v>14</v>
      </c>
      <c r="L429" s="2">
        <f t="shared" si="81"/>
        <v>249830</v>
      </c>
      <c r="M429" s="2">
        <f t="shared" si="82"/>
        <v>777</v>
      </c>
      <c r="N429" s="15">
        <f t="shared" si="83"/>
        <v>3787.3477536432811</v>
      </c>
      <c r="O429" s="15">
        <f t="shared" si="84"/>
        <v>7075.3294638760217</v>
      </c>
      <c r="P429" s="16">
        <f>SUM($H$3:H429)</f>
        <v>40534060</v>
      </c>
      <c r="Q429" s="2">
        <f>SUM($I$3:I429)</f>
        <v>2566</v>
      </c>
    </row>
    <row r="430" spans="1:17" x14ac:dyDescent="0.3">
      <c r="A430" s="7">
        <f t="shared" si="88"/>
        <v>428</v>
      </c>
      <c r="B430" s="2">
        <f t="shared" si="88"/>
        <v>778</v>
      </c>
      <c r="C430" s="14">
        <f t="shared" si="85"/>
        <v>3817.4880896286249</v>
      </c>
      <c r="D430" s="14">
        <f t="shared" si="86"/>
        <v>7114.8045149857589</v>
      </c>
      <c r="E430" s="2">
        <v>0.9</v>
      </c>
      <c r="F430" s="2">
        <f t="shared" si="89"/>
        <v>3.600000000000001</v>
      </c>
      <c r="G430" s="17">
        <f t="shared" si="91"/>
        <v>0.15213333333333334</v>
      </c>
      <c r="H430" s="8">
        <f t="shared" si="87"/>
        <v>250620</v>
      </c>
      <c r="I430" s="9">
        <f t="shared" si="90"/>
        <v>14</v>
      </c>
      <c r="L430" s="2">
        <f t="shared" si="81"/>
        <v>250620</v>
      </c>
      <c r="M430" s="2">
        <f t="shared" si="82"/>
        <v>778</v>
      </c>
      <c r="N430" s="15">
        <f t="shared" si="83"/>
        <v>3817.4880896286249</v>
      </c>
      <c r="O430" s="15">
        <f t="shared" si="84"/>
        <v>7114.8045149857589</v>
      </c>
      <c r="P430" s="16">
        <f>SUM($H$3:H430)</f>
        <v>40784680</v>
      </c>
      <c r="Q430" s="2">
        <f>SUM($I$3:I430)</f>
        <v>2580</v>
      </c>
    </row>
    <row r="431" spans="1:17" x14ac:dyDescent="0.3">
      <c r="A431" s="7">
        <f t="shared" si="88"/>
        <v>429</v>
      </c>
      <c r="B431" s="2">
        <f t="shared" si="88"/>
        <v>779</v>
      </c>
      <c r="C431" s="14">
        <f t="shared" si="85"/>
        <v>3847.6755571323633</v>
      </c>
      <c r="D431" s="14">
        <f t="shared" si="86"/>
        <v>7154.4031195874941</v>
      </c>
      <c r="E431" s="2">
        <v>0.9</v>
      </c>
      <c r="F431" s="2">
        <f t="shared" si="89"/>
        <v>3.600000000000001</v>
      </c>
      <c r="G431" s="17">
        <f t="shared" si="91"/>
        <v>0.15256666666666668</v>
      </c>
      <c r="H431" s="8">
        <f t="shared" si="87"/>
        <v>251410</v>
      </c>
      <c r="I431" s="9">
        <f t="shared" si="90"/>
        <v>14</v>
      </c>
      <c r="L431" s="2">
        <f t="shared" ref="L431:L494" si="92">H431</f>
        <v>251410</v>
      </c>
      <c r="M431" s="2">
        <f t="shared" ref="M431:M494" si="93">B431</f>
        <v>779</v>
      </c>
      <c r="N431" s="15">
        <f t="shared" ref="N431:N494" si="94">C431</f>
        <v>3847.6755571323633</v>
      </c>
      <c r="O431" s="15">
        <f t="shared" ref="O431:O494" si="95">D431</f>
        <v>7154.4031195874941</v>
      </c>
      <c r="P431" s="16">
        <f>SUM($H$3:H431)</f>
        <v>41036090</v>
      </c>
      <c r="Q431" s="2">
        <f>SUM($I$3:I431)</f>
        <v>2594</v>
      </c>
    </row>
    <row r="432" spans="1:17" x14ac:dyDescent="0.3">
      <c r="A432" s="7">
        <f t="shared" si="88"/>
        <v>430</v>
      </c>
      <c r="B432" s="2">
        <f t="shared" si="88"/>
        <v>780</v>
      </c>
      <c r="C432" s="14">
        <f t="shared" ref="C432:C495" si="96">9.525*(A432-300)^1.2 + 600</f>
        <v>3877.9098636334238</v>
      </c>
      <c r="D432" s="14">
        <f t="shared" ref="D432:D495" si="97">4.055*(A432-300)^1.4 + 3500</f>
        <v>7194.1247021103463</v>
      </c>
      <c r="E432" s="2">
        <v>0.9</v>
      </c>
      <c r="F432" s="2">
        <f t="shared" si="89"/>
        <v>3.600000000000001</v>
      </c>
      <c r="G432" s="17">
        <f t="shared" si="91"/>
        <v>0.15300000000000002</v>
      </c>
      <c r="H432" s="8">
        <f t="shared" ref="H432:H495" si="98">110000+(A432-250)*790</f>
        <v>252200</v>
      </c>
      <c r="I432" s="9">
        <f t="shared" si="90"/>
        <v>14</v>
      </c>
      <c r="L432" s="2">
        <f t="shared" si="92"/>
        <v>252200</v>
      </c>
      <c r="M432" s="2">
        <f t="shared" si="93"/>
        <v>780</v>
      </c>
      <c r="N432" s="15">
        <f t="shared" si="94"/>
        <v>3877.9098636334238</v>
      </c>
      <c r="O432" s="15">
        <f t="shared" si="95"/>
        <v>7194.1247021103463</v>
      </c>
      <c r="P432" s="16">
        <f>SUM($H$3:H432)</f>
        <v>41288290</v>
      </c>
      <c r="Q432" s="2">
        <f>SUM($I$3:I432)</f>
        <v>2608</v>
      </c>
    </row>
    <row r="433" spans="1:17" x14ac:dyDescent="0.3">
      <c r="A433" s="7">
        <f t="shared" si="88"/>
        <v>431</v>
      </c>
      <c r="B433" s="2">
        <f t="shared" si="88"/>
        <v>781</v>
      </c>
      <c r="C433" s="14">
        <f t="shared" si="96"/>
        <v>3908.1907206642745</v>
      </c>
      <c r="D433" s="14">
        <f t="shared" si="97"/>
        <v>7233.9686940785268</v>
      </c>
      <c r="E433" s="2">
        <v>0.9</v>
      </c>
      <c r="F433" s="2">
        <f t="shared" si="89"/>
        <v>3.600000000000001</v>
      </c>
      <c r="G433" s="17">
        <f t="shared" si="91"/>
        <v>0.15343333333333334</v>
      </c>
      <c r="H433" s="8">
        <f t="shared" si="98"/>
        <v>252990</v>
      </c>
      <c r="I433" s="9">
        <f t="shared" si="90"/>
        <v>14</v>
      </c>
      <c r="L433" s="2">
        <f t="shared" si="92"/>
        <v>252990</v>
      </c>
      <c r="M433" s="2">
        <f t="shared" si="93"/>
        <v>781</v>
      </c>
      <c r="N433" s="15">
        <f t="shared" si="94"/>
        <v>3908.1907206642745</v>
      </c>
      <c r="O433" s="15">
        <f t="shared" si="95"/>
        <v>7233.9686940785268</v>
      </c>
      <c r="P433" s="16">
        <f>SUM($H$3:H433)</f>
        <v>41541280</v>
      </c>
      <c r="Q433" s="2">
        <f>SUM($I$3:I433)</f>
        <v>2622</v>
      </c>
    </row>
    <row r="434" spans="1:17" x14ac:dyDescent="0.3">
      <c r="A434" s="7">
        <f t="shared" si="88"/>
        <v>432</v>
      </c>
      <c r="B434" s="2">
        <f t="shared" si="88"/>
        <v>782</v>
      </c>
      <c r="C434" s="14">
        <f t="shared" si="96"/>
        <v>3938.5178437242007</v>
      </c>
      <c r="D434" s="14">
        <f t="shared" si="97"/>
        <v>7273.9345339702959</v>
      </c>
      <c r="E434" s="2">
        <v>0.9</v>
      </c>
      <c r="F434" s="2">
        <f t="shared" si="89"/>
        <v>3.600000000000001</v>
      </c>
      <c r="G434" s="17">
        <f t="shared" si="91"/>
        <v>0.15386666666666671</v>
      </c>
      <c r="H434" s="8">
        <f t="shared" si="98"/>
        <v>253780</v>
      </c>
      <c r="I434" s="9">
        <f t="shared" si="90"/>
        <v>14</v>
      </c>
      <c r="L434" s="2">
        <f t="shared" si="92"/>
        <v>253780</v>
      </c>
      <c r="M434" s="2">
        <f t="shared" si="93"/>
        <v>782</v>
      </c>
      <c r="N434" s="15">
        <f t="shared" si="94"/>
        <v>3938.5178437242007</v>
      </c>
      <c r="O434" s="15">
        <f t="shared" si="95"/>
        <v>7273.9345339702959</v>
      </c>
      <c r="P434" s="16">
        <f>SUM($H$3:H434)</f>
        <v>41795060</v>
      </c>
      <c r="Q434" s="2">
        <f>SUM($I$3:I434)</f>
        <v>2636</v>
      </c>
    </row>
    <row r="435" spans="1:17" x14ac:dyDescent="0.3">
      <c r="A435" s="7">
        <f t="shared" si="88"/>
        <v>433</v>
      </c>
      <c r="B435" s="2">
        <f t="shared" si="88"/>
        <v>783</v>
      </c>
      <c r="C435" s="14">
        <f t="shared" si="96"/>
        <v>3968.8909521951014</v>
      </c>
      <c r="D435" s="14">
        <f t="shared" si="97"/>
        <v>7314.021667080764</v>
      </c>
      <c r="E435" s="2">
        <v>0.9</v>
      </c>
      <c r="F435" s="2">
        <f t="shared" si="89"/>
        <v>3.600000000000001</v>
      </c>
      <c r="G435" s="17">
        <f t="shared" si="91"/>
        <v>0.15430000000000002</v>
      </c>
      <c r="H435" s="8">
        <f t="shared" si="98"/>
        <v>254570</v>
      </c>
      <c r="I435" s="9">
        <f t="shared" si="90"/>
        <v>14</v>
      </c>
      <c r="L435" s="2">
        <f t="shared" si="92"/>
        <v>254570</v>
      </c>
      <c r="M435" s="2">
        <f t="shared" si="93"/>
        <v>783</v>
      </c>
      <c r="N435" s="15">
        <f t="shared" si="94"/>
        <v>3968.8909521951014</v>
      </c>
      <c r="O435" s="15">
        <f t="shared" si="95"/>
        <v>7314.021667080764</v>
      </c>
      <c r="P435" s="16">
        <f>SUM($H$3:H435)</f>
        <v>42049630</v>
      </c>
      <c r="Q435" s="2">
        <f>SUM($I$3:I435)</f>
        <v>2650</v>
      </c>
    </row>
    <row r="436" spans="1:17" x14ac:dyDescent="0.3">
      <c r="A436" s="7">
        <f t="shared" si="88"/>
        <v>434</v>
      </c>
      <c r="B436" s="2">
        <f t="shared" si="88"/>
        <v>784</v>
      </c>
      <c r="C436" s="14">
        <f t="shared" si="96"/>
        <v>3999.3097692596807</v>
      </c>
      <c r="D436" s="14">
        <f t="shared" si="97"/>
        <v>7354.2295453884281</v>
      </c>
      <c r="E436" s="2">
        <v>0.9</v>
      </c>
      <c r="F436" s="2">
        <f t="shared" si="89"/>
        <v>3.600000000000001</v>
      </c>
      <c r="G436" s="17">
        <f t="shared" si="91"/>
        <v>0.15473333333333333</v>
      </c>
      <c r="H436" s="8">
        <f t="shared" si="98"/>
        <v>255360</v>
      </c>
      <c r="I436" s="9">
        <f t="shared" si="90"/>
        <v>14</v>
      </c>
      <c r="L436" s="2">
        <f t="shared" si="92"/>
        <v>255360</v>
      </c>
      <c r="M436" s="2">
        <f t="shared" si="93"/>
        <v>784</v>
      </c>
      <c r="N436" s="15">
        <f t="shared" si="94"/>
        <v>3999.3097692596807</v>
      </c>
      <c r="O436" s="15">
        <f t="shared" si="95"/>
        <v>7354.2295453884281</v>
      </c>
      <c r="P436" s="16">
        <f>SUM($H$3:H436)</f>
        <v>42304990</v>
      </c>
      <c r="Q436" s="2">
        <f>SUM($I$3:I436)</f>
        <v>2664</v>
      </c>
    </row>
    <row r="437" spans="1:17" x14ac:dyDescent="0.3">
      <c r="A437" s="7">
        <f t="shared" si="88"/>
        <v>435</v>
      </c>
      <c r="B437" s="2">
        <f t="shared" si="88"/>
        <v>785</v>
      </c>
      <c r="C437" s="14">
        <f t="shared" si="96"/>
        <v>4029.7740218219783</v>
      </c>
      <c r="D437" s="14">
        <f t="shared" si="97"/>
        <v>7394.5576274253181</v>
      </c>
      <c r="E437" s="2">
        <v>0.9</v>
      </c>
      <c r="F437" s="2">
        <f t="shared" si="89"/>
        <v>3.600000000000001</v>
      </c>
      <c r="G437" s="17">
        <f t="shared" si="91"/>
        <v>0.15516666666666667</v>
      </c>
      <c r="H437" s="8">
        <f t="shared" si="98"/>
        <v>256150</v>
      </c>
      <c r="I437" s="9">
        <f t="shared" si="90"/>
        <v>14</v>
      </c>
      <c r="L437" s="2">
        <f t="shared" si="92"/>
        <v>256150</v>
      </c>
      <c r="M437" s="2">
        <f t="shared" si="93"/>
        <v>785</v>
      </c>
      <c r="N437" s="15">
        <f t="shared" si="94"/>
        <v>4029.7740218219783</v>
      </c>
      <c r="O437" s="15">
        <f t="shared" si="95"/>
        <v>7394.5576274253181</v>
      </c>
      <c r="P437" s="16">
        <f>SUM($H$3:H437)</f>
        <v>42561140</v>
      </c>
      <c r="Q437" s="2">
        <f>SUM($I$3:I437)</f>
        <v>2678</v>
      </c>
    </row>
    <row r="438" spans="1:17" x14ac:dyDescent="0.3">
      <c r="A438" s="7">
        <f t="shared" si="88"/>
        <v>436</v>
      </c>
      <c r="B438" s="2">
        <f t="shared" si="88"/>
        <v>786</v>
      </c>
      <c r="C438" s="14">
        <f t="shared" si="96"/>
        <v>4060.283440430102</v>
      </c>
      <c r="D438" s="14">
        <f t="shared" si="97"/>
        <v>7435.0053781505449</v>
      </c>
      <c r="E438" s="2">
        <v>0.9</v>
      </c>
      <c r="F438" s="2">
        <f t="shared" si="89"/>
        <v>3.600000000000001</v>
      </c>
      <c r="G438" s="17">
        <f t="shared" si="91"/>
        <v>0.15559999999999999</v>
      </c>
      <c r="H438" s="8">
        <f t="shared" si="98"/>
        <v>256940</v>
      </c>
      <c r="I438" s="9">
        <f t="shared" si="90"/>
        <v>14</v>
      </c>
      <c r="L438" s="2">
        <f t="shared" si="92"/>
        <v>256940</v>
      </c>
      <c r="M438" s="2">
        <f t="shared" si="93"/>
        <v>786</v>
      </c>
      <c r="N438" s="15">
        <f t="shared" si="94"/>
        <v>4060.283440430102</v>
      </c>
      <c r="O438" s="15">
        <f t="shared" si="95"/>
        <v>7435.0053781505449</v>
      </c>
      <c r="P438" s="16">
        <f>SUM($H$3:H438)</f>
        <v>42818080</v>
      </c>
      <c r="Q438" s="2">
        <f>SUM($I$3:I438)</f>
        <v>2692</v>
      </c>
    </row>
    <row r="439" spans="1:17" x14ac:dyDescent="0.3">
      <c r="A439" s="7">
        <f t="shared" si="88"/>
        <v>437</v>
      </c>
      <c r="B439" s="2">
        <f t="shared" si="88"/>
        <v>787</v>
      </c>
      <c r="C439" s="14">
        <f t="shared" si="96"/>
        <v>4090.8377592011684</v>
      </c>
      <c r="D439" s="14">
        <f t="shared" si="97"/>
        <v>7475.5722688272772</v>
      </c>
      <c r="E439" s="2">
        <v>0.9</v>
      </c>
      <c r="F439" s="2">
        <f t="shared" si="89"/>
        <v>3.600000000000001</v>
      </c>
      <c r="G439" s="17">
        <f t="shared" si="91"/>
        <v>0.15603333333333336</v>
      </c>
      <c r="H439" s="8">
        <f t="shared" si="98"/>
        <v>257730</v>
      </c>
      <c r="I439" s="9">
        <f t="shared" si="90"/>
        <v>14</v>
      </c>
      <c r="L439" s="2">
        <f t="shared" si="92"/>
        <v>257730</v>
      </c>
      <c r="M439" s="2">
        <f t="shared" si="93"/>
        <v>787</v>
      </c>
      <c r="N439" s="15">
        <f t="shared" si="94"/>
        <v>4090.8377592011684</v>
      </c>
      <c r="O439" s="15">
        <f t="shared" si="95"/>
        <v>7475.5722688272772</v>
      </c>
      <c r="P439" s="16">
        <f>SUM($H$3:H439)</f>
        <v>43075810</v>
      </c>
      <c r="Q439" s="2">
        <f>SUM($I$3:I439)</f>
        <v>2706</v>
      </c>
    </row>
    <row r="440" spans="1:17" x14ac:dyDescent="0.3">
      <c r="A440" s="7">
        <f t="shared" si="88"/>
        <v>438</v>
      </c>
      <c r="B440" s="2">
        <f t="shared" si="88"/>
        <v>788</v>
      </c>
      <c r="C440" s="14">
        <f t="shared" si="96"/>
        <v>4121.436715748293</v>
      </c>
      <c r="D440" s="14">
        <f t="shared" si="97"/>
        <v>7516.2577769029158</v>
      </c>
      <c r="E440" s="2">
        <v>0.9</v>
      </c>
      <c r="F440" s="2">
        <f t="shared" si="89"/>
        <v>3.600000000000001</v>
      </c>
      <c r="G440" s="17">
        <f t="shared" si="91"/>
        <v>0.15646666666666667</v>
      </c>
      <c r="H440" s="8">
        <f t="shared" si="98"/>
        <v>258520</v>
      </c>
      <c r="I440" s="9">
        <f t="shared" si="90"/>
        <v>14</v>
      </c>
      <c r="L440" s="2">
        <f t="shared" si="92"/>
        <v>258520</v>
      </c>
      <c r="M440" s="2">
        <f t="shared" si="93"/>
        <v>788</v>
      </c>
      <c r="N440" s="15">
        <f t="shared" si="94"/>
        <v>4121.436715748293</v>
      </c>
      <c r="O440" s="15">
        <f t="shared" si="95"/>
        <v>7516.2577769029158</v>
      </c>
      <c r="P440" s="16">
        <f>SUM($H$3:H440)</f>
        <v>43334330</v>
      </c>
      <c r="Q440" s="2">
        <f>SUM($I$3:I440)</f>
        <v>2720</v>
      </c>
    </row>
    <row r="441" spans="1:17" x14ac:dyDescent="0.3">
      <c r="A441" s="7">
        <f t="shared" si="88"/>
        <v>439</v>
      </c>
      <c r="B441" s="2">
        <f t="shared" si="88"/>
        <v>789</v>
      </c>
      <c r="C441" s="14">
        <f t="shared" si="96"/>
        <v>4152.0800511095977</v>
      </c>
      <c r="D441" s="14">
        <f t="shared" si="97"/>
        <v>7557.0613858923934</v>
      </c>
      <c r="E441" s="2">
        <v>0.9</v>
      </c>
      <c r="F441" s="2">
        <f t="shared" si="89"/>
        <v>3.600000000000001</v>
      </c>
      <c r="G441" s="17">
        <f t="shared" si="91"/>
        <v>0.15690000000000001</v>
      </c>
      <c r="H441" s="8">
        <f t="shared" si="98"/>
        <v>259310</v>
      </c>
      <c r="I441" s="9">
        <f t="shared" si="90"/>
        <v>14</v>
      </c>
      <c r="L441" s="2">
        <f t="shared" si="92"/>
        <v>259310</v>
      </c>
      <c r="M441" s="2">
        <f t="shared" si="93"/>
        <v>789</v>
      </c>
      <c r="N441" s="15">
        <f t="shared" si="94"/>
        <v>4152.0800511095977</v>
      </c>
      <c r="O441" s="15">
        <f t="shared" si="95"/>
        <v>7557.0613858923934</v>
      </c>
      <c r="P441" s="16">
        <f>SUM($H$3:H441)</f>
        <v>43593640</v>
      </c>
      <c r="Q441" s="2">
        <f>SUM($I$3:I441)</f>
        <v>2734</v>
      </c>
    </row>
    <row r="442" spans="1:17" x14ac:dyDescent="0.3">
      <c r="A442" s="7">
        <f t="shared" si="88"/>
        <v>440</v>
      </c>
      <c r="B442" s="2">
        <f t="shared" si="88"/>
        <v>790</v>
      </c>
      <c r="C442" s="14">
        <f t="shared" si="96"/>
        <v>4182.7675096791827</v>
      </c>
      <c r="D442" s="14">
        <f t="shared" si="97"/>
        <v>7597.982585264539</v>
      </c>
      <c r="E442" s="2">
        <v>0.9</v>
      </c>
      <c r="F442" s="2">
        <f t="shared" si="89"/>
        <v>3.8000000000000012</v>
      </c>
      <c r="G442" s="17">
        <f t="shared" si="91"/>
        <v>0.15733333333333333</v>
      </c>
      <c r="H442" s="8">
        <f t="shared" si="98"/>
        <v>260100</v>
      </c>
      <c r="I442" s="9">
        <f t="shared" si="90"/>
        <v>14</v>
      </c>
      <c r="L442" s="2">
        <f t="shared" si="92"/>
        <v>260100</v>
      </c>
      <c r="M442" s="2">
        <f t="shared" si="93"/>
        <v>790</v>
      </c>
      <c r="N442" s="15">
        <f t="shared" si="94"/>
        <v>4182.7675096791827</v>
      </c>
      <c r="O442" s="15">
        <f t="shared" si="95"/>
        <v>7597.982585264539</v>
      </c>
      <c r="P442" s="16">
        <f>SUM($H$3:H442)</f>
        <v>43853740</v>
      </c>
      <c r="Q442" s="2">
        <f>SUM($I$3:I442)</f>
        <v>2748</v>
      </c>
    </row>
    <row r="443" spans="1:17" x14ac:dyDescent="0.3">
      <c r="A443" s="7">
        <f t="shared" si="88"/>
        <v>441</v>
      </c>
      <c r="B443" s="2">
        <f t="shared" si="88"/>
        <v>791</v>
      </c>
      <c r="C443" s="14">
        <f t="shared" si="96"/>
        <v>4213.4988391399365</v>
      </c>
      <c r="D443" s="14">
        <f t="shared" si="97"/>
        <v>7639.0208703313165</v>
      </c>
      <c r="E443" s="2">
        <v>0.9</v>
      </c>
      <c r="F443" s="2">
        <f t="shared" si="89"/>
        <v>3.8000000000000012</v>
      </c>
      <c r="G443" s="17">
        <f t="shared" si="91"/>
        <v>0.15776666666666669</v>
      </c>
      <c r="H443" s="8">
        <f t="shared" si="98"/>
        <v>260890</v>
      </c>
      <c r="I443" s="9">
        <f t="shared" si="90"/>
        <v>14</v>
      </c>
      <c r="L443" s="2">
        <f t="shared" si="92"/>
        <v>260890</v>
      </c>
      <c r="M443" s="2">
        <f t="shared" si="93"/>
        <v>791</v>
      </c>
      <c r="N443" s="15">
        <f t="shared" si="94"/>
        <v>4213.4988391399365</v>
      </c>
      <c r="O443" s="15">
        <f t="shared" si="95"/>
        <v>7639.0208703313165</v>
      </c>
      <c r="P443" s="16">
        <f>SUM($H$3:H443)</f>
        <v>44114630</v>
      </c>
      <c r="Q443" s="2">
        <f>SUM($I$3:I443)</f>
        <v>2762</v>
      </c>
    </row>
    <row r="444" spans="1:17" x14ac:dyDescent="0.3">
      <c r="A444" s="7">
        <f t="shared" si="88"/>
        <v>442</v>
      </c>
      <c r="B444" s="2">
        <f t="shared" si="88"/>
        <v>792</v>
      </c>
      <c r="C444" s="14">
        <f t="shared" si="96"/>
        <v>4244.273790398187</v>
      </c>
      <c r="D444" s="14">
        <f t="shared" si="97"/>
        <v>7680.1757421399288</v>
      </c>
      <c r="E444" s="2">
        <v>0.9</v>
      </c>
      <c r="F444" s="2">
        <f t="shared" si="89"/>
        <v>3.8000000000000012</v>
      </c>
      <c r="G444" s="17">
        <f t="shared" si="91"/>
        <v>0.15820000000000001</v>
      </c>
      <c r="H444" s="8">
        <f t="shared" si="98"/>
        <v>261680</v>
      </c>
      <c r="I444" s="9">
        <f t="shared" si="90"/>
        <v>14</v>
      </c>
      <c r="L444" s="2">
        <f t="shared" si="92"/>
        <v>261680</v>
      </c>
      <c r="M444" s="2">
        <f t="shared" si="93"/>
        <v>792</v>
      </c>
      <c r="N444" s="15">
        <f t="shared" si="94"/>
        <v>4244.273790398187</v>
      </c>
      <c r="O444" s="15">
        <f t="shared" si="95"/>
        <v>7680.1757421399288</v>
      </c>
      <c r="P444" s="16">
        <f>SUM($H$3:H444)</f>
        <v>44376310</v>
      </c>
      <c r="Q444" s="2">
        <f>SUM($I$3:I444)</f>
        <v>2776</v>
      </c>
    </row>
    <row r="445" spans="1:17" x14ac:dyDescent="0.3">
      <c r="A445" s="7">
        <f t="shared" si="88"/>
        <v>443</v>
      </c>
      <c r="B445" s="2">
        <f t="shared" si="88"/>
        <v>793</v>
      </c>
      <c r="C445" s="14">
        <f t="shared" si="96"/>
        <v>4275.0921175200947</v>
      </c>
      <c r="D445" s="14">
        <f t="shared" si="97"/>
        <v>7721.4467073676569</v>
      </c>
      <c r="E445" s="2">
        <v>0.9</v>
      </c>
      <c r="F445" s="2">
        <f t="shared" si="89"/>
        <v>3.8000000000000012</v>
      </c>
      <c r="G445" s="17">
        <f t="shared" si="91"/>
        <v>0.15863333333333335</v>
      </c>
      <c r="H445" s="8">
        <f t="shared" si="98"/>
        <v>262470</v>
      </c>
      <c r="I445" s="9">
        <f t="shared" si="90"/>
        <v>14</v>
      </c>
      <c r="L445" s="2">
        <f t="shared" si="92"/>
        <v>262470</v>
      </c>
      <c r="M445" s="2">
        <f t="shared" si="93"/>
        <v>793</v>
      </c>
      <c r="N445" s="15">
        <f t="shared" si="94"/>
        <v>4275.0921175200947</v>
      </c>
      <c r="O445" s="15">
        <f t="shared" si="95"/>
        <v>7721.4467073676569</v>
      </c>
      <c r="P445" s="16">
        <f>SUM($H$3:H445)</f>
        <v>44638780</v>
      </c>
      <c r="Q445" s="2">
        <f>SUM($I$3:I445)</f>
        <v>2790</v>
      </c>
    </row>
    <row r="446" spans="1:17" x14ac:dyDescent="0.3">
      <c r="A446" s="7">
        <f t="shared" si="88"/>
        <v>444</v>
      </c>
      <c r="B446" s="2">
        <f t="shared" si="88"/>
        <v>794</v>
      </c>
      <c r="C446" s="14">
        <f t="shared" si="96"/>
        <v>4305.9535776697448</v>
      </c>
      <c r="D446" s="14">
        <f t="shared" si="97"/>
        <v>7762.8332782193675</v>
      </c>
      <c r="E446" s="2">
        <v>0.9</v>
      </c>
      <c r="F446" s="2">
        <f t="shared" si="89"/>
        <v>3.8000000000000012</v>
      </c>
      <c r="G446" s="17">
        <f t="shared" si="91"/>
        <v>0.15906666666666666</v>
      </c>
      <c r="H446" s="8">
        <f t="shared" si="98"/>
        <v>263260</v>
      </c>
      <c r="I446" s="9">
        <f t="shared" si="90"/>
        <v>14</v>
      </c>
      <c r="L446" s="2">
        <f t="shared" si="92"/>
        <v>263260</v>
      </c>
      <c r="M446" s="2">
        <f t="shared" si="93"/>
        <v>794</v>
      </c>
      <c r="N446" s="15">
        <f t="shared" si="94"/>
        <v>4305.9535776697448</v>
      </c>
      <c r="O446" s="15">
        <f t="shared" si="95"/>
        <v>7762.8332782193675</v>
      </c>
      <c r="P446" s="16">
        <f>SUM($H$3:H446)</f>
        <v>44902040</v>
      </c>
      <c r="Q446" s="2">
        <f>SUM($I$3:I446)</f>
        <v>2804</v>
      </c>
    </row>
    <row r="447" spans="1:17" x14ac:dyDescent="0.3">
      <c r="A447" s="7">
        <f t="shared" si="88"/>
        <v>445</v>
      </c>
      <c r="B447" s="2">
        <f t="shared" si="88"/>
        <v>795</v>
      </c>
      <c r="C447" s="14">
        <f t="shared" si="96"/>
        <v>4336.857931048844</v>
      </c>
      <c r="D447" s="14">
        <f t="shared" si="97"/>
        <v>7804.3349723275251</v>
      </c>
      <c r="E447" s="2">
        <v>0.9</v>
      </c>
      <c r="F447" s="2">
        <f t="shared" si="89"/>
        <v>3.8000000000000012</v>
      </c>
      <c r="G447" s="17">
        <f t="shared" si="91"/>
        <v>0.15950000000000003</v>
      </c>
      <c r="H447" s="8">
        <f t="shared" si="98"/>
        <v>264050</v>
      </c>
      <c r="I447" s="9">
        <f t="shared" si="90"/>
        <v>14</v>
      </c>
      <c r="L447" s="2">
        <f t="shared" si="92"/>
        <v>264050</v>
      </c>
      <c r="M447" s="2">
        <f t="shared" si="93"/>
        <v>795</v>
      </c>
      <c r="N447" s="15">
        <f t="shared" si="94"/>
        <v>4336.857931048844</v>
      </c>
      <c r="O447" s="15">
        <f t="shared" si="95"/>
        <v>7804.3349723275251</v>
      </c>
      <c r="P447" s="16">
        <f>SUM($H$3:H447)</f>
        <v>45166090</v>
      </c>
      <c r="Q447" s="2">
        <f>SUM($I$3:I447)</f>
        <v>2818</v>
      </c>
    </row>
    <row r="448" spans="1:17" x14ac:dyDescent="0.3">
      <c r="A448" s="7">
        <f t="shared" si="88"/>
        <v>446</v>
      </c>
      <c r="B448" s="2">
        <f t="shared" si="88"/>
        <v>796</v>
      </c>
      <c r="C448" s="14">
        <f t="shared" si="96"/>
        <v>4367.804940838043</v>
      </c>
      <c r="D448" s="14">
        <f t="shared" si="97"/>
        <v>7845.9513126547727</v>
      </c>
      <c r="E448" s="2">
        <v>0.9</v>
      </c>
      <c r="F448" s="2">
        <f t="shared" si="89"/>
        <v>3.8000000000000012</v>
      </c>
      <c r="G448" s="17">
        <f t="shared" si="91"/>
        <v>0.15993333333333334</v>
      </c>
      <c r="H448" s="8">
        <f t="shared" si="98"/>
        <v>264840</v>
      </c>
      <c r="I448" s="9">
        <f t="shared" si="90"/>
        <v>14</v>
      </c>
      <c r="L448" s="2">
        <f t="shared" si="92"/>
        <v>264840</v>
      </c>
      <c r="M448" s="2">
        <f t="shared" si="93"/>
        <v>796</v>
      </c>
      <c r="N448" s="15">
        <f t="shared" si="94"/>
        <v>4367.804940838043</v>
      </c>
      <c r="O448" s="15">
        <f t="shared" si="95"/>
        <v>7845.9513126547727</v>
      </c>
      <c r="P448" s="16">
        <f>SUM($H$3:H448)</f>
        <v>45430930</v>
      </c>
      <c r="Q448" s="2">
        <f>SUM($I$3:I448)</f>
        <v>2832</v>
      </c>
    </row>
    <row r="449" spans="1:17" x14ac:dyDescent="0.3">
      <c r="A449" s="7">
        <f t="shared" si="88"/>
        <v>447</v>
      </c>
      <c r="B449" s="2">
        <f t="shared" si="88"/>
        <v>797</v>
      </c>
      <c r="C449" s="14">
        <f t="shared" si="96"/>
        <v>4398.7943731397454</v>
      </c>
      <c r="D449" s="14">
        <f t="shared" si="97"/>
        <v>7887.6818273988447</v>
      </c>
      <c r="E449" s="2">
        <v>0.9</v>
      </c>
      <c r="F449" s="2">
        <f t="shared" si="89"/>
        <v>3.8000000000000012</v>
      </c>
      <c r="G449" s="17">
        <f t="shared" si="91"/>
        <v>0.16036666666666669</v>
      </c>
      <c r="H449" s="8">
        <f t="shared" si="98"/>
        <v>265630</v>
      </c>
      <c r="I449" s="9">
        <f t="shared" si="90"/>
        <v>14</v>
      </c>
      <c r="L449" s="2">
        <f t="shared" si="92"/>
        <v>265630</v>
      </c>
      <c r="M449" s="2">
        <f t="shared" si="93"/>
        <v>797</v>
      </c>
      <c r="N449" s="15">
        <f t="shared" si="94"/>
        <v>4398.7943731397454</v>
      </c>
      <c r="O449" s="15">
        <f t="shared" si="95"/>
        <v>7887.6818273988447</v>
      </c>
      <c r="P449" s="16">
        <f>SUM($H$3:H449)</f>
        <v>45696560</v>
      </c>
      <c r="Q449" s="2">
        <f>SUM($I$3:I449)</f>
        <v>2846</v>
      </c>
    </row>
    <row r="450" spans="1:17" x14ac:dyDescent="0.3">
      <c r="A450" s="7">
        <f t="shared" si="88"/>
        <v>448</v>
      </c>
      <c r="B450" s="2">
        <f t="shared" si="88"/>
        <v>798</v>
      </c>
      <c r="C450" s="14">
        <f t="shared" si="96"/>
        <v>4429.8259969224309</v>
      </c>
      <c r="D450" s="14">
        <f t="shared" si="97"/>
        <v>7929.526049899875</v>
      </c>
      <c r="E450" s="2">
        <v>0.9</v>
      </c>
      <c r="F450" s="2">
        <f t="shared" si="89"/>
        <v>3.8000000000000012</v>
      </c>
      <c r="G450" s="17">
        <f t="shared" si="91"/>
        <v>0.1608</v>
      </c>
      <c r="H450" s="8">
        <f t="shared" si="98"/>
        <v>266420</v>
      </c>
      <c r="I450" s="9">
        <f t="shared" si="90"/>
        <v>14</v>
      </c>
      <c r="L450" s="2">
        <f t="shared" si="92"/>
        <v>266420</v>
      </c>
      <c r="M450" s="2">
        <f t="shared" si="93"/>
        <v>798</v>
      </c>
      <c r="N450" s="15">
        <f t="shared" si="94"/>
        <v>4429.8259969224309</v>
      </c>
      <c r="O450" s="15">
        <f t="shared" si="95"/>
        <v>7929.526049899875</v>
      </c>
      <c r="P450" s="16">
        <f>SUM($H$3:H450)</f>
        <v>45962980</v>
      </c>
      <c r="Q450" s="2">
        <f>SUM($I$3:I450)</f>
        <v>2860</v>
      </c>
    </row>
    <row r="451" spans="1:17" x14ac:dyDescent="0.3">
      <c r="A451" s="7">
        <f t="shared" si="88"/>
        <v>449</v>
      </c>
      <c r="B451" s="2">
        <f t="shared" si="88"/>
        <v>799</v>
      </c>
      <c r="C451" s="14">
        <f t="shared" si="96"/>
        <v>4460.8995839663912</v>
      </c>
      <c r="D451" s="14">
        <f t="shared" si="97"/>
        <v>7971.4835185499087</v>
      </c>
      <c r="E451" s="2">
        <v>0.9</v>
      </c>
      <c r="F451" s="2">
        <f t="shared" si="89"/>
        <v>3.8000000000000012</v>
      </c>
      <c r="G451" s="17">
        <f t="shared" si="91"/>
        <v>0.16123333333333337</v>
      </c>
      <c r="H451" s="8">
        <f t="shared" si="98"/>
        <v>267210</v>
      </c>
      <c r="I451" s="9">
        <f t="shared" si="90"/>
        <v>14</v>
      </c>
      <c r="L451" s="2">
        <f t="shared" si="92"/>
        <v>267210</v>
      </c>
      <c r="M451" s="2">
        <f t="shared" si="93"/>
        <v>799</v>
      </c>
      <c r="N451" s="15">
        <f t="shared" si="94"/>
        <v>4460.8995839663912</v>
      </c>
      <c r="O451" s="15">
        <f t="shared" si="95"/>
        <v>7971.4835185499087</v>
      </c>
      <c r="P451" s="16">
        <f>SUM($H$3:H451)</f>
        <v>46230190</v>
      </c>
      <c r="Q451" s="2">
        <f>SUM($I$3:I451)</f>
        <v>2874</v>
      </c>
    </row>
    <row r="452" spans="1:17" x14ac:dyDescent="0.3">
      <c r="A452" s="7">
        <f t="shared" si="88"/>
        <v>450</v>
      </c>
      <c r="B452" s="2">
        <f t="shared" si="88"/>
        <v>800</v>
      </c>
      <c r="C452" s="14">
        <f t="shared" si="96"/>
        <v>4492.0149088108392</v>
      </c>
      <c r="D452" s="14">
        <f t="shared" si="97"/>
        <v>8013.5537767046344</v>
      </c>
      <c r="E452" s="2">
        <v>0.9</v>
      </c>
      <c r="F452" s="2">
        <f t="shared" si="89"/>
        <v>3.8000000000000012</v>
      </c>
      <c r="G452" s="17">
        <f t="shared" si="91"/>
        <v>0.16166666666666668</v>
      </c>
      <c r="H452" s="8">
        <f t="shared" si="98"/>
        <v>268000</v>
      </c>
      <c r="I452" s="9">
        <f t="shared" si="90"/>
        <v>15</v>
      </c>
      <c r="L452" s="2">
        <f t="shared" si="92"/>
        <v>268000</v>
      </c>
      <c r="M452" s="2">
        <f t="shared" si="93"/>
        <v>800</v>
      </c>
      <c r="N452" s="15">
        <f t="shared" si="94"/>
        <v>4492.0149088108392</v>
      </c>
      <c r="O452" s="15">
        <f t="shared" si="95"/>
        <v>8013.5537767046344</v>
      </c>
      <c r="P452" s="16">
        <f>SUM($H$3:H452)</f>
        <v>46498190</v>
      </c>
      <c r="Q452" s="2">
        <f>SUM($I$3:I452)</f>
        <v>2889</v>
      </c>
    </row>
    <row r="453" spans="1:17" x14ac:dyDescent="0.3">
      <c r="A453" s="7">
        <f t="shared" ref="A453:B516" si="99">A452+1</f>
        <v>451</v>
      </c>
      <c r="B453" s="2">
        <f t="shared" si="99"/>
        <v>801</v>
      </c>
      <c r="C453" s="14">
        <f t="shared" si="96"/>
        <v>4523.1717487024034</v>
      </c>
      <c r="D453" s="14">
        <f t="shared" si="97"/>
        <v>8055.7363725972273</v>
      </c>
      <c r="E453" s="2">
        <v>0.9</v>
      </c>
      <c r="F453" s="2">
        <f t="shared" si="89"/>
        <v>3.8000000000000012</v>
      </c>
      <c r="G453" s="17">
        <f t="shared" si="91"/>
        <v>0.16210000000000002</v>
      </c>
      <c r="H453" s="8">
        <f t="shared" si="98"/>
        <v>268790</v>
      </c>
      <c r="I453" s="9">
        <f t="shared" si="90"/>
        <v>15</v>
      </c>
      <c r="L453" s="2">
        <f t="shared" si="92"/>
        <v>268790</v>
      </c>
      <c r="M453" s="2">
        <f t="shared" si="93"/>
        <v>801</v>
      </c>
      <c r="N453" s="15">
        <f t="shared" si="94"/>
        <v>4523.1717487024034</v>
      </c>
      <c r="O453" s="15">
        <f t="shared" si="95"/>
        <v>8055.7363725972273</v>
      </c>
      <c r="P453" s="16">
        <f>SUM($H$3:H453)</f>
        <v>46766980</v>
      </c>
      <c r="Q453" s="2">
        <f>SUM($I$3:I453)</f>
        <v>2904</v>
      </c>
    </row>
    <row r="454" spans="1:17" x14ac:dyDescent="0.3">
      <c r="A454" s="7">
        <f t="shared" si="99"/>
        <v>452</v>
      </c>
      <c r="B454" s="2">
        <f t="shared" si="99"/>
        <v>802</v>
      </c>
      <c r="C454" s="14">
        <f t="shared" si="96"/>
        <v>4554.3698835448486</v>
      </c>
      <c r="D454" s="14">
        <f t="shared" si="97"/>
        <v>8098.0308592542624</v>
      </c>
      <c r="E454" s="2">
        <v>0.9</v>
      </c>
      <c r="F454" s="2">
        <f t="shared" si="89"/>
        <v>3.8000000000000012</v>
      </c>
      <c r="G454" s="17">
        <f t="shared" si="91"/>
        <v>0.16253333333333334</v>
      </c>
      <c r="H454" s="8">
        <f t="shared" si="98"/>
        <v>269580</v>
      </c>
      <c r="I454" s="9">
        <f t="shared" si="90"/>
        <v>15</v>
      </c>
      <c r="L454" s="2">
        <f t="shared" si="92"/>
        <v>269580</v>
      </c>
      <c r="M454" s="2">
        <f t="shared" si="93"/>
        <v>802</v>
      </c>
      <c r="N454" s="15">
        <f t="shared" si="94"/>
        <v>4554.3698835448486</v>
      </c>
      <c r="O454" s="15">
        <f t="shared" si="95"/>
        <v>8098.0308592542624</v>
      </c>
      <c r="P454" s="16">
        <f>SUM($H$3:H454)</f>
        <v>47036560</v>
      </c>
      <c r="Q454" s="2">
        <f>SUM($I$3:I454)</f>
        <v>2919</v>
      </c>
    </row>
    <row r="455" spans="1:17" x14ac:dyDescent="0.3">
      <c r="A455" s="7">
        <f t="shared" si="99"/>
        <v>453</v>
      </c>
      <c r="B455" s="2">
        <f t="shared" si="99"/>
        <v>803</v>
      </c>
      <c r="C455" s="14">
        <f t="shared" si="96"/>
        <v>4585.6090958501318</v>
      </c>
      <c r="D455" s="14">
        <f t="shared" si="97"/>
        <v>8140.4367944135947</v>
      </c>
      <c r="E455" s="2">
        <v>0.9</v>
      </c>
      <c r="F455" s="2">
        <f t="shared" si="89"/>
        <v>3.8000000000000012</v>
      </c>
      <c r="G455" s="17">
        <f t="shared" si="91"/>
        <v>0.1629666666666667</v>
      </c>
      <c r="H455" s="8">
        <f t="shared" si="98"/>
        <v>270370</v>
      </c>
      <c r="I455" s="9">
        <f t="shared" si="90"/>
        <v>15</v>
      </c>
      <c r="L455" s="2">
        <f t="shared" si="92"/>
        <v>270370</v>
      </c>
      <c r="M455" s="2">
        <f t="shared" si="93"/>
        <v>803</v>
      </c>
      <c r="N455" s="15">
        <f t="shared" si="94"/>
        <v>4585.6090958501318</v>
      </c>
      <c r="O455" s="15">
        <f t="shared" si="95"/>
        <v>8140.4367944135947</v>
      </c>
      <c r="P455" s="16">
        <f>SUM($H$3:H455)</f>
        <v>47306930</v>
      </c>
      <c r="Q455" s="2">
        <f>SUM($I$3:I455)</f>
        <v>2934</v>
      </c>
    </row>
    <row r="456" spans="1:17" x14ac:dyDescent="0.3">
      <c r="A456" s="7">
        <f t="shared" si="99"/>
        <v>454</v>
      </c>
      <c r="B456" s="2">
        <f t="shared" si="99"/>
        <v>804</v>
      </c>
      <c r="C456" s="14">
        <f t="shared" si="96"/>
        <v>4616.8891706906197</v>
      </c>
      <c r="D456" s="14">
        <f t="shared" si="97"/>
        <v>8182.9537404442153</v>
      </c>
      <c r="E456" s="2">
        <v>0.9</v>
      </c>
      <c r="F456" s="2">
        <f t="shared" si="89"/>
        <v>3.8000000000000012</v>
      </c>
      <c r="G456" s="17">
        <f t="shared" si="91"/>
        <v>0.16340000000000002</v>
      </c>
      <c r="H456" s="8">
        <f t="shared" si="98"/>
        <v>271160</v>
      </c>
      <c r="I456" s="9">
        <f t="shared" si="90"/>
        <v>15</v>
      </c>
      <c r="L456" s="2">
        <f t="shared" si="92"/>
        <v>271160</v>
      </c>
      <c r="M456" s="2">
        <f t="shared" si="93"/>
        <v>804</v>
      </c>
      <c r="N456" s="15">
        <f t="shared" si="94"/>
        <v>4616.8891706906197</v>
      </c>
      <c r="O456" s="15">
        <f t="shared" si="95"/>
        <v>8182.9537404442153</v>
      </c>
      <c r="P456" s="16">
        <f>SUM($H$3:H456)</f>
        <v>47578090</v>
      </c>
      <c r="Q456" s="2">
        <f>SUM($I$3:I456)</f>
        <v>2949</v>
      </c>
    </row>
    <row r="457" spans="1:17" x14ac:dyDescent="0.3">
      <c r="A457" s="7">
        <f t="shared" si="99"/>
        <v>455</v>
      </c>
      <c r="B457" s="2">
        <f t="shared" si="99"/>
        <v>805</v>
      </c>
      <c r="C457" s="14">
        <f t="shared" si="96"/>
        <v>4648.2098956525024</v>
      </c>
      <c r="D457" s="14">
        <f t="shared" si="97"/>
        <v>8225.5812642679193</v>
      </c>
      <c r="E457" s="2">
        <v>0.9</v>
      </c>
      <c r="F457" s="2">
        <f t="shared" si="89"/>
        <v>3.8000000000000012</v>
      </c>
      <c r="G457" s="17">
        <f t="shared" si="91"/>
        <v>0.16383333333333336</v>
      </c>
      <c r="H457" s="8">
        <f t="shared" si="98"/>
        <v>271950</v>
      </c>
      <c r="I457" s="9">
        <f t="shared" si="90"/>
        <v>15</v>
      </c>
      <c r="L457" s="2">
        <f t="shared" si="92"/>
        <v>271950</v>
      </c>
      <c r="M457" s="2">
        <f t="shared" si="93"/>
        <v>805</v>
      </c>
      <c r="N457" s="15">
        <f t="shared" si="94"/>
        <v>4648.2098956525024</v>
      </c>
      <c r="O457" s="15">
        <f t="shared" si="95"/>
        <v>8225.5812642679193</v>
      </c>
      <c r="P457" s="16">
        <f>SUM($H$3:H457)</f>
        <v>47850040</v>
      </c>
      <c r="Q457" s="2">
        <f>SUM($I$3:I457)</f>
        <v>2964</v>
      </c>
    </row>
    <row r="458" spans="1:17" x14ac:dyDescent="0.3">
      <c r="A458" s="7">
        <f t="shared" si="99"/>
        <v>456</v>
      </c>
      <c r="B458" s="2">
        <f t="shared" si="99"/>
        <v>806</v>
      </c>
      <c r="C458" s="14">
        <f t="shared" si="96"/>
        <v>4679.5710607903611</v>
      </c>
      <c r="D458" s="14">
        <f t="shared" si="97"/>
        <v>8268.3189372828856</v>
      </c>
      <c r="E458" s="2">
        <v>0.9</v>
      </c>
      <c r="F458" s="2">
        <f t="shared" si="89"/>
        <v>3.8000000000000012</v>
      </c>
      <c r="G458" s="17">
        <f t="shared" si="91"/>
        <v>0.16426666666666667</v>
      </c>
      <c r="H458" s="8">
        <f t="shared" si="98"/>
        <v>272740</v>
      </c>
      <c r="I458" s="9">
        <f t="shared" si="90"/>
        <v>15</v>
      </c>
      <c r="L458" s="2">
        <f t="shared" si="92"/>
        <v>272740</v>
      </c>
      <c r="M458" s="2">
        <f t="shared" si="93"/>
        <v>806</v>
      </c>
      <c r="N458" s="15">
        <f t="shared" si="94"/>
        <v>4679.5710607903611</v>
      </c>
      <c r="O458" s="15">
        <f t="shared" si="95"/>
        <v>8268.3189372828856</v>
      </c>
      <c r="P458" s="16">
        <f>SUM($H$3:H458)</f>
        <v>48122780</v>
      </c>
      <c r="Q458" s="2">
        <f>SUM($I$3:I458)</f>
        <v>2979</v>
      </c>
    </row>
    <row r="459" spans="1:17" x14ac:dyDescent="0.3">
      <c r="A459" s="7">
        <f t="shared" si="99"/>
        <v>457</v>
      </c>
      <c r="B459" s="2">
        <f t="shared" si="99"/>
        <v>807</v>
      </c>
      <c r="C459" s="14">
        <f t="shared" si="96"/>
        <v>4710.9724585828235</v>
      </c>
      <c r="D459" s="14">
        <f t="shared" si="97"/>
        <v>8311.1663352889336</v>
      </c>
      <c r="E459" s="2">
        <v>0.9</v>
      </c>
      <c r="F459" s="2">
        <f t="shared" ref="F459:F522" si="100">F439+0.2</f>
        <v>3.8000000000000012</v>
      </c>
      <c r="G459" s="17">
        <f t="shared" si="91"/>
        <v>0.16470000000000004</v>
      </c>
      <c r="H459" s="8">
        <f t="shared" si="98"/>
        <v>273530</v>
      </c>
      <c r="I459" s="9">
        <f t="shared" si="90"/>
        <v>15</v>
      </c>
      <c r="L459" s="2">
        <f t="shared" si="92"/>
        <v>273530</v>
      </c>
      <c r="M459" s="2">
        <f t="shared" si="93"/>
        <v>807</v>
      </c>
      <c r="N459" s="15">
        <f t="shared" si="94"/>
        <v>4710.9724585828235</v>
      </c>
      <c r="O459" s="15">
        <f t="shared" si="95"/>
        <v>8311.1663352889336</v>
      </c>
      <c r="P459" s="16">
        <f>SUM($H$3:H459)</f>
        <v>48396310</v>
      </c>
      <c r="Q459" s="2">
        <f>SUM($I$3:I459)</f>
        <v>2994</v>
      </c>
    </row>
    <row r="460" spans="1:17" x14ac:dyDescent="0.3">
      <c r="A460" s="7">
        <f t="shared" si="99"/>
        <v>458</v>
      </c>
      <c r="B460" s="2">
        <f t="shared" si="99"/>
        <v>808</v>
      </c>
      <c r="C460" s="14">
        <f t="shared" si="96"/>
        <v>4742.4138838893259</v>
      </c>
      <c r="D460" s="14">
        <f t="shared" si="97"/>
        <v>8354.1230384145547</v>
      </c>
      <c r="E460" s="2">
        <v>0.9</v>
      </c>
      <c r="F460" s="2">
        <f t="shared" si="100"/>
        <v>3.8000000000000012</v>
      </c>
      <c r="G460" s="17">
        <f t="shared" si="91"/>
        <v>0.16513333333333335</v>
      </c>
      <c r="H460" s="8">
        <f t="shared" si="98"/>
        <v>274320</v>
      </c>
      <c r="I460" s="9">
        <f t="shared" si="90"/>
        <v>15</v>
      </c>
      <c r="L460" s="2">
        <f t="shared" si="92"/>
        <v>274320</v>
      </c>
      <c r="M460" s="2">
        <f t="shared" si="93"/>
        <v>808</v>
      </c>
      <c r="N460" s="15">
        <f t="shared" si="94"/>
        <v>4742.4138838893259</v>
      </c>
      <c r="O460" s="15">
        <f t="shared" si="95"/>
        <v>8354.1230384145547</v>
      </c>
      <c r="P460" s="16">
        <f>SUM($H$3:H460)</f>
        <v>48670630</v>
      </c>
      <c r="Q460" s="2">
        <f>SUM($I$3:I460)</f>
        <v>3009</v>
      </c>
    </row>
    <row r="461" spans="1:17" x14ac:dyDescent="0.3">
      <c r="A461" s="7">
        <f t="shared" si="99"/>
        <v>459</v>
      </c>
      <c r="B461" s="2">
        <f t="shared" si="99"/>
        <v>809</v>
      </c>
      <c r="C461" s="14">
        <f t="shared" si="96"/>
        <v>4773.8951339078594</v>
      </c>
      <c r="D461" s="14">
        <f t="shared" si="97"/>
        <v>8397.1886310455666</v>
      </c>
      <c r="E461" s="2">
        <v>0.9</v>
      </c>
      <c r="F461" s="2">
        <f t="shared" si="100"/>
        <v>3.8000000000000012</v>
      </c>
      <c r="G461" s="17">
        <f t="shared" si="91"/>
        <v>0.16556666666666667</v>
      </c>
      <c r="H461" s="8">
        <f t="shared" si="98"/>
        <v>275110</v>
      </c>
      <c r="I461" s="9">
        <f t="shared" si="90"/>
        <v>15</v>
      </c>
      <c r="L461" s="2">
        <f t="shared" si="92"/>
        <v>275110</v>
      </c>
      <c r="M461" s="2">
        <f t="shared" si="93"/>
        <v>809</v>
      </c>
      <c r="N461" s="15">
        <f t="shared" si="94"/>
        <v>4773.8951339078594</v>
      </c>
      <c r="O461" s="15">
        <f t="shared" si="95"/>
        <v>8397.1886310455666</v>
      </c>
      <c r="P461" s="16">
        <f>SUM($H$3:H461)</f>
        <v>48945740</v>
      </c>
      <c r="Q461" s="2">
        <f>SUM($I$3:I461)</f>
        <v>3024</v>
      </c>
    </row>
    <row r="462" spans="1:17" x14ac:dyDescent="0.3">
      <c r="A462" s="7">
        <f t="shared" si="99"/>
        <v>460</v>
      </c>
      <c r="B462" s="2">
        <f t="shared" si="99"/>
        <v>810</v>
      </c>
      <c r="C462" s="14">
        <f t="shared" si="96"/>
        <v>4805.4160081337814</v>
      </c>
      <c r="D462" s="14">
        <f t="shared" si="97"/>
        <v>8440.3627017554409</v>
      </c>
      <c r="E462" s="2">
        <v>0.9</v>
      </c>
      <c r="F462" s="2">
        <f t="shared" si="100"/>
        <v>4.0000000000000009</v>
      </c>
      <c r="G462" s="17">
        <f t="shared" si="91"/>
        <v>0.16600000000000001</v>
      </c>
      <c r="H462" s="8">
        <f t="shared" si="98"/>
        <v>275900</v>
      </c>
      <c r="I462" s="9">
        <f t="shared" si="90"/>
        <v>15</v>
      </c>
      <c r="L462" s="2">
        <f t="shared" si="92"/>
        <v>275900</v>
      </c>
      <c r="M462" s="2">
        <f t="shared" si="93"/>
        <v>810</v>
      </c>
      <c r="N462" s="15">
        <f t="shared" si="94"/>
        <v>4805.4160081337814</v>
      </c>
      <c r="O462" s="15">
        <f t="shared" si="95"/>
        <v>8440.3627017554409</v>
      </c>
      <c r="P462" s="16">
        <f>SUM($H$3:H462)</f>
        <v>49221640</v>
      </c>
      <c r="Q462" s="2">
        <f>SUM($I$3:I462)</f>
        <v>3039</v>
      </c>
    </row>
    <row r="463" spans="1:17" x14ac:dyDescent="0.3">
      <c r="A463" s="7">
        <f t="shared" si="99"/>
        <v>461</v>
      </c>
      <c r="B463" s="2">
        <f t="shared" si="99"/>
        <v>811</v>
      </c>
      <c r="C463" s="14">
        <f t="shared" si="96"/>
        <v>4836.9763083195949</v>
      </c>
      <c r="D463" s="14">
        <f t="shared" si="97"/>
        <v>8483.6448432371471</v>
      </c>
      <c r="E463" s="2">
        <v>0.9</v>
      </c>
      <c r="F463" s="2">
        <f t="shared" si="100"/>
        <v>4.0000000000000009</v>
      </c>
      <c r="G463" s="17">
        <f t="shared" si="91"/>
        <v>0.16643333333333332</v>
      </c>
      <c r="H463" s="8">
        <f t="shared" si="98"/>
        <v>276690</v>
      </c>
      <c r="I463" s="9">
        <f t="shared" si="90"/>
        <v>15</v>
      </c>
      <c r="L463" s="2">
        <f t="shared" si="92"/>
        <v>276690</v>
      </c>
      <c r="M463" s="2">
        <f t="shared" si="93"/>
        <v>811</v>
      </c>
      <c r="N463" s="15">
        <f t="shared" si="94"/>
        <v>4836.9763083195949</v>
      </c>
      <c r="O463" s="15">
        <f t="shared" si="95"/>
        <v>8483.6448432371471</v>
      </c>
      <c r="P463" s="16">
        <f>SUM($H$3:H463)</f>
        <v>49498330</v>
      </c>
      <c r="Q463" s="2">
        <f>SUM($I$3:I463)</f>
        <v>3054</v>
      </c>
    </row>
    <row r="464" spans="1:17" x14ac:dyDescent="0.3">
      <c r="A464" s="7">
        <f t="shared" si="99"/>
        <v>462</v>
      </c>
      <c r="B464" s="2">
        <f t="shared" si="99"/>
        <v>812</v>
      </c>
      <c r="C464" s="14">
        <f t="shared" si="96"/>
        <v>4868.5758384356368</v>
      </c>
      <c r="D464" s="14">
        <f t="shared" si="97"/>
        <v>8527.0346522365253</v>
      </c>
      <c r="E464" s="2">
        <v>0.9</v>
      </c>
      <c r="F464" s="2">
        <f t="shared" si="100"/>
        <v>4.0000000000000009</v>
      </c>
      <c r="G464" s="17">
        <f t="shared" si="91"/>
        <v>0.16686666666666669</v>
      </c>
      <c r="H464" s="8">
        <f t="shared" si="98"/>
        <v>277480</v>
      </c>
      <c r="I464" s="9">
        <f t="shared" si="90"/>
        <v>15</v>
      </c>
      <c r="L464" s="2">
        <f t="shared" si="92"/>
        <v>277480</v>
      </c>
      <c r="M464" s="2">
        <f t="shared" si="93"/>
        <v>812</v>
      </c>
      <c r="N464" s="15">
        <f t="shared" si="94"/>
        <v>4868.5758384356368</v>
      </c>
      <c r="O464" s="15">
        <f t="shared" si="95"/>
        <v>8527.0346522365253</v>
      </c>
      <c r="P464" s="16">
        <f>SUM($H$3:H464)</f>
        <v>49775810</v>
      </c>
      <c r="Q464" s="2">
        <f>SUM($I$3:I464)</f>
        <v>3069</v>
      </c>
    </row>
    <row r="465" spans="1:17" x14ac:dyDescent="0.3">
      <c r="A465" s="7">
        <f t="shared" si="99"/>
        <v>463</v>
      </c>
      <c r="B465" s="2">
        <f t="shared" si="99"/>
        <v>813</v>
      </c>
      <c r="C465" s="14">
        <f t="shared" si="96"/>
        <v>4900.2144046317644</v>
      </c>
      <c r="D465" s="14">
        <f t="shared" si="97"/>
        <v>8570.5317294871929</v>
      </c>
      <c r="E465" s="2">
        <v>0.9</v>
      </c>
      <c r="F465" s="2">
        <f t="shared" si="100"/>
        <v>4.0000000000000009</v>
      </c>
      <c r="G465" s="17">
        <f t="shared" si="91"/>
        <v>0.1673</v>
      </c>
      <c r="H465" s="8">
        <f t="shared" si="98"/>
        <v>278270</v>
      </c>
      <c r="I465" s="9">
        <f t="shared" si="90"/>
        <v>15</v>
      </c>
      <c r="L465" s="2">
        <f t="shared" si="92"/>
        <v>278270</v>
      </c>
      <c r="M465" s="2">
        <f t="shared" si="93"/>
        <v>813</v>
      </c>
      <c r="N465" s="15">
        <f t="shared" si="94"/>
        <v>4900.2144046317644</v>
      </c>
      <c r="O465" s="15">
        <f t="shared" si="95"/>
        <v>8570.5317294871929</v>
      </c>
      <c r="P465" s="16">
        <f>SUM($H$3:H465)</f>
        <v>50054080</v>
      </c>
      <c r="Q465" s="2">
        <f>SUM($I$3:I465)</f>
        <v>3084</v>
      </c>
    </row>
    <row r="466" spans="1:17" x14ac:dyDescent="0.3">
      <c r="A466" s="7">
        <f t="shared" si="99"/>
        <v>464</v>
      </c>
      <c r="B466" s="2">
        <f t="shared" si="99"/>
        <v>814</v>
      </c>
      <c r="C466" s="14">
        <f t="shared" si="96"/>
        <v>4931.8918151998478</v>
      </c>
      <c r="D466" s="14">
        <f t="shared" si="97"/>
        <v>8614.1356796468317</v>
      </c>
      <c r="E466" s="2">
        <v>0.9</v>
      </c>
      <c r="F466" s="2">
        <f t="shared" si="100"/>
        <v>4.0000000000000009</v>
      </c>
      <c r="G466" s="17">
        <f t="shared" si="91"/>
        <v>0.16773333333333335</v>
      </c>
      <c r="H466" s="8">
        <f t="shared" si="98"/>
        <v>279060</v>
      </c>
      <c r="I466" s="9">
        <f t="shared" si="90"/>
        <v>15</v>
      </c>
      <c r="L466" s="2">
        <f t="shared" si="92"/>
        <v>279060</v>
      </c>
      <c r="M466" s="2">
        <f t="shared" si="93"/>
        <v>814</v>
      </c>
      <c r="N466" s="15">
        <f t="shared" si="94"/>
        <v>4931.8918151998478</v>
      </c>
      <c r="O466" s="15">
        <f t="shared" si="95"/>
        <v>8614.1356796468317</v>
      </c>
      <c r="P466" s="16">
        <f>SUM($H$3:H466)</f>
        <v>50333140</v>
      </c>
      <c r="Q466" s="2">
        <f>SUM($I$3:I466)</f>
        <v>3099</v>
      </c>
    </row>
    <row r="467" spans="1:17" x14ac:dyDescent="0.3">
      <c r="A467" s="7">
        <f t="shared" si="99"/>
        <v>465</v>
      </c>
      <c r="B467" s="2">
        <f t="shared" si="99"/>
        <v>815</v>
      </c>
      <c r="C467" s="14">
        <f t="shared" si="96"/>
        <v>4963.6078805371935</v>
      </c>
      <c r="D467" s="14">
        <f t="shared" si="97"/>
        <v>8657.8461112348996</v>
      </c>
      <c r="E467" s="2">
        <v>0.9</v>
      </c>
      <c r="F467" s="2">
        <f t="shared" si="100"/>
        <v>4.0000000000000009</v>
      </c>
      <c r="G467" s="17">
        <f t="shared" si="91"/>
        <v>0.16816666666666666</v>
      </c>
      <c r="H467" s="8">
        <f t="shared" si="98"/>
        <v>279850</v>
      </c>
      <c r="I467" s="9">
        <f t="shared" si="90"/>
        <v>15</v>
      </c>
      <c r="L467" s="2">
        <f t="shared" si="92"/>
        <v>279850</v>
      </c>
      <c r="M467" s="2">
        <f t="shared" si="93"/>
        <v>815</v>
      </c>
      <c r="N467" s="15">
        <f t="shared" si="94"/>
        <v>4963.6078805371935</v>
      </c>
      <c r="O467" s="15">
        <f t="shared" si="95"/>
        <v>8657.8461112348996</v>
      </c>
      <c r="P467" s="16">
        <f>SUM($H$3:H467)</f>
        <v>50612990</v>
      </c>
      <c r="Q467" s="2">
        <f>SUM($I$3:I467)</f>
        <v>3114</v>
      </c>
    </row>
    <row r="468" spans="1:17" x14ac:dyDescent="0.3">
      <c r="A468" s="7">
        <f t="shared" si="99"/>
        <v>466</v>
      </c>
      <c r="B468" s="2">
        <f t="shared" si="99"/>
        <v>816</v>
      </c>
      <c r="C468" s="14">
        <f t="shared" si="96"/>
        <v>4995.3624131108181</v>
      </c>
      <c r="D468" s="14">
        <f t="shared" si="97"/>
        <v>8701.6626365717311</v>
      </c>
      <c r="E468" s="2">
        <v>0.9</v>
      </c>
      <c r="F468" s="2">
        <f t="shared" si="100"/>
        <v>4.0000000000000009</v>
      </c>
      <c r="G468" s="17">
        <f t="shared" si="91"/>
        <v>0.16860000000000003</v>
      </c>
      <c r="H468" s="8">
        <f t="shared" si="98"/>
        <v>280640</v>
      </c>
      <c r="I468" s="9">
        <f t="shared" si="90"/>
        <v>15</v>
      </c>
      <c r="L468" s="2">
        <f t="shared" si="92"/>
        <v>280640</v>
      </c>
      <c r="M468" s="2">
        <f t="shared" si="93"/>
        <v>816</v>
      </c>
      <c r="N468" s="15">
        <f t="shared" si="94"/>
        <v>4995.3624131108181</v>
      </c>
      <c r="O468" s="15">
        <f t="shared" si="95"/>
        <v>8701.6626365717311</v>
      </c>
      <c r="P468" s="16">
        <f>SUM($H$3:H468)</f>
        <v>50893630</v>
      </c>
      <c r="Q468" s="2">
        <f>SUM($I$3:I468)</f>
        <v>3129</v>
      </c>
    </row>
    <row r="469" spans="1:17" x14ac:dyDescent="0.3">
      <c r="A469" s="7">
        <f t="shared" si="99"/>
        <v>467</v>
      </c>
      <c r="B469" s="2">
        <f t="shared" si="99"/>
        <v>817</v>
      </c>
      <c r="C469" s="14">
        <f t="shared" si="96"/>
        <v>5027.1552274224596</v>
      </c>
      <c r="D469" s="14">
        <f t="shared" si="97"/>
        <v>8745.5848717188837</v>
      </c>
      <c r="E469" s="2">
        <v>0.9</v>
      </c>
      <c r="F469" s="2">
        <f t="shared" si="100"/>
        <v>4.0000000000000009</v>
      </c>
      <c r="G469" s="17">
        <f t="shared" si="91"/>
        <v>0.16903333333333334</v>
      </c>
      <c r="H469" s="8">
        <f t="shared" si="98"/>
        <v>281430</v>
      </c>
      <c r="I469" s="9">
        <f t="shared" si="90"/>
        <v>15</v>
      </c>
      <c r="L469" s="2">
        <f t="shared" si="92"/>
        <v>281430</v>
      </c>
      <c r="M469" s="2">
        <f t="shared" si="93"/>
        <v>817</v>
      </c>
      <c r="N469" s="15">
        <f t="shared" si="94"/>
        <v>5027.1552274224596</v>
      </c>
      <c r="O469" s="15">
        <f t="shared" si="95"/>
        <v>8745.5848717188837</v>
      </c>
      <c r="P469" s="16">
        <f>SUM($H$3:H469)</f>
        <v>51175060</v>
      </c>
      <c r="Q469" s="2">
        <f>SUM($I$3:I469)</f>
        <v>3144</v>
      </c>
    </row>
    <row r="470" spans="1:17" x14ac:dyDescent="0.3">
      <c r="A470" s="7">
        <f t="shared" si="99"/>
        <v>468</v>
      </c>
      <c r="B470" s="2">
        <f t="shared" si="99"/>
        <v>818</v>
      </c>
      <c r="C470" s="14">
        <f t="shared" si="96"/>
        <v>5058.9861399744968</v>
      </c>
      <c r="D470" s="14">
        <f t="shared" si="97"/>
        <v>8789.6124364208572</v>
      </c>
      <c r="E470" s="2">
        <v>0.9</v>
      </c>
      <c r="F470" s="2">
        <f t="shared" si="100"/>
        <v>4.0000000000000009</v>
      </c>
      <c r="G470" s="17">
        <f t="shared" si="91"/>
        <v>0.16946666666666668</v>
      </c>
      <c r="H470" s="8">
        <f t="shared" si="98"/>
        <v>282220</v>
      </c>
      <c r="I470" s="9">
        <f t="shared" si="90"/>
        <v>15</v>
      </c>
      <c r="L470" s="2">
        <f t="shared" si="92"/>
        <v>282220</v>
      </c>
      <c r="M470" s="2">
        <f t="shared" si="93"/>
        <v>818</v>
      </c>
      <c r="N470" s="15">
        <f t="shared" si="94"/>
        <v>5058.9861399744968</v>
      </c>
      <c r="O470" s="15">
        <f t="shared" si="95"/>
        <v>8789.6124364208572</v>
      </c>
      <c r="P470" s="16">
        <f>SUM($H$3:H470)</f>
        <v>51457280</v>
      </c>
      <c r="Q470" s="2">
        <f>SUM($I$3:I470)</f>
        <v>3159</v>
      </c>
    </row>
    <row r="471" spans="1:17" x14ac:dyDescent="0.3">
      <c r="A471" s="7">
        <f t="shared" si="99"/>
        <v>469</v>
      </c>
      <c r="B471" s="2">
        <f t="shared" si="99"/>
        <v>819</v>
      </c>
      <c r="C471" s="14">
        <f t="shared" si="96"/>
        <v>5090.8549692365586</v>
      </c>
      <c r="D471" s="14">
        <f t="shared" si="97"/>
        <v>8833.7449540480338</v>
      </c>
      <c r="E471" s="2">
        <v>0.9</v>
      </c>
      <c r="F471" s="2">
        <f t="shared" si="100"/>
        <v>4.0000000000000009</v>
      </c>
      <c r="G471" s="17">
        <f t="shared" si="91"/>
        <v>0.1699</v>
      </c>
      <c r="H471" s="8">
        <f t="shared" si="98"/>
        <v>283010</v>
      </c>
      <c r="I471" s="9">
        <f t="shared" si="90"/>
        <v>15</v>
      </c>
      <c r="L471" s="2">
        <f t="shared" si="92"/>
        <v>283010</v>
      </c>
      <c r="M471" s="2">
        <f t="shared" si="93"/>
        <v>819</v>
      </c>
      <c r="N471" s="15">
        <f t="shared" si="94"/>
        <v>5090.8549692365586</v>
      </c>
      <c r="O471" s="15">
        <f t="shared" si="95"/>
        <v>8833.7449540480338</v>
      </c>
      <c r="P471" s="16">
        <f>SUM($H$3:H471)</f>
        <v>51740290</v>
      </c>
      <c r="Q471" s="2">
        <f>SUM($I$3:I471)</f>
        <v>3174</v>
      </c>
    </row>
    <row r="472" spans="1:17" x14ac:dyDescent="0.3">
      <c r="A472" s="7">
        <f t="shared" si="99"/>
        <v>470</v>
      </c>
      <c r="B472" s="2">
        <f t="shared" si="99"/>
        <v>820</v>
      </c>
      <c r="C472" s="14">
        <f t="shared" si="96"/>
        <v>5122.7615356129072</v>
      </c>
      <c r="D472" s="14">
        <f t="shared" si="97"/>
        <v>8877.9820515407901</v>
      </c>
      <c r="E472" s="2">
        <v>0.9</v>
      </c>
      <c r="F472" s="2">
        <f t="shared" si="100"/>
        <v>4.0000000000000009</v>
      </c>
      <c r="G472" s="17">
        <f t="shared" si="91"/>
        <v>0.17033333333333336</v>
      </c>
      <c r="H472" s="8">
        <f t="shared" si="98"/>
        <v>283800</v>
      </c>
      <c r="I472" s="9">
        <f t="shared" si="90"/>
        <v>15</v>
      </c>
      <c r="L472" s="2">
        <f t="shared" si="92"/>
        <v>283800</v>
      </c>
      <c r="M472" s="2">
        <f t="shared" si="93"/>
        <v>820</v>
      </c>
      <c r="N472" s="15">
        <f t="shared" si="94"/>
        <v>5122.7615356129072</v>
      </c>
      <c r="O472" s="15">
        <f t="shared" si="95"/>
        <v>8877.9820515407901</v>
      </c>
      <c r="P472" s="16">
        <f>SUM($H$3:H472)</f>
        <v>52024090</v>
      </c>
      <c r="Q472" s="2">
        <f>SUM($I$3:I472)</f>
        <v>3189</v>
      </c>
    </row>
    <row r="473" spans="1:17" x14ac:dyDescent="0.3">
      <c r="A473" s="7">
        <f t="shared" si="99"/>
        <v>471</v>
      </c>
      <c r="B473" s="2">
        <f t="shared" si="99"/>
        <v>821</v>
      </c>
      <c r="C473" s="14">
        <f t="shared" si="96"/>
        <v>5154.7056614105586</v>
      </c>
      <c r="D473" s="14">
        <f t="shared" si="97"/>
        <v>8922.3233593548466</v>
      </c>
      <c r="E473" s="2">
        <v>0.9</v>
      </c>
      <c r="F473" s="2">
        <f t="shared" si="100"/>
        <v>4.0000000000000009</v>
      </c>
      <c r="G473" s="17">
        <f t="shared" si="91"/>
        <v>0.17076666666666668</v>
      </c>
      <c r="H473" s="8">
        <f t="shared" si="98"/>
        <v>284590</v>
      </c>
      <c r="I473" s="9">
        <f t="shared" si="90"/>
        <v>15</v>
      </c>
      <c r="L473" s="2">
        <f t="shared" si="92"/>
        <v>284590</v>
      </c>
      <c r="M473" s="2">
        <f t="shared" si="93"/>
        <v>821</v>
      </c>
      <c r="N473" s="15">
        <f t="shared" si="94"/>
        <v>5154.7056614105586</v>
      </c>
      <c r="O473" s="15">
        <f t="shared" si="95"/>
        <v>8922.3233593548466</v>
      </c>
      <c r="P473" s="16">
        <f>SUM($H$3:H473)</f>
        <v>52308680</v>
      </c>
      <c r="Q473" s="2">
        <f>SUM($I$3:I473)</f>
        <v>3204</v>
      </c>
    </row>
    <row r="474" spans="1:17" x14ac:dyDescent="0.3">
      <c r="A474" s="7">
        <f t="shared" si="99"/>
        <v>472</v>
      </c>
      <c r="B474" s="2">
        <f t="shared" si="99"/>
        <v>822</v>
      </c>
      <c r="C474" s="14">
        <f t="shared" si="96"/>
        <v>5186.6871708081071</v>
      </c>
      <c r="D474" s="14">
        <f t="shared" si="97"/>
        <v>8966.7685114077758</v>
      </c>
      <c r="E474" s="2">
        <v>0.9</v>
      </c>
      <c r="F474" s="2">
        <f t="shared" si="100"/>
        <v>4.0000000000000009</v>
      </c>
      <c r="G474" s="17">
        <f t="shared" si="91"/>
        <v>0.17120000000000002</v>
      </c>
      <c r="H474" s="8">
        <f t="shared" si="98"/>
        <v>285380</v>
      </c>
      <c r="I474" s="9">
        <f t="shared" si="90"/>
        <v>15</v>
      </c>
      <c r="L474" s="2">
        <f t="shared" si="92"/>
        <v>285380</v>
      </c>
      <c r="M474" s="2">
        <f t="shared" si="93"/>
        <v>822</v>
      </c>
      <c r="N474" s="15">
        <f t="shared" si="94"/>
        <v>5186.6871708081071</v>
      </c>
      <c r="O474" s="15">
        <f t="shared" si="95"/>
        <v>8966.7685114077758</v>
      </c>
      <c r="P474" s="16">
        <f>SUM($H$3:H474)</f>
        <v>52594060</v>
      </c>
      <c r="Q474" s="2">
        <f>SUM($I$3:I474)</f>
        <v>3219</v>
      </c>
    </row>
    <row r="475" spans="1:17" x14ac:dyDescent="0.3">
      <c r="A475" s="7">
        <f t="shared" si="99"/>
        <v>473</v>
      </c>
      <c r="B475" s="2">
        <f t="shared" si="99"/>
        <v>823</v>
      </c>
      <c r="C475" s="14">
        <f t="shared" si="96"/>
        <v>5218.7058898252653</v>
      </c>
      <c r="D475" s="14">
        <f t="shared" si="97"/>
        <v>9011.3171450265872</v>
      </c>
      <c r="E475" s="2">
        <v>0.9</v>
      </c>
      <c r="F475" s="2">
        <f t="shared" si="100"/>
        <v>4.0000000000000009</v>
      </c>
      <c r="G475" s="17">
        <f t="shared" si="91"/>
        <v>0.17163333333333333</v>
      </c>
      <c r="H475" s="8">
        <f t="shared" si="98"/>
        <v>286170</v>
      </c>
      <c r="I475" s="9">
        <f t="shared" si="90"/>
        <v>15</v>
      </c>
      <c r="L475" s="2">
        <f t="shared" si="92"/>
        <v>286170</v>
      </c>
      <c r="M475" s="2">
        <f t="shared" si="93"/>
        <v>823</v>
      </c>
      <c r="N475" s="15">
        <f t="shared" si="94"/>
        <v>5218.7058898252653</v>
      </c>
      <c r="O475" s="15">
        <f t="shared" si="95"/>
        <v>9011.3171450265872</v>
      </c>
      <c r="P475" s="16">
        <f>SUM($H$3:H475)</f>
        <v>52880230</v>
      </c>
      <c r="Q475" s="2">
        <f>SUM($I$3:I475)</f>
        <v>3234</v>
      </c>
    </row>
    <row r="476" spans="1:17" x14ac:dyDescent="0.3">
      <c r="A476" s="7">
        <f t="shared" si="99"/>
        <v>474</v>
      </c>
      <c r="B476" s="2">
        <f t="shared" si="99"/>
        <v>824</v>
      </c>
      <c r="C476" s="14">
        <f t="shared" si="96"/>
        <v>5250.7616462929891</v>
      </c>
      <c r="D476" s="14">
        <f t="shared" si="97"/>
        <v>9055.9689008964233</v>
      </c>
      <c r="E476" s="2">
        <v>0.9</v>
      </c>
      <c r="F476" s="2">
        <f t="shared" si="100"/>
        <v>4.0000000000000009</v>
      </c>
      <c r="G476" s="17">
        <f t="shared" si="91"/>
        <v>0.1720666666666667</v>
      </c>
      <c r="H476" s="8">
        <f t="shared" si="98"/>
        <v>286960</v>
      </c>
      <c r="I476" s="9">
        <f t="shared" si="90"/>
        <v>15</v>
      </c>
      <c r="L476" s="2">
        <f t="shared" si="92"/>
        <v>286960</v>
      </c>
      <c r="M476" s="2">
        <f t="shared" si="93"/>
        <v>824</v>
      </c>
      <c r="N476" s="15">
        <f t="shared" si="94"/>
        <v>5250.7616462929891</v>
      </c>
      <c r="O476" s="15">
        <f t="shared" si="95"/>
        <v>9055.9689008964233</v>
      </c>
      <c r="P476" s="16">
        <f>SUM($H$3:H476)</f>
        <v>53167190</v>
      </c>
      <c r="Q476" s="2">
        <f>SUM($I$3:I476)</f>
        <v>3249</v>
      </c>
    </row>
    <row r="477" spans="1:17" x14ac:dyDescent="0.3">
      <c r="A477" s="7">
        <f t="shared" si="99"/>
        <v>475</v>
      </c>
      <c r="B477" s="2">
        <f t="shared" si="99"/>
        <v>825</v>
      </c>
      <c r="C477" s="14">
        <f t="shared" si="96"/>
        <v>5282.8542698243664</v>
      </c>
      <c r="D477" s="14">
        <f t="shared" si="97"/>
        <v>9100.7234230103495</v>
      </c>
      <c r="E477" s="2">
        <v>0.9</v>
      </c>
      <c r="F477" s="2">
        <f t="shared" si="100"/>
        <v>4.0000000000000009</v>
      </c>
      <c r="G477" s="17">
        <f t="shared" si="91"/>
        <v>0.17250000000000001</v>
      </c>
      <c r="H477" s="8">
        <f t="shared" si="98"/>
        <v>287750</v>
      </c>
      <c r="I477" s="9">
        <f t="shared" si="90"/>
        <v>16</v>
      </c>
      <c r="L477" s="2">
        <f t="shared" si="92"/>
        <v>287750</v>
      </c>
      <c r="M477" s="2">
        <f t="shared" si="93"/>
        <v>825</v>
      </c>
      <c r="N477" s="15">
        <f t="shared" si="94"/>
        <v>5282.8542698243664</v>
      </c>
      <c r="O477" s="15">
        <f t="shared" si="95"/>
        <v>9100.7234230103495</v>
      </c>
      <c r="P477" s="16">
        <f>SUM($H$3:H477)</f>
        <v>53454940</v>
      </c>
      <c r="Q477" s="2">
        <f>SUM($I$3:I477)</f>
        <v>3265</v>
      </c>
    </row>
    <row r="478" spans="1:17" x14ac:dyDescent="0.3">
      <c r="A478" s="7">
        <f t="shared" si="99"/>
        <v>476</v>
      </c>
      <c r="B478" s="2">
        <f t="shared" si="99"/>
        <v>826</v>
      </c>
      <c r="C478" s="14">
        <f t="shared" si="96"/>
        <v>5314.9835917860582</v>
      </c>
      <c r="D478" s="14">
        <f t="shared" si="97"/>
        <v>9145.5803586201018</v>
      </c>
      <c r="E478" s="2">
        <v>0.9</v>
      </c>
      <c r="F478" s="2">
        <f t="shared" si="100"/>
        <v>4.0000000000000009</v>
      </c>
      <c r="G478" s="17">
        <f t="shared" si="91"/>
        <v>0.17293333333333336</v>
      </c>
      <c r="H478" s="8">
        <f t="shared" si="98"/>
        <v>288540</v>
      </c>
      <c r="I478" s="9">
        <f t="shared" si="90"/>
        <v>16</v>
      </c>
      <c r="L478" s="2">
        <f t="shared" si="92"/>
        <v>288540</v>
      </c>
      <c r="M478" s="2">
        <f t="shared" si="93"/>
        <v>826</v>
      </c>
      <c r="N478" s="15">
        <f t="shared" si="94"/>
        <v>5314.9835917860582</v>
      </c>
      <c r="O478" s="15">
        <f t="shared" si="95"/>
        <v>9145.5803586201018</v>
      </c>
      <c r="P478" s="16">
        <f>SUM($H$3:H478)</f>
        <v>53743480</v>
      </c>
      <c r="Q478" s="2">
        <f>SUM($I$3:I478)</f>
        <v>3281</v>
      </c>
    </row>
    <row r="479" spans="1:17" x14ac:dyDescent="0.3">
      <c r="A479" s="7">
        <f t="shared" si="99"/>
        <v>477</v>
      </c>
      <c r="B479" s="2">
        <f t="shared" si="99"/>
        <v>827</v>
      </c>
      <c r="C479" s="14">
        <f t="shared" si="96"/>
        <v>5347.1494452704164</v>
      </c>
      <c r="D479" s="14">
        <f t="shared" si="97"/>
        <v>9190.5393581879562</v>
      </c>
      <c r="E479" s="2">
        <v>0.9</v>
      </c>
      <c r="F479" s="2">
        <f t="shared" si="100"/>
        <v>4.0000000000000009</v>
      </c>
      <c r="G479" s="17">
        <f t="shared" si="91"/>
        <v>0.17336666666666667</v>
      </c>
      <c r="H479" s="8">
        <f t="shared" si="98"/>
        <v>289330</v>
      </c>
      <c r="I479" s="9">
        <f t="shared" si="90"/>
        <v>16</v>
      </c>
      <c r="L479" s="2">
        <f t="shared" si="92"/>
        <v>289330</v>
      </c>
      <c r="M479" s="2">
        <f t="shared" si="93"/>
        <v>827</v>
      </c>
      <c r="N479" s="15">
        <f t="shared" si="94"/>
        <v>5347.1494452704164</v>
      </c>
      <c r="O479" s="15">
        <f t="shared" si="95"/>
        <v>9190.5393581879562</v>
      </c>
      <c r="P479" s="16">
        <f>SUM($H$3:H479)</f>
        <v>54032810</v>
      </c>
      <c r="Q479" s="2">
        <f>SUM($I$3:I479)</f>
        <v>3297</v>
      </c>
    </row>
    <row r="480" spans="1:17" x14ac:dyDescent="0.3">
      <c r="A480" s="7">
        <f t="shared" si="99"/>
        <v>478</v>
      </c>
      <c r="B480" s="2">
        <f t="shared" si="99"/>
        <v>828</v>
      </c>
      <c r="C480" s="14">
        <f t="shared" si="96"/>
        <v>5379.3516650681231</v>
      </c>
      <c r="D480" s="14">
        <f t="shared" si="97"/>
        <v>9235.6000753394583</v>
      </c>
      <c r="E480" s="2">
        <v>0.9</v>
      </c>
      <c r="F480" s="2">
        <f t="shared" si="100"/>
        <v>4.0000000000000009</v>
      </c>
      <c r="G480" s="17">
        <f t="shared" si="91"/>
        <v>0.17380000000000004</v>
      </c>
      <c r="H480" s="8">
        <f t="shared" si="98"/>
        <v>290120</v>
      </c>
      <c r="I480" s="9">
        <f t="shared" si="90"/>
        <v>16</v>
      </c>
      <c r="L480" s="2">
        <f t="shared" si="92"/>
        <v>290120</v>
      </c>
      <c r="M480" s="2">
        <f t="shared" si="93"/>
        <v>828</v>
      </c>
      <c r="N480" s="15">
        <f t="shared" si="94"/>
        <v>5379.3516650681231</v>
      </c>
      <c r="O480" s="15">
        <f t="shared" si="95"/>
        <v>9235.6000753394583</v>
      </c>
      <c r="P480" s="16">
        <f>SUM($H$3:H480)</f>
        <v>54322930</v>
      </c>
      <c r="Q480" s="2">
        <f>SUM($I$3:I480)</f>
        <v>3313</v>
      </c>
    </row>
    <row r="481" spans="1:17" x14ac:dyDescent="0.3">
      <c r="A481" s="7">
        <f t="shared" si="99"/>
        <v>479</v>
      </c>
      <c r="B481" s="2">
        <f t="shared" si="99"/>
        <v>829</v>
      </c>
      <c r="C481" s="14">
        <f t="shared" si="96"/>
        <v>5411.5900876414844</v>
      </c>
      <c r="D481" s="14">
        <f t="shared" si="97"/>
        <v>9280.7621668171923</v>
      </c>
      <c r="E481" s="2">
        <v>0.9</v>
      </c>
      <c r="F481" s="2">
        <f t="shared" si="100"/>
        <v>4.0000000000000009</v>
      </c>
      <c r="G481" s="17">
        <f t="shared" si="91"/>
        <v>0.17423333333333335</v>
      </c>
      <c r="H481" s="8">
        <f t="shared" si="98"/>
        <v>290910</v>
      </c>
      <c r="I481" s="9">
        <f t="shared" si="90"/>
        <v>16</v>
      </c>
      <c r="L481" s="2">
        <f t="shared" si="92"/>
        <v>290910</v>
      </c>
      <c r="M481" s="2">
        <f t="shared" si="93"/>
        <v>829</v>
      </c>
      <c r="N481" s="15">
        <f t="shared" si="94"/>
        <v>5411.5900876414844</v>
      </c>
      <c r="O481" s="15">
        <f t="shared" si="95"/>
        <v>9280.7621668171923</v>
      </c>
      <c r="P481" s="16">
        <f>SUM($H$3:H481)</f>
        <v>54613840</v>
      </c>
      <c r="Q481" s="2">
        <f>SUM($I$3:I481)</f>
        <v>3329</v>
      </c>
    </row>
    <row r="482" spans="1:17" x14ac:dyDescent="0.3">
      <c r="A482" s="7">
        <f t="shared" si="99"/>
        <v>480</v>
      </c>
      <c r="B482" s="2">
        <f t="shared" si="99"/>
        <v>830</v>
      </c>
      <c r="C482" s="14">
        <f t="shared" si="96"/>
        <v>5443.8645510982797</v>
      </c>
      <c r="D482" s="14">
        <f t="shared" si="97"/>
        <v>9326.0252924354354</v>
      </c>
      <c r="E482" s="2">
        <v>0.9</v>
      </c>
      <c r="F482" s="2">
        <f t="shared" si="100"/>
        <v>4.2000000000000011</v>
      </c>
      <c r="G482" s="17">
        <f t="shared" si="91"/>
        <v>0.17466666666666669</v>
      </c>
      <c r="H482" s="8">
        <f t="shared" si="98"/>
        <v>291700</v>
      </c>
      <c r="I482" s="9">
        <f t="shared" si="90"/>
        <v>16</v>
      </c>
      <c r="L482" s="2">
        <f t="shared" si="92"/>
        <v>291700</v>
      </c>
      <c r="M482" s="2">
        <f t="shared" si="93"/>
        <v>830</v>
      </c>
      <c r="N482" s="15">
        <f t="shared" si="94"/>
        <v>5443.8645510982797</v>
      </c>
      <c r="O482" s="15">
        <f t="shared" si="95"/>
        <v>9326.0252924354354</v>
      </c>
      <c r="P482" s="16">
        <f>SUM($H$3:H482)</f>
        <v>54905540</v>
      </c>
      <c r="Q482" s="2">
        <f>SUM($I$3:I482)</f>
        <v>3345</v>
      </c>
    </row>
    <row r="483" spans="1:17" x14ac:dyDescent="0.3">
      <c r="A483" s="7">
        <f t="shared" si="99"/>
        <v>481</v>
      </c>
      <c r="B483" s="2">
        <f t="shared" si="99"/>
        <v>831</v>
      </c>
      <c r="C483" s="14">
        <f t="shared" si="96"/>
        <v>5476.1748951661193</v>
      </c>
      <c r="D483" s="14">
        <f t="shared" si="97"/>
        <v>9371.3891150357704</v>
      </c>
      <c r="E483" s="2">
        <v>0.9</v>
      </c>
      <c r="F483" s="2">
        <f t="shared" si="100"/>
        <v>4.2000000000000011</v>
      </c>
      <c r="G483" s="17">
        <f t="shared" si="91"/>
        <v>0.17510000000000001</v>
      </c>
      <c r="H483" s="8">
        <f t="shared" si="98"/>
        <v>292490</v>
      </c>
      <c r="I483" s="9">
        <f t="shared" si="90"/>
        <v>16</v>
      </c>
      <c r="L483" s="2">
        <f t="shared" si="92"/>
        <v>292490</v>
      </c>
      <c r="M483" s="2">
        <f t="shared" si="93"/>
        <v>831</v>
      </c>
      <c r="N483" s="15">
        <f t="shared" si="94"/>
        <v>5476.1748951661193</v>
      </c>
      <c r="O483" s="15">
        <f t="shared" si="95"/>
        <v>9371.3891150357704</v>
      </c>
      <c r="P483" s="16">
        <f>SUM($H$3:H483)</f>
        <v>55198030</v>
      </c>
      <c r="Q483" s="2">
        <f>SUM($I$3:I483)</f>
        <v>3361</v>
      </c>
    </row>
    <row r="484" spans="1:17" x14ac:dyDescent="0.3">
      <c r="A484" s="7">
        <f t="shared" si="99"/>
        <v>482</v>
      </c>
      <c r="B484" s="2">
        <f t="shared" si="99"/>
        <v>832</v>
      </c>
      <c r="C484" s="14">
        <f t="shared" si="96"/>
        <v>5508.5209611673999</v>
      </c>
      <c r="D484" s="14">
        <f t="shared" si="97"/>
        <v>9416.853300443503</v>
      </c>
      <c r="E484" s="2">
        <v>0.9</v>
      </c>
      <c r="F484" s="2">
        <f t="shared" si="100"/>
        <v>4.2000000000000011</v>
      </c>
      <c r="G484" s="17">
        <f t="shared" si="91"/>
        <v>0.17553333333333337</v>
      </c>
      <c r="H484" s="8">
        <f t="shared" si="98"/>
        <v>293280</v>
      </c>
      <c r="I484" s="9">
        <f t="shared" ref="I484:I547" si="101">I459+1</f>
        <v>16</v>
      </c>
      <c r="L484" s="2">
        <f t="shared" si="92"/>
        <v>293280</v>
      </c>
      <c r="M484" s="2">
        <f t="shared" si="93"/>
        <v>832</v>
      </c>
      <c r="N484" s="15">
        <f t="shared" si="94"/>
        <v>5508.5209611673999</v>
      </c>
      <c r="O484" s="15">
        <f t="shared" si="95"/>
        <v>9416.853300443503</v>
      </c>
      <c r="P484" s="16">
        <f>SUM($H$3:H484)</f>
        <v>55491310</v>
      </c>
      <c r="Q484" s="2">
        <f>SUM($I$3:I484)</f>
        <v>3377</v>
      </c>
    </row>
    <row r="485" spans="1:17" x14ac:dyDescent="0.3">
      <c r="A485" s="7">
        <f t="shared" si="99"/>
        <v>483</v>
      </c>
      <c r="B485" s="2">
        <f t="shared" si="99"/>
        <v>833</v>
      </c>
      <c r="C485" s="14">
        <f t="shared" si="96"/>
        <v>5540.9025919947489</v>
      </c>
      <c r="D485" s="14">
        <f t="shared" si="97"/>
        <v>9462.417517425054</v>
      </c>
      <c r="E485" s="2">
        <v>0.9</v>
      </c>
      <c r="F485" s="2">
        <f t="shared" si="100"/>
        <v>4.2000000000000011</v>
      </c>
      <c r="G485" s="17">
        <f t="shared" si="91"/>
        <v>0.17596666666666669</v>
      </c>
      <c r="H485" s="8">
        <f t="shared" si="98"/>
        <v>294070</v>
      </c>
      <c r="I485" s="9">
        <f t="shared" si="101"/>
        <v>16</v>
      </c>
      <c r="L485" s="2">
        <f t="shared" si="92"/>
        <v>294070</v>
      </c>
      <c r="M485" s="2">
        <f t="shared" si="93"/>
        <v>833</v>
      </c>
      <c r="N485" s="15">
        <f t="shared" si="94"/>
        <v>5540.9025919947489</v>
      </c>
      <c r="O485" s="15">
        <f t="shared" si="95"/>
        <v>9462.417517425054</v>
      </c>
      <c r="P485" s="16">
        <f>SUM($H$3:H485)</f>
        <v>55785380</v>
      </c>
      <c r="Q485" s="2">
        <f>SUM($I$3:I485)</f>
        <v>3393</v>
      </c>
    </row>
    <row r="486" spans="1:17" x14ac:dyDescent="0.3">
      <c r="A486" s="7">
        <f t="shared" si="99"/>
        <v>484</v>
      </c>
      <c r="B486" s="2">
        <f t="shared" si="99"/>
        <v>834</v>
      </c>
      <c r="C486" s="14">
        <f t="shared" si="96"/>
        <v>5573.3196320869629</v>
      </c>
      <c r="D486" s="14">
        <f t="shared" si="97"/>
        <v>9508.081437646053</v>
      </c>
      <c r="E486" s="2">
        <v>0.9</v>
      </c>
      <c r="F486" s="2">
        <f t="shared" si="100"/>
        <v>4.2000000000000011</v>
      </c>
      <c r="G486" s="17">
        <f t="shared" si="91"/>
        <v>0.1764</v>
      </c>
      <c r="H486" s="8">
        <f t="shared" si="98"/>
        <v>294860</v>
      </c>
      <c r="I486" s="9">
        <f t="shared" si="101"/>
        <v>16</v>
      </c>
      <c r="L486" s="2">
        <f t="shared" si="92"/>
        <v>294860</v>
      </c>
      <c r="M486" s="2">
        <f t="shared" si="93"/>
        <v>834</v>
      </c>
      <c r="N486" s="15">
        <f t="shared" si="94"/>
        <v>5573.3196320869629</v>
      </c>
      <c r="O486" s="15">
        <f t="shared" si="95"/>
        <v>9508.081437646053</v>
      </c>
      <c r="P486" s="16">
        <f>SUM($H$3:H486)</f>
        <v>56080240</v>
      </c>
      <c r="Q486" s="2">
        <f>SUM($I$3:I486)</f>
        <v>3409</v>
      </c>
    </row>
    <row r="487" spans="1:17" x14ac:dyDescent="0.3">
      <c r="A487" s="7">
        <f t="shared" si="99"/>
        <v>485</v>
      </c>
      <c r="B487" s="2">
        <f t="shared" si="99"/>
        <v>835</v>
      </c>
      <c r="C487" s="14">
        <f t="shared" si="96"/>
        <v>5605.7719274054962</v>
      </c>
      <c r="D487" s="14">
        <f t="shared" si="97"/>
        <v>9553.8447356303768</v>
      </c>
      <c r="E487" s="2">
        <v>0.9</v>
      </c>
      <c r="F487" s="2">
        <f t="shared" si="100"/>
        <v>4.2000000000000011</v>
      </c>
      <c r="G487" s="17">
        <f t="shared" ref="G487:G550" si="102">0.01 + (A487-100)*(0.4-0.01)/(1000-100)</f>
        <v>0.17683333333333334</v>
      </c>
      <c r="H487" s="8">
        <f t="shared" si="98"/>
        <v>295650</v>
      </c>
      <c r="I487" s="9">
        <f t="shared" si="101"/>
        <v>16</v>
      </c>
      <c r="L487" s="2">
        <f t="shared" si="92"/>
        <v>295650</v>
      </c>
      <c r="M487" s="2">
        <f t="shared" si="93"/>
        <v>835</v>
      </c>
      <c r="N487" s="15">
        <f t="shared" si="94"/>
        <v>5605.7719274054962</v>
      </c>
      <c r="O487" s="15">
        <f t="shared" si="95"/>
        <v>9553.8447356303768</v>
      </c>
      <c r="P487" s="16">
        <f>SUM($H$3:H487)</f>
        <v>56375890</v>
      </c>
      <c r="Q487" s="2">
        <f>SUM($I$3:I487)</f>
        <v>3425</v>
      </c>
    </row>
    <row r="488" spans="1:17" x14ac:dyDescent="0.3">
      <c r="A488" s="7">
        <f t="shared" si="99"/>
        <v>486</v>
      </c>
      <c r="B488" s="2">
        <f t="shared" si="99"/>
        <v>836</v>
      </c>
      <c r="C488" s="14">
        <f t="shared" si="96"/>
        <v>5638.2593254113981</v>
      </c>
      <c r="D488" s="14">
        <f t="shared" si="97"/>
        <v>9599.7070887199461</v>
      </c>
      <c r="E488" s="2">
        <v>0.9</v>
      </c>
      <c r="F488" s="2">
        <f t="shared" si="100"/>
        <v>4.2000000000000011</v>
      </c>
      <c r="G488" s="17">
        <f t="shared" si="102"/>
        <v>0.17726666666666666</v>
      </c>
      <c r="H488" s="8">
        <f t="shared" si="98"/>
        <v>296440</v>
      </c>
      <c r="I488" s="9">
        <f t="shared" si="101"/>
        <v>16</v>
      </c>
      <c r="L488" s="2">
        <f t="shared" si="92"/>
        <v>296440</v>
      </c>
      <c r="M488" s="2">
        <f t="shared" si="93"/>
        <v>836</v>
      </c>
      <c r="N488" s="15">
        <f t="shared" si="94"/>
        <v>5638.2593254113981</v>
      </c>
      <c r="O488" s="15">
        <f t="shared" si="95"/>
        <v>9599.7070887199461</v>
      </c>
      <c r="P488" s="16">
        <f>SUM($H$3:H488)</f>
        <v>56672330</v>
      </c>
      <c r="Q488" s="2">
        <f>SUM($I$3:I488)</f>
        <v>3441</v>
      </c>
    </row>
    <row r="489" spans="1:17" x14ac:dyDescent="0.3">
      <c r="A489" s="7">
        <f t="shared" si="99"/>
        <v>487</v>
      </c>
      <c r="B489" s="2">
        <f t="shared" si="99"/>
        <v>837</v>
      </c>
      <c r="C489" s="14">
        <f t="shared" si="96"/>
        <v>5670.7816750426937</v>
      </c>
      <c r="D489" s="14">
        <f t="shared" si="97"/>
        <v>9645.6681770352079</v>
      </c>
      <c r="E489" s="2">
        <v>0.9</v>
      </c>
      <c r="F489" s="2">
        <f t="shared" si="100"/>
        <v>4.2000000000000011</v>
      </c>
      <c r="G489" s="17">
        <f t="shared" si="102"/>
        <v>0.17770000000000002</v>
      </c>
      <c r="H489" s="8">
        <f t="shared" si="98"/>
        <v>297230</v>
      </c>
      <c r="I489" s="9">
        <f t="shared" si="101"/>
        <v>16</v>
      </c>
      <c r="L489" s="2">
        <f t="shared" si="92"/>
        <v>297230</v>
      </c>
      <c r="M489" s="2">
        <f t="shared" si="93"/>
        <v>837</v>
      </c>
      <c r="N489" s="15">
        <f t="shared" si="94"/>
        <v>5670.7816750426937</v>
      </c>
      <c r="O489" s="15">
        <f t="shared" si="95"/>
        <v>9645.6681770352079</v>
      </c>
      <c r="P489" s="16">
        <f>SUM($H$3:H489)</f>
        <v>56969560</v>
      </c>
      <c r="Q489" s="2">
        <f>SUM($I$3:I489)</f>
        <v>3457</v>
      </c>
    </row>
    <row r="490" spans="1:17" x14ac:dyDescent="0.3">
      <c r="A490" s="7">
        <f t="shared" si="99"/>
        <v>488</v>
      </c>
      <c r="B490" s="2">
        <f t="shared" si="99"/>
        <v>838</v>
      </c>
      <c r="C490" s="14">
        <f t="shared" si="96"/>
        <v>5703.3388266923012</v>
      </c>
      <c r="D490" s="14">
        <f t="shared" si="97"/>
        <v>9691.7276834365694</v>
      </c>
      <c r="E490" s="2">
        <v>0.9</v>
      </c>
      <c r="F490" s="2">
        <f t="shared" si="100"/>
        <v>4.2000000000000011</v>
      </c>
      <c r="G490" s="17">
        <f t="shared" si="102"/>
        <v>0.17813333333333334</v>
      </c>
      <c r="H490" s="8">
        <f t="shared" si="98"/>
        <v>298020</v>
      </c>
      <c r="I490" s="9">
        <f t="shared" si="101"/>
        <v>16</v>
      </c>
      <c r="L490" s="2">
        <f t="shared" si="92"/>
        <v>298020</v>
      </c>
      <c r="M490" s="2">
        <f t="shared" si="93"/>
        <v>838</v>
      </c>
      <c r="N490" s="15">
        <f t="shared" si="94"/>
        <v>5703.3388266923012</v>
      </c>
      <c r="O490" s="15">
        <f t="shared" si="95"/>
        <v>9691.7276834365694</v>
      </c>
      <c r="P490" s="16">
        <f>SUM($H$3:H490)</f>
        <v>57267580</v>
      </c>
      <c r="Q490" s="2">
        <f>SUM($I$3:I490)</f>
        <v>3473</v>
      </c>
    </row>
    <row r="491" spans="1:17" x14ac:dyDescent="0.3">
      <c r="A491" s="7">
        <f t="shared" si="99"/>
        <v>489</v>
      </c>
      <c r="B491" s="2">
        <f t="shared" si="99"/>
        <v>839</v>
      </c>
      <c r="C491" s="14">
        <f t="shared" si="96"/>
        <v>5735.9306321863232</v>
      </c>
      <c r="D491" s="14">
        <f t="shared" si="97"/>
        <v>9737.8852934863899</v>
      </c>
      <c r="E491" s="2">
        <v>0.9</v>
      </c>
      <c r="F491" s="2">
        <f t="shared" si="100"/>
        <v>4.2000000000000011</v>
      </c>
      <c r="G491" s="17">
        <f t="shared" si="102"/>
        <v>0.17856666666666668</v>
      </c>
      <c r="H491" s="8">
        <f t="shared" si="98"/>
        <v>298810</v>
      </c>
      <c r="I491" s="9">
        <f t="shared" si="101"/>
        <v>16</v>
      </c>
      <c r="L491" s="2">
        <f t="shared" si="92"/>
        <v>298810</v>
      </c>
      <c r="M491" s="2">
        <f t="shared" si="93"/>
        <v>839</v>
      </c>
      <c r="N491" s="15">
        <f t="shared" si="94"/>
        <v>5735.9306321863232</v>
      </c>
      <c r="O491" s="15">
        <f t="shared" si="95"/>
        <v>9737.8852934863899</v>
      </c>
      <c r="P491" s="16">
        <f>SUM($H$3:H491)</f>
        <v>57566390</v>
      </c>
      <c r="Q491" s="2">
        <f>SUM($I$3:I491)</f>
        <v>3489</v>
      </c>
    </row>
    <row r="492" spans="1:17" x14ac:dyDescent="0.3">
      <c r="A492" s="7">
        <f t="shared" si="99"/>
        <v>490</v>
      </c>
      <c r="B492" s="2">
        <f t="shared" si="99"/>
        <v>840</v>
      </c>
      <c r="C492" s="14">
        <f t="shared" si="96"/>
        <v>5768.5569447628004</v>
      </c>
      <c r="D492" s="14">
        <f t="shared" si="97"/>
        <v>9784.1406954117883</v>
      </c>
      <c r="E492" s="2">
        <v>0.9</v>
      </c>
      <c r="F492" s="2">
        <f t="shared" si="100"/>
        <v>4.2000000000000011</v>
      </c>
      <c r="G492" s="17">
        <f t="shared" si="102"/>
        <v>0.17899999999999999</v>
      </c>
      <c r="H492" s="8">
        <f t="shared" si="98"/>
        <v>299600</v>
      </c>
      <c r="I492" s="9">
        <f t="shared" si="101"/>
        <v>16</v>
      </c>
      <c r="L492" s="2">
        <f t="shared" si="92"/>
        <v>299600</v>
      </c>
      <c r="M492" s="2">
        <f t="shared" si="93"/>
        <v>840</v>
      </c>
      <c r="N492" s="15">
        <f t="shared" si="94"/>
        <v>5768.5569447628004</v>
      </c>
      <c r="O492" s="15">
        <f t="shared" si="95"/>
        <v>9784.1406954117883</v>
      </c>
      <c r="P492" s="16">
        <f>SUM($H$3:H492)</f>
        <v>57865990</v>
      </c>
      <c r="Q492" s="2">
        <f>SUM($I$3:I492)</f>
        <v>3505</v>
      </c>
    </row>
    <row r="493" spans="1:17" x14ac:dyDescent="0.3">
      <c r="A493" s="7">
        <f t="shared" si="99"/>
        <v>491</v>
      </c>
      <c r="B493" s="2">
        <f t="shared" si="99"/>
        <v>841</v>
      </c>
      <c r="C493" s="14">
        <f t="shared" si="96"/>
        <v>5801.2176190509217</v>
      </c>
      <c r="D493" s="14">
        <f t="shared" si="97"/>
        <v>9830.4935800681633</v>
      </c>
      <c r="E493" s="2">
        <v>0.9</v>
      </c>
      <c r="F493" s="2">
        <f t="shared" si="100"/>
        <v>4.2000000000000011</v>
      </c>
      <c r="G493" s="17">
        <f t="shared" si="102"/>
        <v>0.17943333333333336</v>
      </c>
      <c r="H493" s="8">
        <f t="shared" si="98"/>
        <v>300390</v>
      </c>
      <c r="I493" s="9">
        <f t="shared" si="101"/>
        <v>16</v>
      </c>
      <c r="L493" s="2">
        <f t="shared" si="92"/>
        <v>300390</v>
      </c>
      <c r="M493" s="2">
        <f t="shared" si="93"/>
        <v>841</v>
      </c>
      <c r="N493" s="15">
        <f t="shared" si="94"/>
        <v>5801.2176190509217</v>
      </c>
      <c r="O493" s="15">
        <f t="shared" si="95"/>
        <v>9830.4935800681633</v>
      </c>
      <c r="P493" s="16">
        <f>SUM($H$3:H493)</f>
        <v>58166380</v>
      </c>
      <c r="Q493" s="2">
        <f>SUM($I$3:I493)</f>
        <v>3521</v>
      </c>
    </row>
    <row r="494" spans="1:17" x14ac:dyDescent="0.3">
      <c r="A494" s="7">
        <f t="shared" si="99"/>
        <v>492</v>
      </c>
      <c r="B494" s="2">
        <f t="shared" si="99"/>
        <v>842</v>
      </c>
      <c r="C494" s="14">
        <f t="shared" si="96"/>
        <v>5833.9125110505811</v>
      </c>
      <c r="D494" s="14">
        <f t="shared" si="97"/>
        <v>9876.9436409033442</v>
      </c>
      <c r="E494" s="2">
        <v>0.9</v>
      </c>
      <c r="F494" s="2">
        <f t="shared" si="100"/>
        <v>4.2000000000000011</v>
      </c>
      <c r="G494" s="17">
        <f t="shared" si="102"/>
        <v>0.17986666666666667</v>
      </c>
      <c r="H494" s="8">
        <f t="shared" si="98"/>
        <v>301180</v>
      </c>
      <c r="I494" s="9">
        <f t="shared" si="101"/>
        <v>16</v>
      </c>
      <c r="L494" s="2">
        <f t="shared" si="92"/>
        <v>301180</v>
      </c>
      <c r="M494" s="2">
        <f t="shared" si="93"/>
        <v>842</v>
      </c>
      <c r="N494" s="15">
        <f t="shared" si="94"/>
        <v>5833.9125110505811</v>
      </c>
      <c r="O494" s="15">
        <f t="shared" si="95"/>
        <v>9876.9436409033442</v>
      </c>
      <c r="P494" s="16">
        <f>SUM($H$3:H494)</f>
        <v>58467560</v>
      </c>
      <c r="Q494" s="2">
        <f>SUM($I$3:I494)</f>
        <v>3537</v>
      </c>
    </row>
    <row r="495" spans="1:17" x14ac:dyDescent="0.3">
      <c r="A495" s="7">
        <f t="shared" si="99"/>
        <v>493</v>
      </c>
      <c r="B495" s="2">
        <f t="shared" si="99"/>
        <v>843</v>
      </c>
      <c r="C495" s="14">
        <f t="shared" si="96"/>
        <v>5866.6414781124076</v>
      </c>
      <c r="D495" s="14">
        <f t="shared" si="97"/>
        <v>9923.4905739224632</v>
      </c>
      <c r="E495" s="2">
        <v>0.9</v>
      </c>
      <c r="F495" s="2">
        <f t="shared" si="100"/>
        <v>4.2000000000000011</v>
      </c>
      <c r="G495" s="17">
        <f t="shared" si="102"/>
        <v>0.18030000000000002</v>
      </c>
      <c r="H495" s="8">
        <f t="shared" si="98"/>
        <v>301970</v>
      </c>
      <c r="I495" s="9">
        <f t="shared" si="101"/>
        <v>16</v>
      </c>
      <c r="L495" s="2">
        <f t="shared" ref="L495:L502" si="103">H495</f>
        <v>301970</v>
      </c>
      <c r="M495" s="2">
        <f t="shared" ref="M495:M502" si="104">B495</f>
        <v>843</v>
      </c>
      <c r="N495" s="15">
        <f t="shared" ref="N495:N502" si="105">C495</f>
        <v>5866.6414781124076</v>
      </c>
      <c r="O495" s="15">
        <f t="shared" ref="O495:O502" si="106">D495</f>
        <v>9923.4905739224632</v>
      </c>
      <c r="P495" s="16">
        <f>SUM($H$3:H495)</f>
        <v>58769530</v>
      </c>
      <c r="Q495" s="2">
        <f>SUM($I$3:I495)</f>
        <v>3553</v>
      </c>
    </row>
    <row r="496" spans="1:17" x14ac:dyDescent="0.3">
      <c r="A496" s="7">
        <f t="shared" si="99"/>
        <v>494</v>
      </c>
      <c r="B496" s="2">
        <f t="shared" si="99"/>
        <v>844</v>
      </c>
      <c r="C496" s="14">
        <f t="shared" ref="C496:C559" si="107">9.525*(A496-300)^1.2 + 600</f>
        <v>5899.4043789181414</v>
      </c>
      <c r="D496" s="14">
        <f t="shared" ref="D496:D559" si="108">4.055*(A496-300)^1.4 + 3500</f>
        <v>9970.1340776534726</v>
      </c>
      <c r="E496" s="2">
        <v>0.9</v>
      </c>
      <c r="F496" s="2">
        <f t="shared" si="100"/>
        <v>4.2000000000000011</v>
      </c>
      <c r="G496" s="17">
        <f t="shared" si="102"/>
        <v>0.18073333333333333</v>
      </c>
      <c r="H496" s="8">
        <f t="shared" ref="H496:H501" si="109">110000+(A496-250)*790</f>
        <v>302760</v>
      </c>
      <c r="I496" s="9">
        <f t="shared" si="101"/>
        <v>16</v>
      </c>
      <c r="L496" s="2">
        <f t="shared" si="103"/>
        <v>302760</v>
      </c>
      <c r="M496" s="2">
        <f t="shared" si="104"/>
        <v>844</v>
      </c>
      <c r="N496" s="15">
        <f t="shared" si="105"/>
        <v>5899.4043789181414</v>
      </c>
      <c r="O496" s="15">
        <f t="shared" si="106"/>
        <v>9970.1340776534726</v>
      </c>
      <c r="P496" s="16">
        <f>SUM($H$3:H496)</f>
        <v>59072290</v>
      </c>
      <c r="Q496" s="2">
        <f>SUM($I$3:I496)</f>
        <v>3569</v>
      </c>
    </row>
    <row r="497" spans="1:17" x14ac:dyDescent="0.3">
      <c r="A497" s="7">
        <f t="shared" si="99"/>
        <v>495</v>
      </c>
      <c r="B497" s="2">
        <f t="shared" si="99"/>
        <v>845</v>
      </c>
      <c r="C497" s="14">
        <f t="shared" si="107"/>
        <v>5932.2010734614232</v>
      </c>
      <c r="D497" s="14">
        <f t="shared" si="108"/>
        <v>10016.873853113277</v>
      </c>
      <c r="E497" s="2">
        <v>0.9</v>
      </c>
      <c r="F497" s="2">
        <f t="shared" si="100"/>
        <v>4.2000000000000011</v>
      </c>
      <c r="G497" s="17">
        <f t="shared" si="102"/>
        <v>0.1811666666666667</v>
      </c>
      <c r="H497" s="8">
        <f t="shared" si="109"/>
        <v>303550</v>
      </c>
      <c r="I497" s="9">
        <f t="shared" si="101"/>
        <v>16</v>
      </c>
      <c r="L497" s="2">
        <f t="shared" si="103"/>
        <v>303550</v>
      </c>
      <c r="M497" s="2">
        <f t="shared" si="104"/>
        <v>845</v>
      </c>
      <c r="N497" s="15">
        <f t="shared" si="105"/>
        <v>5932.2010734614232</v>
      </c>
      <c r="O497" s="15">
        <f t="shared" si="106"/>
        <v>10016.873853113277</v>
      </c>
      <c r="P497" s="16">
        <f>SUM($H$3:H497)</f>
        <v>59375840</v>
      </c>
      <c r="Q497" s="2">
        <f>SUM($I$3:I497)</f>
        <v>3585</v>
      </c>
    </row>
    <row r="498" spans="1:17" x14ac:dyDescent="0.3">
      <c r="A498" s="7">
        <f t="shared" si="99"/>
        <v>496</v>
      </c>
      <c r="B498" s="2">
        <f t="shared" si="99"/>
        <v>846</v>
      </c>
      <c r="C498" s="14">
        <f t="shared" si="107"/>
        <v>5965.031423028925</v>
      </c>
      <c r="D498" s="14">
        <f t="shared" si="108"/>
        <v>10063.709603774552</v>
      </c>
      <c r="E498" s="2">
        <v>0.9</v>
      </c>
      <c r="F498" s="2">
        <f t="shared" si="100"/>
        <v>4.2000000000000011</v>
      </c>
      <c r="G498" s="17">
        <f t="shared" si="102"/>
        <v>0.18160000000000001</v>
      </c>
      <c r="H498" s="8">
        <f t="shared" si="109"/>
        <v>304340</v>
      </c>
      <c r="I498" s="9">
        <f t="shared" si="101"/>
        <v>16</v>
      </c>
      <c r="L498" s="2">
        <f t="shared" si="103"/>
        <v>304340</v>
      </c>
      <c r="M498" s="2">
        <f t="shared" si="104"/>
        <v>846</v>
      </c>
      <c r="N498" s="15">
        <f t="shared" si="105"/>
        <v>5965.031423028925</v>
      </c>
      <c r="O498" s="15">
        <f t="shared" si="106"/>
        <v>10063.709603774552</v>
      </c>
      <c r="P498" s="16">
        <f>SUM($H$3:H498)</f>
        <v>59680180</v>
      </c>
      <c r="Q498" s="2">
        <f>SUM($I$3:I498)</f>
        <v>3601</v>
      </c>
    </row>
    <row r="499" spans="1:17" x14ac:dyDescent="0.3">
      <c r="A499" s="7">
        <f t="shared" si="99"/>
        <v>497</v>
      </c>
      <c r="B499" s="2">
        <f t="shared" si="99"/>
        <v>847</v>
      </c>
      <c r="C499" s="14">
        <f t="shared" si="107"/>
        <v>5997.8952901819121</v>
      </c>
      <c r="D499" s="14">
        <f t="shared" si="108"/>
        <v>10110.641035533101</v>
      </c>
      <c r="E499" s="2">
        <v>0.9</v>
      </c>
      <c r="F499" s="2">
        <f t="shared" si="100"/>
        <v>4.2000000000000011</v>
      </c>
      <c r="G499" s="17">
        <f t="shared" si="102"/>
        <v>0.18203333333333335</v>
      </c>
      <c r="H499" s="8">
        <f t="shared" si="109"/>
        <v>305130</v>
      </c>
      <c r="I499" s="9">
        <f t="shared" si="101"/>
        <v>16</v>
      </c>
      <c r="L499" s="2">
        <f t="shared" si="103"/>
        <v>305130</v>
      </c>
      <c r="M499" s="2">
        <f t="shared" si="104"/>
        <v>847</v>
      </c>
      <c r="N499" s="15">
        <f t="shared" si="105"/>
        <v>5997.8952901819121</v>
      </c>
      <c r="O499" s="15">
        <f t="shared" si="106"/>
        <v>10110.641035533101</v>
      </c>
      <c r="P499" s="16">
        <f>SUM($H$3:H499)</f>
        <v>59985310</v>
      </c>
      <c r="Q499" s="2">
        <f>SUM($I$3:I499)</f>
        <v>3617</v>
      </c>
    </row>
    <row r="500" spans="1:17" x14ac:dyDescent="0.3">
      <c r="A500" s="7">
        <f t="shared" si="99"/>
        <v>498</v>
      </c>
      <c r="B500" s="2">
        <f t="shared" si="99"/>
        <v>848</v>
      </c>
      <c r="C500" s="14">
        <f t="shared" si="107"/>
        <v>6030.7925387380583</v>
      </c>
      <c r="D500" s="14">
        <f t="shared" si="108"/>
        <v>10157.66785667584</v>
      </c>
      <c r="E500" s="2">
        <v>0.9</v>
      </c>
      <c r="F500" s="2">
        <f t="shared" si="100"/>
        <v>4.2000000000000011</v>
      </c>
      <c r="G500" s="17">
        <f t="shared" si="102"/>
        <v>0.18246666666666667</v>
      </c>
      <c r="H500" s="8">
        <f t="shared" si="109"/>
        <v>305920</v>
      </c>
      <c r="I500" s="9">
        <f t="shared" si="101"/>
        <v>16</v>
      </c>
      <c r="L500" s="2">
        <f t="shared" si="103"/>
        <v>305920</v>
      </c>
      <c r="M500" s="2">
        <f t="shared" si="104"/>
        <v>848</v>
      </c>
      <c r="N500" s="15">
        <f t="shared" si="105"/>
        <v>6030.7925387380583</v>
      </c>
      <c r="O500" s="15">
        <f t="shared" si="106"/>
        <v>10157.66785667584</v>
      </c>
      <c r="P500" s="16">
        <f>SUM($H$3:H500)</f>
        <v>60291230</v>
      </c>
      <c r="Q500" s="2">
        <f>SUM($I$3:I500)</f>
        <v>3633</v>
      </c>
    </row>
    <row r="501" spans="1:17" x14ac:dyDescent="0.3">
      <c r="A501" s="7">
        <f t="shared" si="99"/>
        <v>499</v>
      </c>
      <c r="B501" s="2">
        <f t="shared" si="99"/>
        <v>849</v>
      </c>
      <c r="C501" s="14">
        <f t="shared" si="107"/>
        <v>6063.7230337537212</v>
      </c>
      <c r="D501" s="14">
        <f t="shared" si="108"/>
        <v>10204.789777849388</v>
      </c>
      <c r="E501" s="2">
        <v>0.9</v>
      </c>
      <c r="F501" s="2">
        <f t="shared" si="100"/>
        <v>4.2000000000000011</v>
      </c>
      <c r="G501" s="17">
        <f t="shared" si="102"/>
        <v>0.18290000000000003</v>
      </c>
      <c r="H501" s="8">
        <f t="shared" si="109"/>
        <v>306710</v>
      </c>
      <c r="I501" s="9">
        <f t="shared" si="101"/>
        <v>16</v>
      </c>
      <c r="L501" s="2">
        <f t="shared" si="103"/>
        <v>306710</v>
      </c>
      <c r="M501" s="2">
        <f t="shared" si="104"/>
        <v>849</v>
      </c>
      <c r="N501" s="15">
        <f t="shared" si="105"/>
        <v>6063.7230337537212</v>
      </c>
      <c r="O501" s="15">
        <f t="shared" si="106"/>
        <v>10204.789777849388</v>
      </c>
      <c r="P501" s="16">
        <f>SUM($H$3:H501)</f>
        <v>60597940</v>
      </c>
      <c r="Q501" s="2">
        <f>SUM($I$3:I501)</f>
        <v>3649</v>
      </c>
    </row>
    <row r="502" spans="1:17" x14ac:dyDescent="0.3">
      <c r="A502" s="7">
        <f t="shared" si="99"/>
        <v>500</v>
      </c>
      <c r="B502" s="2">
        <f t="shared" si="99"/>
        <v>850</v>
      </c>
      <c r="C502" s="14">
        <f t="shared" si="107"/>
        <v>6096.6866415064806</v>
      </c>
      <c r="D502" s="14">
        <f t="shared" si="108"/>
        <v>10252.006512029184</v>
      </c>
      <c r="E502" s="2">
        <v>1</v>
      </c>
      <c r="F502" s="2">
        <f t="shared" si="100"/>
        <v>4.4000000000000012</v>
      </c>
      <c r="G502" s="17">
        <f t="shared" si="102"/>
        <v>0.18333333333333335</v>
      </c>
      <c r="H502" s="8">
        <f>(A502-290)*1530</f>
        <v>321300</v>
      </c>
      <c r="I502" s="9">
        <f t="shared" si="101"/>
        <v>17</v>
      </c>
      <c r="L502" s="2">
        <f t="shared" si="103"/>
        <v>321300</v>
      </c>
      <c r="M502" s="2">
        <f t="shared" si="104"/>
        <v>850</v>
      </c>
      <c r="N502" s="15">
        <f t="shared" si="105"/>
        <v>6096.6866415064806</v>
      </c>
      <c r="O502" s="15">
        <f t="shared" si="106"/>
        <v>10252.006512029184</v>
      </c>
      <c r="P502" s="16">
        <f>SUM($H$3:H502)</f>
        <v>60919240</v>
      </c>
      <c r="Q502" s="2">
        <f>SUM($I$3:I502)</f>
        <v>3666</v>
      </c>
    </row>
    <row r="503" spans="1:17" x14ac:dyDescent="0.3">
      <c r="A503" s="7">
        <f t="shared" si="99"/>
        <v>501</v>
      </c>
      <c r="B503" s="2">
        <f t="shared" si="99"/>
        <v>851</v>
      </c>
      <c r="C503" s="14">
        <f t="shared" si="107"/>
        <v>6129.6832294780334</v>
      </c>
      <c r="D503" s="14">
        <f t="shared" si="108"/>
        <v>10299.317774489213</v>
      </c>
      <c r="E503" s="2">
        <v>1</v>
      </c>
      <c r="F503" s="2">
        <f t="shared" si="100"/>
        <v>4.4000000000000012</v>
      </c>
      <c r="G503" s="17">
        <f t="shared" si="102"/>
        <v>0.18376666666666669</v>
      </c>
      <c r="H503" s="8">
        <f t="shared" ref="H503:H566" si="110">(A503-290)*1530</f>
        <v>322830</v>
      </c>
      <c r="I503" s="9">
        <f t="shared" si="101"/>
        <v>17</v>
      </c>
      <c r="L503" s="2">
        <f t="shared" ref="L503:L566" si="111">H503</f>
        <v>322830</v>
      </c>
      <c r="M503" s="2">
        <f t="shared" ref="M503:M566" si="112">B503</f>
        <v>851</v>
      </c>
      <c r="N503" s="15">
        <f t="shared" ref="N503:N566" si="113">C503</f>
        <v>6129.6832294780334</v>
      </c>
      <c r="O503" s="15">
        <f t="shared" ref="O503:O566" si="114">D503</f>
        <v>10299.317774489213</v>
      </c>
      <c r="P503" s="16">
        <f>SUM($H$3:H503)</f>
        <v>61242070</v>
      </c>
      <c r="Q503" s="2">
        <f>SUM($I$3:I503)</f>
        <v>3683</v>
      </c>
    </row>
    <row r="504" spans="1:17" x14ac:dyDescent="0.3">
      <c r="A504" s="7">
        <f t="shared" si="99"/>
        <v>502</v>
      </c>
      <c r="B504" s="2">
        <f t="shared" si="99"/>
        <v>852</v>
      </c>
      <c r="C504" s="14">
        <f t="shared" si="107"/>
        <v>6162.7126663374065</v>
      </c>
      <c r="D504" s="14">
        <f t="shared" si="108"/>
        <v>10346.7232827722</v>
      </c>
      <c r="E504" s="2">
        <v>1</v>
      </c>
      <c r="F504" s="2">
        <f t="shared" si="100"/>
        <v>4.4000000000000012</v>
      </c>
      <c r="G504" s="17">
        <f t="shared" si="102"/>
        <v>0.1842</v>
      </c>
      <c r="H504" s="8">
        <f t="shared" si="110"/>
        <v>324360</v>
      </c>
      <c r="I504" s="9">
        <f t="shared" si="101"/>
        <v>17</v>
      </c>
      <c r="L504" s="2">
        <f t="shared" si="111"/>
        <v>324360</v>
      </c>
      <c r="M504" s="2">
        <f t="shared" si="112"/>
        <v>852</v>
      </c>
      <c r="N504" s="15">
        <f t="shared" si="113"/>
        <v>6162.7126663374065</v>
      </c>
      <c r="O504" s="15">
        <f t="shared" si="114"/>
        <v>10346.7232827722</v>
      </c>
      <c r="P504" s="16">
        <f>SUM($H$3:H504)</f>
        <v>61566430</v>
      </c>
      <c r="Q504" s="2">
        <f>SUM($I$3:I504)</f>
        <v>3700</v>
      </c>
    </row>
    <row r="505" spans="1:17" x14ac:dyDescent="0.3">
      <c r="A505" s="7">
        <f t="shared" si="99"/>
        <v>503</v>
      </c>
      <c r="B505" s="2">
        <f t="shared" si="99"/>
        <v>853</v>
      </c>
      <c r="C505" s="14">
        <f t="shared" si="107"/>
        <v>6195.7748219245032</v>
      </c>
      <c r="D505" s="14">
        <f t="shared" si="108"/>
        <v>10394.222756660412</v>
      </c>
      <c r="E505" s="2">
        <v>1</v>
      </c>
      <c r="F505" s="2">
        <f t="shared" si="100"/>
        <v>4.4000000000000012</v>
      </c>
      <c r="G505" s="17">
        <f t="shared" si="102"/>
        <v>0.18463333333333337</v>
      </c>
      <c r="H505" s="8">
        <f t="shared" si="110"/>
        <v>325890</v>
      </c>
      <c r="I505" s="9">
        <f t="shared" si="101"/>
        <v>17</v>
      </c>
      <c r="L505" s="2">
        <f t="shared" si="111"/>
        <v>325890</v>
      </c>
      <c r="M505" s="2">
        <f t="shared" si="112"/>
        <v>853</v>
      </c>
      <c r="N505" s="15">
        <f t="shared" si="113"/>
        <v>6195.7748219245032</v>
      </c>
      <c r="O505" s="15">
        <f t="shared" si="114"/>
        <v>10394.222756660412</v>
      </c>
      <c r="P505" s="16">
        <f>SUM($H$3:H505)</f>
        <v>61892320</v>
      </c>
      <c r="Q505" s="2">
        <f>SUM($I$3:I505)</f>
        <v>3717</v>
      </c>
    </row>
    <row r="506" spans="1:17" x14ac:dyDescent="0.3">
      <c r="A506" s="7">
        <f t="shared" si="99"/>
        <v>504</v>
      </c>
      <c r="B506" s="2">
        <f t="shared" si="99"/>
        <v>854</v>
      </c>
      <c r="C506" s="14">
        <f t="shared" si="107"/>
        <v>6228.8695672339472</v>
      </c>
      <c r="D506" s="14">
        <f t="shared" si="108"/>
        <v>10441.815918146931</v>
      </c>
      <c r="E506" s="2">
        <v>1</v>
      </c>
      <c r="F506" s="2">
        <f t="shared" si="100"/>
        <v>4.4000000000000012</v>
      </c>
      <c r="G506" s="17">
        <f t="shared" si="102"/>
        <v>0.18506666666666668</v>
      </c>
      <c r="H506" s="8">
        <f t="shared" si="110"/>
        <v>327420</v>
      </c>
      <c r="I506" s="9">
        <f t="shared" si="101"/>
        <v>17</v>
      </c>
      <c r="L506" s="2">
        <f t="shared" si="111"/>
        <v>327420</v>
      </c>
      <c r="M506" s="2">
        <f t="shared" si="112"/>
        <v>854</v>
      </c>
      <c r="N506" s="15">
        <f t="shared" si="113"/>
        <v>6228.8695672339472</v>
      </c>
      <c r="O506" s="15">
        <f t="shared" si="114"/>
        <v>10441.815918146931</v>
      </c>
      <c r="P506" s="16">
        <f>SUM($H$3:H506)</f>
        <v>62219740</v>
      </c>
      <c r="Q506" s="2">
        <f>SUM($I$3:I506)</f>
        <v>3734</v>
      </c>
    </row>
    <row r="507" spans="1:17" x14ac:dyDescent="0.3">
      <c r="A507" s="7">
        <f t="shared" si="99"/>
        <v>505</v>
      </c>
      <c r="B507" s="2">
        <f t="shared" si="99"/>
        <v>855</v>
      </c>
      <c r="C507" s="14">
        <f t="shared" si="107"/>
        <v>6261.9967743992074</v>
      </c>
      <c r="D507" s="14">
        <f t="shared" si="108"/>
        <v>10489.502491407467</v>
      </c>
      <c r="E507" s="2">
        <v>1</v>
      </c>
      <c r="F507" s="2">
        <f t="shared" si="100"/>
        <v>4.4000000000000012</v>
      </c>
      <c r="G507" s="17">
        <f t="shared" si="102"/>
        <v>0.18550000000000003</v>
      </c>
      <c r="H507" s="8">
        <f t="shared" si="110"/>
        <v>328950</v>
      </c>
      <c r="I507" s="9">
        <f t="shared" si="101"/>
        <v>17</v>
      </c>
      <c r="L507" s="2">
        <f t="shared" si="111"/>
        <v>328950</v>
      </c>
      <c r="M507" s="2">
        <f t="shared" si="112"/>
        <v>855</v>
      </c>
      <c r="N507" s="15">
        <f t="shared" si="113"/>
        <v>6261.9967743992074</v>
      </c>
      <c r="O507" s="15">
        <f t="shared" si="114"/>
        <v>10489.502491407467</v>
      </c>
      <c r="P507" s="16">
        <f>SUM($H$3:H507)</f>
        <v>62548690</v>
      </c>
      <c r="Q507" s="2">
        <f>SUM($I$3:I507)</f>
        <v>3751</v>
      </c>
    </row>
    <row r="508" spans="1:17" x14ac:dyDescent="0.3">
      <c r="A508" s="7">
        <f t="shared" si="99"/>
        <v>506</v>
      </c>
      <c r="B508" s="2">
        <f t="shared" si="99"/>
        <v>856</v>
      </c>
      <c r="C508" s="14">
        <f t="shared" si="107"/>
        <v>6295.1563166770429</v>
      </c>
      <c r="D508" s="14">
        <f t="shared" si="108"/>
        <v>10537.282202772612</v>
      </c>
      <c r="E508" s="2">
        <v>1</v>
      </c>
      <c r="F508" s="2">
        <f t="shared" si="100"/>
        <v>4.4000000000000012</v>
      </c>
      <c r="G508" s="17">
        <f t="shared" si="102"/>
        <v>0.18593333333333334</v>
      </c>
      <c r="H508" s="8">
        <f t="shared" si="110"/>
        <v>330480</v>
      </c>
      <c r="I508" s="9">
        <f t="shared" si="101"/>
        <v>17</v>
      </c>
      <c r="L508" s="2">
        <f t="shared" si="111"/>
        <v>330480</v>
      </c>
      <c r="M508" s="2">
        <f t="shared" si="112"/>
        <v>856</v>
      </c>
      <c r="N508" s="15">
        <f t="shared" si="113"/>
        <v>6295.1563166770429</v>
      </c>
      <c r="O508" s="15">
        <f t="shared" si="114"/>
        <v>10537.282202772612</v>
      </c>
      <c r="P508" s="16">
        <f>SUM($H$3:H508)</f>
        <v>62879170</v>
      </c>
      <c r="Q508" s="2">
        <f>SUM($I$3:I508)</f>
        <v>3768</v>
      </c>
    </row>
    <row r="509" spans="1:17" x14ac:dyDescent="0.3">
      <c r="A509" s="7">
        <f t="shared" si="99"/>
        <v>507</v>
      </c>
      <c r="B509" s="2">
        <f t="shared" si="99"/>
        <v>857</v>
      </c>
      <c r="C509" s="14">
        <f t="shared" si="107"/>
        <v>6328.3480684322358</v>
      </c>
      <c r="D509" s="14">
        <f t="shared" si="108"/>
        <v>10585.154780700643</v>
      </c>
      <c r="E509" s="2">
        <v>1</v>
      </c>
      <c r="F509" s="2">
        <f t="shared" si="100"/>
        <v>4.4000000000000012</v>
      </c>
      <c r="G509" s="17">
        <f t="shared" si="102"/>
        <v>0.18636666666666671</v>
      </c>
      <c r="H509" s="8">
        <f t="shared" si="110"/>
        <v>332010</v>
      </c>
      <c r="I509" s="9">
        <f t="shared" si="101"/>
        <v>17</v>
      </c>
      <c r="L509" s="2">
        <f t="shared" si="111"/>
        <v>332010</v>
      </c>
      <c r="M509" s="2">
        <f t="shared" si="112"/>
        <v>857</v>
      </c>
      <c r="N509" s="15">
        <f t="shared" si="113"/>
        <v>6328.3480684322358</v>
      </c>
      <c r="O509" s="15">
        <f t="shared" si="114"/>
        <v>10585.154780700643</v>
      </c>
      <c r="P509" s="16">
        <f>SUM($H$3:H509)</f>
        <v>63211180</v>
      </c>
      <c r="Q509" s="2">
        <f>SUM($I$3:I509)</f>
        <v>3785</v>
      </c>
    </row>
    <row r="510" spans="1:17" x14ac:dyDescent="0.3">
      <c r="A510" s="7">
        <f t="shared" si="99"/>
        <v>508</v>
      </c>
      <c r="B510" s="2">
        <f t="shared" si="99"/>
        <v>858</v>
      </c>
      <c r="C510" s="14">
        <f t="shared" si="107"/>
        <v>6361.5719051225888</v>
      </c>
      <c r="D510" s="14">
        <f t="shared" si="108"/>
        <v>10633.119955750783</v>
      </c>
      <c r="E510" s="2">
        <v>1</v>
      </c>
      <c r="F510" s="2">
        <f t="shared" si="100"/>
        <v>4.4000000000000012</v>
      </c>
      <c r="G510" s="17">
        <f t="shared" si="102"/>
        <v>0.18680000000000002</v>
      </c>
      <c r="H510" s="8">
        <f t="shared" si="110"/>
        <v>333540</v>
      </c>
      <c r="I510" s="9">
        <f t="shared" si="101"/>
        <v>17</v>
      </c>
      <c r="L510" s="2">
        <f t="shared" si="111"/>
        <v>333540</v>
      </c>
      <c r="M510" s="2">
        <f t="shared" si="112"/>
        <v>858</v>
      </c>
      <c r="N510" s="15">
        <f t="shared" si="113"/>
        <v>6361.5719051225888</v>
      </c>
      <c r="O510" s="15">
        <f t="shared" si="114"/>
        <v>10633.119955750783</v>
      </c>
      <c r="P510" s="16">
        <f>SUM($H$3:H510)</f>
        <v>63544720</v>
      </c>
      <c r="Q510" s="2">
        <f>SUM($I$3:I510)</f>
        <v>3802</v>
      </c>
    </row>
    <row r="511" spans="1:17" x14ac:dyDescent="0.3">
      <c r="A511" s="7">
        <f t="shared" si="99"/>
        <v>509</v>
      </c>
      <c r="B511" s="2">
        <f t="shared" si="99"/>
        <v>859</v>
      </c>
      <c r="C511" s="14">
        <f t="shared" si="107"/>
        <v>6394.8277032842043</v>
      </c>
      <c r="D511" s="14">
        <f t="shared" si="108"/>
        <v>10681.177460556873</v>
      </c>
      <c r="E511" s="2">
        <v>1</v>
      </c>
      <c r="F511" s="2">
        <f t="shared" si="100"/>
        <v>4.4000000000000012</v>
      </c>
      <c r="G511" s="17">
        <f t="shared" si="102"/>
        <v>0.18723333333333336</v>
      </c>
      <c r="H511" s="8">
        <f t="shared" si="110"/>
        <v>335070</v>
      </c>
      <c r="I511" s="9">
        <f t="shared" si="101"/>
        <v>17</v>
      </c>
      <c r="L511" s="2">
        <f t="shared" si="111"/>
        <v>335070</v>
      </c>
      <c r="M511" s="2">
        <f t="shared" si="112"/>
        <v>859</v>
      </c>
      <c r="N511" s="15">
        <f t="shared" si="113"/>
        <v>6394.8277032842043</v>
      </c>
      <c r="O511" s="15">
        <f t="shared" si="114"/>
        <v>10681.177460556873</v>
      </c>
      <c r="P511" s="16">
        <f>SUM($H$3:H511)</f>
        <v>63879790</v>
      </c>
      <c r="Q511" s="2">
        <f>SUM($I$3:I511)</f>
        <v>3819</v>
      </c>
    </row>
    <row r="512" spans="1:17" x14ac:dyDescent="0.3">
      <c r="A512" s="7">
        <f t="shared" si="99"/>
        <v>510</v>
      </c>
      <c r="B512" s="2">
        <f t="shared" si="99"/>
        <v>860</v>
      </c>
      <c r="C512" s="14">
        <f t="shared" si="107"/>
        <v>6428.1153405170253</v>
      </c>
      <c r="D512" s="14">
        <f t="shared" si="108"/>
        <v>10729.327029801585</v>
      </c>
      <c r="E512" s="2">
        <v>1</v>
      </c>
      <c r="F512" s="2">
        <f t="shared" si="100"/>
        <v>4.4000000000000012</v>
      </c>
      <c r="G512" s="17">
        <f t="shared" si="102"/>
        <v>0.18766666666666668</v>
      </c>
      <c r="H512" s="8">
        <f t="shared" si="110"/>
        <v>336600</v>
      </c>
      <c r="I512" s="9">
        <f t="shared" si="101"/>
        <v>17</v>
      </c>
      <c r="L512" s="2">
        <f t="shared" si="111"/>
        <v>336600</v>
      </c>
      <c r="M512" s="2">
        <f t="shared" si="112"/>
        <v>860</v>
      </c>
      <c r="N512" s="15">
        <f t="shared" si="113"/>
        <v>6428.1153405170253</v>
      </c>
      <c r="O512" s="15">
        <f t="shared" si="114"/>
        <v>10729.327029801585</v>
      </c>
      <c r="P512" s="16">
        <f>SUM($H$3:H512)</f>
        <v>64216390</v>
      </c>
      <c r="Q512" s="2">
        <f>SUM($I$3:I512)</f>
        <v>3836</v>
      </c>
    </row>
    <row r="513" spans="1:17" x14ac:dyDescent="0.3">
      <c r="A513" s="7">
        <f t="shared" si="99"/>
        <v>511</v>
      </c>
      <c r="B513" s="2">
        <f t="shared" si="99"/>
        <v>861</v>
      </c>
      <c r="C513" s="14">
        <f t="shared" si="107"/>
        <v>6461.4346954706634</v>
      </c>
      <c r="D513" s="14">
        <f t="shared" si="108"/>
        <v>10777.568400190987</v>
      </c>
      <c r="E513" s="2">
        <v>1</v>
      </c>
      <c r="F513" s="2">
        <f t="shared" si="100"/>
        <v>4.4000000000000012</v>
      </c>
      <c r="G513" s="17">
        <f t="shared" si="102"/>
        <v>0.18809999999999999</v>
      </c>
      <c r="H513" s="8">
        <f t="shared" si="110"/>
        <v>338130</v>
      </c>
      <c r="I513" s="9">
        <f t="shared" si="101"/>
        <v>17</v>
      </c>
      <c r="L513" s="2">
        <f t="shared" si="111"/>
        <v>338130</v>
      </c>
      <c r="M513" s="2">
        <f t="shared" si="112"/>
        <v>861</v>
      </c>
      <c r="N513" s="15">
        <f t="shared" si="113"/>
        <v>6461.4346954706634</v>
      </c>
      <c r="O513" s="15">
        <f t="shared" si="114"/>
        <v>10777.568400190987</v>
      </c>
      <c r="P513" s="16">
        <f>SUM($H$3:H513)</f>
        <v>64554520</v>
      </c>
      <c r="Q513" s="2">
        <f>SUM($I$3:I513)</f>
        <v>3853</v>
      </c>
    </row>
    <row r="514" spans="1:17" x14ac:dyDescent="0.3">
      <c r="A514" s="7">
        <f t="shared" si="99"/>
        <v>512</v>
      </c>
      <c r="B514" s="2">
        <f t="shared" si="99"/>
        <v>862</v>
      </c>
      <c r="C514" s="14">
        <f t="shared" si="107"/>
        <v>6494.7856478304366</v>
      </c>
      <c r="D514" s="14">
        <f t="shared" si="108"/>
        <v>10825.901310429603</v>
      </c>
      <c r="E514" s="2">
        <v>1</v>
      </c>
      <c r="F514" s="2">
        <f t="shared" si="100"/>
        <v>4.4000000000000012</v>
      </c>
      <c r="G514" s="17">
        <f t="shared" si="102"/>
        <v>0.18853333333333336</v>
      </c>
      <c r="H514" s="8">
        <f t="shared" si="110"/>
        <v>339660</v>
      </c>
      <c r="I514" s="9">
        <f t="shared" si="101"/>
        <v>17</v>
      </c>
      <c r="L514" s="2">
        <f t="shared" si="111"/>
        <v>339660</v>
      </c>
      <c r="M514" s="2">
        <f t="shared" si="112"/>
        <v>862</v>
      </c>
      <c r="N514" s="15">
        <f t="shared" si="113"/>
        <v>6494.7856478304366</v>
      </c>
      <c r="O514" s="15">
        <f t="shared" si="114"/>
        <v>10825.901310429603</v>
      </c>
      <c r="P514" s="16">
        <f>SUM($H$3:H514)</f>
        <v>64894180</v>
      </c>
      <c r="Q514" s="2">
        <f>SUM($I$3:I514)</f>
        <v>3870</v>
      </c>
    </row>
    <row r="515" spans="1:17" x14ac:dyDescent="0.3">
      <c r="A515" s="7">
        <f t="shared" si="99"/>
        <v>513</v>
      </c>
      <c r="B515" s="2">
        <f t="shared" si="99"/>
        <v>863</v>
      </c>
      <c r="C515" s="14">
        <f t="shared" si="107"/>
        <v>6528.1680783037073</v>
      </c>
      <c r="D515" s="14">
        <f t="shared" si="108"/>
        <v>10874.325501195915</v>
      </c>
      <c r="E515" s="2">
        <v>1</v>
      </c>
      <c r="F515" s="2">
        <f t="shared" si="100"/>
        <v>4.4000000000000012</v>
      </c>
      <c r="G515" s="17">
        <f t="shared" si="102"/>
        <v>0.18896666666666667</v>
      </c>
      <c r="H515" s="8">
        <f t="shared" si="110"/>
        <v>341190</v>
      </c>
      <c r="I515" s="9">
        <f t="shared" si="101"/>
        <v>17</v>
      </c>
      <c r="L515" s="2">
        <f t="shared" si="111"/>
        <v>341190</v>
      </c>
      <c r="M515" s="2">
        <f t="shared" si="112"/>
        <v>863</v>
      </c>
      <c r="N515" s="15">
        <f t="shared" si="113"/>
        <v>6528.1680783037073</v>
      </c>
      <c r="O515" s="15">
        <f t="shared" si="114"/>
        <v>10874.325501195915</v>
      </c>
      <c r="P515" s="16">
        <f>SUM($H$3:H515)</f>
        <v>65235370</v>
      </c>
      <c r="Q515" s="2">
        <f>SUM($I$3:I515)</f>
        <v>3887</v>
      </c>
    </row>
    <row r="516" spans="1:17" x14ac:dyDescent="0.3">
      <c r="A516" s="7">
        <f t="shared" si="99"/>
        <v>514</v>
      </c>
      <c r="B516" s="2">
        <f t="shared" si="99"/>
        <v>864</v>
      </c>
      <c r="C516" s="14">
        <f t="shared" si="107"/>
        <v>6561.5818686064131</v>
      </c>
      <c r="D516" s="14">
        <f t="shared" si="108"/>
        <v>10922.840715118175</v>
      </c>
      <c r="E516" s="2">
        <v>1</v>
      </c>
      <c r="F516" s="2">
        <f t="shared" si="100"/>
        <v>4.4000000000000012</v>
      </c>
      <c r="G516" s="17">
        <f t="shared" si="102"/>
        <v>0.18940000000000001</v>
      </c>
      <c r="H516" s="8">
        <f t="shared" si="110"/>
        <v>342720</v>
      </c>
      <c r="I516" s="9">
        <f t="shared" si="101"/>
        <v>17</v>
      </c>
      <c r="L516" s="2">
        <f t="shared" si="111"/>
        <v>342720</v>
      </c>
      <c r="M516" s="2">
        <f t="shared" si="112"/>
        <v>864</v>
      </c>
      <c r="N516" s="15">
        <f t="shared" si="113"/>
        <v>6561.5818686064131</v>
      </c>
      <c r="O516" s="15">
        <f t="shared" si="114"/>
        <v>10922.840715118175</v>
      </c>
      <c r="P516" s="16">
        <f>SUM($H$3:H516)</f>
        <v>65578090</v>
      </c>
      <c r="Q516" s="2">
        <f>SUM($I$3:I516)</f>
        <v>3904</v>
      </c>
    </row>
    <row r="517" spans="1:17" x14ac:dyDescent="0.3">
      <c r="A517" s="7">
        <f t="shared" ref="A517:B580" si="115">A516+1</f>
        <v>515</v>
      </c>
      <c r="B517" s="2">
        <f t="shared" si="115"/>
        <v>865</v>
      </c>
      <c r="C517" s="14">
        <f t="shared" si="107"/>
        <v>6595.0269014499063</v>
      </c>
      <c r="D517" s="14">
        <f t="shared" si="108"/>
        <v>10971.446696750761</v>
      </c>
      <c r="E517" s="2">
        <v>1</v>
      </c>
      <c r="F517" s="2">
        <f t="shared" si="100"/>
        <v>4.4000000000000012</v>
      </c>
      <c r="G517" s="17">
        <f t="shared" si="102"/>
        <v>0.18983333333333333</v>
      </c>
      <c r="H517" s="8">
        <f t="shared" si="110"/>
        <v>344250</v>
      </c>
      <c r="I517" s="9">
        <f t="shared" si="101"/>
        <v>17</v>
      </c>
      <c r="L517" s="2">
        <f t="shared" si="111"/>
        <v>344250</v>
      </c>
      <c r="M517" s="2">
        <f t="shared" si="112"/>
        <v>865</v>
      </c>
      <c r="N517" s="15">
        <f t="shared" si="113"/>
        <v>6595.0269014499063</v>
      </c>
      <c r="O517" s="15">
        <f t="shared" si="114"/>
        <v>10971.446696750761</v>
      </c>
      <c r="P517" s="16">
        <f>SUM($H$3:H517)</f>
        <v>65922340</v>
      </c>
      <c r="Q517" s="2">
        <f>SUM($I$3:I517)</f>
        <v>3921</v>
      </c>
    </row>
    <row r="518" spans="1:17" x14ac:dyDescent="0.3">
      <c r="A518" s="7">
        <f t="shared" si="115"/>
        <v>516</v>
      </c>
      <c r="B518" s="2">
        <f t="shared" si="115"/>
        <v>866</v>
      </c>
      <c r="C518" s="14">
        <f t="shared" si="107"/>
        <v>6628.5030605279399</v>
      </c>
      <c r="D518" s="14">
        <f t="shared" si="108"/>
        <v>11020.143192550822</v>
      </c>
      <c r="E518" s="2">
        <v>1</v>
      </c>
      <c r="F518" s="2">
        <f t="shared" si="100"/>
        <v>4.4000000000000012</v>
      </c>
      <c r="G518" s="17">
        <f t="shared" si="102"/>
        <v>0.1902666666666667</v>
      </c>
      <c r="H518" s="8">
        <f t="shared" si="110"/>
        <v>345780</v>
      </c>
      <c r="I518" s="9">
        <f t="shared" si="101"/>
        <v>17</v>
      </c>
      <c r="L518" s="2">
        <f t="shared" si="111"/>
        <v>345780</v>
      </c>
      <c r="M518" s="2">
        <f t="shared" si="112"/>
        <v>866</v>
      </c>
      <c r="N518" s="15">
        <f t="shared" si="113"/>
        <v>6628.5030605279399</v>
      </c>
      <c r="O518" s="15">
        <f t="shared" si="114"/>
        <v>11020.143192550822</v>
      </c>
      <c r="P518" s="16">
        <f>SUM($H$3:H518)</f>
        <v>66268120</v>
      </c>
      <c r="Q518" s="2">
        <f>SUM($I$3:I518)</f>
        <v>3938</v>
      </c>
    </row>
    <row r="519" spans="1:17" x14ac:dyDescent="0.3">
      <c r="A519" s="7">
        <f t="shared" si="115"/>
        <v>517</v>
      </c>
      <c r="B519" s="2">
        <f t="shared" si="115"/>
        <v>867</v>
      </c>
      <c r="C519" s="14">
        <f t="shared" si="107"/>
        <v>6662.0102305039381</v>
      </c>
      <c r="D519" s="14">
        <f t="shared" si="108"/>
        <v>11068.929950855361</v>
      </c>
      <c r="E519" s="2">
        <v>1</v>
      </c>
      <c r="F519" s="2">
        <f t="shared" si="100"/>
        <v>4.4000000000000012</v>
      </c>
      <c r="G519" s="17">
        <f t="shared" si="102"/>
        <v>0.19070000000000001</v>
      </c>
      <c r="H519" s="8">
        <f t="shared" si="110"/>
        <v>347310</v>
      </c>
      <c r="I519" s="9">
        <f t="shared" si="101"/>
        <v>17</v>
      </c>
      <c r="L519" s="2">
        <f t="shared" si="111"/>
        <v>347310</v>
      </c>
      <c r="M519" s="2">
        <f t="shared" si="112"/>
        <v>867</v>
      </c>
      <c r="N519" s="15">
        <f t="shared" si="113"/>
        <v>6662.0102305039381</v>
      </c>
      <c r="O519" s="15">
        <f t="shared" si="114"/>
        <v>11068.929950855361</v>
      </c>
      <c r="P519" s="16">
        <f>SUM($H$3:H519)</f>
        <v>66615430</v>
      </c>
      <c r="Q519" s="2">
        <f>SUM($I$3:I519)</f>
        <v>3955</v>
      </c>
    </row>
    <row r="520" spans="1:17" x14ac:dyDescent="0.3">
      <c r="A520" s="7">
        <f t="shared" si="115"/>
        <v>518</v>
      </c>
      <c r="B520" s="2">
        <f t="shared" si="115"/>
        <v>868</v>
      </c>
      <c r="C520" s="14">
        <f t="shared" si="107"/>
        <v>6695.5482969985123</v>
      </c>
      <c r="D520" s="14">
        <f t="shared" si="108"/>
        <v>11117.806721858684</v>
      </c>
      <c r="E520" s="2">
        <v>1</v>
      </c>
      <c r="F520" s="2">
        <f t="shared" si="100"/>
        <v>4.4000000000000012</v>
      </c>
      <c r="G520" s="17">
        <f t="shared" si="102"/>
        <v>0.19113333333333335</v>
      </c>
      <c r="H520" s="8">
        <f t="shared" si="110"/>
        <v>348840</v>
      </c>
      <c r="I520" s="9">
        <f t="shared" si="101"/>
        <v>17</v>
      </c>
      <c r="L520" s="2">
        <f t="shared" si="111"/>
        <v>348840</v>
      </c>
      <c r="M520" s="2">
        <f t="shared" si="112"/>
        <v>868</v>
      </c>
      <c r="N520" s="15">
        <f t="shared" si="113"/>
        <v>6695.5482969985123</v>
      </c>
      <c r="O520" s="15">
        <f t="shared" si="114"/>
        <v>11117.806721858684</v>
      </c>
      <c r="P520" s="16">
        <f>SUM($H$3:H520)</f>
        <v>66964270</v>
      </c>
      <c r="Q520" s="2">
        <f>SUM($I$3:I520)</f>
        <v>3972</v>
      </c>
    </row>
    <row r="521" spans="1:17" x14ac:dyDescent="0.3">
      <c r="A521" s="7">
        <f t="shared" si="115"/>
        <v>519</v>
      </c>
      <c r="B521" s="2">
        <f t="shared" si="115"/>
        <v>869</v>
      </c>
      <c r="C521" s="14">
        <f t="shared" si="107"/>
        <v>6729.1171465771095</v>
      </c>
      <c r="D521" s="14">
        <f t="shared" si="108"/>
        <v>11166.773257590266</v>
      </c>
      <c r="E521" s="2">
        <v>1</v>
      </c>
      <c r="F521" s="2">
        <f t="shared" si="100"/>
        <v>4.4000000000000012</v>
      </c>
      <c r="G521" s="17">
        <f t="shared" si="102"/>
        <v>0.19156666666666666</v>
      </c>
      <c r="H521" s="8">
        <f t="shared" si="110"/>
        <v>350370</v>
      </c>
      <c r="I521" s="9">
        <f t="shared" si="101"/>
        <v>17</v>
      </c>
      <c r="L521" s="2">
        <f t="shared" si="111"/>
        <v>350370</v>
      </c>
      <c r="M521" s="2">
        <f t="shared" si="112"/>
        <v>869</v>
      </c>
      <c r="N521" s="15">
        <f t="shared" si="113"/>
        <v>6729.1171465771095</v>
      </c>
      <c r="O521" s="15">
        <f t="shared" si="114"/>
        <v>11166.773257590266</v>
      </c>
      <c r="P521" s="16">
        <f>SUM($H$3:H521)</f>
        <v>67314640</v>
      </c>
      <c r="Q521" s="2">
        <f>SUM($I$3:I521)</f>
        <v>3989</v>
      </c>
    </row>
    <row r="522" spans="1:17" x14ac:dyDescent="0.3">
      <c r="A522" s="7">
        <f t="shared" si="115"/>
        <v>520</v>
      </c>
      <c r="B522" s="2">
        <f t="shared" si="115"/>
        <v>870</v>
      </c>
      <c r="C522" s="14">
        <f t="shared" si="107"/>
        <v>6762.7166667379706</v>
      </c>
      <c r="D522" s="14">
        <f t="shared" si="108"/>
        <v>11215.829311892892</v>
      </c>
      <c r="E522" s="2">
        <v>1</v>
      </c>
      <c r="F522" s="2">
        <f t="shared" si="100"/>
        <v>4.6000000000000014</v>
      </c>
      <c r="G522" s="17">
        <f t="shared" si="102"/>
        <v>0.19200000000000003</v>
      </c>
      <c r="H522" s="8">
        <f t="shared" si="110"/>
        <v>351900</v>
      </c>
      <c r="I522" s="9">
        <f t="shared" si="101"/>
        <v>17</v>
      </c>
      <c r="L522" s="2">
        <f t="shared" si="111"/>
        <v>351900</v>
      </c>
      <c r="M522" s="2">
        <f t="shared" si="112"/>
        <v>870</v>
      </c>
      <c r="N522" s="15">
        <f t="shared" si="113"/>
        <v>6762.7166667379706</v>
      </c>
      <c r="O522" s="15">
        <f t="shared" si="114"/>
        <v>11215.829311892892</v>
      </c>
      <c r="P522" s="16">
        <f>SUM($H$3:H522)</f>
        <v>67666540</v>
      </c>
      <c r="Q522" s="2">
        <f>SUM($I$3:I522)</f>
        <v>4006</v>
      </c>
    </row>
    <row r="523" spans="1:17" x14ac:dyDescent="0.3">
      <c r="A523" s="7">
        <f t="shared" si="115"/>
        <v>521</v>
      </c>
      <c r="B523" s="2">
        <f t="shared" si="115"/>
        <v>871</v>
      </c>
      <c r="C523" s="14">
        <f t="shared" si="107"/>
        <v>6796.3467459002068</v>
      </c>
      <c r="D523" s="14">
        <f t="shared" si="108"/>
        <v>11264.974640401222</v>
      </c>
      <c r="E523" s="2">
        <v>1</v>
      </c>
      <c r="F523" s="2">
        <f t="shared" ref="F523:F586" si="116">F503+0.2</f>
        <v>4.6000000000000014</v>
      </c>
      <c r="G523" s="17">
        <f t="shared" si="102"/>
        <v>0.19243333333333335</v>
      </c>
      <c r="H523" s="8">
        <f t="shared" si="110"/>
        <v>353430</v>
      </c>
      <c r="I523" s="9">
        <f t="shared" si="101"/>
        <v>17</v>
      </c>
      <c r="L523" s="2">
        <f t="shared" si="111"/>
        <v>353430</v>
      </c>
      <c r="M523" s="2">
        <f t="shared" si="112"/>
        <v>871</v>
      </c>
      <c r="N523" s="15">
        <f t="shared" si="113"/>
        <v>6796.3467459002068</v>
      </c>
      <c r="O523" s="15">
        <f t="shared" si="114"/>
        <v>11264.974640401222</v>
      </c>
      <c r="P523" s="16">
        <f>SUM($H$3:H523)</f>
        <v>68019970</v>
      </c>
      <c r="Q523" s="2">
        <f>SUM($I$3:I523)</f>
        <v>4023</v>
      </c>
    </row>
    <row r="524" spans="1:17" x14ac:dyDescent="0.3">
      <c r="A524" s="7">
        <f t="shared" si="115"/>
        <v>522</v>
      </c>
      <c r="B524" s="2">
        <f t="shared" si="115"/>
        <v>872</v>
      </c>
      <c r="C524" s="14">
        <f t="shared" si="107"/>
        <v>6830.0072733921916</v>
      </c>
      <c r="D524" s="14">
        <f t="shared" si="108"/>
        <v>11314.209000520739</v>
      </c>
      <c r="E524" s="2">
        <v>1</v>
      </c>
      <c r="F524" s="2">
        <f t="shared" si="116"/>
        <v>4.6000000000000014</v>
      </c>
      <c r="G524" s="17">
        <f t="shared" si="102"/>
        <v>0.19286666666666669</v>
      </c>
      <c r="H524" s="8">
        <f t="shared" si="110"/>
        <v>354960</v>
      </c>
      <c r="I524" s="9">
        <f t="shared" si="101"/>
        <v>17</v>
      </c>
      <c r="L524" s="2">
        <f t="shared" si="111"/>
        <v>354960</v>
      </c>
      <c r="M524" s="2">
        <f t="shared" si="112"/>
        <v>872</v>
      </c>
      <c r="N524" s="15">
        <f t="shared" si="113"/>
        <v>6830.0072733921916</v>
      </c>
      <c r="O524" s="15">
        <f t="shared" si="114"/>
        <v>11314.209000520739</v>
      </c>
      <c r="P524" s="16">
        <f>SUM($H$3:H524)</f>
        <v>68374930</v>
      </c>
      <c r="Q524" s="2">
        <f>SUM($I$3:I524)</f>
        <v>4040</v>
      </c>
    </row>
    <row r="525" spans="1:17" x14ac:dyDescent="0.3">
      <c r="A525" s="7">
        <f t="shared" si="115"/>
        <v>523</v>
      </c>
      <c r="B525" s="2">
        <f t="shared" si="115"/>
        <v>873</v>
      </c>
      <c r="C525" s="14">
        <f t="shared" si="107"/>
        <v>6863.6981394400227</v>
      </c>
      <c r="D525" s="14">
        <f t="shared" si="108"/>
        <v>11363.5321514069</v>
      </c>
      <c r="E525" s="2">
        <v>1</v>
      </c>
      <c r="F525" s="2">
        <f t="shared" si="116"/>
        <v>4.6000000000000014</v>
      </c>
      <c r="G525" s="17">
        <f t="shared" si="102"/>
        <v>0.1933</v>
      </c>
      <c r="H525" s="8">
        <f t="shared" si="110"/>
        <v>356490</v>
      </c>
      <c r="I525" s="9">
        <f t="shared" si="101"/>
        <v>17</v>
      </c>
      <c r="L525" s="2">
        <f t="shared" si="111"/>
        <v>356490</v>
      </c>
      <c r="M525" s="2">
        <f t="shared" si="112"/>
        <v>873</v>
      </c>
      <c r="N525" s="15">
        <f t="shared" si="113"/>
        <v>6863.6981394400227</v>
      </c>
      <c r="O525" s="15">
        <f t="shared" si="114"/>
        <v>11363.5321514069</v>
      </c>
      <c r="P525" s="16">
        <f>SUM($H$3:H525)</f>
        <v>68731420</v>
      </c>
      <c r="Q525" s="2">
        <f>SUM($I$3:I525)</f>
        <v>4057</v>
      </c>
    </row>
    <row r="526" spans="1:17" x14ac:dyDescent="0.3">
      <c r="A526" s="7">
        <f t="shared" si="115"/>
        <v>524</v>
      </c>
      <c r="B526" s="2">
        <f t="shared" si="115"/>
        <v>874</v>
      </c>
      <c r="C526" s="14">
        <f t="shared" si="107"/>
        <v>6897.419235156267</v>
      </c>
      <c r="D526" s="14">
        <f t="shared" si="108"/>
        <v>11412.943853944789</v>
      </c>
      <c r="E526" s="2">
        <v>1</v>
      </c>
      <c r="F526" s="2">
        <f t="shared" si="116"/>
        <v>4.6000000000000014</v>
      </c>
      <c r="G526" s="17">
        <f t="shared" si="102"/>
        <v>0.19373333333333337</v>
      </c>
      <c r="H526" s="8">
        <f t="shared" si="110"/>
        <v>358020</v>
      </c>
      <c r="I526" s="9">
        <f t="shared" si="101"/>
        <v>17</v>
      </c>
      <c r="L526" s="2">
        <f t="shared" si="111"/>
        <v>358020</v>
      </c>
      <c r="M526" s="2">
        <f t="shared" si="112"/>
        <v>874</v>
      </c>
      <c r="N526" s="15">
        <f t="shared" si="113"/>
        <v>6897.419235156267</v>
      </c>
      <c r="O526" s="15">
        <f t="shared" si="114"/>
        <v>11412.943853944789</v>
      </c>
      <c r="P526" s="16">
        <f>SUM($H$3:H526)</f>
        <v>69089440</v>
      </c>
      <c r="Q526" s="2">
        <f>SUM($I$3:I526)</f>
        <v>4074</v>
      </c>
    </row>
    <row r="527" spans="1:17" x14ac:dyDescent="0.3">
      <c r="A527" s="7">
        <f t="shared" si="115"/>
        <v>525</v>
      </c>
      <c r="B527" s="2">
        <f t="shared" si="115"/>
        <v>875</v>
      </c>
      <c r="C527" s="14">
        <f t="shared" si="107"/>
        <v>6931.1704525289151</v>
      </c>
      <c r="D527" s="14">
        <f t="shared" si="108"/>
        <v>11462.443870728999</v>
      </c>
      <c r="E527" s="2">
        <v>1</v>
      </c>
      <c r="F527" s="2">
        <f t="shared" si="116"/>
        <v>4.6000000000000014</v>
      </c>
      <c r="G527" s="17">
        <f t="shared" si="102"/>
        <v>0.19416666666666668</v>
      </c>
      <c r="H527" s="8">
        <f t="shared" si="110"/>
        <v>359550</v>
      </c>
      <c r="I527" s="9">
        <f t="shared" si="101"/>
        <v>18</v>
      </c>
      <c r="L527" s="2">
        <f t="shared" si="111"/>
        <v>359550</v>
      </c>
      <c r="M527" s="2">
        <f t="shared" si="112"/>
        <v>875</v>
      </c>
      <c r="N527" s="15">
        <f t="shared" si="113"/>
        <v>6931.1704525289151</v>
      </c>
      <c r="O527" s="15">
        <f t="shared" si="114"/>
        <v>11462.443870728999</v>
      </c>
      <c r="P527" s="16">
        <f>SUM($H$3:H527)</f>
        <v>69448990</v>
      </c>
      <c r="Q527" s="2">
        <f>SUM($I$3:I527)</f>
        <v>4092</v>
      </c>
    </row>
    <row r="528" spans="1:17" x14ac:dyDescent="0.3">
      <c r="A528" s="7">
        <f t="shared" si="115"/>
        <v>526</v>
      </c>
      <c r="B528" s="2">
        <f t="shared" si="115"/>
        <v>876</v>
      </c>
      <c r="C528" s="14">
        <f t="shared" si="107"/>
        <v>6964.9516844104064</v>
      </c>
      <c r="D528" s="14">
        <f t="shared" si="108"/>
        <v>11512.031966043858</v>
      </c>
      <c r="E528" s="2">
        <v>1</v>
      </c>
      <c r="F528" s="2">
        <f t="shared" si="116"/>
        <v>4.6000000000000014</v>
      </c>
      <c r="G528" s="17">
        <f t="shared" si="102"/>
        <v>0.19460000000000002</v>
      </c>
      <c r="H528" s="8">
        <f t="shared" si="110"/>
        <v>361080</v>
      </c>
      <c r="I528" s="9">
        <f t="shared" si="101"/>
        <v>18</v>
      </c>
      <c r="L528" s="2">
        <f t="shared" si="111"/>
        <v>361080</v>
      </c>
      <c r="M528" s="2">
        <f t="shared" si="112"/>
        <v>876</v>
      </c>
      <c r="N528" s="15">
        <f t="shared" si="113"/>
        <v>6964.9516844104064</v>
      </c>
      <c r="O528" s="15">
        <f t="shared" si="114"/>
        <v>11512.031966043858</v>
      </c>
      <c r="P528" s="16">
        <f>SUM($H$3:H528)</f>
        <v>69810070</v>
      </c>
      <c r="Q528" s="2">
        <f>SUM($I$3:I528)</f>
        <v>4110</v>
      </c>
    </row>
    <row r="529" spans="1:17" x14ac:dyDescent="0.3">
      <c r="A529" s="7">
        <f t="shared" si="115"/>
        <v>527</v>
      </c>
      <c r="B529" s="2">
        <f t="shared" si="115"/>
        <v>877</v>
      </c>
      <c r="C529" s="14">
        <f t="shared" si="107"/>
        <v>6998.7628245069682</v>
      </c>
      <c r="D529" s="14">
        <f t="shared" si="108"/>
        <v>11561.70790584397</v>
      </c>
      <c r="E529" s="2">
        <v>1</v>
      </c>
      <c r="F529" s="2">
        <f t="shared" si="116"/>
        <v>4.6000000000000014</v>
      </c>
      <c r="G529" s="17">
        <f t="shared" si="102"/>
        <v>0.19503333333333334</v>
      </c>
      <c r="H529" s="8">
        <f t="shared" si="110"/>
        <v>362610</v>
      </c>
      <c r="I529" s="9">
        <f t="shared" si="101"/>
        <v>18</v>
      </c>
      <c r="L529" s="2">
        <f t="shared" si="111"/>
        <v>362610</v>
      </c>
      <c r="M529" s="2">
        <f t="shared" si="112"/>
        <v>877</v>
      </c>
      <c r="N529" s="15">
        <f t="shared" si="113"/>
        <v>6998.7628245069682</v>
      </c>
      <c r="O529" s="15">
        <f t="shared" si="114"/>
        <v>11561.70790584397</v>
      </c>
      <c r="P529" s="16">
        <f>SUM($H$3:H529)</f>
        <v>70172680</v>
      </c>
      <c r="Q529" s="2">
        <f>SUM($I$3:I529)</f>
        <v>4128</v>
      </c>
    </row>
    <row r="530" spans="1:17" x14ac:dyDescent="0.3">
      <c r="A530" s="7">
        <f t="shared" si="115"/>
        <v>528</v>
      </c>
      <c r="B530" s="2">
        <f t="shared" si="115"/>
        <v>878</v>
      </c>
      <c r="C530" s="14">
        <f t="shared" si="107"/>
        <v>7032.6037673680785</v>
      </c>
      <c r="D530" s="14">
        <f t="shared" si="108"/>
        <v>11611.471457735061</v>
      </c>
      <c r="E530" s="2">
        <v>1</v>
      </c>
      <c r="F530" s="2">
        <f t="shared" si="116"/>
        <v>4.6000000000000014</v>
      </c>
      <c r="G530" s="17">
        <f t="shared" si="102"/>
        <v>0.19546666666666671</v>
      </c>
      <c r="H530" s="8">
        <f t="shared" si="110"/>
        <v>364140</v>
      </c>
      <c r="I530" s="9">
        <f t="shared" si="101"/>
        <v>18</v>
      </c>
      <c r="L530" s="2">
        <f t="shared" si="111"/>
        <v>364140</v>
      </c>
      <c r="M530" s="2">
        <f t="shared" si="112"/>
        <v>878</v>
      </c>
      <c r="N530" s="15">
        <f t="shared" si="113"/>
        <v>7032.6037673680785</v>
      </c>
      <c r="O530" s="15">
        <f t="shared" si="114"/>
        <v>11611.471457735061</v>
      </c>
      <c r="P530" s="16">
        <f>SUM($H$3:H530)</f>
        <v>70536820</v>
      </c>
      <c r="Q530" s="2">
        <f>SUM($I$3:I530)</f>
        <v>4146</v>
      </c>
    </row>
    <row r="531" spans="1:17" x14ac:dyDescent="0.3">
      <c r="A531" s="7">
        <f t="shared" si="115"/>
        <v>529</v>
      </c>
      <c r="B531" s="2">
        <f t="shared" si="115"/>
        <v>879</v>
      </c>
      <c r="C531" s="14">
        <f t="shared" si="107"/>
        <v>7066.4744083760834</v>
      </c>
      <c r="D531" s="14">
        <f t="shared" si="108"/>
        <v>11661.322390955147</v>
      </c>
      <c r="E531" s="2">
        <v>1</v>
      </c>
      <c r="F531" s="2">
        <f t="shared" si="116"/>
        <v>4.6000000000000014</v>
      </c>
      <c r="G531" s="17">
        <f t="shared" si="102"/>
        <v>0.19590000000000002</v>
      </c>
      <c r="H531" s="8">
        <f t="shared" si="110"/>
        <v>365670</v>
      </c>
      <c r="I531" s="9">
        <f t="shared" si="101"/>
        <v>18</v>
      </c>
      <c r="L531" s="2">
        <f t="shared" si="111"/>
        <v>365670</v>
      </c>
      <c r="M531" s="2">
        <f t="shared" si="112"/>
        <v>879</v>
      </c>
      <c r="N531" s="15">
        <f t="shared" si="113"/>
        <v>7066.4744083760834</v>
      </c>
      <c r="O531" s="15">
        <f t="shared" si="114"/>
        <v>11661.322390955147</v>
      </c>
      <c r="P531" s="16">
        <f>SUM($H$3:H531)</f>
        <v>70902490</v>
      </c>
      <c r="Q531" s="2">
        <f>SUM($I$3:I531)</f>
        <v>4164</v>
      </c>
    </row>
    <row r="532" spans="1:17" x14ac:dyDescent="0.3">
      <c r="A532" s="7">
        <f t="shared" si="115"/>
        <v>530</v>
      </c>
      <c r="B532" s="2">
        <f t="shared" si="115"/>
        <v>880</v>
      </c>
      <c r="C532" s="14">
        <f t="shared" si="107"/>
        <v>7100.3746437360078</v>
      </c>
      <c r="D532" s="14">
        <f t="shared" si="108"/>
        <v>11711.260476355998</v>
      </c>
      <c r="E532" s="2">
        <v>1</v>
      </c>
      <c r="F532" s="2">
        <f t="shared" si="116"/>
        <v>4.6000000000000014</v>
      </c>
      <c r="G532" s="17">
        <f t="shared" si="102"/>
        <v>0.19633333333333336</v>
      </c>
      <c r="H532" s="8">
        <f t="shared" si="110"/>
        <v>367200</v>
      </c>
      <c r="I532" s="9">
        <f t="shared" si="101"/>
        <v>18</v>
      </c>
      <c r="L532" s="2">
        <f t="shared" si="111"/>
        <v>367200</v>
      </c>
      <c r="M532" s="2">
        <f t="shared" si="112"/>
        <v>880</v>
      </c>
      <c r="N532" s="15">
        <f t="shared" si="113"/>
        <v>7100.3746437360078</v>
      </c>
      <c r="O532" s="15">
        <f t="shared" si="114"/>
        <v>11711.260476355998</v>
      </c>
      <c r="P532" s="16">
        <f>SUM($H$3:H532)</f>
        <v>71269690</v>
      </c>
      <c r="Q532" s="2">
        <f>SUM($I$3:I532)</f>
        <v>4182</v>
      </c>
    </row>
    <row r="533" spans="1:17" x14ac:dyDescent="0.3">
      <c r="A533" s="7">
        <f t="shared" si="115"/>
        <v>531</v>
      </c>
      <c r="B533" s="2">
        <f t="shared" si="115"/>
        <v>881</v>
      </c>
      <c r="C533" s="14">
        <f t="shared" si="107"/>
        <v>7134.3043704655656</v>
      </c>
      <c r="D533" s="14">
        <f t="shared" si="108"/>
        <v>11761.285486384835</v>
      </c>
      <c r="E533" s="2">
        <v>1</v>
      </c>
      <c r="F533" s="2">
        <f t="shared" si="116"/>
        <v>4.6000000000000014</v>
      </c>
      <c r="G533" s="17">
        <f t="shared" si="102"/>
        <v>0.19676666666666667</v>
      </c>
      <c r="H533" s="8">
        <f t="shared" si="110"/>
        <v>368730</v>
      </c>
      <c r="I533" s="9">
        <f t="shared" si="101"/>
        <v>18</v>
      </c>
      <c r="L533" s="2">
        <f t="shared" si="111"/>
        <v>368730</v>
      </c>
      <c r="M533" s="2">
        <f t="shared" si="112"/>
        <v>881</v>
      </c>
      <c r="N533" s="15">
        <f t="shared" si="113"/>
        <v>7134.3043704655656</v>
      </c>
      <c r="O533" s="15">
        <f t="shared" si="114"/>
        <v>11761.285486384835</v>
      </c>
      <c r="P533" s="16">
        <f>SUM($H$3:H533)</f>
        <v>71638420</v>
      </c>
      <c r="Q533" s="2">
        <f>SUM($I$3:I533)</f>
        <v>4200</v>
      </c>
    </row>
    <row r="534" spans="1:17" x14ac:dyDescent="0.3">
      <c r="A534" s="7">
        <f t="shared" si="115"/>
        <v>532</v>
      </c>
      <c r="B534" s="2">
        <f t="shared" si="115"/>
        <v>882</v>
      </c>
      <c r="C534" s="14">
        <f t="shared" si="107"/>
        <v>7168.2634863852718</v>
      </c>
      <c r="D534" s="14">
        <f t="shared" si="108"/>
        <v>11811.397195066407</v>
      </c>
      <c r="E534" s="2">
        <v>1</v>
      </c>
      <c r="F534" s="2">
        <f t="shared" si="116"/>
        <v>4.6000000000000014</v>
      </c>
      <c r="G534" s="17">
        <f t="shared" si="102"/>
        <v>0.19720000000000004</v>
      </c>
      <c r="H534" s="8">
        <f t="shared" si="110"/>
        <v>370260</v>
      </c>
      <c r="I534" s="9">
        <f t="shared" si="101"/>
        <v>18</v>
      </c>
      <c r="L534" s="2">
        <f t="shared" si="111"/>
        <v>370260</v>
      </c>
      <c r="M534" s="2">
        <f t="shared" si="112"/>
        <v>882</v>
      </c>
      <c r="N534" s="15">
        <f t="shared" si="113"/>
        <v>7168.2634863852718</v>
      </c>
      <c r="O534" s="15">
        <f t="shared" si="114"/>
        <v>11811.397195066407</v>
      </c>
      <c r="P534" s="16">
        <f>SUM($H$3:H534)</f>
        <v>72008680</v>
      </c>
      <c r="Q534" s="2">
        <f>SUM($I$3:I534)</f>
        <v>4218</v>
      </c>
    </row>
    <row r="535" spans="1:17" x14ac:dyDescent="0.3">
      <c r="A535" s="7">
        <f t="shared" si="115"/>
        <v>533</v>
      </c>
      <c r="B535" s="2">
        <f t="shared" si="115"/>
        <v>883</v>
      </c>
      <c r="C535" s="14">
        <f t="shared" si="107"/>
        <v>7202.2518901087678</v>
      </c>
      <c r="D535" s="14">
        <f t="shared" si="108"/>
        <v>11861.595377985257</v>
      </c>
      <c r="E535" s="2">
        <v>1</v>
      </c>
      <c r="F535" s="2">
        <f t="shared" si="116"/>
        <v>4.6000000000000014</v>
      </c>
      <c r="G535" s="17">
        <f t="shared" si="102"/>
        <v>0.19763333333333336</v>
      </c>
      <c r="H535" s="8">
        <f t="shared" si="110"/>
        <v>371790</v>
      </c>
      <c r="I535" s="9">
        <f t="shared" si="101"/>
        <v>18</v>
      </c>
      <c r="L535" s="2">
        <f t="shared" si="111"/>
        <v>371790</v>
      </c>
      <c r="M535" s="2">
        <f t="shared" si="112"/>
        <v>883</v>
      </c>
      <c r="N535" s="15">
        <f t="shared" si="113"/>
        <v>7202.2518901087678</v>
      </c>
      <c r="O535" s="15">
        <f t="shared" si="114"/>
        <v>11861.595377985257</v>
      </c>
      <c r="P535" s="16">
        <f>SUM($H$3:H535)</f>
        <v>72380470</v>
      </c>
      <c r="Q535" s="2">
        <f>SUM($I$3:I535)</f>
        <v>4236</v>
      </c>
    </row>
    <row r="536" spans="1:17" x14ac:dyDescent="0.3">
      <c r="A536" s="7">
        <f t="shared" si="115"/>
        <v>534</v>
      </c>
      <c r="B536" s="2">
        <f t="shared" si="115"/>
        <v>884</v>
      </c>
      <c r="C536" s="14">
        <f t="shared" si="107"/>
        <v>7236.269481033296</v>
      </c>
      <c r="D536" s="14">
        <f t="shared" si="108"/>
        <v>11911.879812268324</v>
      </c>
      <c r="E536" s="2">
        <v>1</v>
      </c>
      <c r="F536" s="2">
        <f t="shared" si="116"/>
        <v>4.6000000000000014</v>
      </c>
      <c r="G536" s="17">
        <f t="shared" si="102"/>
        <v>0.1980666666666667</v>
      </c>
      <c r="H536" s="8">
        <f t="shared" si="110"/>
        <v>373320</v>
      </c>
      <c r="I536" s="9">
        <f t="shared" si="101"/>
        <v>18</v>
      </c>
      <c r="L536" s="2">
        <f t="shared" si="111"/>
        <v>373320</v>
      </c>
      <c r="M536" s="2">
        <f t="shared" si="112"/>
        <v>884</v>
      </c>
      <c r="N536" s="15">
        <f t="shared" si="113"/>
        <v>7236.269481033296</v>
      </c>
      <c r="O536" s="15">
        <f t="shared" si="114"/>
        <v>11911.879812268324</v>
      </c>
      <c r="P536" s="16">
        <f>SUM($H$3:H536)</f>
        <v>72753790</v>
      </c>
      <c r="Q536" s="2">
        <f>SUM($I$3:I536)</f>
        <v>4254</v>
      </c>
    </row>
    <row r="537" spans="1:17" x14ac:dyDescent="0.3">
      <c r="A537" s="7">
        <f t="shared" si="115"/>
        <v>535</v>
      </c>
      <c r="B537" s="2">
        <f t="shared" si="115"/>
        <v>885</v>
      </c>
      <c r="C537" s="14">
        <f t="shared" si="107"/>
        <v>7270.3161593302611</v>
      </c>
      <c r="D537" s="14">
        <f t="shared" si="108"/>
        <v>11962.250276567773</v>
      </c>
      <c r="E537" s="2">
        <v>1</v>
      </c>
      <c r="F537" s="2">
        <f t="shared" si="116"/>
        <v>4.6000000000000014</v>
      </c>
      <c r="G537" s="17">
        <f t="shared" si="102"/>
        <v>0.19850000000000001</v>
      </c>
      <c r="H537" s="8">
        <f t="shared" si="110"/>
        <v>374850</v>
      </c>
      <c r="I537" s="9">
        <f t="shared" si="101"/>
        <v>18</v>
      </c>
      <c r="L537" s="2">
        <f t="shared" si="111"/>
        <v>374850</v>
      </c>
      <c r="M537" s="2">
        <f t="shared" si="112"/>
        <v>885</v>
      </c>
      <c r="N537" s="15">
        <f t="shared" si="113"/>
        <v>7270.3161593302611</v>
      </c>
      <c r="O537" s="15">
        <f t="shared" si="114"/>
        <v>11962.250276567773</v>
      </c>
      <c r="P537" s="16">
        <f>SUM($H$3:H537)</f>
        <v>73128640</v>
      </c>
      <c r="Q537" s="2">
        <f>SUM($I$3:I537)</f>
        <v>4272</v>
      </c>
    </row>
    <row r="538" spans="1:17" x14ac:dyDescent="0.3">
      <c r="A538" s="7">
        <f t="shared" si="115"/>
        <v>536</v>
      </c>
      <c r="B538" s="2">
        <f t="shared" si="115"/>
        <v>886</v>
      </c>
      <c r="C538" s="14">
        <f t="shared" si="107"/>
        <v>7304.3918259360989</v>
      </c>
      <c r="D538" s="14">
        <f t="shared" si="108"/>
        <v>12012.706551044133</v>
      </c>
      <c r="E538" s="2">
        <v>1</v>
      </c>
      <c r="F538" s="2">
        <f t="shared" si="116"/>
        <v>4.6000000000000014</v>
      </c>
      <c r="G538" s="17">
        <f t="shared" si="102"/>
        <v>0.19893333333333332</v>
      </c>
      <c r="H538" s="8">
        <f t="shared" si="110"/>
        <v>376380</v>
      </c>
      <c r="I538" s="9">
        <f t="shared" si="101"/>
        <v>18</v>
      </c>
      <c r="L538" s="2">
        <f t="shared" si="111"/>
        <v>376380</v>
      </c>
      <c r="M538" s="2">
        <f t="shared" si="112"/>
        <v>886</v>
      </c>
      <c r="N538" s="15">
        <f t="shared" si="113"/>
        <v>7304.3918259360989</v>
      </c>
      <c r="O538" s="15">
        <f t="shared" si="114"/>
        <v>12012.706551044133</v>
      </c>
      <c r="P538" s="16">
        <f>SUM($H$3:H538)</f>
        <v>73505020</v>
      </c>
      <c r="Q538" s="2">
        <f>SUM($I$3:I538)</f>
        <v>4290</v>
      </c>
    </row>
    <row r="539" spans="1:17" x14ac:dyDescent="0.3">
      <c r="A539" s="7">
        <f t="shared" si="115"/>
        <v>537</v>
      </c>
      <c r="B539" s="2">
        <f t="shared" si="115"/>
        <v>887</v>
      </c>
      <c r="C539" s="14">
        <f t="shared" si="107"/>
        <v>7338.4963825430987</v>
      </c>
      <c r="D539" s="14">
        <f t="shared" si="108"/>
        <v>12063.248417349627</v>
      </c>
      <c r="E539" s="2">
        <v>1</v>
      </c>
      <c r="F539" s="2">
        <f t="shared" si="116"/>
        <v>4.6000000000000014</v>
      </c>
      <c r="G539" s="17">
        <f t="shared" si="102"/>
        <v>0.19936666666666669</v>
      </c>
      <c r="H539" s="8">
        <f t="shared" si="110"/>
        <v>377910</v>
      </c>
      <c r="I539" s="9">
        <f t="shared" si="101"/>
        <v>18</v>
      </c>
      <c r="L539" s="2">
        <f t="shared" si="111"/>
        <v>377910</v>
      </c>
      <c r="M539" s="2">
        <f t="shared" si="112"/>
        <v>887</v>
      </c>
      <c r="N539" s="15">
        <f t="shared" si="113"/>
        <v>7338.4963825430987</v>
      </c>
      <c r="O539" s="15">
        <f t="shared" si="114"/>
        <v>12063.248417349627</v>
      </c>
      <c r="P539" s="16">
        <f>SUM($H$3:H539)</f>
        <v>73882930</v>
      </c>
      <c r="Q539" s="2">
        <f>SUM($I$3:I539)</f>
        <v>4308</v>
      </c>
    </row>
    <row r="540" spans="1:17" x14ac:dyDescent="0.3">
      <c r="A540" s="7">
        <f t="shared" si="115"/>
        <v>538</v>
      </c>
      <c r="B540" s="2">
        <f t="shared" si="115"/>
        <v>888</v>
      </c>
      <c r="C540" s="14">
        <f t="shared" si="107"/>
        <v>7372.6297315905322</v>
      </c>
      <c r="D540" s="14">
        <f t="shared" si="108"/>
        <v>12113.875658611845</v>
      </c>
      <c r="E540" s="2">
        <v>1</v>
      </c>
      <c r="F540" s="2">
        <f t="shared" si="116"/>
        <v>4.6000000000000014</v>
      </c>
      <c r="G540" s="17">
        <f t="shared" si="102"/>
        <v>0.19980000000000001</v>
      </c>
      <c r="H540" s="8">
        <f t="shared" si="110"/>
        <v>379440</v>
      </c>
      <c r="I540" s="9">
        <f t="shared" si="101"/>
        <v>18</v>
      </c>
      <c r="L540" s="2">
        <f t="shared" si="111"/>
        <v>379440</v>
      </c>
      <c r="M540" s="2">
        <f t="shared" si="112"/>
        <v>888</v>
      </c>
      <c r="N540" s="15">
        <f t="shared" si="113"/>
        <v>7372.6297315905322</v>
      </c>
      <c r="O540" s="15">
        <f t="shared" si="114"/>
        <v>12113.875658611845</v>
      </c>
      <c r="P540" s="16">
        <f>SUM($H$3:H540)</f>
        <v>74262370</v>
      </c>
      <c r="Q540" s="2">
        <f>SUM($I$3:I540)</f>
        <v>4326</v>
      </c>
    </row>
    <row r="541" spans="1:17" x14ac:dyDescent="0.3">
      <c r="A541" s="7">
        <f t="shared" si="115"/>
        <v>539</v>
      </c>
      <c r="B541" s="2">
        <f t="shared" si="115"/>
        <v>889</v>
      </c>
      <c r="C541" s="14">
        <f t="shared" si="107"/>
        <v>7406.79177625585</v>
      </c>
      <c r="D541" s="14">
        <f t="shared" si="108"/>
        <v>12164.588059417556</v>
      </c>
      <c r="E541" s="2">
        <v>1</v>
      </c>
      <c r="F541" s="2">
        <f t="shared" si="116"/>
        <v>4.6000000000000014</v>
      </c>
      <c r="G541" s="17">
        <f t="shared" si="102"/>
        <v>0.20023333333333335</v>
      </c>
      <c r="H541" s="8">
        <f t="shared" si="110"/>
        <v>380970</v>
      </c>
      <c r="I541" s="9">
        <f t="shared" si="101"/>
        <v>18</v>
      </c>
      <c r="L541" s="2">
        <f t="shared" si="111"/>
        <v>380970</v>
      </c>
      <c r="M541" s="2">
        <f t="shared" si="112"/>
        <v>889</v>
      </c>
      <c r="N541" s="15">
        <f t="shared" si="113"/>
        <v>7406.79177625585</v>
      </c>
      <c r="O541" s="15">
        <f t="shared" si="114"/>
        <v>12164.588059417556</v>
      </c>
      <c r="P541" s="16">
        <f>SUM($H$3:H541)</f>
        <v>74643340</v>
      </c>
      <c r="Q541" s="2">
        <f>SUM($I$3:I541)</f>
        <v>4344</v>
      </c>
    </row>
    <row r="542" spans="1:17" x14ac:dyDescent="0.3">
      <c r="A542" s="7">
        <f t="shared" si="115"/>
        <v>540</v>
      </c>
      <c r="B542" s="2">
        <f t="shared" si="115"/>
        <v>890</v>
      </c>
      <c r="C542" s="14">
        <f t="shared" si="107"/>
        <v>7440.9824204459946</v>
      </c>
      <c r="D542" s="14">
        <f t="shared" si="108"/>
        <v>12215.385405796846</v>
      </c>
      <c r="E542" s="2">
        <v>1</v>
      </c>
      <c r="F542" s="2">
        <f t="shared" si="116"/>
        <v>4.8000000000000016</v>
      </c>
      <c r="G542" s="17">
        <f t="shared" si="102"/>
        <v>0.20066666666666666</v>
      </c>
      <c r="H542" s="8">
        <f t="shared" si="110"/>
        <v>382500</v>
      </c>
      <c r="I542" s="9">
        <f t="shared" si="101"/>
        <v>18</v>
      </c>
      <c r="L542" s="2">
        <f t="shared" si="111"/>
        <v>382500</v>
      </c>
      <c r="M542" s="2">
        <f t="shared" si="112"/>
        <v>890</v>
      </c>
      <c r="N542" s="15">
        <f t="shared" si="113"/>
        <v>7440.9824204459946</v>
      </c>
      <c r="O542" s="15">
        <f t="shared" si="114"/>
        <v>12215.385405796846</v>
      </c>
      <c r="P542" s="16">
        <f>SUM($H$3:H542)</f>
        <v>75025840</v>
      </c>
      <c r="Q542" s="2">
        <f>SUM($I$3:I542)</f>
        <v>4362</v>
      </c>
    </row>
    <row r="543" spans="1:17" x14ac:dyDescent="0.3">
      <c r="A543" s="7">
        <f t="shared" si="115"/>
        <v>541</v>
      </c>
      <c r="B543" s="2">
        <f t="shared" si="115"/>
        <v>891</v>
      </c>
      <c r="C543" s="14">
        <f t="shared" si="107"/>
        <v>7475.201568788947</v>
      </c>
      <c r="D543" s="14">
        <f t="shared" si="108"/>
        <v>12266.2674852075</v>
      </c>
      <c r="E543" s="2">
        <v>1</v>
      </c>
      <c r="F543" s="2">
        <f t="shared" si="116"/>
        <v>4.8000000000000016</v>
      </c>
      <c r="G543" s="17">
        <f t="shared" si="102"/>
        <v>0.20110000000000003</v>
      </c>
      <c r="H543" s="8">
        <f t="shared" si="110"/>
        <v>384030</v>
      </c>
      <c r="I543" s="9">
        <f t="shared" si="101"/>
        <v>18</v>
      </c>
      <c r="L543" s="2">
        <f t="shared" si="111"/>
        <v>384030</v>
      </c>
      <c r="M543" s="2">
        <f t="shared" si="112"/>
        <v>891</v>
      </c>
      <c r="N543" s="15">
        <f t="shared" si="113"/>
        <v>7475.201568788947</v>
      </c>
      <c r="O543" s="15">
        <f t="shared" si="114"/>
        <v>12266.2674852075</v>
      </c>
      <c r="P543" s="16">
        <f>SUM($H$3:H543)</f>
        <v>75409870</v>
      </c>
      <c r="Q543" s="2">
        <f>SUM($I$3:I543)</f>
        <v>4380</v>
      </c>
    </row>
    <row r="544" spans="1:17" x14ac:dyDescent="0.3">
      <c r="A544" s="7">
        <f t="shared" si="115"/>
        <v>542</v>
      </c>
      <c r="B544" s="2">
        <f t="shared" si="115"/>
        <v>892</v>
      </c>
      <c r="C544" s="14">
        <f t="shared" si="107"/>
        <v>7509.449126625298</v>
      </c>
      <c r="D544" s="14">
        <f t="shared" si="108"/>
        <v>12317.234086519526</v>
      </c>
      <c r="E544" s="2">
        <v>1</v>
      </c>
      <c r="F544" s="2">
        <f t="shared" si="116"/>
        <v>4.8000000000000016</v>
      </c>
      <c r="G544" s="17">
        <f t="shared" si="102"/>
        <v>0.20153333333333334</v>
      </c>
      <c r="H544" s="8">
        <f t="shared" si="110"/>
        <v>385560</v>
      </c>
      <c r="I544" s="9">
        <f t="shared" si="101"/>
        <v>18</v>
      </c>
      <c r="L544" s="2">
        <f t="shared" si="111"/>
        <v>385560</v>
      </c>
      <c r="M544" s="2">
        <f t="shared" si="112"/>
        <v>892</v>
      </c>
      <c r="N544" s="15">
        <f t="shared" si="113"/>
        <v>7509.449126625298</v>
      </c>
      <c r="O544" s="15">
        <f t="shared" si="114"/>
        <v>12317.234086519526</v>
      </c>
      <c r="P544" s="16">
        <f>SUM($H$3:H544)</f>
        <v>75795430</v>
      </c>
      <c r="Q544" s="2">
        <f>SUM($I$3:I544)</f>
        <v>4398</v>
      </c>
    </row>
    <row r="545" spans="1:17" x14ac:dyDescent="0.3">
      <c r="A545" s="7">
        <f t="shared" si="115"/>
        <v>543</v>
      </c>
      <c r="B545" s="2">
        <f t="shared" si="115"/>
        <v>893</v>
      </c>
      <c r="C545" s="14">
        <f t="shared" si="107"/>
        <v>7543.7249999999949</v>
      </c>
      <c r="D545" s="14">
        <f t="shared" si="108"/>
        <v>12368.284999999996</v>
      </c>
      <c r="E545" s="2">
        <v>1</v>
      </c>
      <c r="F545" s="2">
        <f t="shared" si="116"/>
        <v>4.8000000000000016</v>
      </c>
      <c r="G545" s="17">
        <f t="shared" si="102"/>
        <v>0.20196666666666668</v>
      </c>
      <c r="H545" s="8">
        <f t="shared" si="110"/>
        <v>387090</v>
      </c>
      <c r="I545" s="9">
        <f t="shared" si="101"/>
        <v>18</v>
      </c>
      <c r="L545" s="2">
        <f t="shared" si="111"/>
        <v>387090</v>
      </c>
      <c r="M545" s="2">
        <f t="shared" si="112"/>
        <v>893</v>
      </c>
      <c r="N545" s="15">
        <f t="shared" si="113"/>
        <v>7543.7249999999949</v>
      </c>
      <c r="O545" s="15">
        <f t="shared" si="114"/>
        <v>12368.284999999996</v>
      </c>
      <c r="P545" s="16">
        <f>SUM($H$3:H545)</f>
        <v>76182520</v>
      </c>
      <c r="Q545" s="2">
        <f>SUM($I$3:I545)</f>
        <v>4416</v>
      </c>
    </row>
    <row r="546" spans="1:17" x14ac:dyDescent="0.3">
      <c r="A546" s="7">
        <f t="shared" si="115"/>
        <v>544</v>
      </c>
      <c r="B546" s="2">
        <f t="shared" si="115"/>
        <v>894</v>
      </c>
      <c r="C546" s="14">
        <f t="shared" si="107"/>
        <v>7578.0290956542813</v>
      </c>
      <c r="D546" s="14">
        <f t="shared" si="108"/>
        <v>12419.420017298122</v>
      </c>
      <c r="E546" s="2">
        <v>1</v>
      </c>
      <c r="F546" s="2">
        <f t="shared" si="116"/>
        <v>4.8000000000000016</v>
      </c>
      <c r="G546" s="17">
        <f t="shared" si="102"/>
        <v>0.2024</v>
      </c>
      <c r="H546" s="8">
        <f t="shared" si="110"/>
        <v>388620</v>
      </c>
      <c r="I546" s="9">
        <f t="shared" si="101"/>
        <v>18</v>
      </c>
      <c r="L546" s="2">
        <f t="shared" si="111"/>
        <v>388620</v>
      </c>
      <c r="M546" s="2">
        <f t="shared" si="112"/>
        <v>894</v>
      </c>
      <c r="N546" s="15">
        <f t="shared" si="113"/>
        <v>7578.0290956542813</v>
      </c>
      <c r="O546" s="15">
        <f t="shared" si="114"/>
        <v>12419.420017298122</v>
      </c>
      <c r="P546" s="16">
        <f>SUM($H$3:H546)</f>
        <v>76571140</v>
      </c>
      <c r="Q546" s="2">
        <f>SUM($I$3:I546)</f>
        <v>4434</v>
      </c>
    </row>
    <row r="547" spans="1:17" x14ac:dyDescent="0.3">
      <c r="A547" s="7">
        <f t="shared" si="115"/>
        <v>545</v>
      </c>
      <c r="B547" s="2">
        <f t="shared" si="115"/>
        <v>895</v>
      </c>
      <c r="C547" s="14">
        <f t="shared" si="107"/>
        <v>7612.36132101762</v>
      </c>
      <c r="D547" s="14">
        <f t="shared" si="108"/>
        <v>12470.63893143046</v>
      </c>
      <c r="E547" s="2">
        <v>1</v>
      </c>
      <c r="F547" s="2">
        <f t="shared" si="116"/>
        <v>4.8000000000000016</v>
      </c>
      <c r="G547" s="17">
        <f t="shared" si="102"/>
        <v>0.20283333333333337</v>
      </c>
      <c r="H547" s="8">
        <f t="shared" si="110"/>
        <v>390150</v>
      </c>
      <c r="I547" s="9">
        <f t="shared" si="101"/>
        <v>18</v>
      </c>
      <c r="L547" s="2">
        <f t="shared" si="111"/>
        <v>390150</v>
      </c>
      <c r="M547" s="2">
        <f t="shared" si="112"/>
        <v>895</v>
      </c>
      <c r="N547" s="15">
        <f t="shared" si="113"/>
        <v>7612.36132101762</v>
      </c>
      <c r="O547" s="15">
        <f t="shared" si="114"/>
        <v>12470.63893143046</v>
      </c>
      <c r="P547" s="16">
        <f>SUM($H$3:H547)</f>
        <v>76961290</v>
      </c>
      <c r="Q547" s="2">
        <f>SUM($I$3:I547)</f>
        <v>4452</v>
      </c>
    </row>
    <row r="548" spans="1:17" x14ac:dyDescent="0.3">
      <c r="A548" s="7">
        <f t="shared" si="115"/>
        <v>546</v>
      </c>
      <c r="B548" s="2">
        <f t="shared" si="115"/>
        <v>896</v>
      </c>
      <c r="C548" s="14">
        <f t="shared" si="107"/>
        <v>7646.7215841998814</v>
      </c>
      <c r="D548" s="14">
        <f t="shared" si="108"/>
        <v>12521.941536766395</v>
      </c>
      <c r="E548" s="2">
        <v>1</v>
      </c>
      <c r="F548" s="2">
        <f t="shared" si="116"/>
        <v>4.8000000000000016</v>
      </c>
      <c r="G548" s="17">
        <f t="shared" si="102"/>
        <v>0.20326666666666668</v>
      </c>
      <c r="H548" s="8">
        <f t="shared" si="110"/>
        <v>391680</v>
      </c>
      <c r="I548" s="9">
        <f t="shared" ref="I548:I611" si="117">I523+1</f>
        <v>18</v>
      </c>
      <c r="L548" s="2">
        <f t="shared" si="111"/>
        <v>391680</v>
      </c>
      <c r="M548" s="2">
        <f t="shared" si="112"/>
        <v>896</v>
      </c>
      <c r="N548" s="15">
        <f t="shared" si="113"/>
        <v>7646.7215841998814</v>
      </c>
      <c r="O548" s="15">
        <f t="shared" si="114"/>
        <v>12521.941536766395</v>
      </c>
      <c r="P548" s="16">
        <f>SUM($H$3:H548)</f>
        <v>77352970</v>
      </c>
      <c r="Q548" s="2">
        <f>SUM($I$3:I548)</f>
        <v>4470</v>
      </c>
    </row>
    <row r="549" spans="1:17" x14ac:dyDescent="0.3">
      <c r="A549" s="7">
        <f t="shared" si="115"/>
        <v>547</v>
      </c>
      <c r="B549" s="2">
        <f t="shared" si="115"/>
        <v>897</v>
      </c>
      <c r="C549" s="14">
        <f t="shared" si="107"/>
        <v>7681.10979398362</v>
      </c>
      <c r="D549" s="14">
        <f t="shared" si="108"/>
        <v>12573.327629013904</v>
      </c>
      <c r="E549" s="2">
        <v>1</v>
      </c>
      <c r="F549" s="2">
        <f t="shared" si="116"/>
        <v>4.8000000000000016</v>
      </c>
      <c r="G549" s="17">
        <f t="shared" si="102"/>
        <v>0.20370000000000002</v>
      </c>
      <c r="H549" s="8">
        <f t="shared" si="110"/>
        <v>393210</v>
      </c>
      <c r="I549" s="9">
        <f t="shared" si="117"/>
        <v>18</v>
      </c>
      <c r="L549" s="2">
        <f t="shared" si="111"/>
        <v>393210</v>
      </c>
      <c r="M549" s="2">
        <f t="shared" si="112"/>
        <v>897</v>
      </c>
      <c r="N549" s="15">
        <f t="shared" si="113"/>
        <v>7681.10979398362</v>
      </c>
      <c r="O549" s="15">
        <f t="shared" si="114"/>
        <v>12573.327629013904</v>
      </c>
      <c r="P549" s="16">
        <f>SUM($H$3:H549)</f>
        <v>77746180</v>
      </c>
      <c r="Q549" s="2">
        <f>SUM($I$3:I549)</f>
        <v>4488</v>
      </c>
    </row>
    <row r="550" spans="1:17" x14ac:dyDescent="0.3">
      <c r="A550" s="7">
        <f t="shared" si="115"/>
        <v>548</v>
      </c>
      <c r="B550" s="2">
        <f t="shared" si="115"/>
        <v>898</v>
      </c>
      <c r="C550" s="14">
        <f t="shared" si="107"/>
        <v>7715.5258598163473</v>
      </c>
      <c r="D550" s="14">
        <f t="shared" si="108"/>
        <v>12624.797005205332</v>
      </c>
      <c r="E550" s="2">
        <v>1</v>
      </c>
      <c r="F550" s="2">
        <f t="shared" si="116"/>
        <v>4.8000000000000016</v>
      </c>
      <c r="G550" s="17">
        <f t="shared" si="102"/>
        <v>0.20413333333333333</v>
      </c>
      <c r="H550" s="8">
        <f t="shared" si="110"/>
        <v>394740</v>
      </c>
      <c r="I550" s="9">
        <f t="shared" si="117"/>
        <v>18</v>
      </c>
      <c r="L550" s="2">
        <f t="shared" si="111"/>
        <v>394740</v>
      </c>
      <c r="M550" s="2">
        <f t="shared" si="112"/>
        <v>898</v>
      </c>
      <c r="N550" s="15">
        <f t="shared" si="113"/>
        <v>7715.5258598163473</v>
      </c>
      <c r="O550" s="15">
        <f t="shared" si="114"/>
        <v>12624.797005205332</v>
      </c>
      <c r="P550" s="16">
        <f>SUM($H$3:H550)</f>
        <v>78140920</v>
      </c>
      <c r="Q550" s="2">
        <f>SUM($I$3:I550)</f>
        <v>4506</v>
      </c>
    </row>
    <row r="551" spans="1:17" x14ac:dyDescent="0.3">
      <c r="A551" s="7">
        <f t="shared" si="115"/>
        <v>549</v>
      </c>
      <c r="B551" s="2">
        <f t="shared" si="115"/>
        <v>899</v>
      </c>
      <c r="C551" s="14">
        <f t="shared" si="107"/>
        <v>7749.9696918031132</v>
      </c>
      <c r="D551" s="14">
        <f t="shared" si="108"/>
        <v>12676.349463683584</v>
      </c>
      <c r="E551" s="2">
        <v>1</v>
      </c>
      <c r="F551" s="2">
        <f t="shared" si="116"/>
        <v>4.8000000000000016</v>
      </c>
      <c r="G551" s="17">
        <f t="shared" ref="G551:G614" si="118">0.01 + (A551-100)*(0.4-0.01)/(1000-100)</f>
        <v>0.2045666666666667</v>
      </c>
      <c r="H551" s="8">
        <f t="shared" si="110"/>
        <v>396270</v>
      </c>
      <c r="I551" s="9">
        <f t="shared" si="117"/>
        <v>18</v>
      </c>
      <c r="L551" s="2">
        <f t="shared" si="111"/>
        <v>396270</v>
      </c>
      <c r="M551" s="2">
        <f t="shared" si="112"/>
        <v>899</v>
      </c>
      <c r="N551" s="15">
        <f t="shared" si="113"/>
        <v>7749.9696918031132</v>
      </c>
      <c r="O551" s="15">
        <f t="shared" si="114"/>
        <v>12676.349463683584</v>
      </c>
      <c r="P551" s="16">
        <f>SUM($H$3:H551)</f>
        <v>78537190</v>
      </c>
      <c r="Q551" s="2">
        <f>SUM($I$3:I551)</f>
        <v>4524</v>
      </c>
    </row>
    <row r="552" spans="1:17" x14ac:dyDescent="0.3">
      <c r="A552" s="7">
        <f t="shared" si="115"/>
        <v>550</v>
      </c>
      <c r="B552" s="2">
        <f t="shared" si="115"/>
        <v>900</v>
      </c>
      <c r="C552" s="14">
        <f t="shared" si="107"/>
        <v>7784.4412006990788</v>
      </c>
      <c r="D552" s="14">
        <f t="shared" si="108"/>
        <v>12727.984804088432</v>
      </c>
      <c r="E552" s="2">
        <v>1</v>
      </c>
      <c r="F552" s="2">
        <f t="shared" si="116"/>
        <v>4.8000000000000016</v>
      </c>
      <c r="G552" s="17">
        <f t="shared" si="118"/>
        <v>0.20500000000000002</v>
      </c>
      <c r="H552" s="8">
        <f t="shared" si="110"/>
        <v>397800</v>
      </c>
      <c r="I552" s="9">
        <f t="shared" si="117"/>
        <v>19</v>
      </c>
      <c r="L552" s="2">
        <f t="shared" si="111"/>
        <v>397800</v>
      </c>
      <c r="M552" s="2">
        <f t="shared" si="112"/>
        <v>900</v>
      </c>
      <c r="N552" s="15">
        <f t="shared" si="113"/>
        <v>7784.4412006990788</v>
      </c>
      <c r="O552" s="15">
        <f t="shared" si="114"/>
        <v>12727.984804088432</v>
      </c>
      <c r="P552" s="16">
        <f>SUM($H$3:H552)</f>
        <v>78934990</v>
      </c>
      <c r="Q552" s="2">
        <f>SUM($I$3:I552)</f>
        <v>4543</v>
      </c>
    </row>
    <row r="553" spans="1:17" x14ac:dyDescent="0.3">
      <c r="A553" s="7">
        <f t="shared" si="115"/>
        <v>551</v>
      </c>
      <c r="B553" s="2">
        <f t="shared" si="115"/>
        <v>901</v>
      </c>
      <c r="C553" s="14">
        <f t="shared" si="107"/>
        <v>7818.9402979022288</v>
      </c>
      <c r="D553" s="14">
        <f t="shared" si="108"/>
        <v>12779.702827342964</v>
      </c>
      <c r="E553" s="2">
        <v>1</v>
      </c>
      <c r="F553" s="2">
        <f t="shared" si="116"/>
        <v>4.8000000000000016</v>
      </c>
      <c r="G553" s="17">
        <f t="shared" si="118"/>
        <v>0.20543333333333336</v>
      </c>
      <c r="H553" s="8">
        <f t="shared" si="110"/>
        <v>399330</v>
      </c>
      <c r="I553" s="9">
        <f t="shared" si="117"/>
        <v>19</v>
      </c>
      <c r="L553" s="2">
        <f t="shared" si="111"/>
        <v>399330</v>
      </c>
      <c r="M553" s="2">
        <f t="shared" si="112"/>
        <v>901</v>
      </c>
      <c r="N553" s="15">
        <f t="shared" si="113"/>
        <v>7818.9402979022288</v>
      </c>
      <c r="O553" s="15">
        <f t="shared" si="114"/>
        <v>12779.702827342964</v>
      </c>
      <c r="P553" s="16">
        <f>SUM($H$3:H553)</f>
        <v>79334320</v>
      </c>
      <c r="Q553" s="2">
        <f>SUM($I$3:I553)</f>
        <v>4562</v>
      </c>
    </row>
    <row r="554" spans="1:17" x14ac:dyDescent="0.3">
      <c r="A554" s="7">
        <f t="shared" si="115"/>
        <v>552</v>
      </c>
      <c r="B554" s="2">
        <f t="shared" si="115"/>
        <v>902</v>
      </c>
      <c r="C554" s="14">
        <f t="shared" si="107"/>
        <v>7853.4668954461977</v>
      </c>
      <c r="D554" s="14">
        <f t="shared" si="108"/>
        <v>12831.503335640304</v>
      </c>
      <c r="E554" s="2">
        <v>1</v>
      </c>
      <c r="F554" s="2">
        <f t="shared" si="116"/>
        <v>4.8000000000000016</v>
      </c>
      <c r="G554" s="17">
        <f t="shared" si="118"/>
        <v>0.20586666666666667</v>
      </c>
      <c r="H554" s="8">
        <f t="shared" si="110"/>
        <v>400860</v>
      </c>
      <c r="I554" s="9">
        <f t="shared" si="117"/>
        <v>19</v>
      </c>
      <c r="L554" s="2">
        <f t="shared" si="111"/>
        <v>400860</v>
      </c>
      <c r="M554" s="2">
        <f t="shared" si="112"/>
        <v>902</v>
      </c>
      <c r="N554" s="15">
        <f t="shared" si="113"/>
        <v>7853.4668954461977</v>
      </c>
      <c r="O554" s="15">
        <f t="shared" si="114"/>
        <v>12831.503335640304</v>
      </c>
      <c r="P554" s="16">
        <f>SUM($H$3:H554)</f>
        <v>79735180</v>
      </c>
      <c r="Q554" s="2">
        <f>SUM($I$3:I554)</f>
        <v>4581</v>
      </c>
    </row>
    <row r="555" spans="1:17" x14ac:dyDescent="0.3">
      <c r="A555" s="7">
        <f t="shared" si="115"/>
        <v>553</v>
      </c>
      <c r="B555" s="2">
        <f t="shared" si="115"/>
        <v>903</v>
      </c>
      <c r="C555" s="14">
        <f t="shared" si="107"/>
        <v>7888.0209059931958</v>
      </c>
      <c r="D555" s="14">
        <f t="shared" si="108"/>
        <v>12883.386132430507</v>
      </c>
      <c r="E555" s="2">
        <v>1</v>
      </c>
      <c r="F555" s="2">
        <f t="shared" si="116"/>
        <v>4.8000000000000016</v>
      </c>
      <c r="G555" s="17">
        <f t="shared" si="118"/>
        <v>0.20630000000000004</v>
      </c>
      <c r="H555" s="8">
        <f t="shared" si="110"/>
        <v>402390</v>
      </c>
      <c r="I555" s="9">
        <f t="shared" si="117"/>
        <v>19</v>
      </c>
      <c r="L555" s="2">
        <f t="shared" si="111"/>
        <v>402390</v>
      </c>
      <c r="M555" s="2">
        <f t="shared" si="112"/>
        <v>903</v>
      </c>
      <c r="N555" s="15">
        <f t="shared" si="113"/>
        <v>7888.0209059931958</v>
      </c>
      <c r="O555" s="15">
        <f t="shared" si="114"/>
        <v>12883.386132430507</v>
      </c>
      <c r="P555" s="16">
        <f>SUM($H$3:H555)</f>
        <v>80137570</v>
      </c>
      <c r="Q555" s="2">
        <f>SUM($I$3:I555)</f>
        <v>4600</v>
      </c>
    </row>
    <row r="556" spans="1:17" x14ac:dyDescent="0.3">
      <c r="A556" s="7">
        <f t="shared" si="115"/>
        <v>554</v>
      </c>
      <c r="B556" s="2">
        <f t="shared" si="115"/>
        <v>904</v>
      </c>
      <c r="C556" s="14">
        <f t="shared" si="107"/>
        <v>7922.6022428270644</v>
      </c>
      <c r="D556" s="14">
        <f t="shared" si="108"/>
        <v>12935.351022407633</v>
      </c>
      <c r="E556" s="2">
        <v>1</v>
      </c>
      <c r="F556" s="2">
        <f t="shared" si="116"/>
        <v>4.8000000000000016</v>
      </c>
      <c r="G556" s="17">
        <f t="shared" si="118"/>
        <v>0.20673333333333335</v>
      </c>
      <c r="H556" s="8">
        <f t="shared" si="110"/>
        <v>403920</v>
      </c>
      <c r="I556" s="9">
        <f t="shared" si="117"/>
        <v>19</v>
      </c>
      <c r="L556" s="2">
        <f t="shared" si="111"/>
        <v>403920</v>
      </c>
      <c r="M556" s="2">
        <f t="shared" si="112"/>
        <v>904</v>
      </c>
      <c r="N556" s="15">
        <f t="shared" si="113"/>
        <v>7922.6022428270644</v>
      </c>
      <c r="O556" s="15">
        <f t="shared" si="114"/>
        <v>12935.351022407633</v>
      </c>
      <c r="P556" s="16">
        <f>SUM($H$3:H556)</f>
        <v>80541490</v>
      </c>
      <c r="Q556" s="2">
        <f>SUM($I$3:I556)</f>
        <v>4619</v>
      </c>
    </row>
    <row r="557" spans="1:17" x14ac:dyDescent="0.3">
      <c r="A557" s="7">
        <f t="shared" si="115"/>
        <v>555</v>
      </c>
      <c r="B557" s="2">
        <f t="shared" si="115"/>
        <v>905</v>
      </c>
      <c r="C557" s="14">
        <f t="shared" si="107"/>
        <v>7957.2108198464221</v>
      </c>
      <c r="D557" s="14">
        <f t="shared" si="108"/>
        <v>12987.397811496983</v>
      </c>
      <c r="E557" s="2">
        <v>1</v>
      </c>
      <c r="F557" s="2">
        <f t="shared" si="116"/>
        <v>4.8000000000000016</v>
      </c>
      <c r="G557" s="17">
        <f t="shared" si="118"/>
        <v>0.20716666666666669</v>
      </c>
      <c r="H557" s="8">
        <f t="shared" si="110"/>
        <v>405450</v>
      </c>
      <c r="I557" s="9">
        <f t="shared" si="117"/>
        <v>19</v>
      </c>
      <c r="L557" s="2">
        <f t="shared" si="111"/>
        <v>405450</v>
      </c>
      <c r="M557" s="2">
        <f t="shared" si="112"/>
        <v>905</v>
      </c>
      <c r="N557" s="15">
        <f t="shared" si="113"/>
        <v>7957.2108198464221</v>
      </c>
      <c r="O557" s="15">
        <f t="shared" si="114"/>
        <v>12987.397811496983</v>
      </c>
      <c r="P557" s="16">
        <f>SUM($H$3:H557)</f>
        <v>80946940</v>
      </c>
      <c r="Q557" s="2">
        <f>SUM($I$3:I557)</f>
        <v>4638</v>
      </c>
    </row>
    <row r="558" spans="1:17" x14ac:dyDescent="0.3">
      <c r="A558" s="7">
        <f t="shared" si="115"/>
        <v>556</v>
      </c>
      <c r="B558" s="2">
        <f t="shared" si="115"/>
        <v>906</v>
      </c>
      <c r="C558" s="14">
        <f t="shared" si="107"/>
        <v>7991.8465515579092</v>
      </c>
      <c r="D558" s="14">
        <f t="shared" si="108"/>
        <v>13039.526306842568</v>
      </c>
      <c r="E558" s="2">
        <v>1</v>
      </c>
      <c r="F558" s="2">
        <f t="shared" si="116"/>
        <v>4.8000000000000016</v>
      </c>
      <c r="G558" s="17">
        <f t="shared" si="118"/>
        <v>0.20760000000000001</v>
      </c>
      <c r="H558" s="8">
        <f t="shared" si="110"/>
        <v>406980</v>
      </c>
      <c r="I558" s="9">
        <f t="shared" si="117"/>
        <v>19</v>
      </c>
      <c r="L558" s="2">
        <f t="shared" si="111"/>
        <v>406980</v>
      </c>
      <c r="M558" s="2">
        <f t="shared" si="112"/>
        <v>906</v>
      </c>
      <c r="N558" s="15">
        <f t="shared" si="113"/>
        <v>7991.8465515579092</v>
      </c>
      <c r="O558" s="15">
        <f t="shared" si="114"/>
        <v>13039.526306842568</v>
      </c>
      <c r="P558" s="16">
        <f>SUM($H$3:H558)</f>
        <v>81353920</v>
      </c>
      <c r="Q558" s="2">
        <f>SUM($I$3:I558)</f>
        <v>4657</v>
      </c>
    </row>
    <row r="559" spans="1:17" x14ac:dyDescent="0.3">
      <c r="A559" s="7">
        <f t="shared" si="115"/>
        <v>557</v>
      </c>
      <c r="B559" s="2">
        <f t="shared" si="115"/>
        <v>907</v>
      </c>
      <c r="C559" s="14">
        <f t="shared" si="107"/>
        <v>8026.5093530695167</v>
      </c>
      <c r="D559" s="14">
        <f t="shared" si="108"/>
        <v>13091.736316794677</v>
      </c>
      <c r="E559" s="2">
        <v>1</v>
      </c>
      <c r="F559" s="2">
        <f t="shared" si="116"/>
        <v>4.8000000000000016</v>
      </c>
      <c r="G559" s="17">
        <f t="shared" si="118"/>
        <v>0.20803333333333338</v>
      </c>
      <c r="H559" s="8">
        <f t="shared" si="110"/>
        <v>408510</v>
      </c>
      <c r="I559" s="9">
        <f t="shared" si="117"/>
        <v>19</v>
      </c>
      <c r="L559" s="2">
        <f t="shared" si="111"/>
        <v>408510</v>
      </c>
      <c r="M559" s="2">
        <f t="shared" si="112"/>
        <v>907</v>
      </c>
      <c r="N559" s="15">
        <f t="shared" si="113"/>
        <v>8026.5093530695167</v>
      </c>
      <c r="O559" s="15">
        <f t="shared" si="114"/>
        <v>13091.736316794677</v>
      </c>
      <c r="P559" s="16">
        <f>SUM($H$3:H559)</f>
        <v>81762430</v>
      </c>
      <c r="Q559" s="2">
        <f>SUM($I$3:I559)</f>
        <v>4676</v>
      </c>
    </row>
    <row r="560" spans="1:17" x14ac:dyDescent="0.3">
      <c r="A560" s="7">
        <f t="shared" si="115"/>
        <v>558</v>
      </c>
      <c r="B560" s="2">
        <f t="shared" si="115"/>
        <v>908</v>
      </c>
      <c r="C560" s="14">
        <f t="shared" ref="C560:C623" si="119">9.525*(A560-300)^1.2 + 600</f>
        <v>8061.1991400840498</v>
      </c>
      <c r="D560" s="14">
        <f t="shared" ref="D560:D623" si="120">4.055*(A560-300)^1.4 + 3500</f>
        <v>13144.027650897677</v>
      </c>
      <c r="E560" s="2">
        <v>1</v>
      </c>
      <c r="F560" s="2">
        <f t="shared" si="116"/>
        <v>4.8000000000000016</v>
      </c>
      <c r="G560" s="17">
        <f t="shared" si="118"/>
        <v>0.20846666666666669</v>
      </c>
      <c r="H560" s="8">
        <f t="shared" si="110"/>
        <v>410040</v>
      </c>
      <c r="I560" s="9">
        <f t="shared" si="117"/>
        <v>19</v>
      </c>
      <c r="L560" s="2">
        <f t="shared" si="111"/>
        <v>410040</v>
      </c>
      <c r="M560" s="2">
        <f t="shared" si="112"/>
        <v>908</v>
      </c>
      <c r="N560" s="15">
        <f t="shared" si="113"/>
        <v>8061.1991400840498</v>
      </c>
      <c r="O560" s="15">
        <f t="shared" si="114"/>
        <v>13144.027650897677</v>
      </c>
      <c r="P560" s="16">
        <f>SUM($H$3:H560)</f>
        <v>82172470</v>
      </c>
      <c r="Q560" s="2">
        <f>SUM($I$3:I560)</f>
        <v>4695</v>
      </c>
    </row>
    <row r="561" spans="1:17" x14ac:dyDescent="0.3">
      <c r="A561" s="7">
        <f t="shared" si="115"/>
        <v>559</v>
      </c>
      <c r="B561" s="2">
        <f t="shared" si="115"/>
        <v>909</v>
      </c>
      <c r="C561" s="14">
        <f t="shared" si="119"/>
        <v>8095.9158288926701</v>
      </c>
      <c r="D561" s="14">
        <f t="shared" si="120"/>
        <v>13196.40011987803</v>
      </c>
      <c r="E561" s="2">
        <v>1</v>
      </c>
      <c r="F561" s="2">
        <f t="shared" si="116"/>
        <v>4.8000000000000016</v>
      </c>
      <c r="G561" s="17">
        <f t="shared" si="118"/>
        <v>0.20890000000000003</v>
      </c>
      <c r="H561" s="8">
        <f t="shared" si="110"/>
        <v>411570</v>
      </c>
      <c r="I561" s="9">
        <f t="shared" si="117"/>
        <v>19</v>
      </c>
      <c r="L561" s="2">
        <f t="shared" si="111"/>
        <v>411570</v>
      </c>
      <c r="M561" s="2">
        <f t="shared" si="112"/>
        <v>909</v>
      </c>
      <c r="N561" s="15">
        <f t="shared" si="113"/>
        <v>8095.9158288926701</v>
      </c>
      <c r="O561" s="15">
        <f t="shared" si="114"/>
        <v>13196.40011987803</v>
      </c>
      <c r="P561" s="16">
        <f>SUM($H$3:H561)</f>
        <v>82584040</v>
      </c>
      <c r="Q561" s="2">
        <f>SUM($I$3:I561)</f>
        <v>4714</v>
      </c>
    </row>
    <row r="562" spans="1:17" x14ac:dyDescent="0.3">
      <c r="A562" s="7">
        <f t="shared" si="115"/>
        <v>560</v>
      </c>
      <c r="B562" s="2">
        <f t="shared" si="115"/>
        <v>910</v>
      </c>
      <c r="C562" s="14">
        <f t="shared" si="119"/>
        <v>8130.6593363685397</v>
      </c>
      <c r="D562" s="14">
        <f t="shared" si="120"/>
        <v>13248.853535632328</v>
      </c>
      <c r="E562" s="2">
        <v>1</v>
      </c>
      <c r="F562" s="2">
        <f t="shared" si="116"/>
        <v>5.0000000000000018</v>
      </c>
      <c r="G562" s="17">
        <f t="shared" si="118"/>
        <v>0.20933333333333334</v>
      </c>
      <c r="H562" s="8">
        <f t="shared" si="110"/>
        <v>413100</v>
      </c>
      <c r="I562" s="9">
        <f t="shared" si="117"/>
        <v>19</v>
      </c>
      <c r="L562" s="2">
        <f t="shared" si="111"/>
        <v>413100</v>
      </c>
      <c r="M562" s="2">
        <f t="shared" si="112"/>
        <v>910</v>
      </c>
      <c r="N562" s="15">
        <f t="shared" si="113"/>
        <v>8130.6593363685397</v>
      </c>
      <c r="O562" s="15">
        <f t="shared" si="114"/>
        <v>13248.853535632328</v>
      </c>
      <c r="P562" s="16">
        <f>SUM($H$3:H562)</f>
        <v>82997140</v>
      </c>
      <c r="Q562" s="2">
        <f>SUM($I$3:I562)</f>
        <v>4733</v>
      </c>
    </row>
    <row r="563" spans="1:17" x14ac:dyDescent="0.3">
      <c r="A563" s="7">
        <f t="shared" si="115"/>
        <v>561</v>
      </c>
      <c r="B563" s="2">
        <f t="shared" si="115"/>
        <v>911</v>
      </c>
      <c r="C563" s="14">
        <f t="shared" si="119"/>
        <v>8165.4295799605234</v>
      </c>
      <c r="D563" s="14">
        <f t="shared" si="120"/>
        <v>13301.387711215631</v>
      </c>
      <c r="E563" s="2">
        <v>1</v>
      </c>
      <c r="F563" s="2">
        <f t="shared" si="116"/>
        <v>5.0000000000000018</v>
      </c>
      <c r="G563" s="17">
        <f t="shared" si="118"/>
        <v>0.20976666666666666</v>
      </c>
      <c r="H563" s="8">
        <f t="shared" si="110"/>
        <v>414630</v>
      </c>
      <c r="I563" s="9">
        <f t="shared" si="117"/>
        <v>19</v>
      </c>
      <c r="L563" s="2">
        <f t="shared" si="111"/>
        <v>414630</v>
      </c>
      <c r="M563" s="2">
        <f t="shared" si="112"/>
        <v>911</v>
      </c>
      <c r="N563" s="15">
        <f t="shared" si="113"/>
        <v>8165.4295799605234</v>
      </c>
      <c r="O563" s="15">
        <f t="shared" si="114"/>
        <v>13301.387711215631</v>
      </c>
      <c r="P563" s="16">
        <f>SUM($H$3:H563)</f>
        <v>83411770</v>
      </c>
      <c r="Q563" s="2">
        <f>SUM($I$3:I563)</f>
        <v>4752</v>
      </c>
    </row>
    <row r="564" spans="1:17" x14ac:dyDescent="0.3">
      <c r="A564" s="7">
        <f t="shared" si="115"/>
        <v>562</v>
      </c>
      <c r="B564" s="2">
        <f t="shared" si="115"/>
        <v>912</v>
      </c>
      <c r="C564" s="14">
        <f t="shared" si="119"/>
        <v>8200.2264776870179</v>
      </c>
      <c r="D564" s="14">
        <f t="shared" si="120"/>
        <v>13354.002460829899</v>
      </c>
      <c r="E564" s="2">
        <v>1</v>
      </c>
      <c r="F564" s="2">
        <f t="shared" si="116"/>
        <v>5.0000000000000018</v>
      </c>
      <c r="G564" s="17">
        <f t="shared" si="118"/>
        <v>0.21020000000000003</v>
      </c>
      <c r="H564" s="8">
        <f t="shared" si="110"/>
        <v>416160</v>
      </c>
      <c r="I564" s="9">
        <f t="shared" si="117"/>
        <v>19</v>
      </c>
      <c r="L564" s="2">
        <f t="shared" si="111"/>
        <v>416160</v>
      </c>
      <c r="M564" s="2">
        <f t="shared" si="112"/>
        <v>912</v>
      </c>
      <c r="N564" s="15">
        <f t="shared" si="113"/>
        <v>8200.2264776870179</v>
      </c>
      <c r="O564" s="15">
        <f t="shared" si="114"/>
        <v>13354.002460829899</v>
      </c>
      <c r="P564" s="16">
        <f>SUM($H$3:H564)</f>
        <v>83827930</v>
      </c>
      <c r="Q564" s="2">
        <f>SUM($I$3:I564)</f>
        <v>4771</v>
      </c>
    </row>
    <row r="565" spans="1:17" x14ac:dyDescent="0.3">
      <c r="A565" s="7">
        <f t="shared" si="115"/>
        <v>563</v>
      </c>
      <c r="B565" s="2">
        <f t="shared" si="115"/>
        <v>913</v>
      </c>
      <c r="C565" s="14">
        <f t="shared" si="119"/>
        <v>8235.0499481299012</v>
      </c>
      <c r="D565" s="14">
        <f t="shared" si="120"/>
        <v>13406.697599812649</v>
      </c>
      <c r="E565" s="2">
        <v>1</v>
      </c>
      <c r="F565" s="2">
        <f t="shared" si="116"/>
        <v>5.0000000000000018</v>
      </c>
      <c r="G565" s="17">
        <f t="shared" si="118"/>
        <v>0.21063333333333334</v>
      </c>
      <c r="H565" s="8">
        <f t="shared" si="110"/>
        <v>417690</v>
      </c>
      <c r="I565" s="9">
        <f t="shared" si="117"/>
        <v>19</v>
      </c>
      <c r="L565" s="2">
        <f t="shared" si="111"/>
        <v>417690</v>
      </c>
      <c r="M565" s="2">
        <f t="shared" si="112"/>
        <v>913</v>
      </c>
      <c r="N565" s="15">
        <f t="shared" si="113"/>
        <v>8235.0499481299012</v>
      </c>
      <c r="O565" s="15">
        <f t="shared" si="114"/>
        <v>13406.697599812649</v>
      </c>
      <c r="P565" s="16">
        <f>SUM($H$3:H565)</f>
        <v>84245620</v>
      </c>
      <c r="Q565" s="2">
        <f>SUM($I$3:I565)</f>
        <v>4790</v>
      </c>
    </row>
    <row r="566" spans="1:17" x14ac:dyDescent="0.3">
      <c r="A566" s="7">
        <f t="shared" si="115"/>
        <v>564</v>
      </c>
      <c r="B566" s="2">
        <f t="shared" si="115"/>
        <v>914</v>
      </c>
      <c r="C566" s="14">
        <f t="shared" si="119"/>
        <v>8269.8999104284758</v>
      </c>
      <c r="D566" s="14">
        <f t="shared" si="120"/>
        <v>13459.472944625635</v>
      </c>
      <c r="E566" s="2">
        <v>1</v>
      </c>
      <c r="F566" s="2">
        <f t="shared" si="116"/>
        <v>5.0000000000000018</v>
      </c>
      <c r="G566" s="17">
        <f t="shared" si="118"/>
        <v>0.21106666666666668</v>
      </c>
      <c r="H566" s="8">
        <f t="shared" si="110"/>
        <v>419220</v>
      </c>
      <c r="I566" s="9">
        <f t="shared" si="117"/>
        <v>19</v>
      </c>
      <c r="L566" s="2">
        <f t="shared" si="111"/>
        <v>419220</v>
      </c>
      <c r="M566" s="2">
        <f t="shared" si="112"/>
        <v>914</v>
      </c>
      <c r="N566" s="15">
        <f t="shared" si="113"/>
        <v>8269.8999104284758</v>
      </c>
      <c r="O566" s="15">
        <f t="shared" si="114"/>
        <v>13459.472944625635</v>
      </c>
      <c r="P566" s="16">
        <f>SUM($H$3:H566)</f>
        <v>84664840</v>
      </c>
      <c r="Q566" s="2">
        <f>SUM($I$3:I566)</f>
        <v>4809</v>
      </c>
    </row>
    <row r="567" spans="1:17" x14ac:dyDescent="0.3">
      <c r="A567" s="7">
        <f t="shared" si="115"/>
        <v>565</v>
      </c>
      <c r="B567" s="2">
        <f t="shared" si="115"/>
        <v>915</v>
      </c>
      <c r="C567" s="14">
        <f t="shared" si="119"/>
        <v>8304.7762842735938</v>
      </c>
      <c r="D567" s="14">
        <f t="shared" si="120"/>
        <v>13512.328312843867</v>
      </c>
      <c r="E567" s="2">
        <v>1</v>
      </c>
      <c r="F567" s="2">
        <f t="shared" si="116"/>
        <v>5.0000000000000018</v>
      </c>
      <c r="G567" s="17">
        <f t="shared" si="118"/>
        <v>0.21149999999999999</v>
      </c>
      <c r="H567" s="8">
        <f t="shared" ref="H567:H630" si="121">(A567-290)*1530</f>
        <v>420750</v>
      </c>
      <c r="I567" s="9">
        <f t="shared" si="117"/>
        <v>19</v>
      </c>
      <c r="L567" s="2">
        <f t="shared" ref="L567:L630" si="122">H567</f>
        <v>420750</v>
      </c>
      <c r="M567" s="2">
        <f t="shared" ref="M567:M630" si="123">B567</f>
        <v>915</v>
      </c>
      <c r="N567" s="15">
        <f t="shared" ref="N567:N630" si="124">C567</f>
        <v>8304.7762842735938</v>
      </c>
      <c r="O567" s="15">
        <f t="shared" ref="O567:O630" si="125">D567</f>
        <v>13512.328312843867</v>
      </c>
      <c r="P567" s="16">
        <f>SUM($H$3:H567)</f>
        <v>85085590</v>
      </c>
      <c r="Q567" s="2">
        <f>SUM($I$3:I567)</f>
        <v>4828</v>
      </c>
    </row>
    <row r="568" spans="1:17" x14ac:dyDescent="0.3">
      <c r="A568" s="7">
        <f t="shared" si="115"/>
        <v>566</v>
      </c>
      <c r="B568" s="2">
        <f t="shared" si="115"/>
        <v>916</v>
      </c>
      <c r="C568" s="14">
        <f t="shared" si="119"/>
        <v>8339.6789899018167</v>
      </c>
      <c r="D568" s="14">
        <f t="shared" si="120"/>
        <v>13565.263523144571</v>
      </c>
      <c r="E568" s="2">
        <v>1</v>
      </c>
      <c r="F568" s="2">
        <f t="shared" si="116"/>
        <v>5.0000000000000018</v>
      </c>
      <c r="G568" s="17">
        <f t="shared" si="118"/>
        <v>0.21193333333333336</v>
      </c>
      <c r="H568" s="8">
        <f t="shared" si="121"/>
        <v>422280</v>
      </c>
      <c r="I568" s="9">
        <f t="shared" si="117"/>
        <v>19</v>
      </c>
      <c r="L568" s="2">
        <f t="shared" si="122"/>
        <v>422280</v>
      </c>
      <c r="M568" s="2">
        <f t="shared" si="123"/>
        <v>916</v>
      </c>
      <c r="N568" s="15">
        <f t="shared" si="124"/>
        <v>8339.6789899018167</v>
      </c>
      <c r="O568" s="15">
        <f t="shared" si="125"/>
        <v>13565.263523144571</v>
      </c>
      <c r="P568" s="16">
        <f>SUM($H$3:H568)</f>
        <v>85507870</v>
      </c>
      <c r="Q568" s="2">
        <f>SUM($I$3:I568)</f>
        <v>4847</v>
      </c>
    </row>
    <row r="569" spans="1:17" x14ac:dyDescent="0.3">
      <c r="A569" s="7">
        <f t="shared" si="115"/>
        <v>567</v>
      </c>
      <c r="B569" s="2">
        <f t="shared" si="115"/>
        <v>917</v>
      </c>
      <c r="C569" s="14">
        <f t="shared" si="119"/>
        <v>8374.6079480896442</v>
      </c>
      <c r="D569" s="14">
        <f t="shared" si="120"/>
        <v>13618.278395296516</v>
      </c>
      <c r="E569" s="2">
        <v>1</v>
      </c>
      <c r="F569" s="2">
        <f t="shared" si="116"/>
        <v>5.0000000000000018</v>
      </c>
      <c r="G569" s="17">
        <f t="shared" si="118"/>
        <v>0.21236666666666668</v>
      </c>
      <c r="H569" s="8">
        <f t="shared" si="121"/>
        <v>423810</v>
      </c>
      <c r="I569" s="9">
        <f t="shared" si="117"/>
        <v>19</v>
      </c>
      <c r="L569" s="2">
        <f t="shared" si="122"/>
        <v>423810</v>
      </c>
      <c r="M569" s="2">
        <f t="shared" si="123"/>
        <v>917</v>
      </c>
      <c r="N569" s="15">
        <f t="shared" si="124"/>
        <v>8374.6079480896442</v>
      </c>
      <c r="O569" s="15">
        <f t="shared" si="125"/>
        <v>13618.278395296516</v>
      </c>
      <c r="P569" s="16">
        <f>SUM($H$3:H569)</f>
        <v>85931680</v>
      </c>
      <c r="Q569" s="2">
        <f>SUM($I$3:I569)</f>
        <v>4866</v>
      </c>
    </row>
    <row r="570" spans="1:17" x14ac:dyDescent="0.3">
      <c r="A570" s="7">
        <f t="shared" si="115"/>
        <v>568</v>
      </c>
      <c r="B570" s="2">
        <f t="shared" si="115"/>
        <v>918</v>
      </c>
      <c r="C570" s="14">
        <f t="shared" si="119"/>
        <v>8409.5630801478928</v>
      </c>
      <c r="D570" s="14">
        <f t="shared" si="120"/>
        <v>13671.372750149296</v>
      </c>
      <c r="E570" s="2">
        <v>1</v>
      </c>
      <c r="F570" s="2">
        <f t="shared" si="116"/>
        <v>5.0000000000000018</v>
      </c>
      <c r="G570" s="17">
        <f t="shared" si="118"/>
        <v>0.21280000000000002</v>
      </c>
      <c r="H570" s="8">
        <f t="shared" si="121"/>
        <v>425340</v>
      </c>
      <c r="I570" s="9">
        <f t="shared" si="117"/>
        <v>19</v>
      </c>
      <c r="L570" s="2">
        <f t="shared" si="122"/>
        <v>425340</v>
      </c>
      <c r="M570" s="2">
        <f t="shared" si="123"/>
        <v>918</v>
      </c>
      <c r="N570" s="15">
        <f t="shared" si="124"/>
        <v>8409.5630801478928</v>
      </c>
      <c r="O570" s="15">
        <f t="shared" si="125"/>
        <v>13671.372750149296</v>
      </c>
      <c r="P570" s="16">
        <f>SUM($H$3:H570)</f>
        <v>86357020</v>
      </c>
      <c r="Q570" s="2">
        <f>SUM($I$3:I570)</f>
        <v>4885</v>
      </c>
    </row>
    <row r="571" spans="1:17" x14ac:dyDescent="0.3">
      <c r="A571" s="7">
        <f t="shared" si="115"/>
        <v>569</v>
      </c>
      <c r="B571" s="2">
        <f t="shared" si="115"/>
        <v>919</v>
      </c>
      <c r="C571" s="14">
        <f t="shared" si="119"/>
        <v>8444.5443079160887</v>
      </c>
      <c r="D571" s="14">
        <f t="shared" si="120"/>
        <v>13724.546409622881</v>
      </c>
      <c r="E571" s="2">
        <v>1</v>
      </c>
      <c r="F571" s="2">
        <f t="shared" si="116"/>
        <v>5.0000000000000018</v>
      </c>
      <c r="G571" s="17">
        <f t="shared" si="118"/>
        <v>0.21323333333333333</v>
      </c>
      <c r="H571" s="8">
        <f t="shared" si="121"/>
        <v>426870</v>
      </c>
      <c r="I571" s="9">
        <f t="shared" si="117"/>
        <v>19</v>
      </c>
      <c r="L571" s="2">
        <f t="shared" si="122"/>
        <v>426870</v>
      </c>
      <c r="M571" s="2">
        <f t="shared" si="123"/>
        <v>919</v>
      </c>
      <c r="N571" s="15">
        <f t="shared" si="124"/>
        <v>8444.5443079160887</v>
      </c>
      <c r="O571" s="15">
        <f t="shared" si="125"/>
        <v>13724.546409622881</v>
      </c>
      <c r="P571" s="16">
        <f>SUM($H$3:H571)</f>
        <v>86783890</v>
      </c>
      <c r="Q571" s="2">
        <f>SUM($I$3:I571)</f>
        <v>4904</v>
      </c>
    </row>
    <row r="572" spans="1:17" x14ac:dyDescent="0.3">
      <c r="A572" s="7">
        <f t="shared" si="115"/>
        <v>570</v>
      </c>
      <c r="B572" s="2">
        <f t="shared" si="115"/>
        <v>920</v>
      </c>
      <c r="C572" s="14">
        <f t="shared" si="119"/>
        <v>8479.5515537569445</v>
      </c>
      <c r="D572" s="14">
        <f t="shared" si="120"/>
        <v>13777.799196697246</v>
      </c>
      <c r="E572" s="2">
        <v>1</v>
      </c>
      <c r="F572" s="2">
        <f t="shared" si="116"/>
        <v>5.0000000000000018</v>
      </c>
      <c r="G572" s="17">
        <f t="shared" si="118"/>
        <v>0.2136666666666667</v>
      </c>
      <c r="H572" s="8">
        <f t="shared" si="121"/>
        <v>428400</v>
      </c>
      <c r="I572" s="9">
        <f t="shared" si="117"/>
        <v>19</v>
      </c>
      <c r="L572" s="2">
        <f t="shared" si="122"/>
        <v>428400</v>
      </c>
      <c r="M572" s="2">
        <f t="shared" si="123"/>
        <v>920</v>
      </c>
      <c r="N572" s="15">
        <f t="shared" si="124"/>
        <v>8479.5515537569445</v>
      </c>
      <c r="O572" s="15">
        <f t="shared" si="125"/>
        <v>13777.799196697246</v>
      </c>
      <c r="P572" s="16">
        <f>SUM($H$3:H572)</f>
        <v>87212290</v>
      </c>
      <c r="Q572" s="2">
        <f>SUM($I$3:I572)</f>
        <v>4923</v>
      </c>
    </row>
    <row r="573" spans="1:17" x14ac:dyDescent="0.3">
      <c r="A573" s="7">
        <f t="shared" si="115"/>
        <v>571</v>
      </c>
      <c r="B573" s="2">
        <f t="shared" si="115"/>
        <v>921</v>
      </c>
      <c r="C573" s="14">
        <f t="shared" si="119"/>
        <v>8514.584740550963</v>
      </c>
      <c r="D573" s="14">
        <f t="shared" si="120"/>
        <v>13831.13093540214</v>
      </c>
      <c r="E573" s="2">
        <v>1</v>
      </c>
      <c r="F573" s="2">
        <f t="shared" si="116"/>
        <v>5.0000000000000018</v>
      </c>
      <c r="G573" s="17">
        <f t="shared" si="118"/>
        <v>0.21410000000000001</v>
      </c>
      <c r="H573" s="8">
        <f t="shared" si="121"/>
        <v>429930</v>
      </c>
      <c r="I573" s="9">
        <f t="shared" si="117"/>
        <v>19</v>
      </c>
      <c r="L573" s="2">
        <f t="shared" si="122"/>
        <v>429930</v>
      </c>
      <c r="M573" s="2">
        <f t="shared" si="123"/>
        <v>921</v>
      </c>
      <c r="N573" s="15">
        <f t="shared" si="124"/>
        <v>8514.584740550963</v>
      </c>
      <c r="O573" s="15">
        <f t="shared" si="125"/>
        <v>13831.13093540214</v>
      </c>
      <c r="P573" s="16">
        <f>SUM($H$3:H573)</f>
        <v>87642220</v>
      </c>
      <c r="Q573" s="2">
        <f>SUM($I$3:I573)</f>
        <v>4942</v>
      </c>
    </row>
    <row r="574" spans="1:17" x14ac:dyDescent="0.3">
      <c r="A574" s="7">
        <f t="shared" si="115"/>
        <v>572</v>
      </c>
      <c r="B574" s="2">
        <f t="shared" si="115"/>
        <v>922</v>
      </c>
      <c r="C574" s="14">
        <f t="shared" si="119"/>
        <v>8549.64379169108</v>
      </c>
      <c r="D574" s="14">
        <f t="shared" si="120"/>
        <v>13884.541450807061</v>
      </c>
      <c r="E574" s="2">
        <v>1</v>
      </c>
      <c r="F574" s="2">
        <f t="shared" si="116"/>
        <v>5.0000000000000018</v>
      </c>
      <c r="G574" s="17">
        <f t="shared" si="118"/>
        <v>0.21453333333333335</v>
      </c>
      <c r="H574" s="8">
        <f t="shared" si="121"/>
        <v>431460</v>
      </c>
      <c r="I574" s="9">
        <f t="shared" si="117"/>
        <v>19</v>
      </c>
      <c r="L574" s="2">
        <f t="shared" si="122"/>
        <v>431460</v>
      </c>
      <c r="M574" s="2">
        <f t="shared" si="123"/>
        <v>922</v>
      </c>
      <c r="N574" s="15">
        <f t="shared" si="124"/>
        <v>8549.64379169108</v>
      </c>
      <c r="O574" s="15">
        <f t="shared" si="125"/>
        <v>13884.541450807061</v>
      </c>
      <c r="P574" s="16">
        <f>SUM($H$3:H574)</f>
        <v>88073680</v>
      </c>
      <c r="Q574" s="2">
        <f>SUM($I$3:I574)</f>
        <v>4961</v>
      </c>
    </row>
    <row r="575" spans="1:17" x14ac:dyDescent="0.3">
      <c r="A575" s="7">
        <f t="shared" si="115"/>
        <v>573</v>
      </c>
      <c r="B575" s="2">
        <f t="shared" si="115"/>
        <v>923</v>
      </c>
      <c r="C575" s="14">
        <f t="shared" si="119"/>
        <v>8584.7286310773598</v>
      </c>
      <c r="D575" s="14">
        <f t="shared" si="120"/>
        <v>13938.030569011231</v>
      </c>
      <c r="E575" s="2">
        <v>1</v>
      </c>
      <c r="F575" s="2">
        <f t="shared" si="116"/>
        <v>5.0000000000000018</v>
      </c>
      <c r="G575" s="17">
        <f t="shared" si="118"/>
        <v>0.21496666666666667</v>
      </c>
      <c r="H575" s="8">
        <f t="shared" si="121"/>
        <v>432990</v>
      </c>
      <c r="I575" s="9">
        <f t="shared" si="117"/>
        <v>19</v>
      </c>
      <c r="L575" s="2">
        <f t="shared" si="122"/>
        <v>432990</v>
      </c>
      <c r="M575" s="2">
        <f t="shared" si="123"/>
        <v>923</v>
      </c>
      <c r="N575" s="15">
        <f t="shared" si="124"/>
        <v>8584.7286310773598</v>
      </c>
      <c r="O575" s="15">
        <f t="shared" si="125"/>
        <v>13938.030569011231</v>
      </c>
      <c r="P575" s="16">
        <f>SUM($H$3:H575)</f>
        <v>88506670</v>
      </c>
      <c r="Q575" s="2">
        <f>SUM($I$3:I575)</f>
        <v>4980</v>
      </c>
    </row>
    <row r="576" spans="1:17" x14ac:dyDescent="0.3">
      <c r="A576" s="7">
        <f t="shared" si="115"/>
        <v>574</v>
      </c>
      <c r="B576" s="2">
        <f t="shared" si="115"/>
        <v>924</v>
      </c>
      <c r="C576" s="14">
        <f t="shared" si="119"/>
        <v>8619.8391831118352</v>
      </c>
      <c r="D576" s="14">
        <f t="shared" si="120"/>
        <v>13991.598117133874</v>
      </c>
      <c r="E576" s="2">
        <v>1</v>
      </c>
      <c r="F576" s="2">
        <f t="shared" si="116"/>
        <v>5.0000000000000018</v>
      </c>
      <c r="G576" s="17">
        <f t="shared" si="118"/>
        <v>0.21540000000000004</v>
      </c>
      <c r="H576" s="8">
        <f t="shared" si="121"/>
        <v>434520</v>
      </c>
      <c r="I576" s="9">
        <f t="shared" si="117"/>
        <v>19</v>
      </c>
      <c r="L576" s="2">
        <f t="shared" si="122"/>
        <v>434520</v>
      </c>
      <c r="M576" s="2">
        <f t="shared" si="123"/>
        <v>924</v>
      </c>
      <c r="N576" s="15">
        <f t="shared" si="124"/>
        <v>8619.8391831118352</v>
      </c>
      <c r="O576" s="15">
        <f t="shared" si="125"/>
        <v>13991.598117133874</v>
      </c>
      <c r="P576" s="16">
        <f>SUM($H$3:H576)</f>
        <v>88941190</v>
      </c>
      <c r="Q576" s="2">
        <f>SUM($I$3:I576)</f>
        <v>4999</v>
      </c>
    </row>
    <row r="577" spans="1:17" x14ac:dyDescent="0.3">
      <c r="A577" s="7">
        <f t="shared" si="115"/>
        <v>575</v>
      </c>
      <c r="B577" s="2">
        <f t="shared" si="115"/>
        <v>925</v>
      </c>
      <c r="C577" s="14">
        <f t="shared" si="119"/>
        <v>8654.9753726933413</v>
      </c>
      <c r="D577" s="14">
        <f t="shared" si="120"/>
        <v>14045.243923304441</v>
      </c>
      <c r="E577" s="2">
        <v>1</v>
      </c>
      <c r="F577" s="2">
        <f t="shared" si="116"/>
        <v>5.0000000000000018</v>
      </c>
      <c r="G577" s="17">
        <f t="shared" si="118"/>
        <v>0.21583333333333335</v>
      </c>
      <c r="H577" s="8">
        <f t="shared" si="121"/>
        <v>436050</v>
      </c>
      <c r="I577" s="9">
        <f t="shared" si="117"/>
        <v>20</v>
      </c>
      <c r="L577" s="2">
        <f t="shared" si="122"/>
        <v>436050</v>
      </c>
      <c r="M577" s="2">
        <f t="shared" si="123"/>
        <v>925</v>
      </c>
      <c r="N577" s="15">
        <f t="shared" si="124"/>
        <v>8654.9753726933413</v>
      </c>
      <c r="O577" s="15">
        <f t="shared" si="125"/>
        <v>14045.243923304441</v>
      </c>
      <c r="P577" s="16">
        <f>SUM($H$3:H577)</f>
        <v>89377240</v>
      </c>
      <c r="Q577" s="2">
        <f>SUM($I$3:I577)</f>
        <v>5019</v>
      </c>
    </row>
    <row r="578" spans="1:17" x14ac:dyDescent="0.3">
      <c r="A578" s="7">
        <f t="shared" si="115"/>
        <v>576</v>
      </c>
      <c r="B578" s="2">
        <f t="shared" si="115"/>
        <v>926</v>
      </c>
      <c r="C578" s="14">
        <f t="shared" si="119"/>
        <v>8690.1371252124445</v>
      </c>
      <c r="D578" s="14">
        <f t="shared" si="120"/>
        <v>14098.967816653094</v>
      </c>
      <c r="E578" s="2">
        <v>1</v>
      </c>
      <c r="F578" s="2">
        <f t="shared" si="116"/>
        <v>5.0000000000000018</v>
      </c>
      <c r="G578" s="17">
        <f t="shared" si="118"/>
        <v>0.21626666666666669</v>
      </c>
      <c r="H578" s="8">
        <f t="shared" si="121"/>
        <v>437580</v>
      </c>
      <c r="I578" s="9">
        <f t="shared" si="117"/>
        <v>20</v>
      </c>
      <c r="L578" s="2">
        <f t="shared" si="122"/>
        <v>437580</v>
      </c>
      <c r="M578" s="2">
        <f t="shared" si="123"/>
        <v>926</v>
      </c>
      <c r="N578" s="15">
        <f t="shared" si="124"/>
        <v>8690.1371252124445</v>
      </c>
      <c r="O578" s="15">
        <f t="shared" si="125"/>
        <v>14098.967816653094</v>
      </c>
      <c r="P578" s="16">
        <f>SUM($H$3:H578)</f>
        <v>89814820</v>
      </c>
      <c r="Q578" s="2">
        <f>SUM($I$3:I578)</f>
        <v>5039</v>
      </c>
    </row>
    <row r="579" spans="1:17" x14ac:dyDescent="0.3">
      <c r="A579" s="7">
        <f t="shared" si="115"/>
        <v>577</v>
      </c>
      <c r="B579" s="2">
        <f t="shared" si="115"/>
        <v>927</v>
      </c>
      <c r="C579" s="14">
        <f t="shared" si="119"/>
        <v>8725.3243665465288</v>
      </c>
      <c r="D579" s="14">
        <f t="shared" si="120"/>
        <v>14152.76962730133</v>
      </c>
      <c r="E579" s="2">
        <v>1</v>
      </c>
      <c r="F579" s="2">
        <f t="shared" si="116"/>
        <v>5.0000000000000018</v>
      </c>
      <c r="G579" s="17">
        <f t="shared" si="118"/>
        <v>0.2167</v>
      </c>
      <c r="H579" s="8">
        <f t="shared" si="121"/>
        <v>439110</v>
      </c>
      <c r="I579" s="9">
        <f t="shared" si="117"/>
        <v>20</v>
      </c>
      <c r="L579" s="2">
        <f t="shared" si="122"/>
        <v>439110</v>
      </c>
      <c r="M579" s="2">
        <f t="shared" si="123"/>
        <v>927</v>
      </c>
      <c r="N579" s="15">
        <f t="shared" si="124"/>
        <v>8725.3243665465288</v>
      </c>
      <c r="O579" s="15">
        <f t="shared" si="125"/>
        <v>14152.76962730133</v>
      </c>
      <c r="P579" s="16">
        <f>SUM($H$3:H579)</f>
        <v>90253930</v>
      </c>
      <c r="Q579" s="2">
        <f>SUM($I$3:I579)</f>
        <v>5059</v>
      </c>
    </row>
    <row r="580" spans="1:17" x14ac:dyDescent="0.3">
      <c r="A580" s="7">
        <f t="shared" si="115"/>
        <v>578</v>
      </c>
      <c r="B580" s="2">
        <f t="shared" si="115"/>
        <v>928</v>
      </c>
      <c r="C580" s="14">
        <f t="shared" si="119"/>
        <v>8760.5370230547578</v>
      </c>
      <c r="D580" s="14">
        <f t="shared" si="120"/>
        <v>14206.649186352512</v>
      </c>
      <c r="E580" s="2">
        <v>1</v>
      </c>
      <c r="F580" s="2">
        <f t="shared" si="116"/>
        <v>5.0000000000000018</v>
      </c>
      <c r="G580" s="17">
        <f t="shared" si="118"/>
        <v>0.21713333333333337</v>
      </c>
      <c r="H580" s="8">
        <f t="shared" si="121"/>
        <v>440640</v>
      </c>
      <c r="I580" s="9">
        <f t="shared" si="117"/>
        <v>20</v>
      </c>
      <c r="L580" s="2">
        <f t="shared" si="122"/>
        <v>440640</v>
      </c>
      <c r="M580" s="2">
        <f t="shared" si="123"/>
        <v>928</v>
      </c>
      <c r="N580" s="15">
        <f t="shared" si="124"/>
        <v>8760.5370230547578</v>
      </c>
      <c r="O580" s="15">
        <f t="shared" si="125"/>
        <v>14206.649186352512</v>
      </c>
      <c r="P580" s="16">
        <f>SUM($H$3:H580)</f>
        <v>90694570</v>
      </c>
      <c r="Q580" s="2">
        <f>SUM($I$3:I580)</f>
        <v>5079</v>
      </c>
    </row>
    <row r="581" spans="1:17" x14ac:dyDescent="0.3">
      <c r="A581" s="7">
        <f t="shared" ref="A581:B644" si="126">A580+1</f>
        <v>579</v>
      </c>
      <c r="B581" s="2">
        <f t="shared" si="126"/>
        <v>929</v>
      </c>
      <c r="C581" s="14">
        <f t="shared" si="119"/>
        <v>8795.7750215733249</v>
      </c>
      <c r="D581" s="14">
        <f t="shared" si="120"/>
        <v>14260.606325882853</v>
      </c>
      <c r="E581" s="2">
        <v>1</v>
      </c>
      <c r="F581" s="2">
        <f t="shared" si="116"/>
        <v>5.0000000000000018</v>
      </c>
      <c r="G581" s="17">
        <f t="shared" si="118"/>
        <v>0.21756666666666669</v>
      </c>
      <c r="H581" s="8">
        <f t="shared" si="121"/>
        <v>442170</v>
      </c>
      <c r="I581" s="9">
        <f t="shared" si="117"/>
        <v>20</v>
      </c>
      <c r="L581" s="2">
        <f t="shared" si="122"/>
        <v>442170</v>
      </c>
      <c r="M581" s="2">
        <f t="shared" si="123"/>
        <v>929</v>
      </c>
      <c r="N581" s="15">
        <f t="shared" si="124"/>
        <v>8795.7750215733249</v>
      </c>
      <c r="O581" s="15">
        <f t="shared" si="125"/>
        <v>14260.606325882853</v>
      </c>
      <c r="P581" s="16">
        <f>SUM($H$3:H581)</f>
        <v>91136740</v>
      </c>
      <c r="Q581" s="2">
        <f>SUM($I$3:I581)</f>
        <v>5099</v>
      </c>
    </row>
    <row r="582" spans="1:17" x14ac:dyDescent="0.3">
      <c r="A582" s="7">
        <f t="shared" si="126"/>
        <v>580</v>
      </c>
      <c r="B582" s="2">
        <f t="shared" si="126"/>
        <v>930</v>
      </c>
      <c r="C582" s="14">
        <f t="shared" si="119"/>
        <v>8831.0382894106024</v>
      </c>
      <c r="D582" s="14">
        <f t="shared" si="120"/>
        <v>14314.640878932232</v>
      </c>
      <c r="E582" s="2">
        <v>1</v>
      </c>
      <c r="F582" s="2">
        <f t="shared" si="116"/>
        <v>5.200000000000002</v>
      </c>
      <c r="G582" s="17">
        <f t="shared" si="118"/>
        <v>0.21800000000000003</v>
      </c>
      <c r="H582" s="8">
        <f t="shared" si="121"/>
        <v>443700</v>
      </c>
      <c r="I582" s="9">
        <f t="shared" si="117"/>
        <v>20</v>
      </c>
      <c r="L582" s="2">
        <f t="shared" si="122"/>
        <v>443700</v>
      </c>
      <c r="M582" s="2">
        <f t="shared" si="123"/>
        <v>930</v>
      </c>
      <c r="N582" s="15">
        <f t="shared" si="124"/>
        <v>8831.0382894106024</v>
      </c>
      <c r="O582" s="15">
        <f t="shared" si="125"/>
        <v>14314.640878932232</v>
      </c>
      <c r="P582" s="16">
        <f>SUM($H$3:H582)</f>
        <v>91580440</v>
      </c>
      <c r="Q582" s="2">
        <f>SUM($I$3:I582)</f>
        <v>5119</v>
      </c>
    </row>
    <row r="583" spans="1:17" x14ac:dyDescent="0.3">
      <c r="A583" s="7">
        <f t="shared" si="126"/>
        <v>581</v>
      </c>
      <c r="B583" s="2">
        <f t="shared" si="126"/>
        <v>931</v>
      </c>
      <c r="C583" s="14">
        <f t="shared" si="119"/>
        <v>8866.3267543424245</v>
      </c>
      <c r="D583" s="14">
        <f t="shared" si="120"/>
        <v>14368.752679495292</v>
      </c>
      <c r="E583" s="2">
        <v>1</v>
      </c>
      <c r="F583" s="2">
        <f t="shared" si="116"/>
        <v>5.200000000000002</v>
      </c>
      <c r="G583" s="17">
        <f t="shared" si="118"/>
        <v>0.21843333333333334</v>
      </c>
      <c r="H583" s="8">
        <f t="shared" si="121"/>
        <v>445230</v>
      </c>
      <c r="I583" s="9">
        <f t="shared" si="117"/>
        <v>20</v>
      </c>
      <c r="L583" s="2">
        <f t="shared" si="122"/>
        <v>445230</v>
      </c>
      <c r="M583" s="2">
        <f t="shared" si="123"/>
        <v>931</v>
      </c>
      <c r="N583" s="15">
        <f t="shared" si="124"/>
        <v>8866.3267543424245</v>
      </c>
      <c r="O583" s="15">
        <f t="shared" si="125"/>
        <v>14368.752679495292</v>
      </c>
      <c r="P583" s="16">
        <f>SUM($H$3:H583)</f>
        <v>92025670</v>
      </c>
      <c r="Q583" s="2">
        <f>SUM($I$3:I583)</f>
        <v>5139</v>
      </c>
    </row>
    <row r="584" spans="1:17" x14ac:dyDescent="0.3">
      <c r="A584" s="7">
        <f t="shared" si="126"/>
        <v>582</v>
      </c>
      <c r="B584" s="2">
        <f t="shared" si="126"/>
        <v>932</v>
      </c>
      <c r="C584" s="14">
        <f t="shared" si="119"/>
        <v>8901.6403446074837</v>
      </c>
      <c r="D584" s="14">
        <f t="shared" si="120"/>
        <v>14422.941562512566</v>
      </c>
      <c r="E584" s="2">
        <v>1</v>
      </c>
      <c r="F584" s="2">
        <f t="shared" si="116"/>
        <v>5.200000000000002</v>
      </c>
      <c r="G584" s="17">
        <f t="shared" si="118"/>
        <v>0.21886666666666671</v>
      </c>
      <c r="H584" s="8">
        <f t="shared" si="121"/>
        <v>446760</v>
      </c>
      <c r="I584" s="9">
        <f t="shared" si="117"/>
        <v>20</v>
      </c>
      <c r="L584" s="2">
        <f t="shared" si="122"/>
        <v>446760</v>
      </c>
      <c r="M584" s="2">
        <f t="shared" si="123"/>
        <v>932</v>
      </c>
      <c r="N584" s="15">
        <f t="shared" si="124"/>
        <v>8901.6403446074837</v>
      </c>
      <c r="O584" s="15">
        <f t="shared" si="125"/>
        <v>14422.941562512566</v>
      </c>
      <c r="P584" s="16">
        <f>SUM($H$3:H584)</f>
        <v>92472430</v>
      </c>
      <c r="Q584" s="2">
        <f>SUM($I$3:I584)</f>
        <v>5159</v>
      </c>
    </row>
    <row r="585" spans="1:17" x14ac:dyDescent="0.3">
      <c r="A585" s="7">
        <f t="shared" si="126"/>
        <v>583</v>
      </c>
      <c r="B585" s="2">
        <f t="shared" si="126"/>
        <v>933</v>
      </c>
      <c r="C585" s="14">
        <f t="shared" si="119"/>
        <v>8936.978988902616</v>
      </c>
      <c r="D585" s="14">
        <f t="shared" si="120"/>
        <v>14477.207363861762</v>
      </c>
      <c r="E585" s="2">
        <v>1</v>
      </c>
      <c r="F585" s="2">
        <f t="shared" si="116"/>
        <v>5.200000000000002</v>
      </c>
      <c r="G585" s="17">
        <f t="shared" si="118"/>
        <v>0.21930000000000002</v>
      </c>
      <c r="H585" s="8">
        <f t="shared" si="121"/>
        <v>448290</v>
      </c>
      <c r="I585" s="9">
        <f t="shared" si="117"/>
        <v>20</v>
      </c>
      <c r="L585" s="2">
        <f t="shared" si="122"/>
        <v>448290</v>
      </c>
      <c r="M585" s="2">
        <f t="shared" si="123"/>
        <v>933</v>
      </c>
      <c r="N585" s="15">
        <f t="shared" si="124"/>
        <v>8936.978988902616</v>
      </c>
      <c r="O585" s="15">
        <f t="shared" si="125"/>
        <v>14477.207363861762</v>
      </c>
      <c r="P585" s="16">
        <f>SUM($H$3:H585)</f>
        <v>92920720</v>
      </c>
      <c r="Q585" s="2">
        <f>SUM($I$3:I585)</f>
        <v>5179</v>
      </c>
    </row>
    <row r="586" spans="1:17" x14ac:dyDescent="0.3">
      <c r="A586" s="7">
        <f t="shared" si="126"/>
        <v>584</v>
      </c>
      <c r="B586" s="2">
        <f t="shared" si="126"/>
        <v>934</v>
      </c>
      <c r="C586" s="14">
        <f t="shared" si="119"/>
        <v>8972.3426163784134</v>
      </c>
      <c r="D586" s="14">
        <f t="shared" si="120"/>
        <v>14531.549920349173</v>
      </c>
      <c r="E586" s="2">
        <v>1</v>
      </c>
      <c r="F586" s="2">
        <f t="shared" si="116"/>
        <v>5.200000000000002</v>
      </c>
      <c r="G586" s="17">
        <f t="shared" si="118"/>
        <v>0.21973333333333336</v>
      </c>
      <c r="H586" s="8">
        <f t="shared" si="121"/>
        <v>449820</v>
      </c>
      <c r="I586" s="9">
        <f t="shared" si="117"/>
        <v>20</v>
      </c>
      <c r="L586" s="2">
        <f t="shared" si="122"/>
        <v>449820</v>
      </c>
      <c r="M586" s="2">
        <f t="shared" si="123"/>
        <v>934</v>
      </c>
      <c r="N586" s="15">
        <f t="shared" si="124"/>
        <v>8972.3426163784134</v>
      </c>
      <c r="O586" s="15">
        <f t="shared" si="125"/>
        <v>14531.549920349173</v>
      </c>
      <c r="P586" s="16">
        <f>SUM($H$3:H586)</f>
        <v>93370540</v>
      </c>
      <c r="Q586" s="2">
        <f>SUM($I$3:I586)</f>
        <v>5199</v>
      </c>
    </row>
    <row r="587" spans="1:17" x14ac:dyDescent="0.3">
      <c r="A587" s="7">
        <f t="shared" si="126"/>
        <v>585</v>
      </c>
      <c r="B587" s="2">
        <f t="shared" si="126"/>
        <v>935</v>
      </c>
      <c r="C587" s="14">
        <f t="shared" si="119"/>
        <v>9007.7311566346252</v>
      </c>
      <c r="D587" s="14">
        <f t="shared" si="120"/>
        <v>14585.969069701134</v>
      </c>
      <c r="E587" s="2">
        <v>1</v>
      </c>
      <c r="F587" s="2">
        <f t="shared" ref="F587:F650" si="127">F567+0.2</f>
        <v>5.200000000000002</v>
      </c>
      <c r="G587" s="17">
        <f t="shared" si="118"/>
        <v>0.22016666666666668</v>
      </c>
      <c r="H587" s="8">
        <f t="shared" si="121"/>
        <v>451350</v>
      </c>
      <c r="I587" s="9">
        <f t="shared" si="117"/>
        <v>20</v>
      </c>
      <c r="L587" s="2">
        <f t="shared" si="122"/>
        <v>451350</v>
      </c>
      <c r="M587" s="2">
        <f t="shared" si="123"/>
        <v>935</v>
      </c>
      <c r="N587" s="15">
        <f t="shared" si="124"/>
        <v>9007.7311566346252</v>
      </c>
      <c r="O587" s="15">
        <f t="shared" si="125"/>
        <v>14585.969069701134</v>
      </c>
      <c r="P587" s="16">
        <f>SUM($H$3:H587)</f>
        <v>93821890</v>
      </c>
      <c r="Q587" s="2">
        <f>SUM($I$3:I587)</f>
        <v>5219</v>
      </c>
    </row>
    <row r="588" spans="1:17" x14ac:dyDescent="0.3">
      <c r="A588" s="7">
        <f t="shared" si="126"/>
        <v>586</v>
      </c>
      <c r="B588" s="2">
        <f t="shared" si="126"/>
        <v>936</v>
      </c>
      <c r="C588" s="14">
        <f t="shared" si="119"/>
        <v>9043.1445397158059</v>
      </c>
      <c r="D588" s="14">
        <f t="shared" si="120"/>
        <v>14640.464650555623</v>
      </c>
      <c r="E588" s="2">
        <v>1</v>
      </c>
      <c r="F588" s="2">
        <f t="shared" si="127"/>
        <v>5.200000000000002</v>
      </c>
      <c r="G588" s="17">
        <f t="shared" si="118"/>
        <v>0.22060000000000002</v>
      </c>
      <c r="H588" s="8">
        <f t="shared" si="121"/>
        <v>452880</v>
      </c>
      <c r="I588" s="9">
        <f t="shared" si="117"/>
        <v>20</v>
      </c>
      <c r="L588" s="2">
        <f t="shared" si="122"/>
        <v>452880</v>
      </c>
      <c r="M588" s="2">
        <f t="shared" si="123"/>
        <v>936</v>
      </c>
      <c r="N588" s="15">
        <f t="shared" si="124"/>
        <v>9043.1445397158059</v>
      </c>
      <c r="O588" s="15">
        <f t="shared" si="125"/>
        <v>14640.464650555623</v>
      </c>
      <c r="P588" s="16">
        <f>SUM($H$3:H588)</f>
        <v>94274770</v>
      </c>
      <c r="Q588" s="2">
        <f>SUM($I$3:I588)</f>
        <v>5239</v>
      </c>
    </row>
    <row r="589" spans="1:17" x14ac:dyDescent="0.3">
      <c r="A589" s="7">
        <f t="shared" si="126"/>
        <v>587</v>
      </c>
      <c r="B589" s="2">
        <f t="shared" si="126"/>
        <v>937</v>
      </c>
      <c r="C589" s="14">
        <f t="shared" si="119"/>
        <v>9078.5826961069724</v>
      </c>
      <c r="D589" s="14">
        <f t="shared" si="120"/>
        <v>14695.03650245401</v>
      </c>
      <c r="E589" s="2">
        <v>1</v>
      </c>
      <c r="F589" s="2">
        <f t="shared" si="127"/>
        <v>5.200000000000002</v>
      </c>
      <c r="G589" s="17">
        <f t="shared" si="118"/>
        <v>0.22103333333333336</v>
      </c>
      <c r="H589" s="8">
        <f t="shared" si="121"/>
        <v>454410</v>
      </c>
      <c r="I589" s="9">
        <f t="shared" si="117"/>
        <v>20</v>
      </c>
      <c r="L589" s="2">
        <f t="shared" si="122"/>
        <v>454410</v>
      </c>
      <c r="M589" s="2">
        <f t="shared" si="123"/>
        <v>937</v>
      </c>
      <c r="N589" s="15">
        <f t="shared" si="124"/>
        <v>9078.5826961069724</v>
      </c>
      <c r="O589" s="15">
        <f t="shared" si="125"/>
        <v>14695.03650245401</v>
      </c>
      <c r="P589" s="16">
        <f>SUM($H$3:H589)</f>
        <v>94729180</v>
      </c>
      <c r="Q589" s="2">
        <f>SUM($I$3:I589)</f>
        <v>5259</v>
      </c>
    </row>
    <row r="590" spans="1:17" x14ac:dyDescent="0.3">
      <c r="A590" s="7">
        <f t="shared" si="126"/>
        <v>588</v>
      </c>
      <c r="B590" s="2">
        <f t="shared" si="126"/>
        <v>938</v>
      </c>
      <c r="C590" s="14">
        <f t="shared" si="119"/>
        <v>9114.0455567292265</v>
      </c>
      <c r="D590" s="14">
        <f t="shared" si="120"/>
        <v>14749.684465832814</v>
      </c>
      <c r="E590" s="2">
        <v>1</v>
      </c>
      <c r="F590" s="2">
        <f t="shared" si="127"/>
        <v>5.200000000000002</v>
      </c>
      <c r="G590" s="17">
        <f t="shared" si="118"/>
        <v>0.22146666666666667</v>
      </c>
      <c r="H590" s="8">
        <f t="shared" si="121"/>
        <v>455940</v>
      </c>
      <c r="I590" s="9">
        <f t="shared" si="117"/>
        <v>20</v>
      </c>
      <c r="L590" s="2">
        <f t="shared" si="122"/>
        <v>455940</v>
      </c>
      <c r="M590" s="2">
        <f t="shared" si="123"/>
        <v>938</v>
      </c>
      <c r="N590" s="15">
        <f t="shared" si="124"/>
        <v>9114.0455567292265</v>
      </c>
      <c r="O590" s="15">
        <f t="shared" si="125"/>
        <v>14749.684465832814</v>
      </c>
      <c r="P590" s="16">
        <f>SUM($H$3:H590)</f>
        <v>95185120</v>
      </c>
      <c r="Q590" s="2">
        <f>SUM($I$3:I590)</f>
        <v>5279</v>
      </c>
    </row>
    <row r="591" spans="1:17" x14ac:dyDescent="0.3">
      <c r="A591" s="7">
        <f t="shared" si="126"/>
        <v>589</v>
      </c>
      <c r="B591" s="2">
        <f t="shared" si="126"/>
        <v>939</v>
      </c>
      <c r="C591" s="14">
        <f t="shared" si="119"/>
        <v>9149.5330529356179</v>
      </c>
      <c r="D591" s="14">
        <f t="shared" si="120"/>
        <v>14804.408382015636</v>
      </c>
      <c r="E591" s="2">
        <v>1</v>
      </c>
      <c r="F591" s="2">
        <f t="shared" si="127"/>
        <v>5.200000000000002</v>
      </c>
      <c r="G591" s="17">
        <f t="shared" si="118"/>
        <v>0.22190000000000001</v>
      </c>
      <c r="H591" s="8">
        <f t="shared" si="121"/>
        <v>457470</v>
      </c>
      <c r="I591" s="9">
        <f t="shared" si="117"/>
        <v>20</v>
      </c>
      <c r="L591" s="2">
        <f t="shared" si="122"/>
        <v>457470</v>
      </c>
      <c r="M591" s="2">
        <f t="shared" si="123"/>
        <v>939</v>
      </c>
      <c r="N591" s="15">
        <f t="shared" si="124"/>
        <v>9149.5330529356179</v>
      </c>
      <c r="O591" s="15">
        <f t="shared" si="125"/>
        <v>14804.408382015636</v>
      </c>
      <c r="P591" s="16">
        <f>SUM($H$3:H591)</f>
        <v>95642590</v>
      </c>
      <c r="Q591" s="2">
        <f>SUM($I$3:I591)</f>
        <v>5299</v>
      </c>
    </row>
    <row r="592" spans="1:17" x14ac:dyDescent="0.3">
      <c r="A592" s="7">
        <f t="shared" si="126"/>
        <v>590</v>
      </c>
      <c r="B592" s="2">
        <f t="shared" si="126"/>
        <v>940</v>
      </c>
      <c r="C592" s="14">
        <f t="shared" si="119"/>
        <v>9185.0451165068625</v>
      </c>
      <c r="D592" s="14">
        <f t="shared" si="120"/>
        <v>14859.208093205194</v>
      </c>
      <c r="E592" s="2">
        <v>1</v>
      </c>
      <c r="F592" s="2">
        <f t="shared" si="127"/>
        <v>5.200000000000002</v>
      </c>
      <c r="G592" s="17">
        <f t="shared" si="118"/>
        <v>0.22233333333333333</v>
      </c>
      <c r="H592" s="8">
        <f t="shared" si="121"/>
        <v>459000</v>
      </c>
      <c r="I592" s="9">
        <f t="shared" si="117"/>
        <v>20</v>
      </c>
      <c r="L592" s="2">
        <f t="shared" si="122"/>
        <v>459000</v>
      </c>
      <c r="M592" s="2">
        <f t="shared" si="123"/>
        <v>940</v>
      </c>
      <c r="N592" s="15">
        <f t="shared" si="124"/>
        <v>9185.0451165068625</v>
      </c>
      <c r="O592" s="15">
        <f t="shared" si="125"/>
        <v>14859.208093205194</v>
      </c>
      <c r="P592" s="16">
        <f>SUM($H$3:H592)</f>
        <v>96101590</v>
      </c>
      <c r="Q592" s="2">
        <f>SUM($I$3:I592)</f>
        <v>5319</v>
      </c>
    </row>
    <row r="593" spans="1:17" x14ac:dyDescent="0.3">
      <c r="A593" s="7">
        <f t="shared" si="126"/>
        <v>591</v>
      </c>
      <c r="B593" s="2">
        <f t="shared" si="126"/>
        <v>941</v>
      </c>
      <c r="C593" s="14">
        <f t="shared" si="119"/>
        <v>9220.5816796473027</v>
      </c>
      <c r="D593" s="14">
        <f t="shared" si="120"/>
        <v>14914.08344247541</v>
      </c>
      <c r="E593" s="2">
        <v>1</v>
      </c>
      <c r="F593" s="2">
        <f t="shared" si="127"/>
        <v>5.200000000000002</v>
      </c>
      <c r="G593" s="17">
        <f t="shared" si="118"/>
        <v>0.2227666666666667</v>
      </c>
      <c r="H593" s="8">
        <f t="shared" si="121"/>
        <v>460530</v>
      </c>
      <c r="I593" s="9">
        <f t="shared" si="117"/>
        <v>20</v>
      </c>
      <c r="L593" s="2">
        <f t="shared" si="122"/>
        <v>460530</v>
      </c>
      <c r="M593" s="2">
        <f t="shared" si="123"/>
        <v>941</v>
      </c>
      <c r="N593" s="15">
        <f t="shared" si="124"/>
        <v>9220.5816796473027</v>
      </c>
      <c r="O593" s="15">
        <f t="shared" si="125"/>
        <v>14914.08344247541</v>
      </c>
      <c r="P593" s="16">
        <f>SUM($H$3:H593)</f>
        <v>96562120</v>
      </c>
      <c r="Q593" s="2">
        <f>SUM($I$3:I593)</f>
        <v>5339</v>
      </c>
    </row>
    <row r="594" spans="1:17" x14ac:dyDescent="0.3">
      <c r="A594" s="7">
        <f t="shared" si="126"/>
        <v>592</v>
      </c>
      <c r="B594" s="2">
        <f t="shared" si="126"/>
        <v>942</v>
      </c>
      <c r="C594" s="14">
        <f t="shared" si="119"/>
        <v>9256.1426749807233</v>
      </c>
      <c r="D594" s="14">
        <f t="shared" si="120"/>
        <v>14969.034273763622</v>
      </c>
      <c r="E594" s="2">
        <v>1</v>
      </c>
      <c r="F594" s="2">
        <f t="shared" si="127"/>
        <v>5.200000000000002</v>
      </c>
      <c r="G594" s="17">
        <f t="shared" si="118"/>
        <v>0.22320000000000001</v>
      </c>
      <c r="H594" s="8">
        <f t="shared" si="121"/>
        <v>462060</v>
      </c>
      <c r="I594" s="9">
        <f t="shared" si="117"/>
        <v>20</v>
      </c>
      <c r="L594" s="2">
        <f t="shared" si="122"/>
        <v>462060</v>
      </c>
      <c r="M594" s="2">
        <f t="shared" si="123"/>
        <v>942</v>
      </c>
      <c r="N594" s="15">
        <f t="shared" si="124"/>
        <v>9256.1426749807233</v>
      </c>
      <c r="O594" s="15">
        <f t="shared" si="125"/>
        <v>14969.034273763622</v>
      </c>
      <c r="P594" s="16">
        <f>SUM($H$3:H594)</f>
        <v>97024180</v>
      </c>
      <c r="Q594" s="2">
        <f>SUM($I$3:I594)</f>
        <v>5359</v>
      </c>
    </row>
    <row r="595" spans="1:17" x14ac:dyDescent="0.3">
      <c r="A595" s="7">
        <f t="shared" si="126"/>
        <v>593</v>
      </c>
      <c r="B595" s="2">
        <f t="shared" si="126"/>
        <v>943</v>
      </c>
      <c r="C595" s="14">
        <f t="shared" si="119"/>
        <v>9291.7280355464409</v>
      </c>
      <c r="D595" s="14">
        <f t="shared" si="120"/>
        <v>15024.060431862927</v>
      </c>
      <c r="E595" s="2">
        <v>1</v>
      </c>
      <c r="F595" s="2">
        <f t="shared" si="127"/>
        <v>5.200000000000002</v>
      </c>
      <c r="G595" s="17">
        <f t="shared" si="118"/>
        <v>0.22363333333333335</v>
      </c>
      <c r="H595" s="8">
        <f t="shared" si="121"/>
        <v>463590</v>
      </c>
      <c r="I595" s="9">
        <f t="shared" si="117"/>
        <v>20</v>
      </c>
      <c r="L595" s="2">
        <f t="shared" si="122"/>
        <v>463590</v>
      </c>
      <c r="M595" s="2">
        <f t="shared" si="123"/>
        <v>943</v>
      </c>
      <c r="N595" s="15">
        <f t="shared" si="124"/>
        <v>9291.7280355464409</v>
      </c>
      <c r="O595" s="15">
        <f t="shared" si="125"/>
        <v>15024.060431862927</v>
      </c>
      <c r="P595" s="16">
        <f>SUM($H$3:H595)</f>
        <v>97487770</v>
      </c>
      <c r="Q595" s="2">
        <f>SUM($I$3:I595)</f>
        <v>5379</v>
      </c>
    </row>
    <row r="596" spans="1:17" x14ac:dyDescent="0.3">
      <c r="A596" s="7">
        <f t="shared" si="126"/>
        <v>594</v>
      </c>
      <c r="B596" s="2">
        <f t="shared" si="126"/>
        <v>944</v>
      </c>
      <c r="C596" s="14">
        <f t="shared" si="119"/>
        <v>9327.3376947952383</v>
      </c>
      <c r="D596" s="14">
        <f t="shared" si="120"/>
        <v>15079.161762414489</v>
      </c>
      <c r="E596" s="2">
        <v>1</v>
      </c>
      <c r="F596" s="2">
        <f t="shared" si="127"/>
        <v>5.200000000000002</v>
      </c>
      <c r="G596" s="17">
        <f t="shared" si="118"/>
        <v>0.22406666666666666</v>
      </c>
      <c r="H596" s="8">
        <f t="shared" si="121"/>
        <v>465120</v>
      </c>
      <c r="I596" s="9">
        <f t="shared" si="117"/>
        <v>20</v>
      </c>
      <c r="L596" s="2">
        <f t="shared" si="122"/>
        <v>465120</v>
      </c>
      <c r="M596" s="2">
        <f t="shared" si="123"/>
        <v>944</v>
      </c>
      <c r="N596" s="15">
        <f t="shared" si="124"/>
        <v>9327.3376947952383</v>
      </c>
      <c r="O596" s="15">
        <f t="shared" si="125"/>
        <v>15079.161762414489</v>
      </c>
      <c r="P596" s="16">
        <f>SUM($H$3:H596)</f>
        <v>97952890</v>
      </c>
      <c r="Q596" s="2">
        <f>SUM($I$3:I596)</f>
        <v>5399</v>
      </c>
    </row>
    <row r="597" spans="1:17" x14ac:dyDescent="0.3">
      <c r="A597" s="7">
        <f t="shared" si="126"/>
        <v>595</v>
      </c>
      <c r="B597" s="2">
        <f t="shared" si="126"/>
        <v>945</v>
      </c>
      <c r="C597" s="14">
        <f t="shared" si="119"/>
        <v>9362.9715865855123</v>
      </c>
      <c r="D597" s="14">
        <f t="shared" si="120"/>
        <v>15134.338111900173</v>
      </c>
      <c r="E597" s="2">
        <v>1</v>
      </c>
      <c r="F597" s="2">
        <f t="shared" si="127"/>
        <v>5.200000000000002</v>
      </c>
      <c r="G597" s="17">
        <f t="shared" si="118"/>
        <v>0.22450000000000003</v>
      </c>
      <c r="H597" s="8">
        <f t="shared" si="121"/>
        <v>466650</v>
      </c>
      <c r="I597" s="9">
        <f t="shared" si="117"/>
        <v>20</v>
      </c>
      <c r="L597" s="2">
        <f t="shared" si="122"/>
        <v>466650</v>
      </c>
      <c r="M597" s="2">
        <f t="shared" si="123"/>
        <v>945</v>
      </c>
      <c r="N597" s="15">
        <f t="shared" si="124"/>
        <v>9362.9715865855123</v>
      </c>
      <c r="O597" s="15">
        <f t="shared" si="125"/>
        <v>15134.338111900173</v>
      </c>
      <c r="P597" s="16">
        <f>SUM($H$3:H597)</f>
        <v>98419540</v>
      </c>
      <c r="Q597" s="2">
        <f>SUM($I$3:I597)</f>
        <v>5419</v>
      </c>
    </row>
    <row r="598" spans="1:17" x14ac:dyDescent="0.3">
      <c r="A598" s="7">
        <f t="shared" si="126"/>
        <v>596</v>
      </c>
      <c r="B598" s="2">
        <f t="shared" si="126"/>
        <v>946</v>
      </c>
      <c r="C598" s="14">
        <f t="shared" si="119"/>
        <v>9398.6296451793532</v>
      </c>
      <c r="D598" s="14">
        <f t="shared" si="120"/>
        <v>15189.589327634991</v>
      </c>
      <c r="E598" s="2">
        <v>1</v>
      </c>
      <c r="F598" s="2">
        <f t="shared" si="127"/>
        <v>5.200000000000002</v>
      </c>
      <c r="G598" s="17">
        <f t="shared" si="118"/>
        <v>0.22493333333333335</v>
      </c>
      <c r="H598" s="8">
        <f t="shared" si="121"/>
        <v>468180</v>
      </c>
      <c r="I598" s="9">
        <f t="shared" si="117"/>
        <v>20</v>
      </c>
      <c r="L598" s="2">
        <f t="shared" si="122"/>
        <v>468180</v>
      </c>
      <c r="M598" s="2">
        <f t="shared" si="123"/>
        <v>946</v>
      </c>
      <c r="N598" s="15">
        <f t="shared" si="124"/>
        <v>9398.6296451793532</v>
      </c>
      <c r="O598" s="15">
        <f t="shared" si="125"/>
        <v>15189.589327634991</v>
      </c>
      <c r="P598" s="16">
        <f>SUM($H$3:H598)</f>
        <v>98887720</v>
      </c>
      <c r="Q598" s="2">
        <f>SUM($I$3:I598)</f>
        <v>5439</v>
      </c>
    </row>
    <row r="599" spans="1:17" x14ac:dyDescent="0.3">
      <c r="A599" s="7">
        <f t="shared" si="126"/>
        <v>597</v>
      </c>
      <c r="B599" s="2">
        <f t="shared" si="126"/>
        <v>947</v>
      </c>
      <c r="C599" s="14">
        <f t="shared" si="119"/>
        <v>9434.311805238769</v>
      </c>
      <c r="D599" s="14">
        <f t="shared" si="120"/>
        <v>15244.915257759896</v>
      </c>
      <c r="E599" s="2">
        <v>1</v>
      </c>
      <c r="F599" s="2">
        <f t="shared" si="127"/>
        <v>5.200000000000002</v>
      </c>
      <c r="G599" s="17">
        <f t="shared" si="118"/>
        <v>0.22536666666666669</v>
      </c>
      <c r="H599" s="8">
        <f t="shared" si="121"/>
        <v>469710</v>
      </c>
      <c r="I599" s="9">
        <f t="shared" si="117"/>
        <v>20</v>
      </c>
      <c r="L599" s="2">
        <f t="shared" si="122"/>
        <v>469710</v>
      </c>
      <c r="M599" s="2">
        <f t="shared" si="123"/>
        <v>947</v>
      </c>
      <c r="N599" s="15">
        <f t="shared" si="124"/>
        <v>9434.311805238769</v>
      </c>
      <c r="O599" s="15">
        <f t="shared" si="125"/>
        <v>15244.915257759896</v>
      </c>
      <c r="P599" s="16">
        <f>SUM($H$3:H599)</f>
        <v>99357430</v>
      </c>
      <c r="Q599" s="2">
        <f>SUM($I$3:I599)</f>
        <v>5459</v>
      </c>
    </row>
    <row r="600" spans="1:17" x14ac:dyDescent="0.3">
      <c r="A600" s="7">
        <f t="shared" si="126"/>
        <v>598</v>
      </c>
      <c r="B600" s="2">
        <f t="shared" si="126"/>
        <v>948</v>
      </c>
      <c r="C600" s="14">
        <f t="shared" si="119"/>
        <v>9470.0180018218616</v>
      </c>
      <c r="D600" s="14">
        <f t="shared" si="120"/>
        <v>15300.315751234442</v>
      </c>
      <c r="E600" s="2">
        <v>1</v>
      </c>
      <c r="F600" s="2">
        <f t="shared" si="127"/>
        <v>5.200000000000002</v>
      </c>
      <c r="G600" s="17">
        <f t="shared" si="118"/>
        <v>0.2258</v>
      </c>
      <c r="H600" s="8">
        <f t="shared" si="121"/>
        <v>471240</v>
      </c>
      <c r="I600" s="9">
        <f t="shared" si="117"/>
        <v>20</v>
      </c>
      <c r="L600" s="2">
        <f t="shared" si="122"/>
        <v>471240</v>
      </c>
      <c r="M600" s="2">
        <f t="shared" si="123"/>
        <v>948</v>
      </c>
      <c r="N600" s="15">
        <f t="shared" si="124"/>
        <v>9470.0180018218616</v>
      </c>
      <c r="O600" s="15">
        <f t="shared" si="125"/>
        <v>15300.315751234442</v>
      </c>
      <c r="P600" s="16">
        <f>SUM($H$3:H600)</f>
        <v>99828670</v>
      </c>
      <c r="Q600" s="2">
        <f>SUM($I$3:I600)</f>
        <v>5479</v>
      </c>
    </row>
    <row r="601" spans="1:17" x14ac:dyDescent="0.3">
      <c r="A601" s="7">
        <f t="shared" si="126"/>
        <v>599</v>
      </c>
      <c r="B601" s="2">
        <f t="shared" si="126"/>
        <v>949</v>
      </c>
      <c r="C601" s="14">
        <f t="shared" si="119"/>
        <v>9505.7481703791618</v>
      </c>
      <c r="D601" s="14">
        <f t="shared" si="120"/>
        <v>15355.790657829737</v>
      </c>
      <c r="E601" s="2">
        <v>1</v>
      </c>
      <c r="F601" s="2">
        <f t="shared" si="127"/>
        <v>5.200000000000002</v>
      </c>
      <c r="G601" s="17">
        <f t="shared" si="118"/>
        <v>0.22623333333333337</v>
      </c>
      <c r="H601" s="8">
        <f t="shared" si="121"/>
        <v>472770</v>
      </c>
      <c r="I601" s="9">
        <f t="shared" si="117"/>
        <v>20</v>
      </c>
      <c r="L601" s="2">
        <f t="shared" si="122"/>
        <v>472770</v>
      </c>
      <c r="M601" s="2">
        <f t="shared" si="123"/>
        <v>949</v>
      </c>
      <c r="N601" s="15">
        <f t="shared" si="124"/>
        <v>9505.7481703791618</v>
      </c>
      <c r="O601" s="15">
        <f t="shared" si="125"/>
        <v>15355.790657829737</v>
      </c>
      <c r="P601" s="16">
        <f>SUM($H$3:H601)</f>
        <v>100301440</v>
      </c>
      <c r="Q601" s="2">
        <f>SUM($I$3:I601)</f>
        <v>5499</v>
      </c>
    </row>
    <row r="602" spans="1:17" x14ac:dyDescent="0.3">
      <c r="A602" s="7">
        <f t="shared" si="126"/>
        <v>600</v>
      </c>
      <c r="B602" s="2">
        <f t="shared" si="126"/>
        <v>950</v>
      </c>
      <c r="C602" s="14">
        <f t="shared" si="119"/>
        <v>9541.5022467498929</v>
      </c>
      <c r="D602" s="14">
        <f t="shared" si="120"/>
        <v>15411.339828121278</v>
      </c>
      <c r="E602" s="2">
        <v>1</v>
      </c>
      <c r="F602" s="2">
        <f t="shared" si="127"/>
        <v>5.4000000000000021</v>
      </c>
      <c r="G602" s="17">
        <f t="shared" si="118"/>
        <v>0.22666666666666668</v>
      </c>
      <c r="H602" s="8">
        <f t="shared" si="121"/>
        <v>474300</v>
      </c>
      <c r="I602" s="9">
        <f t="shared" si="117"/>
        <v>21</v>
      </c>
      <c r="L602" s="2">
        <f t="shared" si="122"/>
        <v>474300</v>
      </c>
      <c r="M602" s="2">
        <f t="shared" si="123"/>
        <v>950</v>
      </c>
      <c r="N602" s="15">
        <f t="shared" si="124"/>
        <v>9541.5022467498929</v>
      </c>
      <c r="O602" s="15">
        <f t="shared" si="125"/>
        <v>15411.339828121278</v>
      </c>
      <c r="P602" s="16">
        <f>SUM($H$3:H602)</f>
        <v>100775740</v>
      </c>
      <c r="Q602" s="2">
        <f>SUM($I$3:I602)</f>
        <v>5520</v>
      </c>
    </row>
    <row r="603" spans="1:17" x14ac:dyDescent="0.3">
      <c r="A603" s="7">
        <f t="shared" si="126"/>
        <v>601</v>
      </c>
      <c r="B603" s="2">
        <f t="shared" si="126"/>
        <v>951</v>
      </c>
      <c r="C603" s="14">
        <f t="shared" si="119"/>
        <v>9577.2801671584184</v>
      </c>
      <c r="D603" s="14">
        <f t="shared" si="120"/>
        <v>15466.963113482068</v>
      </c>
      <c r="E603" s="2">
        <v>1</v>
      </c>
      <c r="F603" s="2">
        <f t="shared" si="127"/>
        <v>5.4000000000000021</v>
      </c>
      <c r="G603" s="17">
        <f t="shared" si="118"/>
        <v>0.22710000000000002</v>
      </c>
      <c r="H603" s="8">
        <f t="shared" si="121"/>
        <v>475830</v>
      </c>
      <c r="I603" s="9">
        <f t="shared" si="117"/>
        <v>21</v>
      </c>
      <c r="L603" s="2">
        <f t="shared" si="122"/>
        <v>475830</v>
      </c>
      <c r="M603" s="2">
        <f t="shared" si="123"/>
        <v>951</v>
      </c>
      <c r="N603" s="15">
        <f t="shared" si="124"/>
        <v>9577.2801671584184</v>
      </c>
      <c r="O603" s="15">
        <f t="shared" si="125"/>
        <v>15466.963113482068</v>
      </c>
      <c r="P603" s="16">
        <f>SUM($H$3:H603)</f>
        <v>101251570</v>
      </c>
      <c r="Q603" s="2">
        <f>SUM($I$3:I603)</f>
        <v>5541</v>
      </c>
    </row>
    <row r="604" spans="1:17" x14ac:dyDescent="0.3">
      <c r="A604" s="7">
        <f t="shared" si="126"/>
        <v>602</v>
      </c>
      <c r="B604" s="2">
        <f t="shared" si="126"/>
        <v>952</v>
      </c>
      <c r="C604" s="14">
        <f t="shared" si="119"/>
        <v>9613.0818682105855</v>
      </c>
      <c r="D604" s="14">
        <f t="shared" si="120"/>
        <v>15522.660366075703</v>
      </c>
      <c r="E604" s="2">
        <v>1</v>
      </c>
      <c r="F604" s="2">
        <f t="shared" si="127"/>
        <v>5.4000000000000021</v>
      </c>
      <c r="G604" s="17">
        <f t="shared" si="118"/>
        <v>0.22753333333333334</v>
      </c>
      <c r="H604" s="8">
        <f t="shared" si="121"/>
        <v>477360</v>
      </c>
      <c r="I604" s="9">
        <f t="shared" si="117"/>
        <v>21</v>
      </c>
      <c r="L604" s="2">
        <f t="shared" si="122"/>
        <v>477360</v>
      </c>
      <c r="M604" s="2">
        <f t="shared" si="123"/>
        <v>952</v>
      </c>
      <c r="N604" s="15">
        <f t="shared" si="124"/>
        <v>9613.0818682105855</v>
      </c>
      <c r="O604" s="15">
        <f t="shared" si="125"/>
        <v>15522.660366075703</v>
      </c>
      <c r="P604" s="16">
        <f>SUM($H$3:H604)</f>
        <v>101728930</v>
      </c>
      <c r="Q604" s="2">
        <f>SUM($I$3:I604)</f>
        <v>5562</v>
      </c>
    </row>
    <row r="605" spans="1:17" x14ac:dyDescent="0.3">
      <c r="A605" s="7">
        <f t="shared" si="126"/>
        <v>603</v>
      </c>
      <c r="B605" s="2">
        <f t="shared" si="126"/>
        <v>953</v>
      </c>
      <c r="C605" s="14">
        <f t="shared" si="119"/>
        <v>9648.9072868901894</v>
      </c>
      <c r="D605" s="14">
        <f t="shared" si="120"/>
        <v>15578.431438849477</v>
      </c>
      <c r="E605" s="2">
        <v>1</v>
      </c>
      <c r="F605" s="2">
        <f t="shared" si="127"/>
        <v>5.4000000000000021</v>
      </c>
      <c r="G605" s="17">
        <f t="shared" si="118"/>
        <v>0.22796666666666671</v>
      </c>
      <c r="H605" s="8">
        <f t="shared" si="121"/>
        <v>478890</v>
      </c>
      <c r="I605" s="9">
        <f t="shared" si="117"/>
        <v>21</v>
      </c>
      <c r="L605" s="2">
        <f t="shared" si="122"/>
        <v>478890</v>
      </c>
      <c r="M605" s="2">
        <f t="shared" si="123"/>
        <v>953</v>
      </c>
      <c r="N605" s="15">
        <f t="shared" si="124"/>
        <v>9648.9072868901894</v>
      </c>
      <c r="O605" s="15">
        <f t="shared" si="125"/>
        <v>15578.431438849477</v>
      </c>
      <c r="P605" s="16">
        <f>SUM($H$3:H605)</f>
        <v>102207820</v>
      </c>
      <c r="Q605" s="2">
        <f>SUM($I$3:I605)</f>
        <v>5583</v>
      </c>
    </row>
    <row r="606" spans="1:17" x14ac:dyDescent="0.3">
      <c r="A606" s="7">
        <f t="shared" si="126"/>
        <v>604</v>
      </c>
      <c r="B606" s="2">
        <f t="shared" si="126"/>
        <v>954</v>
      </c>
      <c r="C606" s="14">
        <f t="shared" si="119"/>
        <v>9684.7563605555715</v>
      </c>
      <c r="D606" s="14">
        <f t="shared" si="120"/>
        <v>15634.276185527777</v>
      </c>
      <c r="E606" s="2">
        <v>1</v>
      </c>
      <c r="F606" s="2">
        <f t="shared" si="127"/>
        <v>5.4000000000000021</v>
      </c>
      <c r="G606" s="17">
        <f t="shared" si="118"/>
        <v>0.22840000000000002</v>
      </c>
      <c r="H606" s="8">
        <f t="shared" si="121"/>
        <v>480420</v>
      </c>
      <c r="I606" s="9">
        <f t="shared" si="117"/>
        <v>21</v>
      </c>
      <c r="L606" s="2">
        <f t="shared" si="122"/>
        <v>480420</v>
      </c>
      <c r="M606" s="2">
        <f t="shared" si="123"/>
        <v>954</v>
      </c>
      <c r="N606" s="15">
        <f t="shared" si="124"/>
        <v>9684.7563605555715</v>
      </c>
      <c r="O606" s="15">
        <f t="shared" si="125"/>
        <v>15634.276185527777</v>
      </c>
      <c r="P606" s="16">
        <f>SUM($H$3:H606)</f>
        <v>102688240</v>
      </c>
      <c r="Q606" s="2">
        <f>SUM($I$3:I606)</f>
        <v>5604</v>
      </c>
    </row>
    <row r="607" spans="1:17" x14ac:dyDescent="0.3">
      <c r="A607" s="7">
        <f t="shared" si="126"/>
        <v>605</v>
      </c>
      <c r="B607" s="2">
        <f t="shared" si="126"/>
        <v>955</v>
      </c>
      <c r="C607" s="14">
        <f t="shared" si="119"/>
        <v>9720.6290269360343</v>
      </c>
      <c r="D607" s="14">
        <f t="shared" si="120"/>
        <v>15690.194460605335</v>
      </c>
      <c r="E607" s="2">
        <v>1</v>
      </c>
      <c r="F607" s="2">
        <f t="shared" si="127"/>
        <v>5.4000000000000021</v>
      </c>
      <c r="G607" s="17">
        <f t="shared" si="118"/>
        <v>0.22883333333333336</v>
      </c>
      <c r="H607" s="8">
        <f t="shared" si="121"/>
        <v>481950</v>
      </c>
      <c r="I607" s="9">
        <f t="shared" si="117"/>
        <v>21</v>
      </c>
      <c r="L607" s="2">
        <f t="shared" si="122"/>
        <v>481950</v>
      </c>
      <c r="M607" s="2">
        <f t="shared" si="123"/>
        <v>955</v>
      </c>
      <c r="N607" s="15">
        <f t="shared" si="124"/>
        <v>9720.6290269360343</v>
      </c>
      <c r="O607" s="15">
        <f t="shared" si="125"/>
        <v>15690.194460605335</v>
      </c>
      <c r="P607" s="16">
        <f>SUM($H$3:H607)</f>
        <v>103170190</v>
      </c>
      <c r="Q607" s="2">
        <f>SUM($I$3:I607)</f>
        <v>5625</v>
      </c>
    </row>
    <row r="608" spans="1:17" x14ac:dyDescent="0.3">
      <c r="A608" s="7">
        <f t="shared" si="126"/>
        <v>606</v>
      </c>
      <c r="B608" s="2">
        <f t="shared" si="126"/>
        <v>956</v>
      </c>
      <c r="C608" s="14">
        <f t="shared" si="119"/>
        <v>9756.5252241285325</v>
      </c>
      <c r="D608" s="14">
        <f t="shared" si="120"/>
        <v>15746.1861193407</v>
      </c>
      <c r="E608" s="2">
        <v>1</v>
      </c>
      <c r="F608" s="2">
        <f t="shared" si="127"/>
        <v>5.4000000000000021</v>
      </c>
      <c r="G608" s="17">
        <f t="shared" si="118"/>
        <v>0.22926666666666667</v>
      </c>
      <c r="H608" s="8">
        <f t="shared" si="121"/>
        <v>483480</v>
      </c>
      <c r="I608" s="9">
        <f t="shared" si="117"/>
        <v>21</v>
      </c>
      <c r="L608" s="2">
        <f t="shared" si="122"/>
        <v>483480</v>
      </c>
      <c r="M608" s="2">
        <f t="shared" si="123"/>
        <v>956</v>
      </c>
      <c r="N608" s="15">
        <f t="shared" si="124"/>
        <v>9756.5252241285325</v>
      </c>
      <c r="O608" s="15">
        <f t="shared" si="125"/>
        <v>15746.1861193407</v>
      </c>
      <c r="P608" s="16">
        <f>SUM($H$3:H608)</f>
        <v>103653670</v>
      </c>
      <c r="Q608" s="2">
        <f>SUM($I$3:I608)</f>
        <v>5646</v>
      </c>
    </row>
    <row r="609" spans="1:17" x14ac:dyDescent="0.3">
      <c r="A609" s="7">
        <f t="shared" si="126"/>
        <v>607</v>
      </c>
      <c r="B609" s="2">
        <f t="shared" si="126"/>
        <v>957</v>
      </c>
      <c r="C609" s="14">
        <f t="shared" si="119"/>
        <v>9792.4448905942845</v>
      </c>
      <c r="D609" s="14">
        <f t="shared" si="120"/>
        <v>15802.251017749764</v>
      </c>
      <c r="E609" s="2">
        <v>1</v>
      </c>
      <c r="F609" s="2">
        <f t="shared" si="127"/>
        <v>5.4000000000000021</v>
      </c>
      <c r="G609" s="17">
        <f t="shared" si="118"/>
        <v>0.22970000000000002</v>
      </c>
      <c r="H609" s="8">
        <f t="shared" si="121"/>
        <v>485010</v>
      </c>
      <c r="I609" s="9">
        <f t="shared" si="117"/>
        <v>21</v>
      </c>
      <c r="L609" s="2">
        <f t="shared" si="122"/>
        <v>485010</v>
      </c>
      <c r="M609" s="2">
        <f t="shared" si="123"/>
        <v>957</v>
      </c>
      <c r="N609" s="15">
        <f t="shared" si="124"/>
        <v>9792.4448905942845</v>
      </c>
      <c r="O609" s="15">
        <f t="shared" si="125"/>
        <v>15802.251017749764</v>
      </c>
      <c r="P609" s="16">
        <f>SUM($H$3:H609)</f>
        <v>104138680</v>
      </c>
      <c r="Q609" s="2">
        <f>SUM($I$3:I609)</f>
        <v>5667</v>
      </c>
    </row>
    <row r="610" spans="1:17" x14ac:dyDescent="0.3">
      <c r="A610" s="7">
        <f t="shared" si="126"/>
        <v>608</v>
      </c>
      <c r="B610" s="2">
        <f t="shared" si="126"/>
        <v>958</v>
      </c>
      <c r="C610" s="14">
        <f t="shared" si="119"/>
        <v>9828.3879651554289</v>
      </c>
      <c r="D610" s="14">
        <f t="shared" si="120"/>
        <v>15858.389012599306</v>
      </c>
      <c r="E610" s="2">
        <v>1</v>
      </c>
      <c r="F610" s="2">
        <f t="shared" si="127"/>
        <v>5.4000000000000021</v>
      </c>
      <c r="G610" s="17">
        <f t="shared" si="118"/>
        <v>0.23013333333333336</v>
      </c>
      <c r="H610" s="8">
        <f t="shared" si="121"/>
        <v>486540</v>
      </c>
      <c r="I610" s="9">
        <f t="shared" si="117"/>
        <v>21</v>
      </c>
      <c r="L610" s="2">
        <f t="shared" si="122"/>
        <v>486540</v>
      </c>
      <c r="M610" s="2">
        <f t="shared" si="123"/>
        <v>958</v>
      </c>
      <c r="N610" s="15">
        <f t="shared" si="124"/>
        <v>9828.3879651554289</v>
      </c>
      <c r="O610" s="15">
        <f t="shared" si="125"/>
        <v>15858.389012599306</v>
      </c>
      <c r="P610" s="16">
        <f>SUM($H$3:H610)</f>
        <v>104625220</v>
      </c>
      <c r="Q610" s="2">
        <f>SUM($I$3:I610)</f>
        <v>5688</v>
      </c>
    </row>
    <row r="611" spans="1:17" x14ac:dyDescent="0.3">
      <c r="A611" s="7">
        <f t="shared" si="126"/>
        <v>609</v>
      </c>
      <c r="B611" s="2">
        <f t="shared" si="126"/>
        <v>959</v>
      </c>
      <c r="C611" s="14">
        <f t="shared" si="119"/>
        <v>9864.3543869917721</v>
      </c>
      <c r="D611" s="14">
        <f t="shared" si="120"/>
        <v>15914.599961400649</v>
      </c>
      <c r="E611" s="2">
        <v>1</v>
      </c>
      <c r="F611" s="2">
        <f t="shared" si="127"/>
        <v>5.4000000000000021</v>
      </c>
      <c r="G611" s="17">
        <f t="shared" si="118"/>
        <v>0.2305666666666667</v>
      </c>
      <c r="H611" s="8">
        <f t="shared" si="121"/>
        <v>488070</v>
      </c>
      <c r="I611" s="9">
        <f t="shared" si="117"/>
        <v>21</v>
      </c>
      <c r="L611" s="2">
        <f t="shared" si="122"/>
        <v>488070</v>
      </c>
      <c r="M611" s="2">
        <f t="shared" si="123"/>
        <v>959</v>
      </c>
      <c r="N611" s="15">
        <f t="shared" si="124"/>
        <v>9864.3543869917721</v>
      </c>
      <c r="O611" s="15">
        <f t="shared" si="125"/>
        <v>15914.599961400649</v>
      </c>
      <c r="P611" s="16">
        <f>SUM($H$3:H611)</f>
        <v>105113290</v>
      </c>
      <c r="Q611" s="2">
        <f>SUM($I$3:I611)</f>
        <v>5709</v>
      </c>
    </row>
    <row r="612" spans="1:17" x14ac:dyDescent="0.3">
      <c r="A612" s="7">
        <f t="shared" si="126"/>
        <v>610</v>
      </c>
      <c r="B612" s="2">
        <f t="shared" si="126"/>
        <v>960</v>
      </c>
      <c r="C612" s="14">
        <f t="shared" si="119"/>
        <v>9900.344095637498</v>
      </c>
      <c r="D612" s="14">
        <f t="shared" si="120"/>
        <v>15970.883722403398</v>
      </c>
      <c r="E612" s="2">
        <v>1</v>
      </c>
      <c r="F612" s="2">
        <f t="shared" si="127"/>
        <v>5.4000000000000021</v>
      </c>
      <c r="G612" s="17">
        <f t="shared" si="118"/>
        <v>0.23100000000000001</v>
      </c>
      <c r="H612" s="8">
        <f t="shared" si="121"/>
        <v>489600</v>
      </c>
      <c r="I612" s="9">
        <f t="shared" ref="I612:I675" si="128">I587+1</f>
        <v>21</v>
      </c>
      <c r="L612" s="2">
        <f t="shared" si="122"/>
        <v>489600</v>
      </c>
      <c r="M612" s="2">
        <f t="shared" si="123"/>
        <v>960</v>
      </c>
      <c r="N612" s="15">
        <f t="shared" si="124"/>
        <v>9900.344095637498</v>
      </c>
      <c r="O612" s="15">
        <f t="shared" si="125"/>
        <v>15970.883722403398</v>
      </c>
      <c r="P612" s="16">
        <f>SUM($H$3:H612)</f>
        <v>105602890</v>
      </c>
      <c r="Q612" s="2">
        <f>SUM($I$3:I612)</f>
        <v>5730</v>
      </c>
    </row>
    <row r="613" spans="1:17" x14ac:dyDescent="0.3">
      <c r="A613" s="7">
        <f t="shared" si="126"/>
        <v>611</v>
      </c>
      <c r="B613" s="2">
        <f t="shared" si="126"/>
        <v>961</v>
      </c>
      <c r="C613" s="14">
        <f t="shared" si="119"/>
        <v>9936.3570309780098</v>
      </c>
      <c r="D613" s="14">
        <f t="shared" si="120"/>
        <v>16027.240154589264</v>
      </c>
      <c r="E613" s="2">
        <v>1</v>
      </c>
      <c r="F613" s="2">
        <f t="shared" si="127"/>
        <v>5.4000000000000021</v>
      </c>
      <c r="G613" s="17">
        <f t="shared" si="118"/>
        <v>0.23143333333333335</v>
      </c>
      <c r="H613" s="8">
        <f t="shared" si="121"/>
        <v>491130</v>
      </c>
      <c r="I613" s="9">
        <f t="shared" si="128"/>
        <v>21</v>
      </c>
      <c r="L613" s="2">
        <f t="shared" si="122"/>
        <v>491130</v>
      </c>
      <c r="M613" s="2">
        <f t="shared" si="123"/>
        <v>961</v>
      </c>
      <c r="N613" s="15">
        <f t="shared" si="124"/>
        <v>9936.3570309780098</v>
      </c>
      <c r="O613" s="15">
        <f t="shared" si="125"/>
        <v>16027.240154589264</v>
      </c>
      <c r="P613" s="16">
        <f>SUM($H$3:H613)</f>
        <v>106094020</v>
      </c>
      <c r="Q613" s="2">
        <f>SUM($I$3:I613)</f>
        <v>5751</v>
      </c>
    </row>
    <row r="614" spans="1:17" x14ac:dyDescent="0.3">
      <c r="A614" s="7">
        <f t="shared" si="126"/>
        <v>612</v>
      </c>
      <c r="B614" s="2">
        <f t="shared" si="126"/>
        <v>962</v>
      </c>
      <c r="C614" s="14">
        <f t="shared" si="119"/>
        <v>9972.3931332467964</v>
      </c>
      <c r="D614" s="14">
        <f t="shared" si="120"/>
        <v>16083.669117665939</v>
      </c>
      <c r="E614" s="2">
        <v>1</v>
      </c>
      <c r="F614" s="2">
        <f t="shared" si="127"/>
        <v>5.4000000000000021</v>
      </c>
      <c r="G614" s="17">
        <f t="shared" si="118"/>
        <v>0.23186666666666669</v>
      </c>
      <c r="H614" s="8">
        <f t="shared" si="121"/>
        <v>492660</v>
      </c>
      <c r="I614" s="9">
        <f t="shared" si="128"/>
        <v>21</v>
      </c>
      <c r="L614" s="2">
        <f t="shared" si="122"/>
        <v>492660</v>
      </c>
      <c r="M614" s="2">
        <f t="shared" si="123"/>
        <v>962</v>
      </c>
      <c r="N614" s="15">
        <f t="shared" si="124"/>
        <v>9972.3931332467964</v>
      </c>
      <c r="O614" s="15">
        <f t="shared" si="125"/>
        <v>16083.669117665939</v>
      </c>
      <c r="P614" s="16">
        <f>SUM($H$3:H614)</f>
        <v>106586680</v>
      </c>
      <c r="Q614" s="2">
        <f>SUM($I$3:I614)</f>
        <v>5772</v>
      </c>
    </row>
    <row r="615" spans="1:17" x14ac:dyDescent="0.3">
      <c r="A615" s="7">
        <f t="shared" si="126"/>
        <v>613</v>
      </c>
      <c r="B615" s="2">
        <f t="shared" si="126"/>
        <v>963</v>
      </c>
      <c r="C615" s="14">
        <f t="shared" si="119"/>
        <v>10008.452343022185</v>
      </c>
      <c r="D615" s="14">
        <f t="shared" si="120"/>
        <v>16140.170472061003</v>
      </c>
      <c r="E615" s="2">
        <v>1</v>
      </c>
      <c r="F615" s="2">
        <f t="shared" si="127"/>
        <v>5.4000000000000021</v>
      </c>
      <c r="G615" s="17">
        <f t="shared" ref="G615:G678" si="129">0.01 + (A615-100)*(0.4-0.01)/(1000-100)</f>
        <v>0.23230000000000001</v>
      </c>
      <c r="H615" s="8">
        <f t="shared" si="121"/>
        <v>494190</v>
      </c>
      <c r="I615" s="9">
        <f t="shared" si="128"/>
        <v>21</v>
      </c>
      <c r="L615" s="2">
        <f t="shared" si="122"/>
        <v>494190</v>
      </c>
      <c r="M615" s="2">
        <f t="shared" si="123"/>
        <v>963</v>
      </c>
      <c r="N615" s="15">
        <f t="shared" si="124"/>
        <v>10008.452343022185</v>
      </c>
      <c r="O615" s="15">
        <f t="shared" si="125"/>
        <v>16140.170472061003</v>
      </c>
      <c r="P615" s="16">
        <f>SUM($H$3:H615)</f>
        <v>107080870</v>
      </c>
      <c r="Q615" s="2">
        <f>SUM($I$3:I615)</f>
        <v>5793</v>
      </c>
    </row>
    <row r="616" spans="1:17" x14ac:dyDescent="0.3">
      <c r="A616" s="7">
        <f t="shared" si="126"/>
        <v>614</v>
      </c>
      <c r="B616" s="2">
        <f t="shared" si="126"/>
        <v>964</v>
      </c>
      <c r="C616" s="14">
        <f t="shared" si="119"/>
        <v>10044.534601224414</v>
      </c>
      <c r="D616" s="14">
        <f t="shared" si="120"/>
        <v>16196.744078915957</v>
      </c>
      <c r="E616" s="2">
        <v>1</v>
      </c>
      <c r="F616" s="2">
        <f t="shared" si="127"/>
        <v>5.4000000000000021</v>
      </c>
      <c r="G616" s="17">
        <f t="shared" si="129"/>
        <v>0.23273333333333335</v>
      </c>
      <c r="H616" s="8">
        <f t="shared" si="121"/>
        <v>495720</v>
      </c>
      <c r="I616" s="9">
        <f t="shared" si="128"/>
        <v>21</v>
      </c>
      <c r="L616" s="2">
        <f t="shared" si="122"/>
        <v>495720</v>
      </c>
      <c r="M616" s="2">
        <f t="shared" si="123"/>
        <v>964</v>
      </c>
      <c r="N616" s="15">
        <f t="shared" si="124"/>
        <v>10044.534601224414</v>
      </c>
      <c r="O616" s="15">
        <f t="shared" si="125"/>
        <v>16196.744078915957</v>
      </c>
      <c r="P616" s="16">
        <f>SUM($H$3:H616)</f>
        <v>107576590</v>
      </c>
      <c r="Q616" s="2">
        <f>SUM($I$3:I616)</f>
        <v>5814</v>
      </c>
    </row>
    <row r="617" spans="1:17" x14ac:dyDescent="0.3">
      <c r="A617" s="7">
        <f t="shared" si="126"/>
        <v>615</v>
      </c>
      <c r="B617" s="2">
        <f t="shared" si="126"/>
        <v>965</v>
      </c>
      <c r="C617" s="14">
        <f t="shared" si="119"/>
        <v>10080.639849112466</v>
      </c>
      <c r="D617" s="14">
        <f t="shared" si="120"/>
        <v>16253.389800080369</v>
      </c>
      <c r="E617" s="2">
        <v>1</v>
      </c>
      <c r="F617" s="2">
        <f t="shared" si="127"/>
        <v>5.4000000000000021</v>
      </c>
      <c r="G617" s="17">
        <f t="shared" si="129"/>
        <v>0.23316666666666666</v>
      </c>
      <c r="H617" s="8">
        <f t="shared" si="121"/>
        <v>497250</v>
      </c>
      <c r="I617" s="9">
        <f t="shared" si="128"/>
        <v>21</v>
      </c>
      <c r="L617" s="2">
        <f t="shared" si="122"/>
        <v>497250</v>
      </c>
      <c r="M617" s="2">
        <f t="shared" si="123"/>
        <v>965</v>
      </c>
      <c r="N617" s="15">
        <f t="shared" si="124"/>
        <v>10080.639849112466</v>
      </c>
      <c r="O617" s="15">
        <f t="shared" si="125"/>
        <v>16253.389800080369</v>
      </c>
      <c r="P617" s="16">
        <f>SUM($H$3:H617)</f>
        <v>108073840</v>
      </c>
      <c r="Q617" s="2">
        <f>SUM($I$3:I617)</f>
        <v>5835</v>
      </c>
    </row>
    <row r="618" spans="1:17" x14ac:dyDescent="0.3">
      <c r="A618" s="7">
        <f t="shared" si="126"/>
        <v>616</v>
      </c>
      <c r="B618" s="2">
        <f t="shared" si="126"/>
        <v>966</v>
      </c>
      <c r="C618" s="14">
        <f t="shared" si="119"/>
        <v>10116.768028281096</v>
      </c>
      <c r="D618" s="14">
        <f t="shared" si="120"/>
        <v>16310.107498105926</v>
      </c>
      <c r="E618" s="2">
        <v>1</v>
      </c>
      <c r="F618" s="2">
        <f t="shared" si="127"/>
        <v>5.4000000000000021</v>
      </c>
      <c r="G618" s="17">
        <f t="shared" si="129"/>
        <v>0.23360000000000003</v>
      </c>
      <c r="H618" s="8">
        <f t="shared" si="121"/>
        <v>498780</v>
      </c>
      <c r="I618" s="9">
        <f t="shared" si="128"/>
        <v>21</v>
      </c>
      <c r="L618" s="2">
        <f t="shared" si="122"/>
        <v>498780</v>
      </c>
      <c r="M618" s="2">
        <f t="shared" si="123"/>
        <v>966</v>
      </c>
      <c r="N618" s="15">
        <f t="shared" si="124"/>
        <v>10116.768028281096</v>
      </c>
      <c r="O618" s="15">
        <f t="shared" si="125"/>
        <v>16310.107498105926</v>
      </c>
      <c r="P618" s="16">
        <f>SUM($H$3:H618)</f>
        <v>108572620</v>
      </c>
      <c r="Q618" s="2">
        <f>SUM($I$3:I618)</f>
        <v>5856</v>
      </c>
    </row>
    <row r="619" spans="1:17" x14ac:dyDescent="0.3">
      <c r="A619" s="7">
        <f t="shared" si="126"/>
        <v>617</v>
      </c>
      <c r="B619" s="2">
        <f t="shared" si="126"/>
        <v>967</v>
      </c>
      <c r="C619" s="14">
        <f t="shared" si="119"/>
        <v>10152.919080657857</v>
      </c>
      <c r="D619" s="14">
        <f t="shared" si="120"/>
        <v>16366.897036240673</v>
      </c>
      <c r="E619" s="2">
        <v>1</v>
      </c>
      <c r="F619" s="2">
        <f t="shared" si="127"/>
        <v>5.4000000000000021</v>
      </c>
      <c r="G619" s="17">
        <f t="shared" si="129"/>
        <v>0.23403333333333334</v>
      </c>
      <c r="H619" s="8">
        <f t="shared" si="121"/>
        <v>500310</v>
      </c>
      <c r="I619" s="9">
        <f t="shared" si="128"/>
        <v>21</v>
      </c>
      <c r="L619" s="2">
        <f t="shared" si="122"/>
        <v>500310</v>
      </c>
      <c r="M619" s="2">
        <f t="shared" si="123"/>
        <v>967</v>
      </c>
      <c r="N619" s="15">
        <f t="shared" si="124"/>
        <v>10152.919080657857</v>
      </c>
      <c r="O619" s="15">
        <f t="shared" si="125"/>
        <v>16366.897036240673</v>
      </c>
      <c r="P619" s="16">
        <f>SUM($H$3:H619)</f>
        <v>109072930</v>
      </c>
      <c r="Q619" s="2">
        <f>SUM($I$3:I619)</f>
        <v>5877</v>
      </c>
    </row>
    <row r="620" spans="1:17" x14ac:dyDescent="0.3">
      <c r="A620" s="7">
        <f t="shared" si="126"/>
        <v>618</v>
      </c>
      <c r="B620" s="2">
        <f t="shared" si="126"/>
        <v>968</v>
      </c>
      <c r="C620" s="14">
        <f t="shared" si="119"/>
        <v>10189.092948500176</v>
      </c>
      <c r="D620" s="14">
        <f t="shared" si="120"/>
        <v>16423.758278423426</v>
      </c>
      <c r="E620" s="2">
        <v>1</v>
      </c>
      <c r="F620" s="2">
        <f t="shared" si="127"/>
        <v>5.4000000000000021</v>
      </c>
      <c r="G620" s="17">
        <f t="shared" si="129"/>
        <v>0.23446666666666668</v>
      </c>
      <c r="H620" s="8">
        <f t="shared" si="121"/>
        <v>501840</v>
      </c>
      <c r="I620" s="9">
        <f t="shared" si="128"/>
        <v>21</v>
      </c>
      <c r="L620" s="2">
        <f t="shared" si="122"/>
        <v>501840</v>
      </c>
      <c r="M620" s="2">
        <f t="shared" si="123"/>
        <v>968</v>
      </c>
      <c r="N620" s="15">
        <f t="shared" si="124"/>
        <v>10189.092948500176</v>
      </c>
      <c r="O620" s="15">
        <f t="shared" si="125"/>
        <v>16423.758278423426</v>
      </c>
      <c r="P620" s="16">
        <f>SUM($H$3:H620)</f>
        <v>109574770</v>
      </c>
      <c r="Q620" s="2">
        <f>SUM($I$3:I620)</f>
        <v>5898</v>
      </c>
    </row>
    <row r="621" spans="1:17" x14ac:dyDescent="0.3">
      <c r="A621" s="7">
        <f t="shared" si="126"/>
        <v>619</v>
      </c>
      <c r="B621" s="2">
        <f t="shared" si="126"/>
        <v>969</v>
      </c>
      <c r="C621" s="14">
        <f t="shared" si="119"/>
        <v>10225.289574392385</v>
      </c>
      <c r="D621" s="14">
        <f t="shared" si="120"/>
        <v>16480.691089277876</v>
      </c>
      <c r="E621" s="2">
        <v>1</v>
      </c>
      <c r="F621" s="2">
        <f t="shared" si="127"/>
        <v>5.4000000000000021</v>
      </c>
      <c r="G621" s="17">
        <f t="shared" si="129"/>
        <v>0.2349</v>
      </c>
      <c r="H621" s="8">
        <f t="shared" si="121"/>
        <v>503370</v>
      </c>
      <c r="I621" s="9">
        <f t="shared" si="128"/>
        <v>21</v>
      </c>
      <c r="L621" s="2">
        <f t="shared" si="122"/>
        <v>503370</v>
      </c>
      <c r="M621" s="2">
        <f t="shared" si="123"/>
        <v>969</v>
      </c>
      <c r="N621" s="15">
        <f t="shared" si="124"/>
        <v>10225.289574392385</v>
      </c>
      <c r="O621" s="15">
        <f t="shared" si="125"/>
        <v>16480.691089277876</v>
      </c>
      <c r="P621" s="16">
        <f>SUM($H$3:H621)</f>
        <v>110078140</v>
      </c>
      <c r="Q621" s="2">
        <f>SUM($I$3:I621)</f>
        <v>5919</v>
      </c>
    </row>
    <row r="622" spans="1:17" x14ac:dyDescent="0.3">
      <c r="A622" s="7">
        <f t="shared" si="126"/>
        <v>620</v>
      </c>
      <c r="B622" s="2">
        <f t="shared" si="126"/>
        <v>970</v>
      </c>
      <c r="C622" s="14">
        <f t="shared" si="119"/>
        <v>10261.508901242945</v>
      </c>
      <c r="D622" s="14">
        <f t="shared" si="120"/>
        <v>16537.695334107317</v>
      </c>
      <c r="E622" s="2">
        <v>1</v>
      </c>
      <c r="F622" s="2">
        <f t="shared" si="127"/>
        <v>5.6000000000000023</v>
      </c>
      <c r="G622" s="17">
        <f t="shared" si="129"/>
        <v>0.23533333333333337</v>
      </c>
      <c r="H622" s="8">
        <f t="shared" si="121"/>
        <v>504900</v>
      </c>
      <c r="I622" s="9">
        <f t="shared" si="128"/>
        <v>21</v>
      </c>
      <c r="L622" s="2">
        <f t="shared" si="122"/>
        <v>504900</v>
      </c>
      <c r="M622" s="2">
        <f t="shared" si="123"/>
        <v>970</v>
      </c>
      <c r="N622" s="15">
        <f t="shared" si="124"/>
        <v>10261.508901242945</v>
      </c>
      <c r="O622" s="15">
        <f t="shared" si="125"/>
        <v>16537.695334107317</v>
      </c>
      <c r="P622" s="16">
        <f>SUM($H$3:H622)</f>
        <v>110583040</v>
      </c>
      <c r="Q622" s="2">
        <f>SUM($I$3:I622)</f>
        <v>5940</v>
      </c>
    </row>
    <row r="623" spans="1:17" x14ac:dyDescent="0.3">
      <c r="A623" s="7">
        <f t="shared" si="126"/>
        <v>621</v>
      </c>
      <c r="B623" s="2">
        <f t="shared" si="126"/>
        <v>971</v>
      </c>
      <c r="C623" s="14">
        <f t="shared" si="119"/>
        <v>10297.750872281531</v>
      </c>
      <c r="D623" s="14">
        <f t="shared" si="120"/>
        <v>16594.770878888812</v>
      </c>
      <c r="E623" s="2">
        <v>1</v>
      </c>
      <c r="F623" s="2">
        <f t="shared" si="127"/>
        <v>5.6000000000000023</v>
      </c>
      <c r="G623" s="17">
        <f t="shared" si="129"/>
        <v>0.23576666666666668</v>
      </c>
      <c r="H623" s="8">
        <f t="shared" si="121"/>
        <v>506430</v>
      </c>
      <c r="I623" s="9">
        <f t="shared" si="128"/>
        <v>21</v>
      </c>
      <c r="L623" s="2">
        <f t="shared" si="122"/>
        <v>506430</v>
      </c>
      <c r="M623" s="2">
        <f t="shared" si="123"/>
        <v>971</v>
      </c>
      <c r="N623" s="15">
        <f t="shared" si="124"/>
        <v>10297.750872281531</v>
      </c>
      <c r="O623" s="15">
        <f t="shared" si="125"/>
        <v>16594.770878888812</v>
      </c>
      <c r="P623" s="16">
        <f>SUM($H$3:H623)</f>
        <v>111089470</v>
      </c>
      <c r="Q623" s="2">
        <f>SUM($I$3:I623)</f>
        <v>5961</v>
      </c>
    </row>
    <row r="624" spans="1:17" x14ac:dyDescent="0.3">
      <c r="A624" s="7">
        <f t="shared" si="126"/>
        <v>622</v>
      </c>
      <c r="B624" s="2">
        <f t="shared" si="126"/>
        <v>972</v>
      </c>
      <c r="C624" s="14">
        <f t="shared" ref="C624:C687" si="130">9.525*(A624-300)^1.2 + 600</f>
        <v>10334.015431056259</v>
      </c>
      <c r="D624" s="14">
        <f t="shared" ref="D624:D687" si="131">4.055*(A624-300)^1.4 + 3500</f>
        <v>16651.917590267924</v>
      </c>
      <c r="E624" s="2">
        <v>1</v>
      </c>
      <c r="F624" s="2">
        <f t="shared" si="127"/>
        <v>5.6000000000000023</v>
      </c>
      <c r="G624" s="17">
        <f t="shared" si="129"/>
        <v>0.23620000000000002</v>
      </c>
      <c r="H624" s="8">
        <f t="shared" si="121"/>
        <v>507960</v>
      </c>
      <c r="I624" s="9">
        <f t="shared" si="128"/>
        <v>21</v>
      </c>
      <c r="L624" s="2">
        <f t="shared" si="122"/>
        <v>507960</v>
      </c>
      <c r="M624" s="2">
        <f t="shared" si="123"/>
        <v>972</v>
      </c>
      <c r="N624" s="15">
        <f t="shared" si="124"/>
        <v>10334.015431056259</v>
      </c>
      <c r="O624" s="15">
        <f t="shared" si="125"/>
        <v>16651.917590267924</v>
      </c>
      <c r="P624" s="16">
        <f>SUM($H$3:H624)</f>
        <v>111597430</v>
      </c>
      <c r="Q624" s="2">
        <f>SUM($I$3:I624)</f>
        <v>5982</v>
      </c>
    </row>
    <row r="625" spans="1:17" x14ac:dyDescent="0.3">
      <c r="A625" s="7">
        <f t="shared" si="126"/>
        <v>623</v>
      </c>
      <c r="B625" s="2">
        <f t="shared" si="126"/>
        <v>973</v>
      </c>
      <c r="C625" s="14">
        <f t="shared" si="130"/>
        <v>10370.302521430911</v>
      </c>
      <c r="D625" s="14">
        <f t="shared" si="131"/>
        <v>16709.135335553248</v>
      </c>
      <c r="E625" s="2">
        <v>1</v>
      </c>
      <c r="F625" s="2">
        <f t="shared" si="127"/>
        <v>5.6000000000000023</v>
      </c>
      <c r="G625" s="17">
        <f t="shared" si="129"/>
        <v>0.23663333333333333</v>
      </c>
      <c r="H625" s="8">
        <f t="shared" si="121"/>
        <v>509490</v>
      </c>
      <c r="I625" s="9">
        <f t="shared" si="128"/>
        <v>21</v>
      </c>
      <c r="L625" s="2">
        <f t="shared" si="122"/>
        <v>509490</v>
      </c>
      <c r="M625" s="2">
        <f t="shared" si="123"/>
        <v>973</v>
      </c>
      <c r="N625" s="15">
        <f t="shared" si="124"/>
        <v>10370.302521430911</v>
      </c>
      <c r="O625" s="15">
        <f t="shared" si="125"/>
        <v>16709.135335553248</v>
      </c>
      <c r="P625" s="16">
        <f>SUM($H$3:H625)</f>
        <v>112106920</v>
      </c>
      <c r="Q625" s="2">
        <f>SUM($I$3:I625)</f>
        <v>6003</v>
      </c>
    </row>
    <row r="626" spans="1:17" x14ac:dyDescent="0.3">
      <c r="A626" s="7">
        <f t="shared" si="126"/>
        <v>624</v>
      </c>
      <c r="B626" s="2">
        <f t="shared" si="126"/>
        <v>974</v>
      </c>
      <c r="C626" s="14">
        <f t="shared" si="130"/>
        <v>10406.612087582214</v>
      </c>
      <c r="D626" s="14">
        <f t="shared" si="131"/>
        <v>16766.42398271112</v>
      </c>
      <c r="E626" s="2">
        <v>1</v>
      </c>
      <c r="F626" s="2">
        <f t="shared" si="127"/>
        <v>5.6000000000000023</v>
      </c>
      <c r="G626" s="17">
        <f t="shared" si="129"/>
        <v>0.2370666666666667</v>
      </c>
      <c r="H626" s="8">
        <f t="shared" si="121"/>
        <v>511020</v>
      </c>
      <c r="I626" s="9">
        <f t="shared" si="128"/>
        <v>21</v>
      </c>
      <c r="L626" s="2">
        <f t="shared" si="122"/>
        <v>511020</v>
      </c>
      <c r="M626" s="2">
        <f t="shared" si="123"/>
        <v>974</v>
      </c>
      <c r="N626" s="15">
        <f t="shared" si="124"/>
        <v>10406.612087582214</v>
      </c>
      <c r="O626" s="15">
        <f t="shared" si="125"/>
        <v>16766.42398271112</v>
      </c>
      <c r="P626" s="16">
        <f>SUM($H$3:H626)</f>
        <v>112617940</v>
      </c>
      <c r="Q626" s="2">
        <f>SUM($I$3:I626)</f>
        <v>6024</v>
      </c>
    </row>
    <row r="627" spans="1:17" x14ac:dyDescent="0.3">
      <c r="A627" s="7">
        <f t="shared" si="126"/>
        <v>625</v>
      </c>
      <c r="B627" s="2">
        <f t="shared" si="126"/>
        <v>975</v>
      </c>
      <c r="C627" s="14">
        <f t="shared" si="130"/>
        <v>10442.944073997123</v>
      </c>
      <c r="D627" s="14">
        <f t="shared" si="131"/>
        <v>16823.78340036028</v>
      </c>
      <c r="E627" s="2">
        <v>1</v>
      </c>
      <c r="F627" s="2">
        <f t="shared" si="127"/>
        <v>5.6000000000000023</v>
      </c>
      <c r="G627" s="17">
        <f t="shared" si="129"/>
        <v>0.23750000000000002</v>
      </c>
      <c r="H627" s="8">
        <f t="shared" si="121"/>
        <v>512550</v>
      </c>
      <c r="I627" s="9">
        <f t="shared" si="128"/>
        <v>22</v>
      </c>
      <c r="L627" s="2">
        <f t="shared" si="122"/>
        <v>512550</v>
      </c>
      <c r="M627" s="2">
        <f t="shared" si="123"/>
        <v>975</v>
      </c>
      <c r="N627" s="15">
        <f t="shared" si="124"/>
        <v>10442.944073997123</v>
      </c>
      <c r="O627" s="15">
        <f t="shared" si="125"/>
        <v>16823.78340036028</v>
      </c>
      <c r="P627" s="16">
        <f>SUM($H$3:H627)</f>
        <v>113130490</v>
      </c>
      <c r="Q627" s="2">
        <f>SUM($I$3:I627)</f>
        <v>6046</v>
      </c>
    </row>
    <row r="628" spans="1:17" x14ac:dyDescent="0.3">
      <c r="A628" s="7">
        <f t="shared" si="126"/>
        <v>626</v>
      </c>
      <c r="B628" s="2">
        <f t="shared" si="126"/>
        <v>976</v>
      </c>
      <c r="C628" s="14">
        <f t="shared" si="130"/>
        <v>10479.298425470128</v>
      </c>
      <c r="D628" s="14">
        <f t="shared" si="131"/>
        <v>16881.213457766622</v>
      </c>
      <c r="E628" s="2">
        <v>1</v>
      </c>
      <c r="F628" s="2">
        <f t="shared" si="127"/>
        <v>5.6000000000000023</v>
      </c>
      <c r="G628" s="17">
        <f t="shared" si="129"/>
        <v>0.23793333333333336</v>
      </c>
      <c r="H628" s="8">
        <f t="shared" si="121"/>
        <v>514080</v>
      </c>
      <c r="I628" s="9">
        <f t="shared" si="128"/>
        <v>22</v>
      </c>
      <c r="L628" s="2">
        <f t="shared" si="122"/>
        <v>514080</v>
      </c>
      <c r="M628" s="2">
        <f t="shared" si="123"/>
        <v>976</v>
      </c>
      <c r="N628" s="15">
        <f t="shared" si="124"/>
        <v>10479.298425470128</v>
      </c>
      <c r="O628" s="15">
        <f t="shared" si="125"/>
        <v>16881.213457766622</v>
      </c>
      <c r="P628" s="16">
        <f>SUM($H$3:H628)</f>
        <v>113644570</v>
      </c>
      <c r="Q628" s="2">
        <f>SUM($I$3:I628)</f>
        <v>6068</v>
      </c>
    </row>
    <row r="629" spans="1:17" x14ac:dyDescent="0.3">
      <c r="A629" s="7">
        <f t="shared" si="126"/>
        <v>627</v>
      </c>
      <c r="B629" s="2">
        <f t="shared" si="126"/>
        <v>977</v>
      </c>
      <c r="C629" s="14">
        <f t="shared" si="130"/>
        <v>10515.675087100637</v>
      </c>
      <c r="D629" s="14">
        <f t="shared" si="131"/>
        <v>16938.714024838169</v>
      </c>
      <c r="E629" s="2">
        <v>1</v>
      </c>
      <c r="F629" s="2">
        <f t="shared" si="127"/>
        <v>5.6000000000000023</v>
      </c>
      <c r="G629" s="17">
        <f t="shared" si="129"/>
        <v>0.23836666666666667</v>
      </c>
      <c r="H629" s="8">
        <f t="shared" si="121"/>
        <v>515610</v>
      </c>
      <c r="I629" s="9">
        <f t="shared" si="128"/>
        <v>22</v>
      </c>
      <c r="L629" s="2">
        <f t="shared" si="122"/>
        <v>515610</v>
      </c>
      <c r="M629" s="2">
        <f t="shared" si="123"/>
        <v>977</v>
      </c>
      <c r="N629" s="15">
        <f t="shared" si="124"/>
        <v>10515.675087100637</v>
      </c>
      <c r="O629" s="15">
        <f t="shared" si="125"/>
        <v>16938.714024838169</v>
      </c>
      <c r="P629" s="16">
        <f>SUM($H$3:H629)</f>
        <v>114160180</v>
      </c>
      <c r="Q629" s="2">
        <f>SUM($I$3:I629)</f>
        <v>6090</v>
      </c>
    </row>
    <row r="630" spans="1:17" x14ac:dyDescent="0.3">
      <c r="A630" s="7">
        <f t="shared" si="126"/>
        <v>628</v>
      </c>
      <c r="B630" s="2">
        <f t="shared" si="126"/>
        <v>978</v>
      </c>
      <c r="C630" s="14">
        <f t="shared" si="130"/>
        <v>10552.074004290369</v>
      </c>
      <c r="D630" s="14">
        <f t="shared" si="131"/>
        <v>16996.284972119807</v>
      </c>
      <c r="E630" s="2">
        <v>1</v>
      </c>
      <c r="F630" s="2">
        <f t="shared" si="127"/>
        <v>5.6000000000000023</v>
      </c>
      <c r="G630" s="17">
        <f t="shared" si="129"/>
        <v>0.23880000000000004</v>
      </c>
      <c r="H630" s="8">
        <f t="shared" si="121"/>
        <v>517140</v>
      </c>
      <c r="I630" s="9">
        <f t="shared" si="128"/>
        <v>22</v>
      </c>
      <c r="L630" s="2">
        <f t="shared" si="122"/>
        <v>517140</v>
      </c>
      <c r="M630" s="2">
        <f t="shared" si="123"/>
        <v>978</v>
      </c>
      <c r="N630" s="15">
        <f t="shared" si="124"/>
        <v>10552.074004290369</v>
      </c>
      <c r="O630" s="15">
        <f t="shared" si="125"/>
        <v>16996.284972119807</v>
      </c>
      <c r="P630" s="16">
        <f>SUM($H$3:H630)</f>
        <v>114677320</v>
      </c>
      <c r="Q630" s="2">
        <f>SUM($I$3:I630)</f>
        <v>6112</v>
      </c>
    </row>
    <row r="631" spans="1:17" x14ac:dyDescent="0.3">
      <c r="A631" s="7">
        <f t="shared" si="126"/>
        <v>629</v>
      </c>
      <c r="B631" s="2">
        <f t="shared" si="126"/>
        <v>979</v>
      </c>
      <c r="C631" s="14">
        <f t="shared" si="130"/>
        <v>10588.49512274074</v>
      </c>
      <c r="D631" s="14">
        <f t="shared" si="131"/>
        <v>17053.926170788291</v>
      </c>
      <c r="E631" s="2">
        <v>1</v>
      </c>
      <c r="F631" s="2">
        <f t="shared" si="127"/>
        <v>5.6000000000000023</v>
      </c>
      <c r="G631" s="17">
        <f t="shared" si="129"/>
        <v>0.23923333333333335</v>
      </c>
      <c r="H631" s="8">
        <f t="shared" ref="H631:H694" si="132">(A631-290)*1530</f>
        <v>518670</v>
      </c>
      <c r="I631" s="9">
        <f t="shared" si="128"/>
        <v>22</v>
      </c>
      <c r="L631" s="2">
        <f t="shared" ref="L631:L690" si="133">H631</f>
        <v>518670</v>
      </c>
      <c r="M631" s="2">
        <f t="shared" ref="M631:M690" si="134">B631</f>
        <v>979</v>
      </c>
      <c r="N631" s="15">
        <f t="shared" ref="N631:N690" si="135">C631</f>
        <v>10588.49512274074</v>
      </c>
      <c r="O631" s="15">
        <f t="shared" ref="O631:O690" si="136">D631</f>
        <v>17053.926170788291</v>
      </c>
      <c r="P631" s="16">
        <f>SUM($H$3:H631)</f>
        <v>115195990</v>
      </c>
      <c r="Q631" s="2">
        <f>SUM($I$3:I631)</f>
        <v>6134</v>
      </c>
    </row>
    <row r="632" spans="1:17" x14ac:dyDescent="0.3">
      <c r="A632" s="7">
        <f t="shared" si="126"/>
        <v>630</v>
      </c>
      <c r="B632" s="2">
        <f t="shared" si="126"/>
        <v>980</v>
      </c>
      <c r="C632" s="14">
        <f t="shared" si="130"/>
        <v>10624.938388450346</v>
      </c>
      <c r="D632" s="14">
        <f t="shared" si="131"/>
        <v>17111.637492647307</v>
      </c>
      <c r="E632" s="2">
        <v>1</v>
      </c>
      <c r="F632" s="2">
        <f t="shared" si="127"/>
        <v>5.6000000000000023</v>
      </c>
      <c r="G632" s="17">
        <f t="shared" si="129"/>
        <v>0.23966666666666669</v>
      </c>
      <c r="H632" s="8">
        <f t="shared" si="132"/>
        <v>520200</v>
      </c>
      <c r="I632" s="9">
        <f t="shared" si="128"/>
        <v>22</v>
      </c>
      <c r="L632" s="2">
        <f t="shared" si="133"/>
        <v>520200</v>
      </c>
      <c r="M632" s="2">
        <f t="shared" si="134"/>
        <v>980</v>
      </c>
      <c r="N632" s="15">
        <f t="shared" si="135"/>
        <v>10624.938388450346</v>
      </c>
      <c r="O632" s="15">
        <f t="shared" si="136"/>
        <v>17111.637492647307</v>
      </c>
      <c r="P632" s="16">
        <f>SUM($H$3:H632)</f>
        <v>115716190</v>
      </c>
      <c r="Q632" s="2">
        <f>SUM($I$3:I632)</f>
        <v>6156</v>
      </c>
    </row>
    <row r="633" spans="1:17" x14ac:dyDescent="0.3">
      <c r="A633" s="7">
        <f t="shared" si="126"/>
        <v>631</v>
      </c>
      <c r="B633" s="2">
        <f t="shared" si="126"/>
        <v>981</v>
      </c>
      <c r="C633" s="14">
        <f t="shared" si="130"/>
        <v>10661.403747712433</v>
      </c>
      <c r="D633" s="14">
        <f t="shared" si="131"/>
        <v>17169.418810122461</v>
      </c>
      <c r="E633" s="2">
        <v>1</v>
      </c>
      <c r="F633" s="2">
        <f t="shared" si="127"/>
        <v>5.6000000000000023</v>
      </c>
      <c r="G633" s="17">
        <f t="shared" si="129"/>
        <v>0.24010000000000001</v>
      </c>
      <c r="H633" s="8">
        <f t="shared" si="132"/>
        <v>521730</v>
      </c>
      <c r="I633" s="9">
        <f t="shared" si="128"/>
        <v>22</v>
      </c>
      <c r="L633" s="2">
        <f t="shared" si="133"/>
        <v>521730</v>
      </c>
      <c r="M633" s="2">
        <f t="shared" si="134"/>
        <v>981</v>
      </c>
      <c r="N633" s="15">
        <f t="shared" si="135"/>
        <v>10661.403747712433</v>
      </c>
      <c r="O633" s="15">
        <f t="shared" si="136"/>
        <v>17169.418810122461</v>
      </c>
      <c r="P633" s="16">
        <f>SUM($H$3:H633)</f>
        <v>116237920</v>
      </c>
      <c r="Q633" s="2">
        <f>SUM($I$3:I633)</f>
        <v>6178</v>
      </c>
    </row>
    <row r="634" spans="1:17" x14ac:dyDescent="0.3">
      <c r="A634" s="7">
        <f t="shared" si="126"/>
        <v>632</v>
      </c>
      <c r="B634" s="2">
        <f t="shared" si="126"/>
        <v>982</v>
      </c>
      <c r="C634" s="14">
        <f t="shared" si="130"/>
        <v>10697.891147112374</v>
      </c>
      <c r="D634" s="14">
        <f t="shared" si="131"/>
        <v>17227.269996256367</v>
      </c>
      <c r="E634" s="2">
        <v>1</v>
      </c>
      <c r="F634" s="2">
        <f t="shared" si="127"/>
        <v>5.6000000000000023</v>
      </c>
      <c r="G634" s="17">
        <f t="shared" si="129"/>
        <v>0.24053333333333335</v>
      </c>
      <c r="H634" s="8">
        <f t="shared" si="132"/>
        <v>523260</v>
      </c>
      <c r="I634" s="9">
        <f t="shared" si="128"/>
        <v>22</v>
      </c>
      <c r="L634" s="2">
        <f t="shared" si="133"/>
        <v>523260</v>
      </c>
      <c r="M634" s="2">
        <f t="shared" si="134"/>
        <v>982</v>
      </c>
      <c r="N634" s="15">
        <f t="shared" si="135"/>
        <v>10697.891147112374</v>
      </c>
      <c r="O634" s="15">
        <f t="shared" si="136"/>
        <v>17227.269996256367</v>
      </c>
      <c r="P634" s="16">
        <f>SUM($H$3:H634)</f>
        <v>116761180</v>
      </c>
      <c r="Q634" s="2">
        <f>SUM($I$3:I634)</f>
        <v>6200</v>
      </c>
    </row>
    <row r="635" spans="1:17" x14ac:dyDescent="0.3">
      <c r="A635" s="7">
        <f t="shared" si="126"/>
        <v>633</v>
      </c>
      <c r="B635" s="2">
        <f t="shared" si="126"/>
        <v>983</v>
      </c>
      <c r="C635" s="14">
        <f t="shared" si="130"/>
        <v>10734.40053352526</v>
      </c>
      <c r="D635" s="14">
        <f t="shared" si="131"/>
        <v>17285.1909247039</v>
      </c>
      <c r="E635" s="2">
        <v>1</v>
      </c>
      <c r="F635" s="2">
        <f t="shared" si="127"/>
        <v>5.6000000000000023</v>
      </c>
      <c r="G635" s="17">
        <f t="shared" si="129"/>
        <v>0.24096666666666669</v>
      </c>
      <c r="H635" s="8">
        <f t="shared" si="132"/>
        <v>524790</v>
      </c>
      <c r="I635" s="9">
        <f t="shared" si="128"/>
        <v>22</v>
      </c>
      <c r="L635" s="2">
        <f t="shared" si="133"/>
        <v>524790</v>
      </c>
      <c r="M635" s="2">
        <f t="shared" si="134"/>
        <v>983</v>
      </c>
      <c r="N635" s="15">
        <f t="shared" si="135"/>
        <v>10734.40053352526</v>
      </c>
      <c r="O635" s="15">
        <f t="shared" si="136"/>
        <v>17285.1909247039</v>
      </c>
      <c r="P635" s="16">
        <f>SUM($H$3:H635)</f>
        <v>117285970</v>
      </c>
      <c r="Q635" s="2">
        <f>SUM($I$3:I635)</f>
        <v>6222</v>
      </c>
    </row>
    <row r="636" spans="1:17" x14ac:dyDescent="0.3">
      <c r="A636" s="7">
        <f t="shared" si="126"/>
        <v>634</v>
      </c>
      <c r="B636" s="2">
        <f t="shared" si="126"/>
        <v>984</v>
      </c>
      <c r="C636" s="14">
        <f t="shared" si="130"/>
        <v>10770.931854113409</v>
      </c>
      <c r="D636" s="14">
        <f t="shared" si="131"/>
        <v>17343.181469727358</v>
      </c>
      <c r="E636" s="2">
        <v>1</v>
      </c>
      <c r="F636" s="2">
        <f t="shared" si="127"/>
        <v>5.6000000000000023</v>
      </c>
      <c r="G636" s="17">
        <f t="shared" si="129"/>
        <v>0.24140000000000003</v>
      </c>
      <c r="H636" s="8">
        <f t="shared" si="132"/>
        <v>526320</v>
      </c>
      <c r="I636" s="9">
        <f t="shared" si="128"/>
        <v>22</v>
      </c>
      <c r="L636" s="2">
        <f t="shared" si="133"/>
        <v>526320</v>
      </c>
      <c r="M636" s="2">
        <f t="shared" si="134"/>
        <v>984</v>
      </c>
      <c r="N636" s="15">
        <f t="shared" si="135"/>
        <v>10770.931854113409</v>
      </c>
      <c r="O636" s="15">
        <f t="shared" si="136"/>
        <v>17343.181469727358</v>
      </c>
      <c r="P636" s="16">
        <f>SUM($H$3:H636)</f>
        <v>117812290</v>
      </c>
      <c r="Q636" s="2">
        <f>SUM($I$3:I636)</f>
        <v>6244</v>
      </c>
    </row>
    <row r="637" spans="1:17" x14ac:dyDescent="0.3">
      <c r="A637" s="7">
        <f t="shared" si="126"/>
        <v>635</v>
      </c>
      <c r="B637" s="2">
        <f t="shared" si="126"/>
        <v>985</v>
      </c>
      <c r="C637" s="14">
        <f t="shared" si="130"/>
        <v>10807.485056323958</v>
      </c>
      <c r="D637" s="14">
        <f t="shared" si="131"/>
        <v>17401.241506191713</v>
      </c>
      <c r="E637" s="2">
        <v>1</v>
      </c>
      <c r="F637" s="2">
        <f t="shared" si="127"/>
        <v>5.6000000000000023</v>
      </c>
      <c r="G637" s="17">
        <f t="shared" si="129"/>
        <v>0.24183333333333334</v>
      </c>
      <c r="H637" s="8">
        <f t="shared" si="132"/>
        <v>527850</v>
      </c>
      <c r="I637" s="9">
        <f t="shared" si="128"/>
        <v>22</v>
      </c>
      <c r="L637" s="2">
        <f t="shared" si="133"/>
        <v>527850</v>
      </c>
      <c r="M637" s="2">
        <f t="shared" si="134"/>
        <v>985</v>
      </c>
      <c r="N637" s="15">
        <f t="shared" si="135"/>
        <v>10807.485056323958</v>
      </c>
      <c r="O637" s="15">
        <f t="shared" si="136"/>
        <v>17401.241506191713</v>
      </c>
      <c r="P637" s="16">
        <f>SUM($H$3:H637)</f>
        <v>118340140</v>
      </c>
      <c r="Q637" s="2">
        <f>SUM($I$3:I637)</f>
        <v>6266</v>
      </c>
    </row>
    <row r="638" spans="1:17" x14ac:dyDescent="0.3">
      <c r="A638" s="7">
        <f t="shared" si="126"/>
        <v>636</v>
      </c>
      <c r="B638" s="2">
        <f t="shared" si="126"/>
        <v>986</v>
      </c>
      <c r="C638" s="14">
        <f t="shared" si="130"/>
        <v>10844.06008788657</v>
      </c>
      <c r="D638" s="14">
        <f t="shared" si="131"/>
        <v>17459.370909560024</v>
      </c>
      <c r="E638" s="2">
        <v>1</v>
      </c>
      <c r="F638" s="2">
        <f t="shared" si="127"/>
        <v>5.6000000000000023</v>
      </c>
      <c r="G638" s="17">
        <f t="shared" si="129"/>
        <v>0.24226666666666669</v>
      </c>
      <c r="H638" s="8">
        <f t="shared" si="132"/>
        <v>529380</v>
      </c>
      <c r="I638" s="9">
        <f t="shared" si="128"/>
        <v>22</v>
      </c>
      <c r="L638" s="2">
        <f t="shared" si="133"/>
        <v>529380</v>
      </c>
      <c r="M638" s="2">
        <f t="shared" si="134"/>
        <v>986</v>
      </c>
      <c r="N638" s="15">
        <f t="shared" si="135"/>
        <v>10844.06008788657</v>
      </c>
      <c r="O638" s="15">
        <f t="shared" si="136"/>
        <v>17459.370909560024</v>
      </c>
      <c r="P638" s="16">
        <f>SUM($H$3:H638)</f>
        <v>118869520</v>
      </c>
      <c r="Q638" s="2">
        <f>SUM($I$3:I638)</f>
        <v>6288</v>
      </c>
    </row>
    <row r="639" spans="1:17" x14ac:dyDescent="0.3">
      <c r="A639" s="7">
        <f t="shared" si="126"/>
        <v>637</v>
      </c>
      <c r="B639" s="2">
        <f t="shared" si="126"/>
        <v>987</v>
      </c>
      <c r="C639" s="14">
        <f t="shared" si="130"/>
        <v>10880.65689681094</v>
      </c>
      <c r="D639" s="14">
        <f t="shared" si="131"/>
        <v>17517.569555888636</v>
      </c>
      <c r="E639" s="2">
        <v>1</v>
      </c>
      <c r="F639" s="2">
        <f t="shared" si="127"/>
        <v>5.6000000000000023</v>
      </c>
      <c r="G639" s="17">
        <f t="shared" si="129"/>
        <v>0.24270000000000003</v>
      </c>
      <c r="H639" s="8">
        <f t="shared" si="132"/>
        <v>530910</v>
      </c>
      <c r="I639" s="9">
        <f t="shared" si="128"/>
        <v>22</v>
      </c>
      <c r="L639" s="2">
        <f t="shared" si="133"/>
        <v>530910</v>
      </c>
      <c r="M639" s="2">
        <f t="shared" si="134"/>
        <v>987</v>
      </c>
      <c r="N639" s="15">
        <f t="shared" si="135"/>
        <v>10880.65689681094</v>
      </c>
      <c r="O639" s="15">
        <f t="shared" si="136"/>
        <v>17517.569555888636</v>
      </c>
      <c r="P639" s="16">
        <f>SUM($H$3:H639)</f>
        <v>119400430</v>
      </c>
      <c r="Q639" s="2">
        <f>SUM($I$3:I639)</f>
        <v>6310</v>
      </c>
    </row>
    <row r="640" spans="1:17" x14ac:dyDescent="0.3">
      <c r="A640" s="7">
        <f t="shared" si="126"/>
        <v>638</v>
      </c>
      <c r="B640" s="2">
        <f t="shared" si="126"/>
        <v>988</v>
      </c>
      <c r="C640" s="14">
        <f t="shared" si="130"/>
        <v>10917.275431384591</v>
      </c>
      <c r="D640" s="14">
        <f t="shared" si="131"/>
        <v>17575.837321822779</v>
      </c>
      <c r="E640" s="2">
        <v>1</v>
      </c>
      <c r="F640" s="2">
        <f t="shared" si="127"/>
        <v>5.6000000000000023</v>
      </c>
      <c r="G640" s="17">
        <f t="shared" si="129"/>
        <v>0.24313333333333334</v>
      </c>
      <c r="H640" s="8">
        <f t="shared" si="132"/>
        <v>532440</v>
      </c>
      <c r="I640" s="9">
        <f t="shared" si="128"/>
        <v>22</v>
      </c>
      <c r="L640" s="2">
        <f t="shared" si="133"/>
        <v>532440</v>
      </c>
      <c r="M640" s="2">
        <f t="shared" si="134"/>
        <v>988</v>
      </c>
      <c r="N640" s="15">
        <f t="shared" si="135"/>
        <v>10917.275431384591</v>
      </c>
      <c r="O640" s="15">
        <f t="shared" si="136"/>
        <v>17575.837321822779</v>
      </c>
      <c r="P640" s="16">
        <f>SUM($H$3:H640)</f>
        <v>119932870</v>
      </c>
      <c r="Q640" s="2">
        <f>SUM($I$3:I640)</f>
        <v>6332</v>
      </c>
    </row>
    <row r="641" spans="1:17" x14ac:dyDescent="0.3">
      <c r="A641" s="7">
        <f t="shared" si="126"/>
        <v>639</v>
      </c>
      <c r="B641" s="2">
        <f t="shared" si="126"/>
        <v>989</v>
      </c>
      <c r="C641" s="14">
        <f t="shared" si="130"/>
        <v>10953.915640170484</v>
      </c>
      <c r="D641" s="14">
        <f t="shared" si="131"/>
        <v>17634.174084591948</v>
      </c>
      <c r="E641" s="2">
        <v>1</v>
      </c>
      <c r="F641" s="2">
        <f t="shared" si="127"/>
        <v>5.6000000000000023</v>
      </c>
      <c r="G641" s="17">
        <f t="shared" si="129"/>
        <v>0.24356666666666668</v>
      </c>
      <c r="H641" s="8">
        <f t="shared" si="132"/>
        <v>533970</v>
      </c>
      <c r="I641" s="9">
        <f t="shared" si="128"/>
        <v>22</v>
      </c>
      <c r="L641" s="2">
        <f t="shared" si="133"/>
        <v>533970</v>
      </c>
      <c r="M641" s="2">
        <f t="shared" si="134"/>
        <v>989</v>
      </c>
      <c r="N641" s="15">
        <f t="shared" si="135"/>
        <v>10953.915640170484</v>
      </c>
      <c r="O641" s="15">
        <f t="shared" si="136"/>
        <v>17634.174084591948</v>
      </c>
      <c r="P641" s="16">
        <f>SUM($H$3:H641)</f>
        <v>120466840</v>
      </c>
      <c r="Q641" s="2">
        <f>SUM($I$3:I641)</f>
        <v>6354</v>
      </c>
    </row>
    <row r="642" spans="1:17" x14ac:dyDescent="0.3">
      <c r="A642" s="7">
        <f t="shared" si="126"/>
        <v>640</v>
      </c>
      <c r="B642" s="2">
        <f t="shared" si="126"/>
        <v>990</v>
      </c>
      <c r="C642" s="14">
        <f t="shared" si="130"/>
        <v>10990.577472004823</v>
      </c>
      <c r="D642" s="14">
        <f t="shared" si="131"/>
        <v>17692.579722005437</v>
      </c>
      <c r="E642" s="2">
        <v>1</v>
      </c>
      <c r="F642" s="2">
        <f t="shared" si="127"/>
        <v>5.8000000000000025</v>
      </c>
      <c r="G642" s="17">
        <f t="shared" si="129"/>
        <v>0.24399999999999999</v>
      </c>
      <c r="H642" s="8">
        <f t="shared" si="132"/>
        <v>535500</v>
      </c>
      <c r="I642" s="9">
        <f t="shared" si="128"/>
        <v>22</v>
      </c>
      <c r="L642" s="2">
        <f t="shared" si="133"/>
        <v>535500</v>
      </c>
      <c r="M642" s="2">
        <f t="shared" si="134"/>
        <v>990</v>
      </c>
      <c r="N642" s="15">
        <f t="shared" si="135"/>
        <v>10990.577472004823</v>
      </c>
      <c r="O642" s="15">
        <f t="shared" si="136"/>
        <v>17692.579722005437</v>
      </c>
      <c r="P642" s="16">
        <f>SUM($H$3:H642)</f>
        <v>121002340</v>
      </c>
      <c r="Q642" s="2">
        <f>SUM($I$3:I642)</f>
        <v>6376</v>
      </c>
    </row>
    <row r="643" spans="1:17" x14ac:dyDescent="0.3">
      <c r="A643" s="7">
        <f t="shared" si="126"/>
        <v>641</v>
      </c>
      <c r="B643" s="2">
        <f t="shared" si="126"/>
        <v>991</v>
      </c>
      <c r="C643" s="14">
        <f t="shared" si="130"/>
        <v>11027.260875994692</v>
      </c>
      <c r="D643" s="14">
        <f t="shared" si="131"/>
        <v>17751.054112447826</v>
      </c>
      <c r="E643" s="2">
        <v>1</v>
      </c>
      <c r="F643" s="2">
        <f t="shared" si="127"/>
        <v>5.8000000000000025</v>
      </c>
      <c r="G643" s="17">
        <f t="shared" si="129"/>
        <v>0.24443333333333336</v>
      </c>
      <c r="H643" s="8">
        <f t="shared" si="132"/>
        <v>537030</v>
      </c>
      <c r="I643" s="9">
        <f t="shared" si="128"/>
        <v>22</v>
      </c>
      <c r="L643" s="2">
        <f t="shared" si="133"/>
        <v>537030</v>
      </c>
      <c r="M643" s="2">
        <f t="shared" si="134"/>
        <v>991</v>
      </c>
      <c r="N643" s="15">
        <f t="shared" si="135"/>
        <v>11027.260875994692</v>
      </c>
      <c r="O643" s="15">
        <f t="shared" si="136"/>
        <v>17751.054112447826</v>
      </c>
      <c r="P643" s="16">
        <f>SUM($H$3:H643)</f>
        <v>121539370</v>
      </c>
      <c r="Q643" s="2">
        <f>SUM($I$3:I643)</f>
        <v>6398</v>
      </c>
    </row>
    <row r="644" spans="1:17" x14ac:dyDescent="0.3">
      <c r="A644" s="7">
        <f t="shared" si="126"/>
        <v>642</v>
      </c>
      <c r="B644" s="2">
        <f t="shared" si="126"/>
        <v>992</v>
      </c>
      <c r="C644" s="14">
        <f t="shared" si="130"/>
        <v>11063.965801515975</v>
      </c>
      <c r="D644" s="14">
        <f t="shared" si="131"/>
        <v>17809.597134874741</v>
      </c>
      <c r="E644" s="2">
        <v>1</v>
      </c>
      <c r="F644" s="2">
        <f t="shared" si="127"/>
        <v>5.8000000000000025</v>
      </c>
      <c r="G644" s="17">
        <f t="shared" si="129"/>
        <v>0.24486666666666668</v>
      </c>
      <c r="H644" s="8">
        <f t="shared" si="132"/>
        <v>538560</v>
      </c>
      <c r="I644" s="9">
        <f t="shared" si="128"/>
        <v>22</v>
      </c>
      <c r="L644" s="2">
        <f t="shared" si="133"/>
        <v>538560</v>
      </c>
      <c r="M644" s="2">
        <f t="shared" si="134"/>
        <v>992</v>
      </c>
      <c r="N644" s="15">
        <f t="shared" si="135"/>
        <v>11063.965801515975</v>
      </c>
      <c r="O644" s="15">
        <f t="shared" si="136"/>
        <v>17809.597134874741</v>
      </c>
      <c r="P644" s="16">
        <f>SUM($H$3:H644)</f>
        <v>122077930</v>
      </c>
      <c r="Q644" s="2">
        <f>SUM($I$3:I644)</f>
        <v>6420</v>
      </c>
    </row>
    <row r="645" spans="1:17" x14ac:dyDescent="0.3">
      <c r="A645" s="7">
        <f t="shared" ref="A645:B708" si="137">A644+1</f>
        <v>643</v>
      </c>
      <c r="B645" s="2">
        <f t="shared" si="137"/>
        <v>993</v>
      </c>
      <c r="C645" s="14">
        <f t="shared" si="130"/>
        <v>11100.69219821102</v>
      </c>
      <c r="D645" s="14">
        <f t="shared" si="131"/>
        <v>17868.20866880842</v>
      </c>
      <c r="E645" s="2">
        <v>1</v>
      </c>
      <c r="F645" s="2">
        <f t="shared" si="127"/>
        <v>5.8000000000000025</v>
      </c>
      <c r="G645" s="17">
        <f t="shared" si="129"/>
        <v>0.24530000000000002</v>
      </c>
      <c r="H645" s="8">
        <f t="shared" si="132"/>
        <v>540090</v>
      </c>
      <c r="I645" s="9">
        <f t="shared" si="128"/>
        <v>22</v>
      </c>
      <c r="L645" s="2">
        <f t="shared" si="133"/>
        <v>540090</v>
      </c>
      <c r="M645" s="2">
        <f t="shared" si="134"/>
        <v>993</v>
      </c>
      <c r="N645" s="15">
        <f t="shared" si="135"/>
        <v>11100.69219821102</v>
      </c>
      <c r="O645" s="15">
        <f t="shared" si="136"/>
        <v>17868.20866880842</v>
      </c>
      <c r="P645" s="16">
        <f>SUM($H$3:H645)</f>
        <v>122618020</v>
      </c>
      <c r="Q645" s="2">
        <f>SUM($I$3:I645)</f>
        <v>6442</v>
      </c>
    </row>
    <row r="646" spans="1:17" x14ac:dyDescent="0.3">
      <c r="A646" s="7">
        <f t="shared" si="137"/>
        <v>644</v>
      </c>
      <c r="B646" s="2">
        <f t="shared" si="137"/>
        <v>994</v>
      </c>
      <c r="C646" s="14">
        <f t="shared" si="130"/>
        <v>11137.440015986556</v>
      </c>
      <c r="D646" s="14">
        <f t="shared" si="131"/>
        <v>17926.888594333424</v>
      </c>
      <c r="E646" s="2">
        <v>1</v>
      </c>
      <c r="F646" s="2">
        <f t="shared" si="127"/>
        <v>5.8000000000000025</v>
      </c>
      <c r="G646" s="17">
        <f t="shared" si="129"/>
        <v>0.24573333333333333</v>
      </c>
      <c r="H646" s="8">
        <f t="shared" si="132"/>
        <v>541620</v>
      </c>
      <c r="I646" s="9">
        <f t="shared" si="128"/>
        <v>22</v>
      </c>
      <c r="L646" s="2">
        <f t="shared" si="133"/>
        <v>541620</v>
      </c>
      <c r="M646" s="2">
        <f t="shared" si="134"/>
        <v>994</v>
      </c>
      <c r="N646" s="15">
        <f t="shared" si="135"/>
        <v>11137.440015986556</v>
      </c>
      <c r="O646" s="15">
        <f t="shared" si="136"/>
        <v>17926.888594333424</v>
      </c>
      <c r="P646" s="16">
        <f>SUM($H$3:H646)</f>
        <v>123159640</v>
      </c>
      <c r="Q646" s="2">
        <f>SUM($I$3:I646)</f>
        <v>6464</v>
      </c>
    </row>
    <row r="647" spans="1:17" x14ac:dyDescent="0.3">
      <c r="A647" s="7">
        <f t="shared" si="137"/>
        <v>645</v>
      </c>
      <c r="B647" s="2">
        <f t="shared" si="137"/>
        <v>995</v>
      </c>
      <c r="C647" s="14">
        <f t="shared" si="130"/>
        <v>11174.209205011504</v>
      </c>
      <c r="D647" s="14">
        <f t="shared" si="131"/>
        <v>17985.636792092388</v>
      </c>
      <c r="E647" s="2">
        <v>1</v>
      </c>
      <c r="F647" s="2">
        <f t="shared" si="127"/>
        <v>5.8000000000000025</v>
      </c>
      <c r="G647" s="17">
        <f t="shared" si="129"/>
        <v>0.2461666666666667</v>
      </c>
      <c r="H647" s="8">
        <f t="shared" si="132"/>
        <v>543150</v>
      </c>
      <c r="I647" s="9">
        <f t="shared" si="128"/>
        <v>22</v>
      </c>
      <c r="L647" s="2">
        <f t="shared" si="133"/>
        <v>543150</v>
      </c>
      <c r="M647" s="2">
        <f t="shared" si="134"/>
        <v>995</v>
      </c>
      <c r="N647" s="15">
        <f t="shared" si="135"/>
        <v>11174.209205011504</v>
      </c>
      <c r="O647" s="15">
        <f t="shared" si="136"/>
        <v>17985.636792092388</v>
      </c>
      <c r="P647" s="16">
        <f>SUM($H$3:H647)</f>
        <v>123702790</v>
      </c>
      <c r="Q647" s="2">
        <f>SUM($I$3:I647)</f>
        <v>6486</v>
      </c>
    </row>
    <row r="648" spans="1:17" x14ac:dyDescent="0.3">
      <c r="A648" s="7">
        <f t="shared" si="137"/>
        <v>646</v>
      </c>
      <c r="B648" s="2">
        <f t="shared" si="137"/>
        <v>996</v>
      </c>
      <c r="C648" s="14">
        <f t="shared" si="130"/>
        <v>11210.999715714799</v>
      </c>
      <c r="D648" s="14">
        <f t="shared" si="131"/>
        <v>18044.453143281738</v>
      </c>
      <c r="E648" s="2">
        <v>1</v>
      </c>
      <c r="F648" s="2">
        <f t="shared" si="127"/>
        <v>5.8000000000000025</v>
      </c>
      <c r="G648" s="17">
        <f t="shared" si="129"/>
        <v>0.24660000000000001</v>
      </c>
      <c r="H648" s="8">
        <f t="shared" si="132"/>
        <v>544680</v>
      </c>
      <c r="I648" s="9">
        <f t="shared" si="128"/>
        <v>22</v>
      </c>
      <c r="L648" s="2">
        <f t="shared" si="133"/>
        <v>544680</v>
      </c>
      <c r="M648" s="2">
        <f t="shared" si="134"/>
        <v>996</v>
      </c>
      <c r="N648" s="15">
        <f t="shared" si="135"/>
        <v>11210.999715714799</v>
      </c>
      <c r="O648" s="15">
        <f t="shared" si="136"/>
        <v>18044.453143281738</v>
      </c>
      <c r="P648" s="16">
        <f>SUM($H$3:H648)</f>
        <v>124247470</v>
      </c>
      <c r="Q648" s="2">
        <f>SUM($I$3:I648)</f>
        <v>6508</v>
      </c>
    </row>
    <row r="649" spans="1:17" x14ac:dyDescent="0.3">
      <c r="A649" s="7">
        <f t="shared" si="137"/>
        <v>647</v>
      </c>
      <c r="B649" s="2">
        <f t="shared" si="137"/>
        <v>997</v>
      </c>
      <c r="C649" s="14">
        <f t="shared" si="130"/>
        <v>11247.8114987834</v>
      </c>
      <c r="D649" s="14">
        <f t="shared" si="131"/>
        <v>18103.337529647673</v>
      </c>
      <c r="E649" s="2">
        <v>1</v>
      </c>
      <c r="F649" s="2">
        <f t="shared" si="127"/>
        <v>5.8000000000000025</v>
      </c>
      <c r="G649" s="17">
        <f t="shared" si="129"/>
        <v>0.24703333333333335</v>
      </c>
      <c r="H649" s="8">
        <f t="shared" si="132"/>
        <v>546210</v>
      </c>
      <c r="I649" s="9">
        <f t="shared" si="128"/>
        <v>22</v>
      </c>
      <c r="L649" s="2">
        <f t="shared" si="133"/>
        <v>546210</v>
      </c>
      <c r="M649" s="2">
        <f t="shared" si="134"/>
        <v>997</v>
      </c>
      <c r="N649" s="15">
        <f t="shared" si="135"/>
        <v>11247.8114987834</v>
      </c>
      <c r="O649" s="15">
        <f t="shared" si="136"/>
        <v>18103.337529647673</v>
      </c>
      <c r="P649" s="16">
        <f>SUM($H$3:H649)</f>
        <v>124793680</v>
      </c>
      <c r="Q649" s="2">
        <f>SUM($I$3:I649)</f>
        <v>6530</v>
      </c>
    </row>
    <row r="650" spans="1:17" x14ac:dyDescent="0.3">
      <c r="A650" s="7">
        <f t="shared" si="137"/>
        <v>648</v>
      </c>
      <c r="B650" s="2">
        <f t="shared" si="137"/>
        <v>998</v>
      </c>
      <c r="C650" s="14">
        <f t="shared" si="130"/>
        <v>11284.644505160119</v>
      </c>
      <c r="D650" s="14">
        <f t="shared" si="131"/>
        <v>18162.289833482042</v>
      </c>
      <c r="E650" s="2">
        <v>1</v>
      </c>
      <c r="F650" s="2">
        <f t="shared" si="127"/>
        <v>5.8000000000000025</v>
      </c>
      <c r="G650" s="17">
        <f t="shared" si="129"/>
        <v>0.24746666666666667</v>
      </c>
      <c r="H650" s="8">
        <f t="shared" si="132"/>
        <v>547740</v>
      </c>
      <c r="I650" s="9">
        <f t="shared" si="128"/>
        <v>22</v>
      </c>
      <c r="L650" s="2">
        <f t="shared" si="133"/>
        <v>547740</v>
      </c>
      <c r="M650" s="2">
        <f t="shared" si="134"/>
        <v>998</v>
      </c>
      <c r="N650" s="15">
        <f t="shared" si="135"/>
        <v>11284.644505160119</v>
      </c>
      <c r="O650" s="15">
        <f t="shared" si="136"/>
        <v>18162.289833482042</v>
      </c>
      <c r="P650" s="16">
        <f>SUM($H$3:H650)</f>
        <v>125341420</v>
      </c>
      <c r="Q650" s="2">
        <f>SUM($I$3:I650)</f>
        <v>6552</v>
      </c>
    </row>
    <row r="651" spans="1:17" x14ac:dyDescent="0.3">
      <c r="A651" s="7">
        <f t="shared" si="137"/>
        <v>649</v>
      </c>
      <c r="B651" s="2">
        <f t="shared" si="137"/>
        <v>999</v>
      </c>
      <c r="C651" s="14">
        <f t="shared" si="130"/>
        <v>11321.498686041568</v>
      </c>
      <c r="D651" s="14">
        <f t="shared" si="131"/>
        <v>18221.309937618014</v>
      </c>
      <c r="E651" s="2">
        <v>1</v>
      </c>
      <c r="F651" s="2">
        <f t="shared" ref="F651:F714" si="138">F631+0.2</f>
        <v>5.8000000000000025</v>
      </c>
      <c r="G651" s="17">
        <f t="shared" si="129"/>
        <v>0.24790000000000004</v>
      </c>
      <c r="H651" s="8">
        <f t="shared" si="132"/>
        <v>549270</v>
      </c>
      <c r="I651" s="9">
        <f t="shared" si="128"/>
        <v>22</v>
      </c>
      <c r="L651" s="2">
        <f t="shared" si="133"/>
        <v>549270</v>
      </c>
      <c r="M651" s="2">
        <f t="shared" si="134"/>
        <v>999</v>
      </c>
      <c r="N651" s="15">
        <f t="shared" si="135"/>
        <v>11321.498686041568</v>
      </c>
      <c r="O651" s="15">
        <f t="shared" si="136"/>
        <v>18221.309937618014</v>
      </c>
      <c r="P651" s="16">
        <f>SUM($H$3:H651)</f>
        <v>125890690</v>
      </c>
      <c r="Q651" s="2">
        <f>SUM($I$3:I651)</f>
        <v>6574</v>
      </c>
    </row>
    <row r="652" spans="1:17" x14ac:dyDescent="0.3">
      <c r="A652" s="7">
        <f t="shared" si="137"/>
        <v>650</v>
      </c>
      <c r="B652" s="2">
        <f t="shared" si="137"/>
        <v>1000</v>
      </c>
      <c r="C652" s="14">
        <f t="shared" si="130"/>
        <v>11358.373992876173</v>
      </c>
      <c r="D652" s="14">
        <f t="shared" si="131"/>
        <v>18280.397725426374</v>
      </c>
      <c r="E652" s="2">
        <v>1</v>
      </c>
      <c r="F652" s="2">
        <f t="shared" si="138"/>
        <v>5.8000000000000025</v>
      </c>
      <c r="G652" s="17">
        <f t="shared" si="129"/>
        <v>0.24833333333333335</v>
      </c>
      <c r="H652" s="8">
        <f t="shared" si="132"/>
        <v>550800</v>
      </c>
      <c r="I652" s="9">
        <f t="shared" si="128"/>
        <v>23</v>
      </c>
      <c r="L652" s="2">
        <f t="shared" si="133"/>
        <v>550800</v>
      </c>
      <c r="M652" s="2">
        <f t="shared" si="134"/>
        <v>1000</v>
      </c>
      <c r="N652" s="15">
        <f t="shared" si="135"/>
        <v>11358.373992876173</v>
      </c>
      <c r="O652" s="15">
        <f t="shared" si="136"/>
        <v>18280.397725426374</v>
      </c>
      <c r="P652" s="16">
        <f>SUM($H$3:H652)</f>
        <v>126441490</v>
      </c>
      <c r="Q652" s="2">
        <f>SUM($I$3:I652)</f>
        <v>6597</v>
      </c>
    </row>
    <row r="653" spans="1:17" x14ac:dyDescent="0.3">
      <c r="A653" s="7">
        <f t="shared" si="137"/>
        <v>651</v>
      </c>
      <c r="B653" s="2">
        <f t="shared" si="137"/>
        <v>1001</v>
      </c>
      <c r="C653" s="14">
        <f t="shared" si="130"/>
        <v>11395.270377362103</v>
      </c>
      <c r="D653" s="14">
        <f t="shared" si="131"/>
        <v>18339.553080811329</v>
      </c>
      <c r="E653" s="2">
        <v>1</v>
      </c>
      <c r="F653" s="2">
        <f t="shared" si="138"/>
        <v>5.8000000000000025</v>
      </c>
      <c r="G653" s="17">
        <f t="shared" si="129"/>
        <v>0.24876666666666669</v>
      </c>
      <c r="H653" s="8">
        <f t="shared" si="132"/>
        <v>552330</v>
      </c>
      <c r="I653" s="9">
        <f t="shared" si="128"/>
        <v>23</v>
      </c>
      <c r="L653" s="2">
        <f t="shared" si="133"/>
        <v>552330</v>
      </c>
      <c r="M653" s="2">
        <f t="shared" si="134"/>
        <v>1001</v>
      </c>
      <c r="N653" s="15">
        <f t="shared" si="135"/>
        <v>11395.270377362103</v>
      </c>
      <c r="O653" s="15">
        <f t="shared" si="136"/>
        <v>18339.553080811329</v>
      </c>
      <c r="P653" s="16">
        <f>SUM($H$3:H653)</f>
        <v>126993820</v>
      </c>
      <c r="Q653" s="2">
        <f>SUM($I$3:I653)</f>
        <v>6620</v>
      </c>
    </row>
    <row r="654" spans="1:17" x14ac:dyDescent="0.3">
      <c r="A654" s="7">
        <f t="shared" si="137"/>
        <v>652</v>
      </c>
      <c r="B654" s="2">
        <f t="shared" si="137"/>
        <v>1002</v>
      </c>
      <c r="C654" s="14">
        <f t="shared" si="130"/>
        <v>11432.187791445316</v>
      </c>
      <c r="D654" s="14">
        <f t="shared" si="131"/>
        <v>18398.775888206597</v>
      </c>
      <c r="E654" s="2">
        <v>1</v>
      </c>
      <c r="F654" s="2">
        <f t="shared" si="138"/>
        <v>5.8000000000000025</v>
      </c>
      <c r="G654" s="17">
        <f t="shared" si="129"/>
        <v>0.2492</v>
      </c>
      <c r="H654" s="8">
        <f t="shared" si="132"/>
        <v>553860</v>
      </c>
      <c r="I654" s="9">
        <f t="shared" si="128"/>
        <v>23</v>
      </c>
      <c r="L654" s="2">
        <f t="shared" si="133"/>
        <v>553860</v>
      </c>
      <c r="M654" s="2">
        <f t="shared" si="134"/>
        <v>1002</v>
      </c>
      <c r="N654" s="15">
        <f t="shared" si="135"/>
        <v>11432.187791445316</v>
      </c>
      <c r="O654" s="15">
        <f t="shared" si="136"/>
        <v>18398.775888206597</v>
      </c>
      <c r="P654" s="16">
        <f>SUM($H$3:H654)</f>
        <v>127547680</v>
      </c>
      <c r="Q654" s="2">
        <f>SUM($I$3:I654)</f>
        <v>6643</v>
      </c>
    </row>
    <row r="655" spans="1:17" x14ac:dyDescent="0.3">
      <c r="A655" s="7">
        <f t="shared" si="137"/>
        <v>653</v>
      </c>
      <c r="B655" s="2">
        <f t="shared" si="137"/>
        <v>1003</v>
      </c>
      <c r="C655" s="14">
        <f t="shared" si="130"/>
        <v>11469.126187317555</v>
      </c>
      <c r="D655" s="14">
        <f t="shared" si="131"/>
        <v>18458.066032571471</v>
      </c>
      <c r="E655" s="2">
        <v>1</v>
      </c>
      <c r="F655" s="2">
        <f t="shared" si="138"/>
        <v>5.8000000000000025</v>
      </c>
      <c r="G655" s="17">
        <f t="shared" si="129"/>
        <v>0.24963333333333337</v>
      </c>
      <c r="H655" s="8">
        <f t="shared" si="132"/>
        <v>555390</v>
      </c>
      <c r="I655" s="9">
        <f t="shared" si="128"/>
        <v>23</v>
      </c>
      <c r="L655" s="2">
        <f t="shared" si="133"/>
        <v>555390</v>
      </c>
      <c r="M655" s="2">
        <f t="shared" si="134"/>
        <v>1003</v>
      </c>
      <c r="N655" s="15">
        <f t="shared" si="135"/>
        <v>11469.126187317555</v>
      </c>
      <c r="O655" s="15">
        <f t="shared" si="136"/>
        <v>18458.066032571471</v>
      </c>
      <c r="P655" s="16">
        <f>SUM($H$3:H655)</f>
        <v>128103070</v>
      </c>
      <c r="Q655" s="2">
        <f>SUM($I$3:I655)</f>
        <v>6666</v>
      </c>
    </row>
    <row r="656" spans="1:17" x14ac:dyDescent="0.3">
      <c r="A656" s="7">
        <f t="shared" si="137"/>
        <v>654</v>
      </c>
      <c r="B656" s="2">
        <f t="shared" si="137"/>
        <v>1004</v>
      </c>
      <c r="C656" s="14">
        <f t="shared" si="130"/>
        <v>11506.085517414431</v>
      </c>
      <c r="D656" s="14">
        <f t="shared" si="131"/>
        <v>18517.423399387048</v>
      </c>
      <c r="E656" s="2">
        <v>1</v>
      </c>
      <c r="F656" s="2">
        <f t="shared" si="138"/>
        <v>5.8000000000000025</v>
      </c>
      <c r="G656" s="17">
        <f t="shared" si="129"/>
        <v>0.25006666666666666</v>
      </c>
      <c r="H656" s="8">
        <f t="shared" si="132"/>
        <v>556920</v>
      </c>
      <c r="I656" s="9">
        <f t="shared" si="128"/>
        <v>23</v>
      </c>
      <c r="L656" s="2">
        <f t="shared" si="133"/>
        <v>556920</v>
      </c>
      <c r="M656" s="2">
        <f t="shared" si="134"/>
        <v>1004</v>
      </c>
      <c r="N656" s="15">
        <f t="shared" si="135"/>
        <v>11506.085517414431</v>
      </c>
      <c r="O656" s="15">
        <f t="shared" si="136"/>
        <v>18517.423399387048</v>
      </c>
      <c r="P656" s="16">
        <f>SUM($H$3:H656)</f>
        <v>128659990</v>
      </c>
      <c r="Q656" s="2">
        <f>SUM($I$3:I656)</f>
        <v>6689</v>
      </c>
    </row>
    <row r="657" spans="1:17" x14ac:dyDescent="0.3">
      <c r="A657" s="7">
        <f t="shared" si="137"/>
        <v>655</v>
      </c>
      <c r="B657" s="2">
        <f t="shared" si="137"/>
        <v>1005</v>
      </c>
      <c r="C657" s="14">
        <f t="shared" si="130"/>
        <v>11543.065734413465</v>
      </c>
      <c r="D657" s="14">
        <f t="shared" si="131"/>
        <v>18576.847874652223</v>
      </c>
      <c r="E657" s="2">
        <v>1</v>
      </c>
      <c r="F657" s="2">
        <f t="shared" si="138"/>
        <v>5.8000000000000025</v>
      </c>
      <c r="G657" s="17">
        <f t="shared" si="129"/>
        <v>0.2505</v>
      </c>
      <c r="H657" s="8">
        <f t="shared" si="132"/>
        <v>558450</v>
      </c>
      <c r="I657" s="9">
        <f t="shared" si="128"/>
        <v>23</v>
      </c>
      <c r="L657" s="2">
        <f t="shared" si="133"/>
        <v>558450</v>
      </c>
      <c r="M657" s="2">
        <f t="shared" si="134"/>
        <v>1005</v>
      </c>
      <c r="N657" s="15">
        <f t="shared" si="135"/>
        <v>11543.065734413465</v>
      </c>
      <c r="O657" s="15">
        <f t="shared" si="136"/>
        <v>18576.847874652223</v>
      </c>
      <c r="P657" s="16">
        <f>SUM($H$3:H657)</f>
        <v>129218440</v>
      </c>
      <c r="Q657" s="2">
        <f>SUM($I$3:I657)</f>
        <v>6712</v>
      </c>
    </row>
    <row r="658" spans="1:17" x14ac:dyDescent="0.3">
      <c r="A658" s="7">
        <f t="shared" si="137"/>
        <v>656</v>
      </c>
      <c r="B658" s="2">
        <f t="shared" si="137"/>
        <v>1006</v>
      </c>
      <c r="C658" s="14">
        <f t="shared" si="130"/>
        <v>11580.066791232188</v>
      </c>
      <c r="D658" s="14">
        <f t="shared" si="131"/>
        <v>18636.339344880063</v>
      </c>
      <c r="E658" s="2">
        <v>1</v>
      </c>
      <c r="F658" s="2">
        <f t="shared" si="138"/>
        <v>5.8000000000000025</v>
      </c>
      <c r="G658" s="17">
        <f t="shared" si="129"/>
        <v>0.25093333333333334</v>
      </c>
      <c r="H658" s="8">
        <f t="shared" si="132"/>
        <v>559980</v>
      </c>
      <c r="I658" s="9">
        <f t="shared" si="128"/>
        <v>23</v>
      </c>
      <c r="L658" s="2">
        <f t="shared" si="133"/>
        <v>559980</v>
      </c>
      <c r="M658" s="2">
        <f t="shared" si="134"/>
        <v>1006</v>
      </c>
      <c r="N658" s="15">
        <f t="shared" si="135"/>
        <v>11580.066791232188</v>
      </c>
      <c r="O658" s="15">
        <f t="shared" si="136"/>
        <v>18636.339344880063</v>
      </c>
      <c r="P658" s="16">
        <f>SUM($H$3:H658)</f>
        <v>129778420</v>
      </c>
      <c r="Q658" s="2">
        <f>SUM($I$3:I658)</f>
        <v>6735</v>
      </c>
    </row>
    <row r="659" spans="1:17" x14ac:dyDescent="0.3">
      <c r="A659" s="7">
        <f t="shared" si="137"/>
        <v>657</v>
      </c>
      <c r="B659" s="2">
        <f t="shared" si="137"/>
        <v>1007</v>
      </c>
      <c r="C659" s="14">
        <f t="shared" si="130"/>
        <v>11617.088641026257</v>
      </c>
      <c r="D659" s="14">
        <f t="shared" si="131"/>
        <v>18695.89769709394</v>
      </c>
      <c r="E659" s="2">
        <v>1</v>
      </c>
      <c r="F659" s="2">
        <f t="shared" si="138"/>
        <v>5.8000000000000025</v>
      </c>
      <c r="G659" s="17">
        <f t="shared" si="129"/>
        <v>0.25136666666666668</v>
      </c>
      <c r="H659" s="8">
        <f t="shared" si="132"/>
        <v>561510</v>
      </c>
      <c r="I659" s="9">
        <f t="shared" si="128"/>
        <v>23</v>
      </c>
      <c r="L659" s="2">
        <f t="shared" si="133"/>
        <v>561510</v>
      </c>
      <c r="M659" s="2">
        <f t="shared" si="134"/>
        <v>1007</v>
      </c>
      <c r="N659" s="15">
        <f t="shared" si="135"/>
        <v>11617.088641026257</v>
      </c>
      <c r="O659" s="15">
        <f t="shared" si="136"/>
        <v>18695.89769709394</v>
      </c>
      <c r="P659" s="16">
        <f>SUM($H$3:H659)</f>
        <v>130339930</v>
      </c>
      <c r="Q659" s="2">
        <f>SUM($I$3:I659)</f>
        <v>6758</v>
      </c>
    </row>
    <row r="660" spans="1:17" x14ac:dyDescent="0.3">
      <c r="A660" s="7">
        <f t="shared" si="137"/>
        <v>658</v>
      </c>
      <c r="B660" s="2">
        <f t="shared" si="137"/>
        <v>1008</v>
      </c>
      <c r="C660" s="14">
        <f t="shared" si="130"/>
        <v>11654.131237187627</v>
      </c>
      <c r="D660" s="14">
        <f t="shared" si="131"/>
        <v>18755.522818823887</v>
      </c>
      <c r="E660" s="2">
        <v>1</v>
      </c>
      <c r="F660" s="2">
        <f t="shared" si="138"/>
        <v>5.8000000000000025</v>
      </c>
      <c r="G660" s="17">
        <f t="shared" si="129"/>
        <v>0.25180000000000002</v>
      </c>
      <c r="H660" s="8">
        <f t="shared" si="132"/>
        <v>563040</v>
      </c>
      <c r="I660" s="9">
        <f t="shared" si="128"/>
        <v>23</v>
      </c>
      <c r="L660" s="2">
        <f t="shared" si="133"/>
        <v>563040</v>
      </c>
      <c r="M660" s="2">
        <f t="shared" si="134"/>
        <v>1008</v>
      </c>
      <c r="N660" s="15">
        <f t="shared" si="135"/>
        <v>11654.131237187627</v>
      </c>
      <c r="O660" s="15">
        <f t="shared" si="136"/>
        <v>18755.522818823887</v>
      </c>
      <c r="P660" s="16">
        <f>SUM($H$3:H660)</f>
        <v>130902970</v>
      </c>
      <c r="Q660" s="2">
        <f>SUM($I$3:I660)</f>
        <v>6781</v>
      </c>
    </row>
    <row r="661" spans="1:17" x14ac:dyDescent="0.3">
      <c r="A661" s="7">
        <f t="shared" si="137"/>
        <v>659</v>
      </c>
      <c r="B661" s="2">
        <f t="shared" si="137"/>
        <v>1009</v>
      </c>
      <c r="C661" s="14">
        <f t="shared" si="130"/>
        <v>11691.194533342592</v>
      </c>
      <c r="D661" s="14">
        <f t="shared" si="131"/>
        <v>18815.214598102841</v>
      </c>
      <c r="E661" s="2">
        <v>1</v>
      </c>
      <c r="F661" s="2">
        <f t="shared" si="138"/>
        <v>5.8000000000000025</v>
      </c>
      <c r="G661" s="17">
        <f t="shared" si="129"/>
        <v>0.25223333333333336</v>
      </c>
      <c r="H661" s="8">
        <f t="shared" si="132"/>
        <v>564570</v>
      </c>
      <c r="I661" s="9">
        <f t="shared" si="128"/>
        <v>23</v>
      </c>
      <c r="L661" s="2">
        <f t="shared" si="133"/>
        <v>564570</v>
      </c>
      <c r="M661" s="2">
        <f t="shared" si="134"/>
        <v>1009</v>
      </c>
      <c r="N661" s="15">
        <f t="shared" si="135"/>
        <v>11691.194533342592</v>
      </c>
      <c r="O661" s="15">
        <f t="shared" si="136"/>
        <v>18815.214598102841</v>
      </c>
      <c r="P661" s="16">
        <f>SUM($H$3:H661)</f>
        <v>131467540</v>
      </c>
      <c r="Q661" s="2">
        <f>SUM($I$3:I661)</f>
        <v>6804</v>
      </c>
    </row>
    <row r="662" spans="1:17" x14ac:dyDescent="0.3">
      <c r="A662" s="7">
        <f t="shared" si="137"/>
        <v>660</v>
      </c>
      <c r="B662" s="2">
        <f t="shared" si="137"/>
        <v>1010</v>
      </c>
      <c r="C662" s="14">
        <f t="shared" si="130"/>
        <v>11728.27848335009</v>
      </c>
      <c r="D662" s="14">
        <f t="shared" si="131"/>
        <v>18874.972923463061</v>
      </c>
      <c r="E662" s="2">
        <v>1</v>
      </c>
      <c r="F662" s="2">
        <f t="shared" si="138"/>
        <v>6.0000000000000027</v>
      </c>
      <c r="G662" s="17">
        <f t="shared" si="129"/>
        <v>0.25266666666666665</v>
      </c>
      <c r="H662" s="8">
        <f t="shared" si="132"/>
        <v>566100</v>
      </c>
      <c r="I662" s="9">
        <f t="shared" si="128"/>
        <v>23</v>
      </c>
      <c r="L662" s="2">
        <f t="shared" si="133"/>
        <v>566100</v>
      </c>
      <c r="M662" s="2">
        <f t="shared" si="134"/>
        <v>1010</v>
      </c>
      <c r="N662" s="15">
        <f t="shared" si="135"/>
        <v>11728.27848335009</v>
      </c>
      <c r="O662" s="15">
        <f t="shared" si="136"/>
        <v>18874.972923463061</v>
      </c>
      <c r="P662" s="16">
        <f>SUM($H$3:H662)</f>
        <v>132033640</v>
      </c>
      <c r="Q662" s="2">
        <f>SUM($I$3:I662)</f>
        <v>6827</v>
      </c>
    </row>
    <row r="663" spans="1:17" x14ac:dyDescent="0.3">
      <c r="A663" s="7">
        <f t="shared" si="137"/>
        <v>661</v>
      </c>
      <c r="B663" s="2">
        <f t="shared" si="137"/>
        <v>1011</v>
      </c>
      <c r="C663" s="14">
        <f t="shared" si="130"/>
        <v>11765.383041299765</v>
      </c>
      <c r="D663" s="14">
        <f t="shared" si="131"/>
        <v>18934.79768393244</v>
      </c>
      <c r="E663" s="2">
        <v>1</v>
      </c>
      <c r="F663" s="2">
        <f t="shared" si="138"/>
        <v>6.0000000000000027</v>
      </c>
      <c r="G663" s="17">
        <f t="shared" si="129"/>
        <v>0.25309999999999999</v>
      </c>
      <c r="H663" s="8">
        <f t="shared" si="132"/>
        <v>567630</v>
      </c>
      <c r="I663" s="9">
        <f t="shared" si="128"/>
        <v>23</v>
      </c>
      <c r="L663" s="2">
        <f t="shared" si="133"/>
        <v>567630</v>
      </c>
      <c r="M663" s="2">
        <f t="shared" si="134"/>
        <v>1011</v>
      </c>
      <c r="N663" s="15">
        <f t="shared" si="135"/>
        <v>11765.383041299765</v>
      </c>
      <c r="O663" s="15">
        <f t="shared" si="136"/>
        <v>18934.79768393244</v>
      </c>
      <c r="P663" s="16">
        <f>SUM($H$3:H663)</f>
        <v>132601270</v>
      </c>
      <c r="Q663" s="2">
        <f>SUM($I$3:I663)</f>
        <v>6850</v>
      </c>
    </row>
    <row r="664" spans="1:17" x14ac:dyDescent="0.3">
      <c r="A664" s="7">
        <f t="shared" si="137"/>
        <v>662</v>
      </c>
      <c r="B664" s="2">
        <f t="shared" si="137"/>
        <v>1012</v>
      </c>
      <c r="C664" s="14">
        <f t="shared" si="130"/>
        <v>11802.508161510323</v>
      </c>
      <c r="D664" s="14">
        <f t="shared" si="131"/>
        <v>18994.688769031109</v>
      </c>
      <c r="E664" s="2">
        <v>1</v>
      </c>
      <c r="F664" s="2">
        <f t="shared" si="138"/>
        <v>6.0000000000000027</v>
      </c>
      <c r="G664" s="17">
        <f t="shared" si="129"/>
        <v>0.25353333333333333</v>
      </c>
      <c r="H664" s="8">
        <f t="shared" si="132"/>
        <v>569160</v>
      </c>
      <c r="I664" s="9">
        <f t="shared" si="128"/>
        <v>23</v>
      </c>
      <c r="L664" s="2">
        <f t="shared" si="133"/>
        <v>569160</v>
      </c>
      <c r="M664" s="2">
        <f t="shared" si="134"/>
        <v>1012</v>
      </c>
      <c r="N664" s="15">
        <f t="shared" si="135"/>
        <v>11802.508161510323</v>
      </c>
      <c r="O664" s="15">
        <f t="shared" si="136"/>
        <v>18994.688769031109</v>
      </c>
      <c r="P664" s="16">
        <f>SUM($H$3:H664)</f>
        <v>133170430</v>
      </c>
      <c r="Q664" s="2">
        <f>SUM($I$3:I664)</f>
        <v>6873</v>
      </c>
    </row>
    <row r="665" spans="1:17" x14ac:dyDescent="0.3">
      <c r="A665" s="7">
        <f t="shared" si="137"/>
        <v>663</v>
      </c>
      <c r="B665" s="2">
        <f t="shared" si="137"/>
        <v>1013</v>
      </c>
      <c r="C665" s="14">
        <f t="shared" si="130"/>
        <v>11839.653798527592</v>
      </c>
      <c r="D665" s="14">
        <f t="shared" si="131"/>
        <v>19054.64606876767</v>
      </c>
      <c r="E665" s="2">
        <v>1</v>
      </c>
      <c r="F665" s="2">
        <f t="shared" si="138"/>
        <v>6.0000000000000027</v>
      </c>
      <c r="G665" s="17">
        <f t="shared" si="129"/>
        <v>0.25396666666666667</v>
      </c>
      <c r="H665" s="8">
        <f t="shared" si="132"/>
        <v>570690</v>
      </c>
      <c r="I665" s="9">
        <f t="shared" si="128"/>
        <v>23</v>
      </c>
      <c r="L665" s="2">
        <f t="shared" si="133"/>
        <v>570690</v>
      </c>
      <c r="M665" s="2">
        <f t="shared" si="134"/>
        <v>1013</v>
      </c>
      <c r="N665" s="15">
        <f t="shared" si="135"/>
        <v>11839.653798527592</v>
      </c>
      <c r="O665" s="15">
        <f t="shared" si="136"/>
        <v>19054.64606876767</v>
      </c>
      <c r="P665" s="16">
        <f>SUM($H$3:H665)</f>
        <v>133741120</v>
      </c>
      <c r="Q665" s="2">
        <f>SUM($I$3:I665)</f>
        <v>6896</v>
      </c>
    </row>
    <row r="666" spans="1:17" x14ac:dyDescent="0.3">
      <c r="A666" s="7">
        <f t="shared" si="137"/>
        <v>664</v>
      </c>
      <c r="B666" s="2">
        <f t="shared" si="137"/>
        <v>1014</v>
      </c>
      <c r="C666" s="14">
        <f t="shared" si="130"/>
        <v>11876.819907122916</v>
      </c>
      <c r="D666" s="14">
        <f t="shared" si="131"/>
        <v>19114.669473635822</v>
      </c>
      <c r="E666" s="2">
        <v>1</v>
      </c>
      <c r="F666" s="2">
        <f t="shared" si="138"/>
        <v>6.0000000000000027</v>
      </c>
      <c r="G666" s="17">
        <f t="shared" si="129"/>
        <v>0.25440000000000002</v>
      </c>
      <c r="H666" s="8">
        <f t="shared" si="132"/>
        <v>572220</v>
      </c>
      <c r="I666" s="9">
        <f t="shared" si="128"/>
        <v>23</v>
      </c>
      <c r="L666" s="2">
        <f t="shared" si="133"/>
        <v>572220</v>
      </c>
      <c r="M666" s="2">
        <f t="shared" si="134"/>
        <v>1014</v>
      </c>
      <c r="N666" s="15">
        <f t="shared" si="135"/>
        <v>11876.819907122916</v>
      </c>
      <c r="O666" s="15">
        <f t="shared" si="136"/>
        <v>19114.669473635822</v>
      </c>
      <c r="P666" s="16">
        <f>SUM($H$3:H666)</f>
        <v>134313340</v>
      </c>
      <c r="Q666" s="2">
        <f>SUM($I$3:I666)</f>
        <v>6919</v>
      </c>
    </row>
    <row r="667" spans="1:17" x14ac:dyDescent="0.3">
      <c r="A667" s="7">
        <f t="shared" si="137"/>
        <v>665</v>
      </c>
      <c r="B667" s="2">
        <f t="shared" si="137"/>
        <v>1015</v>
      </c>
      <c r="C667" s="14">
        <f t="shared" si="130"/>
        <v>11914.006442291338</v>
      </c>
      <c r="D667" s="14">
        <f t="shared" si="131"/>
        <v>19174.75887461091</v>
      </c>
      <c r="E667" s="2">
        <v>1</v>
      </c>
      <c r="F667" s="2">
        <f t="shared" si="138"/>
        <v>6.0000000000000027</v>
      </c>
      <c r="G667" s="17">
        <f t="shared" si="129"/>
        <v>0.2548333333333333</v>
      </c>
      <c r="H667" s="8">
        <f t="shared" si="132"/>
        <v>573750</v>
      </c>
      <c r="I667" s="9">
        <f t="shared" si="128"/>
        <v>23</v>
      </c>
      <c r="L667" s="2">
        <f t="shared" si="133"/>
        <v>573750</v>
      </c>
      <c r="M667" s="2">
        <f t="shared" si="134"/>
        <v>1015</v>
      </c>
      <c r="N667" s="15">
        <f t="shared" si="135"/>
        <v>11914.006442291338</v>
      </c>
      <c r="O667" s="15">
        <f t="shared" si="136"/>
        <v>19174.75887461091</v>
      </c>
      <c r="P667" s="16">
        <f>SUM($H$3:H667)</f>
        <v>134887090</v>
      </c>
      <c r="Q667" s="2">
        <f>SUM($I$3:I667)</f>
        <v>6942</v>
      </c>
    </row>
    <row r="668" spans="1:17" x14ac:dyDescent="0.3">
      <c r="A668" s="7">
        <f t="shared" si="137"/>
        <v>666</v>
      </c>
      <c r="B668" s="2">
        <f t="shared" si="137"/>
        <v>1016</v>
      </c>
      <c r="C668" s="14">
        <f t="shared" si="130"/>
        <v>11951.213359249899</v>
      </c>
      <c r="D668" s="14">
        <f t="shared" si="131"/>
        <v>19234.914163146452</v>
      </c>
      <c r="E668" s="2">
        <v>1</v>
      </c>
      <c r="F668" s="2">
        <f t="shared" si="138"/>
        <v>6.0000000000000027</v>
      </c>
      <c r="G668" s="17">
        <f t="shared" si="129"/>
        <v>0.2552666666666667</v>
      </c>
      <c r="H668" s="8">
        <f t="shared" si="132"/>
        <v>575280</v>
      </c>
      <c r="I668" s="9">
        <f t="shared" si="128"/>
        <v>23</v>
      </c>
      <c r="L668" s="2">
        <f t="shared" si="133"/>
        <v>575280</v>
      </c>
      <c r="M668" s="2">
        <f t="shared" si="134"/>
        <v>1016</v>
      </c>
      <c r="N668" s="15">
        <f t="shared" si="135"/>
        <v>11951.213359249899</v>
      </c>
      <c r="O668" s="15">
        <f t="shared" si="136"/>
        <v>19234.914163146452</v>
      </c>
      <c r="P668" s="16">
        <f>SUM($H$3:H668)</f>
        <v>135462370</v>
      </c>
      <c r="Q668" s="2">
        <f>SUM($I$3:I668)</f>
        <v>6965</v>
      </c>
    </row>
    <row r="669" spans="1:17" x14ac:dyDescent="0.3">
      <c r="A669" s="7">
        <f t="shared" si="137"/>
        <v>667</v>
      </c>
      <c r="B669" s="2">
        <f t="shared" si="137"/>
        <v>1017</v>
      </c>
      <c r="C669" s="14">
        <f t="shared" si="130"/>
        <v>11988.440613435969</v>
      </c>
      <c r="D669" s="14">
        <f t="shared" si="131"/>
        <v>19295.135231170774</v>
      </c>
      <c r="E669" s="2">
        <v>1</v>
      </c>
      <c r="F669" s="2">
        <f t="shared" si="138"/>
        <v>6.0000000000000027</v>
      </c>
      <c r="G669" s="17">
        <f t="shared" si="129"/>
        <v>0.25569999999999998</v>
      </c>
      <c r="H669" s="8">
        <f t="shared" si="132"/>
        <v>576810</v>
      </c>
      <c r="I669" s="9">
        <f t="shared" si="128"/>
        <v>23</v>
      </c>
      <c r="L669" s="2">
        <f t="shared" si="133"/>
        <v>576810</v>
      </c>
      <c r="M669" s="2">
        <f t="shared" si="134"/>
        <v>1017</v>
      </c>
      <c r="N669" s="15">
        <f t="shared" si="135"/>
        <v>11988.440613435969</v>
      </c>
      <c r="O669" s="15">
        <f t="shared" si="136"/>
        <v>19295.135231170774</v>
      </c>
      <c r="P669" s="16">
        <f>SUM($H$3:H669)</f>
        <v>136039180</v>
      </c>
      <c r="Q669" s="2">
        <f>SUM($I$3:I669)</f>
        <v>6988</v>
      </c>
    </row>
    <row r="670" spans="1:17" x14ac:dyDescent="0.3">
      <c r="A670" s="7">
        <f t="shared" si="137"/>
        <v>668</v>
      </c>
      <c r="B670" s="2">
        <f t="shared" si="137"/>
        <v>1018</v>
      </c>
      <c r="C670" s="14">
        <f t="shared" si="130"/>
        <v>12025.68816050551</v>
      </c>
      <c r="D670" s="14">
        <f t="shared" si="131"/>
        <v>19355.421971083502</v>
      </c>
      <c r="E670" s="2">
        <v>1</v>
      </c>
      <c r="F670" s="2">
        <f t="shared" si="138"/>
        <v>6.0000000000000027</v>
      </c>
      <c r="G670" s="17">
        <f t="shared" si="129"/>
        <v>0.25613333333333332</v>
      </c>
      <c r="H670" s="8">
        <f t="shared" si="132"/>
        <v>578340</v>
      </c>
      <c r="I670" s="9">
        <f t="shared" si="128"/>
        <v>23</v>
      </c>
      <c r="L670" s="2">
        <f t="shared" si="133"/>
        <v>578340</v>
      </c>
      <c r="M670" s="2">
        <f t="shared" si="134"/>
        <v>1018</v>
      </c>
      <c r="N670" s="15">
        <f t="shared" si="135"/>
        <v>12025.68816050551</v>
      </c>
      <c r="O670" s="15">
        <f t="shared" si="136"/>
        <v>19355.421971083502</v>
      </c>
      <c r="P670" s="16">
        <f>SUM($H$3:H670)</f>
        <v>136617520</v>
      </c>
      <c r="Q670" s="2">
        <f>SUM($I$3:I670)</f>
        <v>7011</v>
      </c>
    </row>
    <row r="671" spans="1:17" x14ac:dyDescent="0.3">
      <c r="A671" s="7">
        <f t="shared" si="137"/>
        <v>669</v>
      </c>
      <c r="B671" s="2">
        <f t="shared" si="137"/>
        <v>1019</v>
      </c>
      <c r="C671" s="14">
        <f t="shared" si="130"/>
        <v>12062.955956331456</v>
      </c>
      <c r="D671" s="14">
        <f t="shared" si="131"/>
        <v>19415.774275752479</v>
      </c>
      <c r="E671" s="2">
        <v>1</v>
      </c>
      <c r="F671" s="2">
        <f t="shared" si="138"/>
        <v>6.0000000000000027</v>
      </c>
      <c r="G671" s="17">
        <f t="shared" si="129"/>
        <v>0.25656666666666667</v>
      </c>
      <c r="H671" s="8">
        <f t="shared" si="132"/>
        <v>579870</v>
      </c>
      <c r="I671" s="9">
        <f t="shared" si="128"/>
        <v>23</v>
      </c>
      <c r="L671" s="2">
        <f t="shared" si="133"/>
        <v>579870</v>
      </c>
      <c r="M671" s="2">
        <f t="shared" si="134"/>
        <v>1019</v>
      </c>
      <c r="N671" s="15">
        <f t="shared" si="135"/>
        <v>12062.955956331456</v>
      </c>
      <c r="O671" s="15">
        <f t="shared" si="136"/>
        <v>19415.774275752479</v>
      </c>
      <c r="P671" s="16">
        <f>SUM($H$3:H671)</f>
        <v>137197390</v>
      </c>
      <c r="Q671" s="2">
        <f>SUM($I$3:I671)</f>
        <v>7034</v>
      </c>
    </row>
    <row r="672" spans="1:17" x14ac:dyDescent="0.3">
      <c r="A672" s="7">
        <f t="shared" si="137"/>
        <v>670</v>
      </c>
      <c r="B672" s="2">
        <f t="shared" si="137"/>
        <v>1020</v>
      </c>
      <c r="C672" s="14">
        <f t="shared" si="130"/>
        <v>12100.243957002063</v>
      </c>
      <c r="D672" s="14">
        <f t="shared" si="131"/>
        <v>19476.192038510249</v>
      </c>
      <c r="E672" s="2">
        <v>1</v>
      </c>
      <c r="F672" s="2">
        <f t="shared" si="138"/>
        <v>6.0000000000000027</v>
      </c>
      <c r="G672" s="17">
        <f t="shared" si="129"/>
        <v>0.25700000000000001</v>
      </c>
      <c r="H672" s="8">
        <f t="shared" si="132"/>
        <v>581400</v>
      </c>
      <c r="I672" s="9">
        <f t="shared" si="128"/>
        <v>23</v>
      </c>
      <c r="L672" s="2">
        <f t="shared" si="133"/>
        <v>581400</v>
      </c>
      <c r="M672" s="2">
        <f t="shared" si="134"/>
        <v>1020</v>
      </c>
      <c r="N672" s="15">
        <f t="shared" si="135"/>
        <v>12100.243957002063</v>
      </c>
      <c r="O672" s="15">
        <f t="shared" si="136"/>
        <v>19476.192038510249</v>
      </c>
      <c r="P672" s="16">
        <f>SUM($H$3:H672)</f>
        <v>137778790</v>
      </c>
      <c r="Q672" s="2">
        <f>SUM($I$3:I672)</f>
        <v>7057</v>
      </c>
    </row>
    <row r="673" spans="1:17" x14ac:dyDescent="0.3">
      <c r="A673" s="7">
        <f t="shared" si="137"/>
        <v>671</v>
      </c>
      <c r="B673" s="2">
        <f t="shared" si="137"/>
        <v>1021</v>
      </c>
      <c r="C673" s="14">
        <f t="shared" si="130"/>
        <v>12137.552118819274</v>
      </c>
      <c r="D673" s="14">
        <f t="shared" si="131"/>
        <v>19536.67515315094</v>
      </c>
      <c r="E673" s="2">
        <v>1</v>
      </c>
      <c r="F673" s="2">
        <f t="shared" si="138"/>
        <v>6.0000000000000027</v>
      </c>
      <c r="G673" s="17">
        <f t="shared" si="129"/>
        <v>0.25743333333333335</v>
      </c>
      <c r="H673" s="8">
        <f t="shared" si="132"/>
        <v>582930</v>
      </c>
      <c r="I673" s="9">
        <f t="shared" si="128"/>
        <v>23</v>
      </c>
      <c r="L673" s="2">
        <f t="shared" si="133"/>
        <v>582930</v>
      </c>
      <c r="M673" s="2">
        <f t="shared" si="134"/>
        <v>1021</v>
      </c>
      <c r="N673" s="15">
        <f t="shared" si="135"/>
        <v>12137.552118819274</v>
      </c>
      <c r="O673" s="15">
        <f t="shared" si="136"/>
        <v>19536.67515315094</v>
      </c>
      <c r="P673" s="16">
        <f>SUM($H$3:H673)</f>
        <v>138361720</v>
      </c>
      <c r="Q673" s="2">
        <f>SUM($I$3:I673)</f>
        <v>7080</v>
      </c>
    </row>
    <row r="674" spans="1:17" x14ac:dyDescent="0.3">
      <c r="A674" s="7">
        <f t="shared" si="137"/>
        <v>672</v>
      </c>
      <c r="B674" s="2">
        <f t="shared" si="137"/>
        <v>1022</v>
      </c>
      <c r="C674" s="14">
        <f t="shared" si="130"/>
        <v>12174.88039829708</v>
      </c>
      <c r="D674" s="14">
        <f t="shared" si="131"/>
        <v>19597.223513926914</v>
      </c>
      <c r="E674" s="2">
        <v>1</v>
      </c>
      <c r="F674" s="2">
        <f t="shared" si="138"/>
        <v>6.0000000000000027</v>
      </c>
      <c r="G674" s="17">
        <f t="shared" si="129"/>
        <v>0.25786666666666669</v>
      </c>
      <c r="H674" s="8">
        <f t="shared" si="132"/>
        <v>584460</v>
      </c>
      <c r="I674" s="9">
        <f t="shared" si="128"/>
        <v>23</v>
      </c>
      <c r="L674" s="2">
        <f t="shared" si="133"/>
        <v>584460</v>
      </c>
      <c r="M674" s="2">
        <f t="shared" si="134"/>
        <v>1022</v>
      </c>
      <c r="N674" s="15">
        <f t="shared" si="135"/>
        <v>12174.88039829708</v>
      </c>
      <c r="O674" s="15">
        <f t="shared" si="136"/>
        <v>19597.223513926914</v>
      </c>
      <c r="P674" s="16">
        <f>SUM($H$3:H674)</f>
        <v>138946180</v>
      </c>
      <c r="Q674" s="2">
        <f>SUM($I$3:I674)</f>
        <v>7103</v>
      </c>
    </row>
    <row r="675" spans="1:17" x14ac:dyDescent="0.3">
      <c r="A675" s="7">
        <f t="shared" si="137"/>
        <v>673</v>
      </c>
      <c r="B675" s="2">
        <f t="shared" si="137"/>
        <v>1023</v>
      </c>
      <c r="C675" s="14">
        <f t="shared" si="130"/>
        <v>12212.228752159977</v>
      </c>
      <c r="D675" s="14">
        <f t="shared" si="131"/>
        <v>19657.837015545621</v>
      </c>
      <c r="E675" s="2">
        <v>1</v>
      </c>
      <c r="F675" s="2">
        <f t="shared" si="138"/>
        <v>6.0000000000000027</v>
      </c>
      <c r="G675" s="17">
        <f t="shared" si="129"/>
        <v>0.25829999999999997</v>
      </c>
      <c r="H675" s="8">
        <f t="shared" si="132"/>
        <v>585990</v>
      </c>
      <c r="I675" s="9">
        <f t="shared" si="128"/>
        <v>23</v>
      </c>
      <c r="L675" s="2">
        <f t="shared" si="133"/>
        <v>585990</v>
      </c>
      <c r="M675" s="2">
        <f t="shared" si="134"/>
        <v>1023</v>
      </c>
      <c r="N675" s="15">
        <f t="shared" si="135"/>
        <v>12212.228752159977</v>
      </c>
      <c r="O675" s="15">
        <f t="shared" si="136"/>
        <v>19657.837015545621</v>
      </c>
      <c r="P675" s="16">
        <f>SUM($H$3:H675)</f>
        <v>139532170</v>
      </c>
      <c r="Q675" s="2">
        <f>SUM($I$3:I675)</f>
        <v>7126</v>
      </c>
    </row>
    <row r="676" spans="1:17" x14ac:dyDescent="0.3">
      <c r="A676" s="7">
        <f t="shared" si="137"/>
        <v>674</v>
      </c>
      <c r="B676" s="2">
        <f t="shared" si="137"/>
        <v>1024</v>
      </c>
      <c r="C676" s="14">
        <f t="shared" si="130"/>
        <v>12249.597137341307</v>
      </c>
      <c r="D676" s="14">
        <f t="shared" si="131"/>
        <v>19718.515553166399</v>
      </c>
      <c r="E676" s="2">
        <v>1</v>
      </c>
      <c r="F676" s="2">
        <f t="shared" si="138"/>
        <v>6.0000000000000027</v>
      </c>
      <c r="G676" s="17">
        <f t="shared" si="129"/>
        <v>0.25873333333333337</v>
      </c>
      <c r="H676" s="8">
        <f t="shared" si="132"/>
        <v>587520</v>
      </c>
      <c r="I676" s="9">
        <f t="shared" ref="I676:I701" si="139">I651+1</f>
        <v>23</v>
      </c>
      <c r="L676" s="2">
        <f t="shared" si="133"/>
        <v>587520</v>
      </c>
      <c r="M676" s="2">
        <f t="shared" si="134"/>
        <v>1024</v>
      </c>
      <c r="N676" s="15">
        <f t="shared" si="135"/>
        <v>12249.597137341307</v>
      </c>
      <c r="O676" s="15">
        <f t="shared" si="136"/>
        <v>19718.515553166399</v>
      </c>
      <c r="P676" s="16">
        <f>SUM($H$3:H676)</f>
        <v>140119690</v>
      </c>
      <c r="Q676" s="2">
        <f>SUM($I$3:I676)</f>
        <v>7149</v>
      </c>
    </row>
    <row r="677" spans="1:17" x14ac:dyDescent="0.3">
      <c r="A677" s="7">
        <f t="shared" si="137"/>
        <v>675</v>
      </c>
      <c r="B677" s="2">
        <f t="shared" si="137"/>
        <v>1025</v>
      </c>
      <c r="C677" s="14">
        <f t="shared" si="130"/>
        <v>12286.985510981785</v>
      </c>
      <c r="D677" s="14">
        <f t="shared" si="131"/>
        <v>19779.259022397302</v>
      </c>
      <c r="E677" s="2">
        <v>1</v>
      </c>
      <c r="F677" s="2">
        <f t="shared" si="138"/>
        <v>6.0000000000000027</v>
      </c>
      <c r="G677" s="17">
        <f t="shared" si="129"/>
        <v>0.25916666666666666</v>
      </c>
      <c r="H677" s="8">
        <f t="shared" si="132"/>
        <v>589050</v>
      </c>
      <c r="I677" s="9">
        <f t="shared" si="139"/>
        <v>24</v>
      </c>
      <c r="L677" s="2">
        <f t="shared" si="133"/>
        <v>589050</v>
      </c>
      <c r="M677" s="2">
        <f t="shared" si="134"/>
        <v>1025</v>
      </c>
      <c r="N677" s="15">
        <f t="shared" si="135"/>
        <v>12286.985510981785</v>
      </c>
      <c r="O677" s="15">
        <f t="shared" si="136"/>
        <v>19779.259022397302</v>
      </c>
      <c r="P677" s="16">
        <f>SUM($H$3:H677)</f>
        <v>140708740</v>
      </c>
      <c r="Q677" s="2">
        <f>SUM($I$3:I677)</f>
        <v>7173</v>
      </c>
    </row>
    <row r="678" spans="1:17" x14ac:dyDescent="0.3">
      <c r="A678" s="7">
        <f t="shared" si="137"/>
        <v>676</v>
      </c>
      <c r="B678" s="2">
        <f t="shared" si="137"/>
        <v>1026</v>
      </c>
      <c r="C678" s="14">
        <f t="shared" si="130"/>
        <v>12324.393830427891</v>
      </c>
      <c r="D678" s="14">
        <f t="shared" si="131"/>
        <v>19840.067319292175</v>
      </c>
      <c r="E678" s="2">
        <v>1</v>
      </c>
      <c r="F678" s="2">
        <f t="shared" si="138"/>
        <v>6.0000000000000027</v>
      </c>
      <c r="G678" s="17">
        <f t="shared" si="129"/>
        <v>0.2596</v>
      </c>
      <c r="H678" s="8">
        <f t="shared" si="132"/>
        <v>590580</v>
      </c>
      <c r="I678" s="9">
        <f t="shared" si="139"/>
        <v>24</v>
      </c>
      <c r="L678" s="2">
        <f t="shared" si="133"/>
        <v>590580</v>
      </c>
      <c r="M678" s="2">
        <f t="shared" si="134"/>
        <v>1026</v>
      </c>
      <c r="N678" s="15">
        <f t="shared" si="135"/>
        <v>12324.393830427891</v>
      </c>
      <c r="O678" s="15">
        <f t="shared" si="136"/>
        <v>19840.067319292175</v>
      </c>
      <c r="P678" s="16">
        <f>SUM($H$3:H678)</f>
        <v>141299320</v>
      </c>
      <c r="Q678" s="2">
        <f>SUM($I$3:I678)</f>
        <v>7197</v>
      </c>
    </row>
    <row r="679" spans="1:17" x14ac:dyDescent="0.3">
      <c r="A679" s="7">
        <f t="shared" si="137"/>
        <v>677</v>
      </c>
      <c r="B679" s="2">
        <f t="shared" si="137"/>
        <v>1027</v>
      </c>
      <c r="C679" s="14">
        <f t="shared" si="130"/>
        <v>12361.822053230351</v>
      </c>
      <c r="D679" s="14">
        <f t="shared" si="131"/>
        <v>19900.94034034725</v>
      </c>
      <c r="E679" s="2">
        <v>1</v>
      </c>
      <c r="F679" s="2">
        <f t="shared" si="138"/>
        <v>6.0000000000000027</v>
      </c>
      <c r="G679" s="17">
        <f t="shared" ref="G679:G742" si="140">0.01 + (A679-100)*(0.4-0.01)/(1000-100)</f>
        <v>0.26003333333333334</v>
      </c>
      <c r="H679" s="8">
        <f t="shared" si="132"/>
        <v>592110</v>
      </c>
      <c r="I679" s="9">
        <f t="shared" si="139"/>
        <v>24</v>
      </c>
      <c r="L679" s="2">
        <f t="shared" si="133"/>
        <v>592110</v>
      </c>
      <c r="M679" s="2">
        <f t="shared" si="134"/>
        <v>1027</v>
      </c>
      <c r="N679" s="15">
        <f t="shared" si="135"/>
        <v>12361.822053230351</v>
      </c>
      <c r="O679" s="15">
        <f t="shared" si="136"/>
        <v>19900.94034034725</v>
      </c>
      <c r="P679" s="16">
        <f>SUM($H$3:H679)</f>
        <v>141891430</v>
      </c>
      <c r="Q679" s="2">
        <f>SUM($I$3:I679)</f>
        <v>7221</v>
      </c>
    </row>
    <row r="680" spans="1:17" x14ac:dyDescent="0.3">
      <c r="A680" s="7">
        <f t="shared" si="137"/>
        <v>678</v>
      </c>
      <c r="B680" s="2">
        <f t="shared" si="137"/>
        <v>1028</v>
      </c>
      <c r="C680" s="14">
        <f t="shared" si="130"/>
        <v>12399.270137142625</v>
      </c>
      <c r="D680" s="14">
        <f t="shared" si="131"/>
        <v>19961.87798249839</v>
      </c>
      <c r="E680" s="2">
        <v>1</v>
      </c>
      <c r="F680" s="2">
        <f t="shared" si="138"/>
        <v>6.0000000000000027</v>
      </c>
      <c r="G680" s="17">
        <f t="shared" si="140"/>
        <v>0.26046666666666668</v>
      </c>
      <c r="H680" s="8">
        <f t="shared" si="132"/>
        <v>593640</v>
      </c>
      <c r="I680" s="9">
        <f t="shared" si="139"/>
        <v>24</v>
      </c>
      <c r="L680" s="2">
        <f t="shared" si="133"/>
        <v>593640</v>
      </c>
      <c r="M680" s="2">
        <f t="shared" si="134"/>
        <v>1028</v>
      </c>
      <c r="N680" s="15">
        <f t="shared" si="135"/>
        <v>12399.270137142625</v>
      </c>
      <c r="O680" s="15">
        <f t="shared" si="136"/>
        <v>19961.87798249839</v>
      </c>
      <c r="P680" s="16">
        <f>SUM($H$3:H680)</f>
        <v>142485070</v>
      </c>
      <c r="Q680" s="2">
        <f>SUM($I$3:I680)</f>
        <v>7245</v>
      </c>
    </row>
    <row r="681" spans="1:17" x14ac:dyDescent="0.3">
      <c r="A681" s="7">
        <f t="shared" si="137"/>
        <v>679</v>
      </c>
      <c r="B681" s="2">
        <f t="shared" si="137"/>
        <v>1029</v>
      </c>
      <c r="C681" s="14">
        <f t="shared" si="130"/>
        <v>12436.738040119377</v>
      </c>
      <c r="D681" s="14">
        <f t="shared" si="131"/>
        <v>20022.880143117836</v>
      </c>
      <c r="E681" s="2">
        <v>1</v>
      </c>
      <c r="F681" s="2">
        <f t="shared" si="138"/>
        <v>6.0000000000000027</v>
      </c>
      <c r="G681" s="17">
        <f t="shared" si="140"/>
        <v>0.26090000000000002</v>
      </c>
      <c r="H681" s="8">
        <f t="shared" si="132"/>
        <v>595170</v>
      </c>
      <c r="I681" s="9">
        <f t="shared" si="139"/>
        <v>24</v>
      </c>
      <c r="L681" s="2">
        <f t="shared" si="133"/>
        <v>595170</v>
      </c>
      <c r="M681" s="2">
        <f t="shared" si="134"/>
        <v>1029</v>
      </c>
      <c r="N681" s="15">
        <f t="shared" si="135"/>
        <v>12436.738040119377</v>
      </c>
      <c r="O681" s="15">
        <f t="shared" si="136"/>
        <v>20022.880143117836</v>
      </c>
      <c r="P681" s="16">
        <f>SUM($H$3:H681)</f>
        <v>143080240</v>
      </c>
      <c r="Q681" s="2">
        <f>SUM($I$3:I681)</f>
        <v>7269</v>
      </c>
    </row>
    <row r="682" spans="1:17" x14ac:dyDescent="0.3">
      <c r="A682" s="7">
        <f t="shared" si="137"/>
        <v>680</v>
      </c>
      <c r="B682" s="2">
        <f t="shared" si="137"/>
        <v>1030</v>
      </c>
      <c r="C682" s="14">
        <f t="shared" si="130"/>
        <v>12474.225720315062</v>
      </c>
      <c r="D682" s="14">
        <f t="shared" si="131"/>
        <v>20083.946720011481</v>
      </c>
      <c r="E682" s="2">
        <v>1</v>
      </c>
      <c r="F682" s="2">
        <f t="shared" si="138"/>
        <v>6.2000000000000028</v>
      </c>
      <c r="G682" s="17">
        <f t="shared" si="140"/>
        <v>0.26133333333333336</v>
      </c>
      <c r="H682" s="8">
        <f t="shared" si="132"/>
        <v>596700</v>
      </c>
      <c r="I682" s="9">
        <f t="shared" si="139"/>
        <v>24</v>
      </c>
      <c r="L682" s="2">
        <f t="shared" si="133"/>
        <v>596700</v>
      </c>
      <c r="M682" s="2">
        <f t="shared" si="134"/>
        <v>1030</v>
      </c>
      <c r="N682" s="15">
        <f t="shared" si="135"/>
        <v>12474.225720315062</v>
      </c>
      <c r="O682" s="15">
        <f t="shared" si="136"/>
        <v>20083.946720011481</v>
      </c>
      <c r="P682" s="16">
        <f>SUM($H$3:H682)</f>
        <v>143676940</v>
      </c>
      <c r="Q682" s="2">
        <f>SUM($I$3:I682)</f>
        <v>7293</v>
      </c>
    </row>
    <row r="683" spans="1:17" x14ac:dyDescent="0.3">
      <c r="A683" s="7">
        <f t="shared" si="137"/>
        <v>681</v>
      </c>
      <c r="B683" s="2">
        <f t="shared" si="137"/>
        <v>1031</v>
      </c>
      <c r="C683" s="14">
        <f t="shared" si="130"/>
        <v>12511.733136082361</v>
      </c>
      <c r="D683" s="14">
        <f t="shared" si="131"/>
        <v>20145.077611415549</v>
      </c>
      <c r="E683" s="2">
        <v>1</v>
      </c>
      <c r="F683" s="2">
        <f t="shared" si="138"/>
        <v>6.2000000000000028</v>
      </c>
      <c r="G683" s="17">
        <f t="shared" si="140"/>
        <v>0.2617666666666667</v>
      </c>
      <c r="H683" s="8">
        <f t="shared" si="132"/>
        <v>598230</v>
      </c>
      <c r="I683" s="9">
        <f t="shared" si="139"/>
        <v>24</v>
      </c>
      <c r="L683" s="2">
        <f t="shared" si="133"/>
        <v>598230</v>
      </c>
      <c r="M683" s="2">
        <f t="shared" si="134"/>
        <v>1031</v>
      </c>
      <c r="N683" s="15">
        <f t="shared" si="135"/>
        <v>12511.733136082361</v>
      </c>
      <c r="O683" s="15">
        <f t="shared" si="136"/>
        <v>20145.077611415549</v>
      </c>
      <c r="P683" s="16">
        <f>SUM($H$3:H683)</f>
        <v>144275170</v>
      </c>
      <c r="Q683" s="2">
        <f>SUM($I$3:I683)</f>
        <v>7317</v>
      </c>
    </row>
    <row r="684" spans="1:17" x14ac:dyDescent="0.3">
      <c r="A684" s="7">
        <f t="shared" si="137"/>
        <v>682</v>
      </c>
      <c r="B684" s="2">
        <f t="shared" si="137"/>
        <v>1032</v>
      </c>
      <c r="C684" s="14">
        <f t="shared" si="130"/>
        <v>12549.26024597078</v>
      </c>
      <c r="D684" s="14">
        <f t="shared" si="131"/>
        <v>20206.272715993939</v>
      </c>
      <c r="E684" s="2">
        <v>1</v>
      </c>
      <c r="F684" s="2">
        <f t="shared" si="138"/>
        <v>6.2000000000000028</v>
      </c>
      <c r="G684" s="17">
        <f t="shared" si="140"/>
        <v>0.26220000000000004</v>
      </c>
      <c r="H684" s="8">
        <f t="shared" si="132"/>
        <v>599760</v>
      </c>
      <c r="I684" s="9">
        <f t="shared" si="139"/>
        <v>24</v>
      </c>
      <c r="L684" s="2">
        <f t="shared" si="133"/>
        <v>599760</v>
      </c>
      <c r="M684" s="2">
        <f t="shared" si="134"/>
        <v>1032</v>
      </c>
      <c r="N684" s="15">
        <f t="shared" si="135"/>
        <v>12549.26024597078</v>
      </c>
      <c r="O684" s="15">
        <f t="shared" si="136"/>
        <v>20206.272715993939</v>
      </c>
      <c r="P684" s="16">
        <f>SUM($H$3:H684)</f>
        <v>144874930</v>
      </c>
      <c r="Q684" s="2">
        <f>SUM($I$3:I684)</f>
        <v>7341</v>
      </c>
    </row>
    <row r="685" spans="1:17" x14ac:dyDescent="0.3">
      <c r="A685" s="7">
        <f t="shared" si="137"/>
        <v>683</v>
      </c>
      <c r="B685" s="2">
        <f t="shared" si="137"/>
        <v>1033</v>
      </c>
      <c r="C685" s="14">
        <f t="shared" si="130"/>
        <v>12586.80700872518</v>
      </c>
      <c r="D685" s="14">
        <f t="shared" si="131"/>
        <v>20267.53193283522</v>
      </c>
      <c r="E685" s="2">
        <v>1</v>
      </c>
      <c r="F685" s="2">
        <f t="shared" si="138"/>
        <v>6.2000000000000028</v>
      </c>
      <c r="G685" s="17">
        <f t="shared" si="140"/>
        <v>0.26263333333333333</v>
      </c>
      <c r="H685" s="8">
        <f t="shared" si="132"/>
        <v>601290</v>
      </c>
      <c r="I685" s="9">
        <f t="shared" si="139"/>
        <v>24</v>
      </c>
      <c r="L685" s="2">
        <f t="shared" si="133"/>
        <v>601290</v>
      </c>
      <c r="M685" s="2">
        <f t="shared" si="134"/>
        <v>1033</v>
      </c>
      <c r="N685" s="15">
        <f t="shared" si="135"/>
        <v>12586.80700872518</v>
      </c>
      <c r="O685" s="15">
        <f t="shared" si="136"/>
        <v>20267.53193283522</v>
      </c>
      <c r="P685" s="16">
        <f>SUM($H$3:H685)</f>
        <v>145476220</v>
      </c>
      <c r="Q685" s="2">
        <f>SUM($I$3:I685)</f>
        <v>7365</v>
      </c>
    </row>
    <row r="686" spans="1:17" x14ac:dyDescent="0.3">
      <c r="A686" s="7">
        <f t="shared" si="137"/>
        <v>684</v>
      </c>
      <c r="B686" s="2">
        <f t="shared" si="137"/>
        <v>1034</v>
      </c>
      <c r="C686" s="14">
        <f t="shared" si="130"/>
        <v>12624.373383284408</v>
      </c>
      <c r="D686" s="14">
        <f t="shared" si="131"/>
        <v>20328.855161449734</v>
      </c>
      <c r="E686" s="2">
        <v>1</v>
      </c>
      <c r="F686" s="2">
        <f t="shared" si="138"/>
        <v>6.2000000000000028</v>
      </c>
      <c r="G686" s="17">
        <f t="shared" si="140"/>
        <v>0.26306666666666667</v>
      </c>
      <c r="H686" s="8">
        <f t="shared" si="132"/>
        <v>602820</v>
      </c>
      <c r="I686" s="9">
        <f t="shared" si="139"/>
        <v>24</v>
      </c>
      <c r="L686" s="2">
        <f t="shared" si="133"/>
        <v>602820</v>
      </c>
      <c r="M686" s="2">
        <f t="shared" si="134"/>
        <v>1034</v>
      </c>
      <c r="N686" s="15">
        <f t="shared" si="135"/>
        <v>12624.373383284408</v>
      </c>
      <c r="O686" s="15">
        <f t="shared" si="136"/>
        <v>20328.855161449734</v>
      </c>
      <c r="P686" s="16">
        <f>SUM($H$3:H686)</f>
        <v>146079040</v>
      </c>
      <c r="Q686" s="2">
        <f>SUM($I$3:I686)</f>
        <v>7389</v>
      </c>
    </row>
    <row r="687" spans="1:17" x14ac:dyDescent="0.3">
      <c r="A687" s="7">
        <f t="shared" si="137"/>
        <v>685</v>
      </c>
      <c r="B687" s="2">
        <f t="shared" si="137"/>
        <v>1035</v>
      </c>
      <c r="C687" s="14">
        <f t="shared" si="130"/>
        <v>12661.959328779785</v>
      </c>
      <c r="D687" s="14">
        <f t="shared" si="131"/>
        <v>20390.242301766753</v>
      </c>
      <c r="E687" s="2">
        <v>1</v>
      </c>
      <c r="F687" s="2">
        <f t="shared" si="138"/>
        <v>6.2000000000000028</v>
      </c>
      <c r="G687" s="17">
        <f t="shared" si="140"/>
        <v>0.26350000000000001</v>
      </c>
      <c r="H687" s="8">
        <f t="shared" si="132"/>
        <v>604350</v>
      </c>
      <c r="I687" s="9">
        <f t="shared" si="139"/>
        <v>24</v>
      </c>
      <c r="L687" s="2">
        <f t="shared" si="133"/>
        <v>604350</v>
      </c>
      <c r="M687" s="2">
        <f t="shared" si="134"/>
        <v>1035</v>
      </c>
      <c r="N687" s="15">
        <f t="shared" si="135"/>
        <v>12661.959328779785</v>
      </c>
      <c r="O687" s="15">
        <f t="shared" si="136"/>
        <v>20390.242301766753</v>
      </c>
      <c r="P687" s="16">
        <f>SUM($H$3:H687)</f>
        <v>146683390</v>
      </c>
      <c r="Q687" s="2">
        <f>SUM($I$3:I687)</f>
        <v>7413</v>
      </c>
    </row>
    <row r="688" spans="1:17" x14ac:dyDescent="0.3">
      <c r="A688" s="7">
        <f t="shared" si="137"/>
        <v>686</v>
      </c>
      <c r="B688" s="2">
        <f t="shared" si="137"/>
        <v>1036</v>
      </c>
      <c r="C688" s="14">
        <f t="shared" ref="C688:C751" si="141">9.525*(A688-300)^1.2 + 600</f>
        <v>12699.564804533753</v>
      </c>
      <c r="D688" s="14">
        <f t="shared" ref="D688:D751" si="142">4.055*(A688-300)^1.4 + 3500</f>
        <v>20451.69325413162</v>
      </c>
      <c r="E688" s="2">
        <v>1</v>
      </c>
      <c r="F688" s="2">
        <f t="shared" si="138"/>
        <v>6.2000000000000028</v>
      </c>
      <c r="G688" s="17">
        <f t="shared" si="140"/>
        <v>0.26393333333333335</v>
      </c>
      <c r="H688" s="8">
        <f t="shared" si="132"/>
        <v>605880</v>
      </c>
      <c r="I688" s="9">
        <f t="shared" si="139"/>
        <v>24</v>
      </c>
      <c r="L688" s="2">
        <f t="shared" si="133"/>
        <v>605880</v>
      </c>
      <c r="M688" s="2">
        <f t="shared" si="134"/>
        <v>1036</v>
      </c>
      <c r="N688" s="15">
        <f t="shared" si="135"/>
        <v>12699.564804533753</v>
      </c>
      <c r="O688" s="15">
        <f t="shared" si="136"/>
        <v>20451.69325413162</v>
      </c>
      <c r="P688" s="16">
        <f>SUM($H$3:H688)</f>
        <v>147289270</v>
      </c>
      <c r="Q688" s="2">
        <f>SUM($I$3:I688)</f>
        <v>7437</v>
      </c>
    </row>
    <row r="689" spans="1:17" x14ac:dyDescent="0.3">
      <c r="A689" s="7">
        <f t="shared" si="137"/>
        <v>687</v>
      </c>
      <c r="B689" s="2">
        <f t="shared" si="137"/>
        <v>1037</v>
      </c>
      <c r="C689" s="14">
        <f t="shared" si="141"/>
        <v>12737.189770058543</v>
      </c>
      <c r="D689" s="14">
        <f t="shared" si="142"/>
        <v>20513.207919303004</v>
      </c>
      <c r="E689" s="2">
        <v>1</v>
      </c>
      <c r="F689" s="2">
        <f t="shared" si="138"/>
        <v>6.2000000000000028</v>
      </c>
      <c r="G689" s="17">
        <f t="shared" si="140"/>
        <v>0.26436666666666669</v>
      </c>
      <c r="H689" s="8">
        <f t="shared" si="132"/>
        <v>607410</v>
      </c>
      <c r="I689" s="9">
        <f t="shared" si="139"/>
        <v>24</v>
      </c>
      <c r="L689" s="2">
        <f t="shared" si="133"/>
        <v>607410</v>
      </c>
      <c r="M689" s="2">
        <f t="shared" si="134"/>
        <v>1037</v>
      </c>
      <c r="N689" s="15">
        <f t="shared" si="135"/>
        <v>12737.189770058543</v>
      </c>
      <c r="O689" s="15">
        <f t="shared" si="136"/>
        <v>20513.207919303004</v>
      </c>
      <c r="P689" s="16">
        <f>SUM($H$3:H689)</f>
        <v>147896680</v>
      </c>
      <c r="Q689" s="2">
        <f>SUM($I$3:I689)</f>
        <v>7461</v>
      </c>
    </row>
    <row r="690" spans="1:17" x14ac:dyDescent="0.3">
      <c r="A690" s="7">
        <f t="shared" si="137"/>
        <v>688</v>
      </c>
      <c r="B690" s="2">
        <f t="shared" si="137"/>
        <v>1038</v>
      </c>
      <c r="C690" s="14">
        <f t="shared" si="141"/>
        <v>12774.834185054708</v>
      </c>
      <c r="D690" s="14">
        <f t="shared" si="142"/>
        <v>20574.786198450067</v>
      </c>
      <c r="E690" s="2">
        <v>1</v>
      </c>
      <c r="F690" s="2">
        <f t="shared" si="138"/>
        <v>6.2000000000000028</v>
      </c>
      <c r="G690" s="17">
        <f t="shared" si="140"/>
        <v>0.26480000000000004</v>
      </c>
      <c r="H690" s="8">
        <f t="shared" si="132"/>
        <v>608940</v>
      </c>
      <c r="I690" s="9">
        <f t="shared" si="139"/>
        <v>24</v>
      </c>
      <c r="L690" s="2">
        <f t="shared" si="133"/>
        <v>608940</v>
      </c>
      <c r="M690" s="2">
        <f t="shared" si="134"/>
        <v>1038</v>
      </c>
      <c r="N690" s="15">
        <f t="shared" si="135"/>
        <v>12774.834185054708</v>
      </c>
      <c r="O690" s="15">
        <f t="shared" si="136"/>
        <v>20574.786198450067</v>
      </c>
      <c r="P690" s="16">
        <f>SUM($H$3:H690)</f>
        <v>148505620</v>
      </c>
      <c r="Q690" s="2">
        <f>SUM($I$3:I690)</f>
        <v>7485</v>
      </c>
    </row>
    <row r="691" spans="1:17" x14ac:dyDescent="0.3">
      <c r="A691" s="7">
        <f t="shared" si="137"/>
        <v>689</v>
      </c>
      <c r="B691" s="2">
        <f t="shared" si="137"/>
        <v>1039</v>
      </c>
      <c r="C691" s="14">
        <f t="shared" si="141"/>
        <v>12812.498009409821</v>
      </c>
      <c r="D691" s="14">
        <f t="shared" si="142"/>
        <v>20636.427993149737</v>
      </c>
      <c r="E691" s="2">
        <v>1</v>
      </c>
      <c r="F691" s="2">
        <f t="shared" si="138"/>
        <v>6.2000000000000028</v>
      </c>
      <c r="G691" s="17">
        <f t="shared" si="140"/>
        <v>0.26523333333333338</v>
      </c>
      <c r="H691" s="8">
        <f t="shared" si="132"/>
        <v>610470</v>
      </c>
      <c r="I691" s="9">
        <f t="shared" si="139"/>
        <v>24</v>
      </c>
      <c r="L691" s="2">
        <f t="shared" ref="L691:L702" si="143">H691</f>
        <v>610470</v>
      </c>
      <c r="M691" s="2">
        <f t="shared" ref="M691:M702" si="144">B691</f>
        <v>1039</v>
      </c>
      <c r="N691" s="15">
        <f t="shared" ref="N691:N702" si="145">C691</f>
        <v>12812.498009409821</v>
      </c>
      <c r="O691" s="15">
        <f t="shared" ref="O691:O702" si="146">D691</f>
        <v>20636.427993149737</v>
      </c>
      <c r="P691" s="16">
        <f>SUM($H$3:H691)</f>
        <v>149116090</v>
      </c>
      <c r="Q691" s="2">
        <f>SUM($I$3:I691)</f>
        <v>7509</v>
      </c>
    </row>
    <row r="692" spans="1:17" x14ac:dyDescent="0.3">
      <c r="A692" s="7">
        <f t="shared" si="137"/>
        <v>690</v>
      </c>
      <c r="B692" s="2">
        <f t="shared" si="137"/>
        <v>1040</v>
      </c>
      <c r="C692" s="14">
        <f t="shared" si="141"/>
        <v>12850.181203197124</v>
      </c>
      <c r="D692" s="14">
        <f t="shared" si="142"/>
        <v>20698.13320538402</v>
      </c>
      <c r="E692" s="2">
        <v>1</v>
      </c>
      <c r="F692" s="2">
        <f t="shared" si="138"/>
        <v>6.2000000000000028</v>
      </c>
      <c r="G692" s="17">
        <f t="shared" si="140"/>
        <v>0.26566666666666666</v>
      </c>
      <c r="H692" s="8">
        <f t="shared" si="132"/>
        <v>612000</v>
      </c>
      <c r="I692" s="9">
        <f t="shared" si="139"/>
        <v>24</v>
      </c>
      <c r="L692" s="2">
        <f t="shared" si="143"/>
        <v>612000</v>
      </c>
      <c r="M692" s="2">
        <f t="shared" si="144"/>
        <v>1040</v>
      </c>
      <c r="N692" s="15">
        <f t="shared" si="145"/>
        <v>12850.181203197124</v>
      </c>
      <c r="O692" s="15">
        <f t="shared" si="146"/>
        <v>20698.13320538402</v>
      </c>
      <c r="P692" s="16">
        <f>SUM($H$3:H692)</f>
        <v>149728090</v>
      </c>
      <c r="Q692" s="2">
        <f>SUM($I$3:I692)</f>
        <v>7533</v>
      </c>
    </row>
    <row r="693" spans="1:17" x14ac:dyDescent="0.3">
      <c r="A693" s="7">
        <f t="shared" si="137"/>
        <v>691</v>
      </c>
      <c r="B693" s="2">
        <f t="shared" si="137"/>
        <v>1041</v>
      </c>
      <c r="C693" s="14">
        <f t="shared" si="141"/>
        <v>12887.88372667415</v>
      </c>
      <c r="D693" s="14">
        <f t="shared" si="142"/>
        <v>20759.901737537144</v>
      </c>
      <c r="E693" s="2">
        <v>1</v>
      </c>
      <c r="F693" s="2">
        <f t="shared" si="138"/>
        <v>6.2000000000000028</v>
      </c>
      <c r="G693" s="17">
        <f t="shared" si="140"/>
        <v>0.2661</v>
      </c>
      <c r="H693" s="8">
        <f t="shared" si="132"/>
        <v>613530</v>
      </c>
      <c r="I693" s="9">
        <f t="shared" si="139"/>
        <v>24</v>
      </c>
      <c r="L693" s="2">
        <f t="shared" si="143"/>
        <v>613530</v>
      </c>
      <c r="M693" s="2">
        <f t="shared" si="144"/>
        <v>1041</v>
      </c>
      <c r="N693" s="15">
        <f t="shared" si="145"/>
        <v>12887.88372667415</v>
      </c>
      <c r="O693" s="15">
        <f t="shared" si="146"/>
        <v>20759.901737537144</v>
      </c>
      <c r="P693" s="16">
        <f>SUM($H$3:H693)</f>
        <v>150341620</v>
      </c>
      <c r="Q693" s="2">
        <f>SUM($I$3:I693)</f>
        <v>7557</v>
      </c>
    </row>
    <row r="694" spans="1:17" x14ac:dyDescent="0.3">
      <c r="A694" s="7">
        <f t="shared" si="137"/>
        <v>692</v>
      </c>
      <c r="B694" s="2">
        <f t="shared" si="137"/>
        <v>1042</v>
      </c>
      <c r="C694" s="14">
        <f t="shared" si="141"/>
        <v>12925.605540281456</v>
      </c>
      <c r="D694" s="14">
        <f t="shared" si="142"/>
        <v>20821.733492393098</v>
      </c>
      <c r="E694" s="2">
        <v>1</v>
      </c>
      <c r="F694" s="2">
        <f t="shared" si="138"/>
        <v>6.2000000000000028</v>
      </c>
      <c r="G694" s="17">
        <f t="shared" si="140"/>
        <v>0.26653333333333334</v>
      </c>
      <c r="H694" s="8">
        <f t="shared" si="132"/>
        <v>615060</v>
      </c>
      <c r="I694" s="9">
        <f t="shared" si="139"/>
        <v>24</v>
      </c>
      <c r="L694" s="2">
        <f t="shared" si="143"/>
        <v>615060</v>
      </c>
      <c r="M694" s="2">
        <f t="shared" si="144"/>
        <v>1042</v>
      </c>
      <c r="N694" s="15">
        <f t="shared" si="145"/>
        <v>12925.605540281456</v>
      </c>
      <c r="O694" s="15">
        <f t="shared" si="146"/>
        <v>20821.733492393098</v>
      </c>
      <c r="P694" s="16">
        <f>SUM($H$3:H694)</f>
        <v>150956680</v>
      </c>
      <c r="Q694" s="2">
        <f>SUM($I$3:I694)</f>
        <v>7581</v>
      </c>
    </row>
    <row r="695" spans="1:17" x14ac:dyDescent="0.3">
      <c r="A695" s="7">
        <f t="shared" si="137"/>
        <v>693</v>
      </c>
      <c r="B695" s="2">
        <f t="shared" si="137"/>
        <v>1043</v>
      </c>
      <c r="C695" s="14">
        <f t="shared" si="141"/>
        <v>12963.346604641327</v>
      </c>
      <c r="D695" s="14">
        <f t="shared" si="142"/>
        <v>20883.628373132844</v>
      </c>
      <c r="E695" s="2">
        <v>1</v>
      </c>
      <c r="F695" s="2">
        <f t="shared" si="138"/>
        <v>6.2000000000000028</v>
      </c>
      <c r="G695" s="17">
        <f t="shared" si="140"/>
        <v>0.26696666666666669</v>
      </c>
      <c r="H695" s="8">
        <f t="shared" ref="H695:H758" si="147">(A695-290)*1530</f>
        <v>616590</v>
      </c>
      <c r="I695" s="9">
        <f t="shared" si="139"/>
        <v>24</v>
      </c>
      <c r="L695" s="2">
        <f t="shared" si="143"/>
        <v>616590</v>
      </c>
      <c r="M695" s="2">
        <f t="shared" si="144"/>
        <v>1043</v>
      </c>
      <c r="N695" s="15">
        <f t="shared" si="145"/>
        <v>12963.346604641327</v>
      </c>
      <c r="O695" s="15">
        <f t="shared" si="146"/>
        <v>20883.628373132844</v>
      </c>
      <c r="P695" s="16">
        <f>SUM($H$3:H695)</f>
        <v>151573270</v>
      </c>
      <c r="Q695" s="2">
        <f>SUM($I$3:I695)</f>
        <v>7605</v>
      </c>
    </row>
    <row r="696" spans="1:17" x14ac:dyDescent="0.3">
      <c r="A696" s="7">
        <f t="shared" si="137"/>
        <v>694</v>
      </c>
      <c r="B696" s="2">
        <f t="shared" si="137"/>
        <v>1044</v>
      </c>
      <c r="C696" s="14">
        <f t="shared" si="141"/>
        <v>13001.106880556414</v>
      </c>
      <c r="D696" s="14">
        <f t="shared" si="142"/>
        <v>20945.58628333169</v>
      </c>
      <c r="E696" s="2">
        <v>1</v>
      </c>
      <c r="F696" s="2">
        <f t="shared" si="138"/>
        <v>6.2000000000000028</v>
      </c>
      <c r="G696" s="17">
        <f t="shared" si="140"/>
        <v>0.26740000000000003</v>
      </c>
      <c r="H696" s="8">
        <f t="shared" si="147"/>
        <v>618120</v>
      </c>
      <c r="I696" s="9">
        <f t="shared" si="139"/>
        <v>24</v>
      </c>
      <c r="L696" s="2">
        <f t="shared" si="143"/>
        <v>618120</v>
      </c>
      <c r="M696" s="2">
        <f t="shared" si="144"/>
        <v>1044</v>
      </c>
      <c r="N696" s="15">
        <f t="shared" si="145"/>
        <v>13001.106880556414</v>
      </c>
      <c r="O696" s="15">
        <f t="shared" si="146"/>
        <v>20945.58628333169</v>
      </c>
      <c r="P696" s="16">
        <f>SUM($H$3:H696)</f>
        <v>152191390</v>
      </c>
      <c r="Q696" s="2">
        <f>SUM($I$3:I696)</f>
        <v>7629</v>
      </c>
    </row>
    <row r="697" spans="1:17" x14ac:dyDescent="0.3">
      <c r="A697" s="7">
        <f t="shared" si="137"/>
        <v>695</v>
      </c>
      <c r="B697" s="2">
        <f t="shared" si="137"/>
        <v>1045</v>
      </c>
      <c r="C697" s="14">
        <f t="shared" si="141"/>
        <v>13038.886329008481</v>
      </c>
      <c r="D697" s="14">
        <f t="shared" si="142"/>
        <v>21007.607126956798</v>
      </c>
      <c r="E697" s="2">
        <v>1</v>
      </c>
      <c r="F697" s="2">
        <f t="shared" si="138"/>
        <v>6.2000000000000028</v>
      </c>
      <c r="G697" s="17">
        <f t="shared" si="140"/>
        <v>0.26783333333333337</v>
      </c>
      <c r="H697" s="8">
        <f t="shared" si="147"/>
        <v>619650</v>
      </c>
      <c r="I697" s="9">
        <f t="shared" si="139"/>
        <v>24</v>
      </c>
      <c r="L697" s="2">
        <f t="shared" si="143"/>
        <v>619650</v>
      </c>
      <c r="M697" s="2">
        <f t="shared" si="144"/>
        <v>1045</v>
      </c>
      <c r="N697" s="15">
        <f t="shared" si="145"/>
        <v>13038.886329008481</v>
      </c>
      <c r="O697" s="15">
        <f t="shared" si="146"/>
        <v>21007.607126956798</v>
      </c>
      <c r="P697" s="16">
        <f>SUM($H$3:H697)</f>
        <v>152811040</v>
      </c>
      <c r="Q697" s="2">
        <f>SUM($I$3:I697)</f>
        <v>7653</v>
      </c>
    </row>
    <row r="698" spans="1:17" x14ac:dyDescent="0.3">
      <c r="A698" s="7">
        <f t="shared" si="137"/>
        <v>696</v>
      </c>
      <c r="B698" s="2">
        <f t="shared" si="137"/>
        <v>1046</v>
      </c>
      <c r="C698" s="14">
        <f t="shared" si="141"/>
        <v>13076.684911157159</v>
      </c>
      <c r="D698" s="14">
        <f t="shared" si="142"/>
        <v>21069.690808364398</v>
      </c>
      <c r="E698" s="2">
        <v>1</v>
      </c>
      <c r="F698" s="2">
        <f t="shared" si="138"/>
        <v>6.2000000000000028</v>
      </c>
      <c r="G698" s="17">
        <f t="shared" si="140"/>
        <v>0.26826666666666665</v>
      </c>
      <c r="H698" s="8">
        <f t="shared" si="147"/>
        <v>621180</v>
      </c>
      <c r="I698" s="9">
        <f t="shared" si="139"/>
        <v>24</v>
      </c>
      <c r="L698" s="2">
        <f t="shared" si="143"/>
        <v>621180</v>
      </c>
      <c r="M698" s="2">
        <f t="shared" si="144"/>
        <v>1046</v>
      </c>
      <c r="N698" s="15">
        <f t="shared" si="145"/>
        <v>13076.684911157159</v>
      </c>
      <c r="O698" s="15">
        <f t="shared" si="146"/>
        <v>21069.690808364398</v>
      </c>
      <c r="P698" s="16">
        <f>SUM($H$3:H698)</f>
        <v>153432220</v>
      </c>
      <c r="Q698" s="2">
        <f>SUM($I$3:I698)</f>
        <v>7677</v>
      </c>
    </row>
    <row r="699" spans="1:17" x14ac:dyDescent="0.3">
      <c r="A699" s="7">
        <f t="shared" si="137"/>
        <v>697</v>
      </c>
      <c r="B699" s="2">
        <f t="shared" si="137"/>
        <v>1047</v>
      </c>
      <c r="C699" s="14">
        <f t="shared" si="141"/>
        <v>13114.502588338693</v>
      </c>
      <c r="D699" s="14">
        <f t="shared" si="142"/>
        <v>21131.837232297461</v>
      </c>
      <c r="E699" s="2">
        <v>1</v>
      </c>
      <c r="F699" s="2">
        <f t="shared" si="138"/>
        <v>6.2000000000000028</v>
      </c>
      <c r="G699" s="17">
        <f t="shared" si="140"/>
        <v>0.26870000000000005</v>
      </c>
      <c r="H699" s="8">
        <f t="shared" si="147"/>
        <v>622710</v>
      </c>
      <c r="I699" s="9">
        <f t="shared" si="139"/>
        <v>24</v>
      </c>
      <c r="L699" s="2">
        <f t="shared" si="143"/>
        <v>622710</v>
      </c>
      <c r="M699" s="2">
        <f t="shared" si="144"/>
        <v>1047</v>
      </c>
      <c r="N699" s="15">
        <f t="shared" si="145"/>
        <v>13114.502588338693</v>
      </c>
      <c r="O699" s="15">
        <f t="shared" si="146"/>
        <v>21131.837232297461</v>
      </c>
      <c r="P699" s="16">
        <f>SUM($H$3:H699)</f>
        <v>154054930</v>
      </c>
      <c r="Q699" s="2">
        <f>SUM($I$3:I699)</f>
        <v>7701</v>
      </c>
    </row>
    <row r="700" spans="1:17" x14ac:dyDescent="0.3">
      <c r="A700" s="7">
        <f t="shared" si="137"/>
        <v>698</v>
      </c>
      <c r="B700" s="2">
        <f t="shared" si="137"/>
        <v>1048</v>
      </c>
      <c r="C700" s="14">
        <f t="shared" si="141"/>
        <v>13152.339322064619</v>
      </c>
      <c r="D700" s="14">
        <f t="shared" si="142"/>
        <v>21194.046303882995</v>
      </c>
      <c r="E700" s="2">
        <v>1</v>
      </c>
      <c r="F700" s="2">
        <f t="shared" si="138"/>
        <v>6.2000000000000028</v>
      </c>
      <c r="G700" s="17">
        <f t="shared" si="140"/>
        <v>0.26913333333333334</v>
      </c>
      <c r="H700" s="8">
        <f t="shared" si="147"/>
        <v>624240</v>
      </c>
      <c r="I700" s="9">
        <f t="shared" si="139"/>
        <v>24</v>
      </c>
      <c r="L700" s="2">
        <f t="shared" si="143"/>
        <v>624240</v>
      </c>
      <c r="M700" s="2">
        <f t="shared" si="144"/>
        <v>1048</v>
      </c>
      <c r="N700" s="15">
        <f t="shared" si="145"/>
        <v>13152.339322064619</v>
      </c>
      <c r="O700" s="15">
        <f t="shared" si="146"/>
        <v>21194.046303882995</v>
      </c>
      <c r="P700" s="16">
        <f>SUM($H$3:H700)</f>
        <v>154679170</v>
      </c>
      <c r="Q700" s="2">
        <f>SUM($I$3:I700)</f>
        <v>7725</v>
      </c>
    </row>
    <row r="701" spans="1:17" x14ac:dyDescent="0.3">
      <c r="A701" s="7">
        <f t="shared" si="137"/>
        <v>699</v>
      </c>
      <c r="B701" s="2">
        <f t="shared" si="137"/>
        <v>1049</v>
      </c>
      <c r="C701" s="14">
        <f t="shared" si="141"/>
        <v>13190.195074020656</v>
      </c>
      <c r="D701" s="14">
        <f t="shared" si="142"/>
        <v>21256.317928629702</v>
      </c>
      <c r="E701" s="2">
        <v>1</v>
      </c>
      <c r="F701" s="2">
        <f t="shared" si="138"/>
        <v>6.2000000000000028</v>
      </c>
      <c r="G701" s="17">
        <f t="shared" si="140"/>
        <v>0.26956666666666668</v>
      </c>
      <c r="H701" s="8">
        <f t="shared" si="147"/>
        <v>625770</v>
      </c>
      <c r="I701" s="9">
        <f t="shared" si="139"/>
        <v>24</v>
      </c>
      <c r="L701" s="2">
        <f t="shared" si="143"/>
        <v>625770</v>
      </c>
      <c r="M701" s="2">
        <f t="shared" si="144"/>
        <v>1049</v>
      </c>
      <c r="N701" s="15">
        <f t="shared" si="145"/>
        <v>13190.195074020656</v>
      </c>
      <c r="O701" s="15">
        <f t="shared" si="146"/>
        <v>21256.317928629702</v>
      </c>
      <c r="P701" s="16">
        <f>SUM($H$3:H701)</f>
        <v>155304940</v>
      </c>
      <c r="Q701" s="2">
        <f>SUM($I$3:I701)</f>
        <v>7749</v>
      </c>
    </row>
    <row r="702" spans="1:17" x14ac:dyDescent="0.3">
      <c r="A702" s="7">
        <f t="shared" si="137"/>
        <v>700</v>
      </c>
      <c r="B702" s="2">
        <f t="shared" si="137"/>
        <v>1050</v>
      </c>
      <c r="C702" s="14">
        <f t="shared" si="141"/>
        <v>13228.069806065343</v>
      </c>
      <c r="D702" s="14">
        <f t="shared" si="142"/>
        <v>21318.652012425198</v>
      </c>
      <c r="E702" s="2">
        <v>1</v>
      </c>
      <c r="F702" s="2">
        <f t="shared" si="138"/>
        <v>6.400000000000003</v>
      </c>
      <c r="G702" s="17">
        <f t="shared" si="140"/>
        <v>0.27</v>
      </c>
      <c r="H702" s="8">
        <f t="shared" si="147"/>
        <v>627300</v>
      </c>
      <c r="I702" s="9">
        <v>25</v>
      </c>
      <c r="L702" s="2">
        <f t="shared" si="143"/>
        <v>627300</v>
      </c>
      <c r="M702" s="2">
        <f t="shared" si="144"/>
        <v>1050</v>
      </c>
      <c r="N702" s="15">
        <f t="shared" si="145"/>
        <v>13228.069806065343</v>
      </c>
      <c r="O702" s="15">
        <f t="shared" si="146"/>
        <v>21318.652012425198</v>
      </c>
      <c r="P702" s="16">
        <f>SUM($H$3:H702)</f>
        <v>155932240</v>
      </c>
      <c r="Q702" s="2">
        <f>SUM($I$3:I702)</f>
        <v>7774</v>
      </c>
    </row>
    <row r="703" spans="1:17" x14ac:dyDescent="0.3">
      <c r="A703" s="7">
        <f t="shared" si="137"/>
        <v>701</v>
      </c>
      <c r="B703" s="2">
        <f t="shared" si="137"/>
        <v>1051</v>
      </c>
      <c r="C703" s="14">
        <f t="shared" si="141"/>
        <v>13265.963480228955</v>
      </c>
      <c r="D703" s="14">
        <f t="shared" si="142"/>
        <v>21381.048461533974</v>
      </c>
      <c r="E703" s="2">
        <v>1</v>
      </c>
      <c r="F703" s="2">
        <f t="shared" si="138"/>
        <v>6.400000000000003</v>
      </c>
      <c r="G703" s="17">
        <f t="shared" si="140"/>
        <v>0.27043333333333336</v>
      </c>
      <c r="H703" s="8">
        <f t="shared" si="147"/>
        <v>628830</v>
      </c>
      <c r="I703" s="9">
        <v>25</v>
      </c>
      <c r="L703" s="2">
        <f t="shared" ref="L703:L712" si="148">H703</f>
        <v>628830</v>
      </c>
      <c r="M703" s="2">
        <f t="shared" ref="M703:M712" si="149">B703</f>
        <v>1051</v>
      </c>
      <c r="N703" s="15">
        <f t="shared" ref="N703:N712" si="150">C703</f>
        <v>13265.963480228955</v>
      </c>
      <c r="O703" s="15">
        <f t="shared" ref="O703:O712" si="151">D703</f>
        <v>21381.048461533974</v>
      </c>
      <c r="P703" s="16">
        <f>SUM($H$3:H703)</f>
        <v>156561070</v>
      </c>
      <c r="Q703" s="2">
        <f>SUM($I$3:I703)</f>
        <v>7799</v>
      </c>
    </row>
    <row r="704" spans="1:17" x14ac:dyDescent="0.3">
      <c r="A704" s="7">
        <f t="shared" si="137"/>
        <v>702</v>
      </c>
      <c r="B704" s="2">
        <f t="shared" si="137"/>
        <v>1052</v>
      </c>
      <c r="C704" s="14">
        <f t="shared" si="141"/>
        <v>13303.876058712209</v>
      </c>
      <c r="D704" s="14">
        <f t="shared" si="142"/>
        <v>21443.507182594549</v>
      </c>
      <c r="E704" s="2">
        <v>1</v>
      </c>
      <c r="F704" s="2">
        <f t="shared" si="138"/>
        <v>6.400000000000003</v>
      </c>
      <c r="G704" s="17">
        <f t="shared" si="140"/>
        <v>0.2708666666666667</v>
      </c>
      <c r="H704" s="8">
        <f t="shared" si="147"/>
        <v>630360</v>
      </c>
      <c r="I704" s="9">
        <v>25</v>
      </c>
      <c r="L704" s="2">
        <f t="shared" si="148"/>
        <v>630360</v>
      </c>
      <c r="M704" s="2">
        <f t="shared" si="149"/>
        <v>1052</v>
      </c>
      <c r="N704" s="15">
        <f t="shared" si="150"/>
        <v>13303.876058712209</v>
      </c>
      <c r="O704" s="15">
        <f t="shared" si="151"/>
        <v>21443.507182594549</v>
      </c>
      <c r="P704" s="16">
        <f>SUM($H$3:H704)</f>
        <v>157191430</v>
      </c>
      <c r="Q704" s="2">
        <f>SUM($I$3:I704)</f>
        <v>7824</v>
      </c>
    </row>
    <row r="705" spans="1:17" x14ac:dyDescent="0.3">
      <c r="A705" s="7">
        <f t="shared" si="137"/>
        <v>703</v>
      </c>
      <c r="B705" s="2">
        <f t="shared" si="137"/>
        <v>1053</v>
      </c>
      <c r="C705" s="14">
        <f t="shared" si="141"/>
        <v>13341.80750388514</v>
      </c>
      <c r="D705" s="14">
        <f t="shared" si="142"/>
        <v>21506.028082617195</v>
      </c>
      <c r="E705" s="2">
        <v>1</v>
      </c>
      <c r="F705" s="2">
        <f t="shared" si="138"/>
        <v>6.400000000000003</v>
      </c>
      <c r="G705" s="17">
        <f t="shared" si="140"/>
        <v>0.27130000000000004</v>
      </c>
      <c r="H705" s="8">
        <f t="shared" si="147"/>
        <v>631890</v>
      </c>
      <c r="I705" s="9">
        <v>25</v>
      </c>
      <c r="L705" s="2">
        <f t="shared" si="148"/>
        <v>631890</v>
      </c>
      <c r="M705" s="2">
        <f t="shared" si="149"/>
        <v>1053</v>
      </c>
      <c r="N705" s="15">
        <f t="shared" si="150"/>
        <v>13341.80750388514</v>
      </c>
      <c r="O705" s="15">
        <f t="shared" si="151"/>
        <v>21506.028082617195</v>
      </c>
      <c r="P705" s="16">
        <f>SUM($H$3:H705)</f>
        <v>157823320</v>
      </c>
      <c r="Q705" s="2">
        <f>SUM($I$3:I705)</f>
        <v>7849</v>
      </c>
    </row>
    <row r="706" spans="1:17" x14ac:dyDescent="0.3">
      <c r="A706" s="7">
        <f t="shared" si="137"/>
        <v>704</v>
      </c>
      <c r="B706" s="2">
        <f t="shared" si="137"/>
        <v>1054</v>
      </c>
      <c r="C706" s="14">
        <f t="shared" si="141"/>
        <v>13379.757778285897</v>
      </c>
      <c r="D706" s="14">
        <f t="shared" si="142"/>
        <v>21568.61106898178</v>
      </c>
      <c r="E706" s="2">
        <v>1</v>
      </c>
      <c r="F706" s="2">
        <f t="shared" si="138"/>
        <v>6.400000000000003</v>
      </c>
      <c r="G706" s="17">
        <f t="shared" si="140"/>
        <v>0.27173333333333333</v>
      </c>
      <c r="H706" s="8">
        <f t="shared" si="147"/>
        <v>633420</v>
      </c>
      <c r="I706" s="9">
        <v>25</v>
      </c>
      <c r="L706" s="2">
        <f t="shared" si="148"/>
        <v>633420</v>
      </c>
      <c r="M706" s="2">
        <f t="shared" si="149"/>
        <v>1054</v>
      </c>
      <c r="N706" s="15">
        <f t="shared" si="150"/>
        <v>13379.757778285897</v>
      </c>
      <c r="O706" s="15">
        <f t="shared" si="151"/>
        <v>21568.61106898178</v>
      </c>
      <c r="P706" s="16">
        <f>SUM($H$3:H706)</f>
        <v>158456740</v>
      </c>
      <c r="Q706" s="2">
        <f>SUM($I$3:I706)</f>
        <v>7874</v>
      </c>
    </row>
    <row r="707" spans="1:17" x14ac:dyDescent="0.3">
      <c r="A707" s="7">
        <f t="shared" si="137"/>
        <v>705</v>
      </c>
      <c r="B707" s="2">
        <f t="shared" si="137"/>
        <v>1055</v>
      </c>
      <c r="C707" s="14">
        <f t="shared" si="141"/>
        <v>13417.726844619543</v>
      </c>
      <c r="D707" s="14">
        <f t="shared" si="142"/>
        <v>21631.256049434847</v>
      </c>
      <c r="E707" s="2">
        <v>1</v>
      </c>
      <c r="F707" s="2">
        <f t="shared" si="138"/>
        <v>6.400000000000003</v>
      </c>
      <c r="G707" s="17">
        <f t="shared" si="140"/>
        <v>0.27216666666666667</v>
      </c>
      <c r="H707" s="8">
        <f t="shared" si="147"/>
        <v>634950</v>
      </c>
      <c r="I707" s="9">
        <v>25</v>
      </c>
      <c r="L707" s="2">
        <f t="shared" si="148"/>
        <v>634950</v>
      </c>
      <c r="M707" s="2">
        <f t="shared" si="149"/>
        <v>1055</v>
      </c>
      <c r="N707" s="15">
        <f t="shared" si="150"/>
        <v>13417.726844619543</v>
      </c>
      <c r="O707" s="15">
        <f t="shared" si="151"/>
        <v>21631.256049434847</v>
      </c>
      <c r="P707" s="16">
        <f>SUM($H$3:H707)</f>
        <v>159091690</v>
      </c>
      <c r="Q707" s="2">
        <f>SUM($I$3:I707)</f>
        <v>7899</v>
      </c>
    </row>
    <row r="708" spans="1:17" x14ac:dyDescent="0.3">
      <c r="A708" s="7">
        <f t="shared" si="137"/>
        <v>706</v>
      </c>
      <c r="B708" s="2">
        <f t="shared" si="137"/>
        <v>1056</v>
      </c>
      <c r="C708" s="14">
        <f t="shared" si="141"/>
        <v>13455.714665757008</v>
      </c>
      <c r="D708" s="14">
        <f t="shared" si="142"/>
        <v>21693.962932087834</v>
      </c>
      <c r="E708" s="2">
        <v>1</v>
      </c>
      <c r="F708" s="2">
        <f t="shared" si="138"/>
        <v>6.400000000000003</v>
      </c>
      <c r="G708" s="17">
        <f t="shared" si="140"/>
        <v>0.27260000000000001</v>
      </c>
      <c r="H708" s="8">
        <f t="shared" si="147"/>
        <v>636480</v>
      </c>
      <c r="I708" s="9">
        <v>25</v>
      </c>
      <c r="L708" s="2">
        <f t="shared" si="148"/>
        <v>636480</v>
      </c>
      <c r="M708" s="2">
        <f t="shared" si="149"/>
        <v>1056</v>
      </c>
      <c r="N708" s="15">
        <f t="shared" si="150"/>
        <v>13455.714665757008</v>
      </c>
      <c r="O708" s="15">
        <f t="shared" si="151"/>
        <v>21693.962932087834</v>
      </c>
      <c r="P708" s="16">
        <f>SUM($H$3:H708)</f>
        <v>159728170</v>
      </c>
      <c r="Q708" s="2">
        <f>SUM($I$3:I708)</f>
        <v>7924</v>
      </c>
    </row>
    <row r="709" spans="1:17" x14ac:dyDescent="0.3">
      <c r="A709" s="7">
        <f t="shared" ref="A709:B772" si="152">A708+1</f>
        <v>707</v>
      </c>
      <c r="B709" s="2">
        <f t="shared" si="152"/>
        <v>1057</v>
      </c>
      <c r="C709" s="14">
        <f t="shared" si="141"/>
        <v>13493.7212047338</v>
      </c>
      <c r="D709" s="14">
        <f t="shared" si="142"/>
        <v>21756.731625414384</v>
      </c>
      <c r="E709" s="2">
        <v>1</v>
      </c>
      <c r="F709" s="2">
        <f t="shared" si="138"/>
        <v>6.400000000000003</v>
      </c>
      <c r="G709" s="17">
        <f t="shared" si="140"/>
        <v>0.27303333333333335</v>
      </c>
      <c r="H709" s="8">
        <f t="shared" si="147"/>
        <v>638010</v>
      </c>
      <c r="I709" s="9">
        <v>25</v>
      </c>
      <c r="L709" s="2">
        <f t="shared" si="148"/>
        <v>638010</v>
      </c>
      <c r="M709" s="2">
        <f t="shared" si="149"/>
        <v>1057</v>
      </c>
      <c r="N709" s="15">
        <f t="shared" si="150"/>
        <v>13493.7212047338</v>
      </c>
      <c r="O709" s="15">
        <f t="shared" si="151"/>
        <v>21756.731625414384</v>
      </c>
      <c r="P709" s="16">
        <f>SUM($H$3:H709)</f>
        <v>160366180</v>
      </c>
      <c r="Q709" s="2">
        <f>SUM($I$3:I709)</f>
        <v>7949</v>
      </c>
    </row>
    <row r="710" spans="1:17" x14ac:dyDescent="0.3">
      <c r="A710" s="7">
        <f t="shared" si="152"/>
        <v>708</v>
      </c>
      <c r="B710" s="2">
        <f t="shared" si="152"/>
        <v>1058</v>
      </c>
      <c r="C710" s="14">
        <f t="shared" si="141"/>
        <v>13531.746424749006</v>
      </c>
      <c r="D710" s="14">
        <f t="shared" si="142"/>
        <v>21819.562038248161</v>
      </c>
      <c r="E710" s="2">
        <v>1</v>
      </c>
      <c r="F710" s="2">
        <f t="shared" si="138"/>
        <v>6.400000000000003</v>
      </c>
      <c r="G710" s="17">
        <f t="shared" si="140"/>
        <v>0.27346666666666669</v>
      </c>
      <c r="H710" s="8">
        <f t="shared" si="147"/>
        <v>639540</v>
      </c>
      <c r="I710" s="9">
        <v>25</v>
      </c>
      <c r="L710" s="2">
        <f t="shared" si="148"/>
        <v>639540</v>
      </c>
      <c r="M710" s="2">
        <f t="shared" si="149"/>
        <v>1058</v>
      </c>
      <c r="N710" s="15">
        <f t="shared" si="150"/>
        <v>13531.746424749006</v>
      </c>
      <c r="O710" s="15">
        <f t="shared" si="151"/>
        <v>21819.562038248161</v>
      </c>
      <c r="P710" s="16">
        <f>SUM($H$3:H710)</f>
        <v>161005720</v>
      </c>
      <c r="Q710" s="2">
        <f>SUM($I$3:I710)</f>
        <v>7974</v>
      </c>
    </row>
    <row r="711" spans="1:17" x14ac:dyDescent="0.3">
      <c r="A711" s="7">
        <f t="shared" si="152"/>
        <v>709</v>
      </c>
      <c r="B711" s="2">
        <f t="shared" si="152"/>
        <v>1059</v>
      </c>
      <c r="C711" s="14">
        <f t="shared" si="141"/>
        <v>13569.790289164093</v>
      </c>
      <c r="D711" s="14">
        <f t="shared" si="142"/>
        <v>21882.454079780473</v>
      </c>
      <c r="E711" s="2">
        <v>1</v>
      </c>
      <c r="F711" s="2">
        <f t="shared" si="138"/>
        <v>6.400000000000003</v>
      </c>
      <c r="G711" s="17">
        <f t="shared" si="140"/>
        <v>0.27390000000000003</v>
      </c>
      <c r="H711" s="8">
        <f t="shared" si="147"/>
        <v>641070</v>
      </c>
      <c r="I711" s="9">
        <v>25</v>
      </c>
      <c r="L711" s="2">
        <f t="shared" si="148"/>
        <v>641070</v>
      </c>
      <c r="M711" s="2">
        <f t="shared" si="149"/>
        <v>1059</v>
      </c>
      <c r="N711" s="15">
        <f t="shared" si="150"/>
        <v>13569.790289164093</v>
      </c>
      <c r="O711" s="15">
        <f t="shared" si="151"/>
        <v>21882.454079780473</v>
      </c>
      <c r="P711" s="16">
        <f>SUM($H$3:H711)</f>
        <v>161646790</v>
      </c>
      <c r="Q711" s="2">
        <f>SUM($I$3:I711)</f>
        <v>7999</v>
      </c>
    </row>
    <row r="712" spans="1:17" x14ac:dyDescent="0.3">
      <c r="A712" s="7">
        <f t="shared" si="152"/>
        <v>710</v>
      </c>
      <c r="B712" s="2">
        <f t="shared" si="152"/>
        <v>1060</v>
      </c>
      <c r="C712" s="14">
        <f t="shared" si="141"/>
        <v>13607.852761501776</v>
      </c>
      <c r="D712" s="14">
        <f t="shared" si="142"/>
        <v>21945.407659558015</v>
      </c>
      <c r="E712" s="2">
        <v>1</v>
      </c>
      <c r="F712" s="2">
        <f t="shared" si="138"/>
        <v>6.400000000000003</v>
      </c>
      <c r="G712" s="17">
        <f t="shared" si="140"/>
        <v>0.27433333333333337</v>
      </c>
      <c r="H712" s="8">
        <f t="shared" si="147"/>
        <v>642600</v>
      </c>
      <c r="I712" s="9">
        <v>25</v>
      </c>
      <c r="L712" s="2">
        <f t="shared" si="148"/>
        <v>642600</v>
      </c>
      <c r="M712" s="2">
        <f t="shared" si="149"/>
        <v>1060</v>
      </c>
      <c r="N712" s="15">
        <f t="shared" si="150"/>
        <v>13607.852761501776</v>
      </c>
      <c r="O712" s="15">
        <f t="shared" si="151"/>
        <v>21945.407659558015</v>
      </c>
      <c r="P712" s="16">
        <f>SUM($H$3:H712)</f>
        <v>162289390</v>
      </c>
      <c r="Q712" s="2">
        <f>SUM($I$3:I712)</f>
        <v>8024</v>
      </c>
    </row>
    <row r="713" spans="1:17" x14ac:dyDescent="0.3">
      <c r="A713" s="7">
        <f t="shared" si="152"/>
        <v>711</v>
      </c>
      <c r="B713" s="2">
        <f t="shared" si="152"/>
        <v>1061</v>
      </c>
      <c r="C713" s="14">
        <f t="shared" si="141"/>
        <v>13645.933805444984</v>
      </c>
      <c r="D713" s="14">
        <f t="shared" si="142"/>
        <v>22008.422687480743</v>
      </c>
      <c r="E713" s="2">
        <v>1</v>
      </c>
      <c r="F713" s="2">
        <f t="shared" si="138"/>
        <v>6.400000000000003</v>
      </c>
      <c r="G713" s="17">
        <f t="shared" si="140"/>
        <v>0.27476666666666671</v>
      </c>
      <c r="H713" s="8">
        <f t="shared" si="147"/>
        <v>644130</v>
      </c>
      <c r="I713" s="9">
        <v>25</v>
      </c>
      <c r="L713" s="2">
        <f t="shared" ref="L713:L776" si="153">H713</f>
        <v>644130</v>
      </c>
      <c r="M713" s="2">
        <f t="shared" ref="M713:M776" si="154">B713</f>
        <v>1061</v>
      </c>
      <c r="N713" s="15">
        <f t="shared" ref="N713:N776" si="155">C713</f>
        <v>13645.933805444984</v>
      </c>
      <c r="O713" s="15">
        <f t="shared" ref="O713:O776" si="156">D713</f>
        <v>22008.422687480743</v>
      </c>
      <c r="P713" s="16">
        <f>SUM($H$3:H713)</f>
        <v>162933520</v>
      </c>
      <c r="Q713" s="2">
        <f>SUM($I$3:I713)</f>
        <v>8049</v>
      </c>
    </row>
    <row r="714" spans="1:17" x14ac:dyDescent="0.3">
      <c r="A714" s="7">
        <f t="shared" si="152"/>
        <v>712</v>
      </c>
      <c r="B714" s="2">
        <f t="shared" si="152"/>
        <v>1062</v>
      </c>
      <c r="C714" s="14">
        <f t="shared" si="141"/>
        <v>13684.033384835786</v>
      </c>
      <c r="D714" s="14">
        <f t="shared" si="142"/>
        <v>22071.499073799525</v>
      </c>
      <c r="E714" s="2">
        <v>1</v>
      </c>
      <c r="F714" s="2">
        <f t="shared" si="138"/>
        <v>6.400000000000003</v>
      </c>
      <c r="G714" s="17">
        <f t="shared" si="140"/>
        <v>0.2752</v>
      </c>
      <c r="H714" s="8">
        <f t="shared" si="147"/>
        <v>645660</v>
      </c>
      <c r="I714" s="9">
        <v>25</v>
      </c>
      <c r="L714" s="2">
        <f t="shared" si="153"/>
        <v>645660</v>
      </c>
      <c r="M714" s="2">
        <f t="shared" si="154"/>
        <v>1062</v>
      </c>
      <c r="N714" s="15">
        <f t="shared" si="155"/>
        <v>13684.033384835786</v>
      </c>
      <c r="O714" s="15">
        <f t="shared" si="156"/>
        <v>22071.499073799525</v>
      </c>
      <c r="P714" s="16">
        <f>SUM($H$3:H714)</f>
        <v>163579180</v>
      </c>
      <c r="Q714" s="2">
        <f>SUM($I$3:I714)</f>
        <v>8074</v>
      </c>
    </row>
    <row r="715" spans="1:17" x14ac:dyDescent="0.3">
      <c r="A715" s="7">
        <f t="shared" si="152"/>
        <v>713</v>
      </c>
      <c r="B715" s="2">
        <f t="shared" si="152"/>
        <v>1063</v>
      </c>
      <c r="C715" s="14">
        <f t="shared" si="141"/>
        <v>13722.151463674172</v>
      </c>
      <c r="D715" s="14">
        <f t="shared" si="142"/>
        <v>22134.636729113841</v>
      </c>
      <c r="E715" s="2">
        <v>1</v>
      </c>
      <c r="F715" s="2">
        <f t="shared" ref="F715:F778" si="157">F695+0.2</f>
        <v>6.400000000000003</v>
      </c>
      <c r="G715" s="17">
        <f t="shared" si="140"/>
        <v>0.27563333333333334</v>
      </c>
      <c r="H715" s="8">
        <f t="shared" si="147"/>
        <v>647190</v>
      </c>
      <c r="I715" s="9">
        <v>25</v>
      </c>
      <c r="L715" s="2">
        <f t="shared" si="153"/>
        <v>647190</v>
      </c>
      <c r="M715" s="2">
        <f t="shared" si="154"/>
        <v>1063</v>
      </c>
      <c r="N715" s="15">
        <f t="shared" si="155"/>
        <v>13722.151463674172</v>
      </c>
      <c r="O715" s="15">
        <f t="shared" si="156"/>
        <v>22134.636729113841</v>
      </c>
      <c r="P715" s="16">
        <f>SUM($H$3:H715)</f>
        <v>164226370</v>
      </c>
      <c r="Q715" s="2">
        <f>SUM($I$3:I715)</f>
        <v>8099</v>
      </c>
    </row>
    <row r="716" spans="1:17" x14ac:dyDescent="0.3">
      <c r="A716" s="7">
        <f t="shared" si="152"/>
        <v>714</v>
      </c>
      <c r="B716" s="2">
        <f t="shared" si="152"/>
        <v>1064</v>
      </c>
      <c r="C716" s="14">
        <f t="shared" si="141"/>
        <v>13760.288006117096</v>
      </c>
      <c r="D716" s="14">
        <f t="shared" si="142"/>
        <v>22197.835564369776</v>
      </c>
      <c r="E716" s="2">
        <v>1</v>
      </c>
      <c r="F716" s="2">
        <f t="shared" si="157"/>
        <v>6.400000000000003</v>
      </c>
      <c r="G716" s="17">
        <f t="shared" si="140"/>
        <v>0.27606666666666668</v>
      </c>
      <c r="H716" s="8">
        <f t="shared" si="147"/>
        <v>648720</v>
      </c>
      <c r="I716" s="9">
        <v>25</v>
      </c>
      <c r="L716" s="2">
        <f t="shared" si="153"/>
        <v>648720</v>
      </c>
      <c r="M716" s="2">
        <f t="shared" si="154"/>
        <v>1064</v>
      </c>
      <c r="N716" s="15">
        <f t="shared" si="155"/>
        <v>13760.288006117096</v>
      </c>
      <c r="O716" s="15">
        <f t="shared" si="156"/>
        <v>22197.835564369776</v>
      </c>
      <c r="P716" s="16">
        <f>SUM($H$3:H716)</f>
        <v>164875090</v>
      </c>
      <c r="Q716" s="2">
        <f>SUM($I$3:I716)</f>
        <v>8124</v>
      </c>
    </row>
    <row r="717" spans="1:17" x14ac:dyDescent="0.3">
      <c r="A717" s="7">
        <f t="shared" si="152"/>
        <v>715</v>
      </c>
      <c r="B717" s="2">
        <f t="shared" si="152"/>
        <v>1065</v>
      </c>
      <c r="C717" s="14">
        <f t="shared" si="141"/>
        <v>13798.442976477447</v>
      </c>
      <c r="D717" s="14">
        <f t="shared" si="142"/>
        <v>22261.095490857722</v>
      </c>
      <c r="E717" s="2">
        <v>1</v>
      </c>
      <c r="F717" s="2">
        <f t="shared" si="157"/>
        <v>6.400000000000003</v>
      </c>
      <c r="G717" s="17">
        <f t="shared" si="140"/>
        <v>0.27650000000000002</v>
      </c>
      <c r="H717" s="8">
        <f t="shared" si="147"/>
        <v>650250</v>
      </c>
      <c r="I717" s="9">
        <v>25</v>
      </c>
      <c r="L717" s="2">
        <f t="shared" si="153"/>
        <v>650250</v>
      </c>
      <c r="M717" s="2">
        <f t="shared" si="154"/>
        <v>1065</v>
      </c>
      <c r="N717" s="15">
        <f t="shared" si="155"/>
        <v>13798.442976477447</v>
      </c>
      <c r="O717" s="15">
        <f t="shared" si="156"/>
        <v>22261.095490857722</v>
      </c>
      <c r="P717" s="16">
        <f>SUM($H$3:H717)</f>
        <v>165525340</v>
      </c>
      <c r="Q717" s="2">
        <f>SUM($I$3:I717)</f>
        <v>8149</v>
      </c>
    </row>
    <row r="718" spans="1:17" x14ac:dyDescent="0.3">
      <c r="A718" s="7">
        <f t="shared" si="152"/>
        <v>716</v>
      </c>
      <c r="B718" s="2">
        <f t="shared" si="152"/>
        <v>1066</v>
      </c>
      <c r="C718" s="14">
        <f t="shared" si="141"/>
        <v>13836.616339222901</v>
      </c>
      <c r="D718" s="14">
        <f t="shared" si="142"/>
        <v>22324.416420210306</v>
      </c>
      <c r="E718" s="2">
        <v>1</v>
      </c>
      <c r="F718" s="2">
        <f t="shared" si="157"/>
        <v>6.400000000000003</v>
      </c>
      <c r="G718" s="17">
        <f t="shared" si="140"/>
        <v>0.27693333333333336</v>
      </c>
      <c r="H718" s="8">
        <f t="shared" si="147"/>
        <v>651780</v>
      </c>
      <c r="I718" s="9">
        <v>25</v>
      </c>
      <c r="L718" s="2">
        <f t="shared" si="153"/>
        <v>651780</v>
      </c>
      <c r="M718" s="2">
        <f t="shared" si="154"/>
        <v>1066</v>
      </c>
      <c r="N718" s="15">
        <f t="shared" si="155"/>
        <v>13836.616339222901</v>
      </c>
      <c r="O718" s="15">
        <f t="shared" si="156"/>
        <v>22324.416420210306</v>
      </c>
      <c r="P718" s="16">
        <f>SUM($H$3:H718)</f>
        <v>166177120</v>
      </c>
      <c r="Q718" s="2">
        <f>SUM($I$3:I718)</f>
        <v>8174</v>
      </c>
    </row>
    <row r="719" spans="1:17" x14ac:dyDescent="0.3">
      <c r="A719" s="7">
        <f t="shared" si="152"/>
        <v>717</v>
      </c>
      <c r="B719" s="2">
        <f t="shared" si="152"/>
        <v>1067</v>
      </c>
      <c r="C719" s="14">
        <f t="shared" si="141"/>
        <v>13874.808058974881</v>
      </c>
      <c r="D719" s="14">
        <f t="shared" si="142"/>
        <v>22387.798264400088</v>
      </c>
      <c r="E719" s="2">
        <v>1</v>
      </c>
      <c r="F719" s="2">
        <f t="shared" si="157"/>
        <v>6.400000000000003</v>
      </c>
      <c r="G719" s="17">
        <f t="shared" si="140"/>
        <v>0.27736666666666665</v>
      </c>
      <c r="H719" s="8">
        <f t="shared" si="147"/>
        <v>653310</v>
      </c>
      <c r="I719" s="9">
        <v>25</v>
      </c>
      <c r="L719" s="2">
        <f t="shared" si="153"/>
        <v>653310</v>
      </c>
      <c r="M719" s="2">
        <f t="shared" si="154"/>
        <v>1067</v>
      </c>
      <c r="N719" s="15">
        <f t="shared" si="155"/>
        <v>13874.808058974881</v>
      </c>
      <c r="O719" s="15">
        <f t="shared" si="156"/>
        <v>22387.798264400088</v>
      </c>
      <c r="P719" s="16">
        <f>SUM($H$3:H719)</f>
        <v>166830430</v>
      </c>
      <c r="Q719" s="2">
        <f>SUM($I$3:I719)</f>
        <v>8199</v>
      </c>
    </row>
    <row r="720" spans="1:17" x14ac:dyDescent="0.3">
      <c r="A720" s="7">
        <f t="shared" si="152"/>
        <v>718</v>
      </c>
      <c r="B720" s="2">
        <f t="shared" si="152"/>
        <v>1068</v>
      </c>
      <c r="C720" s="14">
        <f t="shared" si="141"/>
        <v>13913.018100507625</v>
      </c>
      <c r="D720" s="14">
        <f t="shared" si="142"/>
        <v>22451.240935737616</v>
      </c>
      <c r="E720" s="2">
        <v>1</v>
      </c>
      <c r="F720" s="2">
        <f t="shared" si="157"/>
        <v>6.400000000000003</v>
      </c>
      <c r="G720" s="17">
        <f t="shared" si="140"/>
        <v>0.27780000000000005</v>
      </c>
      <c r="H720" s="8">
        <f t="shared" si="147"/>
        <v>654840</v>
      </c>
      <c r="I720" s="9">
        <v>25</v>
      </c>
      <c r="L720" s="2">
        <f t="shared" si="153"/>
        <v>654840</v>
      </c>
      <c r="M720" s="2">
        <f t="shared" si="154"/>
        <v>1068</v>
      </c>
      <c r="N720" s="15">
        <f t="shared" si="155"/>
        <v>13913.018100507625</v>
      </c>
      <c r="O720" s="15">
        <f t="shared" si="156"/>
        <v>22451.240935737616</v>
      </c>
      <c r="P720" s="16">
        <f>SUM($H$3:H720)</f>
        <v>167485270</v>
      </c>
      <c r="Q720" s="2">
        <f>SUM($I$3:I720)</f>
        <v>8224</v>
      </c>
    </row>
    <row r="721" spans="1:17" x14ac:dyDescent="0.3">
      <c r="A721" s="7">
        <f t="shared" si="152"/>
        <v>719</v>
      </c>
      <c r="B721" s="2">
        <f t="shared" si="152"/>
        <v>1069</v>
      </c>
      <c r="C721" s="14">
        <f t="shared" si="141"/>
        <v>13951.24642874703</v>
      </c>
      <c r="D721" s="14">
        <f t="shared" si="142"/>
        <v>22514.744346869218</v>
      </c>
      <c r="E721" s="2">
        <v>1</v>
      </c>
      <c r="F721" s="2">
        <f t="shared" si="157"/>
        <v>6.400000000000003</v>
      </c>
      <c r="G721" s="17">
        <f t="shared" si="140"/>
        <v>0.27823333333333333</v>
      </c>
      <c r="H721" s="8">
        <f t="shared" si="147"/>
        <v>656370</v>
      </c>
      <c r="I721" s="9">
        <v>25</v>
      </c>
      <c r="L721" s="2">
        <f t="shared" si="153"/>
        <v>656370</v>
      </c>
      <c r="M721" s="2">
        <f t="shared" si="154"/>
        <v>1069</v>
      </c>
      <c r="N721" s="15">
        <f t="shared" si="155"/>
        <v>13951.24642874703</v>
      </c>
      <c r="O721" s="15">
        <f t="shared" si="156"/>
        <v>22514.744346869218</v>
      </c>
      <c r="P721" s="16">
        <f>SUM($H$3:H721)</f>
        <v>168141640</v>
      </c>
      <c r="Q721" s="2">
        <f>SUM($I$3:I721)</f>
        <v>8249</v>
      </c>
    </row>
    <row r="722" spans="1:17" x14ac:dyDescent="0.3">
      <c r="A722" s="7">
        <f t="shared" si="152"/>
        <v>720</v>
      </c>
      <c r="B722" s="2">
        <f t="shared" si="152"/>
        <v>1070</v>
      </c>
      <c r="C722" s="14">
        <f t="shared" si="141"/>
        <v>13989.493008769787</v>
      </c>
      <c r="D722" s="14">
        <f t="shared" si="142"/>
        <v>22578.308410774989</v>
      </c>
      <c r="E722" s="2">
        <v>1</v>
      </c>
      <c r="F722" s="2">
        <f t="shared" si="157"/>
        <v>6.6000000000000032</v>
      </c>
      <c r="G722" s="17">
        <f t="shared" si="140"/>
        <v>0.27866666666666667</v>
      </c>
      <c r="H722" s="8">
        <f t="shared" si="147"/>
        <v>657900</v>
      </c>
      <c r="I722" s="9">
        <v>25</v>
      </c>
      <c r="L722" s="2">
        <f t="shared" si="153"/>
        <v>657900</v>
      </c>
      <c r="M722" s="2">
        <f t="shared" si="154"/>
        <v>1070</v>
      </c>
      <c r="N722" s="15">
        <f t="shared" si="155"/>
        <v>13989.493008769787</v>
      </c>
      <c r="O722" s="15">
        <f t="shared" si="156"/>
        <v>22578.308410774989</v>
      </c>
      <c r="P722" s="16">
        <f>SUM($H$3:H722)</f>
        <v>168799540</v>
      </c>
      <c r="Q722" s="2">
        <f>SUM($I$3:I722)</f>
        <v>8274</v>
      </c>
    </row>
    <row r="723" spans="1:17" x14ac:dyDescent="0.3">
      <c r="A723" s="7">
        <f t="shared" si="152"/>
        <v>721</v>
      </c>
      <c r="B723" s="2">
        <f t="shared" si="152"/>
        <v>1071</v>
      </c>
      <c r="C723" s="14">
        <f t="shared" si="141"/>
        <v>14027.757805802206</v>
      </c>
      <c r="D723" s="14">
        <f t="shared" si="142"/>
        <v>22641.933040766682</v>
      </c>
      <c r="E723" s="2">
        <v>1</v>
      </c>
      <c r="F723" s="2">
        <f t="shared" si="157"/>
        <v>6.6000000000000032</v>
      </c>
      <c r="G723" s="17">
        <f t="shared" si="140"/>
        <v>0.27910000000000001</v>
      </c>
      <c r="H723" s="8">
        <f t="shared" si="147"/>
        <v>659430</v>
      </c>
      <c r="I723" s="9">
        <v>25</v>
      </c>
      <c r="L723" s="2">
        <f t="shared" si="153"/>
        <v>659430</v>
      </c>
      <c r="M723" s="2">
        <f t="shared" si="154"/>
        <v>1071</v>
      </c>
      <c r="N723" s="15">
        <f t="shared" si="155"/>
        <v>14027.757805802206</v>
      </c>
      <c r="O723" s="15">
        <f t="shared" si="156"/>
        <v>22641.933040766682</v>
      </c>
      <c r="P723" s="16">
        <f>SUM($H$3:H723)</f>
        <v>169458970</v>
      </c>
      <c r="Q723" s="2">
        <f>SUM($I$3:I723)</f>
        <v>8299</v>
      </c>
    </row>
    <row r="724" spans="1:17" x14ac:dyDescent="0.3">
      <c r="A724" s="7">
        <f t="shared" si="152"/>
        <v>722</v>
      </c>
      <c r="B724" s="2">
        <f t="shared" si="152"/>
        <v>1072</v>
      </c>
      <c r="C724" s="14">
        <f t="shared" si="141"/>
        <v>14066.040785219395</v>
      </c>
      <c r="D724" s="14">
        <f t="shared" si="142"/>
        <v>22705.61815048569</v>
      </c>
      <c r="E724" s="2">
        <v>1</v>
      </c>
      <c r="F724" s="2">
        <f t="shared" si="157"/>
        <v>6.6000000000000032</v>
      </c>
      <c r="G724" s="17">
        <f t="shared" si="140"/>
        <v>0.27953333333333336</v>
      </c>
      <c r="H724" s="8">
        <f t="shared" si="147"/>
        <v>660960</v>
      </c>
      <c r="I724" s="9">
        <v>25</v>
      </c>
      <c r="L724" s="2">
        <f t="shared" si="153"/>
        <v>660960</v>
      </c>
      <c r="M724" s="2">
        <f t="shared" si="154"/>
        <v>1072</v>
      </c>
      <c r="N724" s="15">
        <f t="shared" si="155"/>
        <v>14066.040785219395</v>
      </c>
      <c r="O724" s="15">
        <f t="shared" si="156"/>
        <v>22705.61815048569</v>
      </c>
      <c r="P724" s="16">
        <f>SUM($H$3:H724)</f>
        <v>170119930</v>
      </c>
      <c r="Q724" s="2">
        <f>SUM($I$3:I724)</f>
        <v>8324</v>
      </c>
    </row>
    <row r="725" spans="1:17" x14ac:dyDescent="0.3">
      <c r="A725" s="7">
        <f t="shared" si="152"/>
        <v>723</v>
      </c>
      <c r="B725" s="2">
        <f t="shared" si="152"/>
        <v>1073</v>
      </c>
      <c r="C725" s="14">
        <f t="shared" si="141"/>
        <v>14104.341912544111</v>
      </c>
      <c r="D725" s="14">
        <f t="shared" si="142"/>
        <v>22769.363653900858</v>
      </c>
      <c r="E725" s="2">
        <v>1</v>
      </c>
      <c r="F725" s="2">
        <f t="shared" si="157"/>
        <v>6.6000000000000032</v>
      </c>
      <c r="G725" s="17">
        <f t="shared" si="140"/>
        <v>0.2799666666666667</v>
      </c>
      <c r="H725" s="8">
        <f t="shared" si="147"/>
        <v>662490</v>
      </c>
      <c r="I725" s="9">
        <v>25</v>
      </c>
      <c r="L725" s="2">
        <f t="shared" si="153"/>
        <v>662490</v>
      </c>
      <c r="M725" s="2">
        <f t="shared" si="154"/>
        <v>1073</v>
      </c>
      <c r="N725" s="15">
        <f t="shared" si="155"/>
        <v>14104.341912544111</v>
      </c>
      <c r="O725" s="15">
        <f t="shared" si="156"/>
        <v>22769.363653900858</v>
      </c>
      <c r="P725" s="16">
        <f>SUM($H$3:H725)</f>
        <v>170782420</v>
      </c>
      <c r="Q725" s="2">
        <f>SUM($I$3:I725)</f>
        <v>8349</v>
      </c>
    </row>
    <row r="726" spans="1:17" x14ac:dyDescent="0.3">
      <c r="A726" s="7">
        <f t="shared" si="152"/>
        <v>724</v>
      </c>
      <c r="B726" s="2">
        <f t="shared" si="152"/>
        <v>1074</v>
      </c>
      <c r="C726" s="14">
        <f t="shared" si="141"/>
        <v>14142.661153445908</v>
      </c>
      <c r="D726" s="14">
        <f t="shared" si="142"/>
        <v>22833.169465306764</v>
      </c>
      <c r="E726" s="2">
        <v>1</v>
      </c>
      <c r="F726" s="2">
        <f t="shared" si="157"/>
        <v>6.6000000000000032</v>
      </c>
      <c r="G726" s="17">
        <f t="shared" si="140"/>
        <v>0.28040000000000004</v>
      </c>
      <c r="H726" s="8">
        <f t="shared" si="147"/>
        <v>664020</v>
      </c>
      <c r="I726" s="9">
        <v>25</v>
      </c>
      <c r="L726" s="2">
        <f t="shared" si="153"/>
        <v>664020</v>
      </c>
      <c r="M726" s="2">
        <f t="shared" si="154"/>
        <v>1074</v>
      </c>
      <c r="N726" s="15">
        <f t="shared" si="155"/>
        <v>14142.661153445908</v>
      </c>
      <c r="O726" s="15">
        <f t="shared" si="156"/>
        <v>22833.169465306764</v>
      </c>
      <c r="P726" s="16">
        <f>SUM($H$3:H726)</f>
        <v>171446440</v>
      </c>
      <c r="Q726" s="2">
        <f>SUM($I$3:I726)</f>
        <v>8374</v>
      </c>
    </row>
    <row r="727" spans="1:17" x14ac:dyDescent="0.3">
      <c r="A727" s="7">
        <f t="shared" si="152"/>
        <v>725</v>
      </c>
      <c r="B727" s="2">
        <f t="shared" si="152"/>
        <v>1075</v>
      </c>
      <c r="C727" s="14">
        <f t="shared" si="141"/>
        <v>14180.998473740105</v>
      </c>
      <c r="D727" s="14">
        <f t="shared" si="142"/>
        <v>22897.035499321446</v>
      </c>
      <c r="E727" s="2">
        <v>1</v>
      </c>
      <c r="F727" s="2">
        <f t="shared" si="157"/>
        <v>6.6000000000000032</v>
      </c>
      <c r="G727" s="17">
        <f t="shared" si="140"/>
        <v>0.28083333333333332</v>
      </c>
      <c r="H727" s="8">
        <f t="shared" si="147"/>
        <v>665550</v>
      </c>
      <c r="I727" s="9">
        <v>25</v>
      </c>
      <c r="L727" s="2">
        <f t="shared" si="153"/>
        <v>665550</v>
      </c>
      <c r="M727" s="2">
        <f t="shared" si="154"/>
        <v>1075</v>
      </c>
      <c r="N727" s="15">
        <f t="shared" si="155"/>
        <v>14180.998473740105</v>
      </c>
      <c r="O727" s="15">
        <f t="shared" si="156"/>
        <v>22897.035499321446</v>
      </c>
      <c r="P727" s="16">
        <f>SUM($H$3:H727)</f>
        <v>172111990</v>
      </c>
      <c r="Q727" s="2">
        <f>SUM($I$3:I727)</f>
        <v>8399</v>
      </c>
    </row>
    <row r="728" spans="1:17" x14ac:dyDescent="0.3">
      <c r="A728" s="7">
        <f t="shared" si="152"/>
        <v>726</v>
      </c>
      <c r="B728" s="2">
        <f t="shared" si="152"/>
        <v>1076</v>
      </c>
      <c r="C728" s="14">
        <f t="shared" si="141"/>
        <v>14219.353839386808</v>
      </c>
      <c r="D728" s="14">
        <f t="shared" si="142"/>
        <v>22960.961670884604</v>
      </c>
      <c r="E728" s="2">
        <v>1</v>
      </c>
      <c r="F728" s="2">
        <f t="shared" si="157"/>
        <v>6.6000000000000032</v>
      </c>
      <c r="G728" s="17">
        <f t="shared" si="140"/>
        <v>0.28126666666666666</v>
      </c>
      <c r="H728" s="8">
        <f t="shared" si="147"/>
        <v>667080</v>
      </c>
      <c r="I728" s="9">
        <v>25</v>
      </c>
      <c r="L728" s="2">
        <f t="shared" si="153"/>
        <v>667080</v>
      </c>
      <c r="M728" s="2">
        <f t="shared" si="154"/>
        <v>1076</v>
      </c>
      <c r="N728" s="15">
        <f t="shared" si="155"/>
        <v>14219.353839386808</v>
      </c>
      <c r="O728" s="15">
        <f t="shared" si="156"/>
        <v>22960.961670884604</v>
      </c>
      <c r="P728" s="16">
        <f>SUM($H$3:H728)</f>
        <v>172779070</v>
      </c>
      <c r="Q728" s="2">
        <f>SUM($I$3:I728)</f>
        <v>8424</v>
      </c>
    </row>
    <row r="729" spans="1:17" x14ac:dyDescent="0.3">
      <c r="A729" s="7">
        <f t="shared" si="152"/>
        <v>727</v>
      </c>
      <c r="B729" s="2">
        <f t="shared" si="152"/>
        <v>1077</v>
      </c>
      <c r="C729" s="14">
        <f t="shared" si="141"/>
        <v>14257.727216490024</v>
      </c>
      <c r="D729" s="14">
        <f t="shared" si="142"/>
        <v>23024.947895255511</v>
      </c>
      <c r="E729" s="2">
        <v>1</v>
      </c>
      <c r="F729" s="2">
        <f t="shared" si="157"/>
        <v>6.6000000000000032</v>
      </c>
      <c r="G729" s="17">
        <f t="shared" si="140"/>
        <v>0.28170000000000001</v>
      </c>
      <c r="H729" s="8">
        <f t="shared" si="147"/>
        <v>668610</v>
      </c>
      <c r="I729" s="9">
        <v>25</v>
      </c>
      <c r="L729" s="2">
        <f t="shared" si="153"/>
        <v>668610</v>
      </c>
      <c r="M729" s="2">
        <f t="shared" si="154"/>
        <v>1077</v>
      </c>
      <c r="N729" s="15">
        <f t="shared" si="155"/>
        <v>14257.727216490024</v>
      </c>
      <c r="O729" s="15">
        <f t="shared" si="156"/>
        <v>23024.947895255511</v>
      </c>
      <c r="P729" s="16">
        <f>SUM($H$3:H729)</f>
        <v>173447680</v>
      </c>
      <c r="Q729" s="2">
        <f>SUM($I$3:I729)</f>
        <v>8449</v>
      </c>
    </row>
    <row r="730" spans="1:17" x14ac:dyDescent="0.3">
      <c r="A730" s="7">
        <f t="shared" si="152"/>
        <v>728</v>
      </c>
      <c r="B730" s="2">
        <f t="shared" si="152"/>
        <v>1078</v>
      </c>
      <c r="C730" s="14">
        <f t="shared" si="141"/>
        <v>14296.118571296674</v>
      </c>
      <c r="D730" s="14">
        <f t="shared" si="142"/>
        <v>23088.994088011135</v>
      </c>
      <c r="E730" s="2">
        <v>1</v>
      </c>
      <c r="F730" s="2">
        <f t="shared" si="157"/>
        <v>6.6000000000000032</v>
      </c>
      <c r="G730" s="17">
        <f t="shared" si="140"/>
        <v>0.28213333333333335</v>
      </c>
      <c r="H730" s="8">
        <f t="shared" si="147"/>
        <v>670140</v>
      </c>
      <c r="I730" s="9">
        <v>25</v>
      </c>
      <c r="L730" s="2">
        <f t="shared" si="153"/>
        <v>670140</v>
      </c>
      <c r="M730" s="2">
        <f t="shared" si="154"/>
        <v>1078</v>
      </c>
      <c r="N730" s="15">
        <f t="shared" si="155"/>
        <v>14296.118571296674</v>
      </c>
      <c r="O730" s="15">
        <f t="shared" si="156"/>
        <v>23088.994088011135</v>
      </c>
      <c r="P730" s="16">
        <f>SUM($H$3:H730)</f>
        <v>174117820</v>
      </c>
      <c r="Q730" s="2">
        <f>SUM($I$3:I730)</f>
        <v>8474</v>
      </c>
    </row>
    <row r="731" spans="1:17" x14ac:dyDescent="0.3">
      <c r="A731" s="7">
        <f t="shared" si="152"/>
        <v>729</v>
      </c>
      <c r="B731" s="2">
        <f t="shared" si="152"/>
        <v>1079</v>
      </c>
      <c r="C731" s="14">
        <f t="shared" si="141"/>
        <v>14334.527870195667</v>
      </c>
      <c r="D731" s="14">
        <f t="shared" si="142"/>
        <v>23153.100165044212</v>
      </c>
      <c r="E731" s="2">
        <v>1</v>
      </c>
      <c r="F731" s="2">
        <f t="shared" si="157"/>
        <v>6.6000000000000032</v>
      </c>
      <c r="G731" s="17">
        <f t="shared" si="140"/>
        <v>0.28256666666666669</v>
      </c>
      <c r="H731" s="8">
        <f t="shared" si="147"/>
        <v>671670</v>
      </c>
      <c r="I731" s="9">
        <v>25</v>
      </c>
      <c r="L731" s="2">
        <f t="shared" si="153"/>
        <v>671670</v>
      </c>
      <c r="M731" s="2">
        <f t="shared" si="154"/>
        <v>1079</v>
      </c>
      <c r="N731" s="15">
        <f t="shared" si="155"/>
        <v>14334.527870195667</v>
      </c>
      <c r="O731" s="15">
        <f t="shared" si="156"/>
        <v>23153.100165044212</v>
      </c>
      <c r="P731" s="16">
        <f>SUM($H$3:H731)</f>
        <v>174789490</v>
      </c>
      <c r="Q731" s="2">
        <f>SUM($I$3:I731)</f>
        <v>8499</v>
      </c>
    </row>
    <row r="732" spans="1:17" x14ac:dyDescent="0.3">
      <c r="A732" s="7">
        <f t="shared" si="152"/>
        <v>730</v>
      </c>
      <c r="B732" s="2">
        <f t="shared" si="152"/>
        <v>1080</v>
      </c>
      <c r="C732" s="14">
        <f t="shared" si="141"/>
        <v>14372.95507971695</v>
      </c>
      <c r="D732" s="14">
        <f t="shared" si="142"/>
        <v>23217.266042561281</v>
      </c>
      <c r="E732" s="2">
        <v>1</v>
      </c>
      <c r="F732" s="2">
        <f t="shared" si="157"/>
        <v>6.6000000000000032</v>
      </c>
      <c r="G732" s="17">
        <f t="shared" si="140"/>
        <v>0.28300000000000003</v>
      </c>
      <c r="H732" s="8">
        <f t="shared" si="147"/>
        <v>673200</v>
      </c>
      <c r="I732" s="9">
        <v>25</v>
      </c>
      <c r="L732" s="2">
        <f t="shared" si="153"/>
        <v>673200</v>
      </c>
      <c r="M732" s="2">
        <f t="shared" si="154"/>
        <v>1080</v>
      </c>
      <c r="N732" s="15">
        <f t="shared" si="155"/>
        <v>14372.95507971695</v>
      </c>
      <c r="O732" s="15">
        <f t="shared" si="156"/>
        <v>23217.266042561281</v>
      </c>
      <c r="P732" s="16">
        <f>SUM($H$3:H732)</f>
        <v>175462690</v>
      </c>
      <c r="Q732" s="2">
        <f>SUM($I$3:I732)</f>
        <v>8524</v>
      </c>
    </row>
    <row r="733" spans="1:17" x14ac:dyDescent="0.3">
      <c r="A733" s="7">
        <f t="shared" si="152"/>
        <v>731</v>
      </c>
      <c r="B733" s="2">
        <f t="shared" si="152"/>
        <v>1081</v>
      </c>
      <c r="C733" s="14">
        <f t="shared" si="141"/>
        <v>14411.400166530639</v>
      </c>
      <c r="D733" s="14">
        <f t="shared" si="142"/>
        <v>23281.491637080868</v>
      </c>
      <c r="E733" s="2">
        <v>1</v>
      </c>
      <c r="F733" s="2">
        <f t="shared" si="157"/>
        <v>6.6000000000000032</v>
      </c>
      <c r="G733" s="17">
        <f t="shared" si="140"/>
        <v>0.28343333333333337</v>
      </c>
      <c r="H733" s="8">
        <f t="shared" si="147"/>
        <v>674730</v>
      </c>
      <c r="I733" s="9">
        <v>25</v>
      </c>
      <c r="L733" s="2">
        <f t="shared" si="153"/>
        <v>674730</v>
      </c>
      <c r="M733" s="2">
        <f t="shared" si="154"/>
        <v>1081</v>
      </c>
      <c r="N733" s="15">
        <f t="shared" si="155"/>
        <v>14411.400166530639</v>
      </c>
      <c r="O733" s="15">
        <f t="shared" si="156"/>
        <v>23281.491637080868</v>
      </c>
      <c r="P733" s="16">
        <f>SUM($H$3:H733)</f>
        <v>176137420</v>
      </c>
      <c r="Q733" s="2">
        <f>SUM($I$3:I733)</f>
        <v>8549</v>
      </c>
    </row>
    <row r="734" spans="1:17" x14ac:dyDescent="0.3">
      <c r="A734" s="7">
        <f t="shared" si="152"/>
        <v>732</v>
      </c>
      <c r="B734" s="2">
        <f t="shared" si="152"/>
        <v>1082</v>
      </c>
      <c r="C734" s="14">
        <f t="shared" si="141"/>
        <v>14449.863097446072</v>
      </c>
      <c r="D734" s="14">
        <f t="shared" si="142"/>
        <v>23345.7768654315</v>
      </c>
      <c r="E734" s="2">
        <v>1</v>
      </c>
      <c r="F734" s="2">
        <f t="shared" si="157"/>
        <v>6.6000000000000032</v>
      </c>
      <c r="G734" s="17">
        <f t="shared" si="140"/>
        <v>0.28386666666666671</v>
      </c>
      <c r="H734" s="8">
        <f t="shared" si="147"/>
        <v>676260</v>
      </c>
      <c r="I734" s="9">
        <v>25</v>
      </c>
      <c r="L734" s="2">
        <f t="shared" si="153"/>
        <v>676260</v>
      </c>
      <c r="M734" s="2">
        <f t="shared" si="154"/>
        <v>1082</v>
      </c>
      <c r="N734" s="15">
        <f t="shared" si="155"/>
        <v>14449.863097446072</v>
      </c>
      <c r="O734" s="15">
        <f t="shared" si="156"/>
        <v>23345.7768654315</v>
      </c>
      <c r="P734" s="16">
        <f>SUM($H$3:H734)</f>
        <v>176813680</v>
      </c>
      <c r="Q734" s="2">
        <f>SUM($I$3:I734)</f>
        <v>8574</v>
      </c>
    </row>
    <row r="735" spans="1:17" x14ac:dyDescent="0.3">
      <c r="A735" s="7">
        <f t="shared" si="152"/>
        <v>733</v>
      </c>
      <c r="B735" s="2">
        <f t="shared" si="152"/>
        <v>1083</v>
      </c>
      <c r="C735" s="14">
        <f t="shared" si="141"/>
        <v>14488.343839410862</v>
      </c>
      <c r="D735" s="14">
        <f t="shared" si="142"/>
        <v>23410.121644749859</v>
      </c>
      <c r="E735" s="2">
        <v>1</v>
      </c>
      <c r="F735" s="2">
        <f t="shared" si="157"/>
        <v>6.6000000000000032</v>
      </c>
      <c r="G735" s="17">
        <f t="shared" si="140"/>
        <v>0.2843</v>
      </c>
      <c r="H735" s="8">
        <f t="shared" si="147"/>
        <v>677790</v>
      </c>
      <c r="I735" s="9">
        <v>25</v>
      </c>
      <c r="L735" s="2">
        <f t="shared" si="153"/>
        <v>677790</v>
      </c>
      <c r="M735" s="2">
        <f t="shared" si="154"/>
        <v>1083</v>
      </c>
      <c r="N735" s="15">
        <f t="shared" si="155"/>
        <v>14488.343839410862</v>
      </c>
      <c r="O735" s="15">
        <f t="shared" si="156"/>
        <v>23410.121644749859</v>
      </c>
      <c r="P735" s="16">
        <f>SUM($H$3:H735)</f>
        <v>177491470</v>
      </c>
      <c r="Q735" s="2">
        <f>SUM($I$3:I735)</f>
        <v>8599</v>
      </c>
    </row>
    <row r="736" spans="1:17" x14ac:dyDescent="0.3">
      <c r="A736" s="7">
        <f t="shared" si="152"/>
        <v>734</v>
      </c>
      <c r="B736" s="2">
        <f t="shared" si="152"/>
        <v>1084</v>
      </c>
      <c r="C736" s="14">
        <f t="shared" si="141"/>
        <v>14526.842359510141</v>
      </c>
      <c r="D736" s="14">
        <f t="shared" si="142"/>
        <v>23474.525892479091</v>
      </c>
      <c r="E736" s="2">
        <v>1</v>
      </c>
      <c r="F736" s="2">
        <f t="shared" si="157"/>
        <v>6.6000000000000032</v>
      </c>
      <c r="G736" s="17">
        <f t="shared" si="140"/>
        <v>0.28473333333333334</v>
      </c>
      <c r="H736" s="8">
        <f t="shared" si="147"/>
        <v>679320</v>
      </c>
      <c r="I736" s="9">
        <v>25</v>
      </c>
      <c r="L736" s="2">
        <f t="shared" si="153"/>
        <v>679320</v>
      </c>
      <c r="M736" s="2">
        <f t="shared" si="154"/>
        <v>1084</v>
      </c>
      <c r="N736" s="15">
        <f t="shared" si="155"/>
        <v>14526.842359510141</v>
      </c>
      <c r="O736" s="15">
        <f t="shared" si="156"/>
        <v>23474.525892479091</v>
      </c>
      <c r="P736" s="16">
        <f>SUM($H$3:H736)</f>
        <v>178170790</v>
      </c>
      <c r="Q736" s="2">
        <f>SUM($I$3:I736)</f>
        <v>8624</v>
      </c>
    </row>
    <row r="737" spans="1:17" x14ac:dyDescent="0.3">
      <c r="A737" s="7">
        <f t="shared" si="152"/>
        <v>735</v>
      </c>
      <c r="B737" s="2">
        <f t="shared" si="152"/>
        <v>1085</v>
      </c>
      <c r="C737" s="14">
        <f t="shared" si="141"/>
        <v>14565.358624965538</v>
      </c>
      <c r="D737" s="14">
        <f t="shared" si="142"/>
        <v>23538.98952636668</v>
      </c>
      <c r="E737" s="2">
        <v>1</v>
      </c>
      <c r="F737" s="2">
        <f t="shared" si="157"/>
        <v>6.6000000000000032</v>
      </c>
      <c r="G737" s="17">
        <f t="shared" si="140"/>
        <v>0.28516666666666668</v>
      </c>
      <c r="H737" s="8">
        <f t="shared" si="147"/>
        <v>680850</v>
      </c>
      <c r="I737" s="9">
        <v>25</v>
      </c>
      <c r="L737" s="2">
        <f t="shared" si="153"/>
        <v>680850</v>
      </c>
      <c r="M737" s="2">
        <f t="shared" si="154"/>
        <v>1085</v>
      </c>
      <c r="N737" s="15">
        <f t="shared" si="155"/>
        <v>14565.358624965538</v>
      </c>
      <c r="O737" s="15">
        <f t="shared" si="156"/>
        <v>23538.98952636668</v>
      </c>
      <c r="P737" s="16">
        <f>SUM($H$3:H737)</f>
        <v>178851640</v>
      </c>
      <c r="Q737" s="2">
        <f>SUM($I$3:I737)</f>
        <v>8649</v>
      </c>
    </row>
    <row r="738" spans="1:17" x14ac:dyDescent="0.3">
      <c r="A738" s="7">
        <f t="shared" si="152"/>
        <v>736</v>
      </c>
      <c r="B738" s="2">
        <f t="shared" si="152"/>
        <v>1086</v>
      </c>
      <c r="C738" s="14">
        <f t="shared" si="141"/>
        <v>14603.892603134327</v>
      </c>
      <c r="D738" s="14">
        <f t="shared" si="142"/>
        <v>23603.51246446291</v>
      </c>
      <c r="E738" s="2">
        <v>1</v>
      </c>
      <c r="F738" s="2">
        <f t="shared" si="157"/>
        <v>6.6000000000000032</v>
      </c>
      <c r="G738" s="17">
        <f t="shared" si="140"/>
        <v>0.28560000000000002</v>
      </c>
      <c r="H738" s="8">
        <f t="shared" si="147"/>
        <v>682380</v>
      </c>
      <c r="I738" s="9">
        <v>25</v>
      </c>
      <c r="L738" s="2">
        <f t="shared" si="153"/>
        <v>682380</v>
      </c>
      <c r="M738" s="2">
        <f t="shared" si="154"/>
        <v>1086</v>
      </c>
      <c r="N738" s="15">
        <f t="shared" si="155"/>
        <v>14603.892603134327</v>
      </c>
      <c r="O738" s="15">
        <f t="shared" si="156"/>
        <v>23603.51246446291</v>
      </c>
      <c r="P738" s="16">
        <f>SUM($H$3:H738)</f>
        <v>179534020</v>
      </c>
      <c r="Q738" s="2">
        <f>SUM($I$3:I738)</f>
        <v>8674</v>
      </c>
    </row>
    <row r="739" spans="1:17" x14ac:dyDescent="0.3">
      <c r="A739" s="7">
        <f t="shared" si="152"/>
        <v>737</v>
      </c>
      <c r="B739" s="2">
        <f t="shared" si="152"/>
        <v>1087</v>
      </c>
      <c r="C739" s="14">
        <f t="shared" si="141"/>
        <v>14642.444261508641</v>
      </c>
      <c r="D739" s="14">
        <f t="shared" si="142"/>
        <v>23668.094625118913</v>
      </c>
      <c r="E739" s="2">
        <v>1</v>
      </c>
      <c r="F739" s="2">
        <f t="shared" si="157"/>
        <v>6.6000000000000032</v>
      </c>
      <c r="G739" s="17">
        <f t="shared" si="140"/>
        <v>0.28603333333333336</v>
      </c>
      <c r="H739" s="8">
        <f t="shared" si="147"/>
        <v>683910</v>
      </c>
      <c r="I739" s="9">
        <v>25</v>
      </c>
      <c r="L739" s="2">
        <f t="shared" si="153"/>
        <v>683910</v>
      </c>
      <c r="M739" s="2">
        <f t="shared" si="154"/>
        <v>1087</v>
      </c>
      <c r="N739" s="15">
        <f t="shared" si="155"/>
        <v>14642.444261508641</v>
      </c>
      <c r="O739" s="15">
        <f t="shared" si="156"/>
        <v>23668.094625118913</v>
      </c>
      <c r="P739" s="16">
        <f>SUM($H$3:H739)</f>
        <v>180217930</v>
      </c>
      <c r="Q739" s="2">
        <f>SUM($I$3:I739)</f>
        <v>8699</v>
      </c>
    </row>
    <row r="740" spans="1:17" x14ac:dyDescent="0.3">
      <c r="A740" s="7">
        <f t="shared" si="152"/>
        <v>738</v>
      </c>
      <c r="B740" s="2">
        <f t="shared" si="152"/>
        <v>1088</v>
      </c>
      <c r="C740" s="14">
        <f t="shared" si="141"/>
        <v>14681.013567714495</v>
      </c>
      <c r="D740" s="14">
        <f t="shared" si="142"/>
        <v>23732.735926984878</v>
      </c>
      <c r="E740" s="2">
        <v>1</v>
      </c>
      <c r="F740" s="2">
        <f t="shared" si="157"/>
        <v>6.6000000000000032</v>
      </c>
      <c r="G740" s="17">
        <f t="shared" si="140"/>
        <v>0.2864666666666667</v>
      </c>
      <c r="H740" s="8">
        <f t="shared" si="147"/>
        <v>685440</v>
      </c>
      <c r="I740" s="9">
        <v>25</v>
      </c>
      <c r="L740" s="2">
        <f t="shared" si="153"/>
        <v>685440</v>
      </c>
      <c r="M740" s="2">
        <f t="shared" si="154"/>
        <v>1088</v>
      </c>
      <c r="N740" s="15">
        <f t="shared" si="155"/>
        <v>14681.013567714495</v>
      </c>
      <c r="O740" s="15">
        <f t="shared" si="156"/>
        <v>23732.735926984878</v>
      </c>
      <c r="P740" s="16">
        <f>SUM($H$3:H740)</f>
        <v>180903370</v>
      </c>
      <c r="Q740" s="2">
        <f>SUM($I$3:I740)</f>
        <v>8724</v>
      </c>
    </row>
    <row r="741" spans="1:17" x14ac:dyDescent="0.3">
      <c r="A741" s="7">
        <f t="shared" si="152"/>
        <v>739</v>
      </c>
      <c r="B741" s="2">
        <f t="shared" si="152"/>
        <v>1089</v>
      </c>
      <c r="C741" s="14">
        <f t="shared" si="141"/>
        <v>14719.60048951098</v>
      </c>
      <c r="D741" s="14">
        <f t="shared" si="142"/>
        <v>23797.436289008241</v>
      </c>
      <c r="E741" s="2">
        <v>1</v>
      </c>
      <c r="F741" s="2">
        <f t="shared" si="157"/>
        <v>6.6000000000000032</v>
      </c>
      <c r="G741" s="17">
        <f t="shared" si="140"/>
        <v>0.28690000000000004</v>
      </c>
      <c r="H741" s="8">
        <f t="shared" si="147"/>
        <v>686970</v>
      </c>
      <c r="I741" s="9">
        <v>25</v>
      </c>
      <c r="L741" s="2">
        <f t="shared" si="153"/>
        <v>686970</v>
      </c>
      <c r="M741" s="2">
        <f t="shared" si="154"/>
        <v>1089</v>
      </c>
      <c r="N741" s="15">
        <f t="shared" si="155"/>
        <v>14719.60048951098</v>
      </c>
      <c r="O741" s="15">
        <f t="shared" si="156"/>
        <v>23797.436289008241</v>
      </c>
      <c r="P741" s="16">
        <f>SUM($H$3:H741)</f>
        <v>181590340</v>
      </c>
      <c r="Q741" s="2">
        <f>SUM($I$3:I741)</f>
        <v>8749</v>
      </c>
    </row>
    <row r="742" spans="1:17" x14ac:dyDescent="0.3">
      <c r="A742" s="7">
        <f t="shared" si="152"/>
        <v>740</v>
      </c>
      <c r="B742" s="2">
        <f t="shared" si="152"/>
        <v>1090</v>
      </c>
      <c r="C742" s="14">
        <f t="shared" si="141"/>
        <v>14758.20499478941</v>
      </c>
      <c r="D742" s="14">
        <f t="shared" si="142"/>
        <v>23862.195630432063</v>
      </c>
      <c r="E742" s="2">
        <v>1</v>
      </c>
      <c r="F742" s="2">
        <f t="shared" si="157"/>
        <v>6.8000000000000034</v>
      </c>
      <c r="G742" s="17">
        <f t="shared" si="140"/>
        <v>0.28733333333333338</v>
      </c>
      <c r="H742" s="8">
        <f t="shared" si="147"/>
        <v>688500</v>
      </c>
      <c r="I742" s="9">
        <v>25</v>
      </c>
      <c r="L742" s="2">
        <f t="shared" si="153"/>
        <v>688500</v>
      </c>
      <c r="M742" s="2">
        <f t="shared" si="154"/>
        <v>1090</v>
      </c>
      <c r="N742" s="15">
        <f t="shared" si="155"/>
        <v>14758.20499478941</v>
      </c>
      <c r="O742" s="15">
        <f t="shared" si="156"/>
        <v>23862.195630432063</v>
      </c>
      <c r="P742" s="16">
        <f>SUM($H$3:H742)</f>
        <v>182278840</v>
      </c>
      <c r="Q742" s="2">
        <f>SUM($I$3:I742)</f>
        <v>8774</v>
      </c>
    </row>
    <row r="743" spans="1:17" x14ac:dyDescent="0.3">
      <c r="A743" s="7">
        <f t="shared" si="152"/>
        <v>741</v>
      </c>
      <c r="B743" s="2">
        <f t="shared" si="152"/>
        <v>1091</v>
      </c>
      <c r="C743" s="14">
        <f t="shared" si="141"/>
        <v>14796.827051572547</v>
      </c>
      <c r="D743" s="14">
        <f t="shared" si="142"/>
        <v>23927.013870793257</v>
      </c>
      <c r="E743" s="2">
        <v>1</v>
      </c>
      <c r="F743" s="2">
        <f t="shared" si="157"/>
        <v>6.8000000000000034</v>
      </c>
      <c r="G743" s="17">
        <f t="shared" ref="G743:G806" si="158">0.01 + (A743-100)*(0.4-0.01)/(1000-100)</f>
        <v>0.28776666666666667</v>
      </c>
      <c r="H743" s="8">
        <f t="shared" si="147"/>
        <v>690030</v>
      </c>
      <c r="I743" s="9">
        <v>25</v>
      </c>
      <c r="L743" s="2">
        <f t="shared" si="153"/>
        <v>690030</v>
      </c>
      <c r="M743" s="2">
        <f t="shared" si="154"/>
        <v>1091</v>
      </c>
      <c r="N743" s="15">
        <f t="shared" si="155"/>
        <v>14796.827051572547</v>
      </c>
      <c r="O743" s="15">
        <f t="shared" si="156"/>
        <v>23927.013870793257</v>
      </c>
      <c r="P743" s="16">
        <f>SUM($H$3:H743)</f>
        <v>182968870</v>
      </c>
      <c r="Q743" s="2">
        <f>SUM($I$3:I743)</f>
        <v>8799</v>
      </c>
    </row>
    <row r="744" spans="1:17" x14ac:dyDescent="0.3">
      <c r="A744" s="7">
        <f t="shared" si="152"/>
        <v>742</v>
      </c>
      <c r="B744" s="2">
        <f t="shared" si="152"/>
        <v>1092</v>
      </c>
      <c r="C744" s="14">
        <f t="shared" si="141"/>
        <v>14835.466628013601</v>
      </c>
      <c r="D744" s="14">
        <f t="shared" si="142"/>
        <v>23991.89092992065</v>
      </c>
      <c r="E744" s="2">
        <v>1</v>
      </c>
      <c r="F744" s="2">
        <f t="shared" si="157"/>
        <v>6.8000000000000034</v>
      </c>
      <c r="G744" s="17">
        <f t="shared" si="158"/>
        <v>0.28820000000000001</v>
      </c>
      <c r="H744" s="8">
        <f t="shared" si="147"/>
        <v>691560</v>
      </c>
      <c r="I744" s="9">
        <v>25</v>
      </c>
      <c r="L744" s="2">
        <f t="shared" si="153"/>
        <v>691560</v>
      </c>
      <c r="M744" s="2">
        <f t="shared" si="154"/>
        <v>1092</v>
      </c>
      <c r="N744" s="15">
        <f t="shared" si="155"/>
        <v>14835.466628013601</v>
      </c>
      <c r="O744" s="15">
        <f t="shared" si="156"/>
        <v>23991.89092992065</v>
      </c>
      <c r="P744" s="16">
        <f>SUM($H$3:H744)</f>
        <v>183660430</v>
      </c>
      <c r="Q744" s="2">
        <f>SUM($I$3:I744)</f>
        <v>8824</v>
      </c>
    </row>
    <row r="745" spans="1:17" x14ac:dyDescent="0.3">
      <c r="A745" s="7">
        <f t="shared" si="152"/>
        <v>743</v>
      </c>
      <c r="B745" s="2">
        <f t="shared" si="152"/>
        <v>1093</v>
      </c>
      <c r="C745" s="14">
        <f t="shared" si="141"/>
        <v>14874.123692395569</v>
      </c>
      <c r="D745" s="14">
        <f t="shared" si="142"/>
        <v>24056.826727933512</v>
      </c>
      <c r="E745" s="2">
        <v>1</v>
      </c>
      <c r="F745" s="2">
        <f t="shared" si="157"/>
        <v>6.8000000000000034</v>
      </c>
      <c r="G745" s="17">
        <f t="shared" si="158"/>
        <v>0.28863333333333335</v>
      </c>
      <c r="H745" s="8">
        <f t="shared" si="147"/>
        <v>693090</v>
      </c>
      <c r="I745" s="9">
        <v>25</v>
      </c>
      <c r="L745" s="2">
        <f t="shared" si="153"/>
        <v>693090</v>
      </c>
      <c r="M745" s="2">
        <f t="shared" si="154"/>
        <v>1093</v>
      </c>
      <c r="N745" s="15">
        <f t="shared" si="155"/>
        <v>14874.123692395569</v>
      </c>
      <c r="O745" s="15">
        <f t="shared" si="156"/>
        <v>24056.826727933512</v>
      </c>
      <c r="P745" s="16">
        <f>SUM($H$3:H745)</f>
        <v>184353520</v>
      </c>
      <c r="Q745" s="2">
        <f>SUM($I$3:I745)</f>
        <v>8849</v>
      </c>
    </row>
    <row r="746" spans="1:17" x14ac:dyDescent="0.3">
      <c r="A746" s="7">
        <f t="shared" si="152"/>
        <v>744</v>
      </c>
      <c r="B746" s="2">
        <f t="shared" si="152"/>
        <v>1094</v>
      </c>
      <c r="C746" s="14">
        <f t="shared" si="141"/>
        <v>14912.798213130347</v>
      </c>
      <c r="D746" s="14">
        <f t="shared" si="142"/>
        <v>24121.821185239718</v>
      </c>
      <c r="E746" s="2">
        <v>1</v>
      </c>
      <c r="F746" s="2">
        <f t="shared" si="157"/>
        <v>6.8000000000000034</v>
      </c>
      <c r="G746" s="17">
        <f t="shared" si="158"/>
        <v>0.28906666666666669</v>
      </c>
      <c r="H746" s="8">
        <f t="shared" si="147"/>
        <v>694620</v>
      </c>
      <c r="I746" s="9">
        <v>25</v>
      </c>
      <c r="L746" s="2">
        <f t="shared" si="153"/>
        <v>694620</v>
      </c>
      <c r="M746" s="2">
        <f t="shared" si="154"/>
        <v>1094</v>
      </c>
      <c r="N746" s="15">
        <f t="shared" si="155"/>
        <v>14912.798213130347</v>
      </c>
      <c r="O746" s="15">
        <f t="shared" si="156"/>
        <v>24121.821185239718</v>
      </c>
      <c r="P746" s="16">
        <f>SUM($H$3:H746)</f>
        <v>185048140</v>
      </c>
      <c r="Q746" s="2">
        <f>SUM($I$3:I746)</f>
        <v>8874</v>
      </c>
    </row>
    <row r="747" spans="1:17" x14ac:dyDescent="0.3">
      <c r="A747" s="7">
        <f t="shared" si="152"/>
        <v>745</v>
      </c>
      <c r="B747" s="2">
        <f t="shared" si="152"/>
        <v>1095</v>
      </c>
      <c r="C747" s="14">
        <f t="shared" si="141"/>
        <v>14951.490158757897</v>
      </c>
      <c r="D747" s="14">
        <f t="shared" si="142"/>
        <v>24186.874222534105</v>
      </c>
      <c r="E747" s="2">
        <v>1</v>
      </c>
      <c r="F747" s="2">
        <f t="shared" si="157"/>
        <v>6.8000000000000034</v>
      </c>
      <c r="G747" s="17">
        <f t="shared" si="158"/>
        <v>0.28950000000000004</v>
      </c>
      <c r="H747" s="8">
        <f t="shared" si="147"/>
        <v>696150</v>
      </c>
      <c r="I747" s="9">
        <v>25</v>
      </c>
      <c r="L747" s="2">
        <f t="shared" si="153"/>
        <v>696150</v>
      </c>
      <c r="M747" s="2">
        <f t="shared" si="154"/>
        <v>1095</v>
      </c>
      <c r="N747" s="15">
        <f t="shared" si="155"/>
        <v>14951.490158757897</v>
      </c>
      <c r="O747" s="15">
        <f t="shared" si="156"/>
        <v>24186.874222534105</v>
      </c>
      <c r="P747" s="16">
        <f>SUM($H$3:H747)</f>
        <v>185744290</v>
      </c>
      <c r="Q747" s="2">
        <f>SUM($I$3:I747)</f>
        <v>8899</v>
      </c>
    </row>
    <row r="748" spans="1:17" x14ac:dyDescent="0.3">
      <c r="A748" s="7">
        <f t="shared" si="152"/>
        <v>746</v>
      </c>
      <c r="B748" s="2">
        <f t="shared" si="152"/>
        <v>1096</v>
      </c>
      <c r="C748" s="14">
        <f t="shared" si="141"/>
        <v>14990.199497945476</v>
      </c>
      <c r="D748" s="14">
        <f t="shared" si="142"/>
        <v>24251.985760796782</v>
      </c>
      <c r="E748" s="2">
        <v>1</v>
      </c>
      <c r="F748" s="2">
        <f t="shared" si="157"/>
        <v>6.8000000000000034</v>
      </c>
      <c r="G748" s="17">
        <f t="shared" si="158"/>
        <v>0.28993333333333332</v>
      </c>
      <c r="H748" s="8">
        <f t="shared" si="147"/>
        <v>697680</v>
      </c>
      <c r="I748" s="9">
        <v>25</v>
      </c>
      <c r="L748" s="2">
        <f t="shared" si="153"/>
        <v>697680</v>
      </c>
      <c r="M748" s="2">
        <f t="shared" si="154"/>
        <v>1096</v>
      </c>
      <c r="N748" s="15">
        <f t="shared" si="155"/>
        <v>14990.199497945476</v>
      </c>
      <c r="O748" s="15">
        <f t="shared" si="156"/>
        <v>24251.985760796782</v>
      </c>
      <c r="P748" s="16">
        <f>SUM($H$3:H748)</f>
        <v>186441970</v>
      </c>
      <c r="Q748" s="2">
        <f>SUM($I$3:I748)</f>
        <v>8924</v>
      </c>
    </row>
    <row r="749" spans="1:17" x14ac:dyDescent="0.3">
      <c r="A749" s="7">
        <f t="shared" si="152"/>
        <v>747</v>
      </c>
      <c r="B749" s="2">
        <f t="shared" si="152"/>
        <v>1097</v>
      </c>
      <c r="C749" s="14">
        <f t="shared" si="141"/>
        <v>15028.926199486838</v>
      </c>
      <c r="D749" s="14">
        <f t="shared" si="142"/>
        <v>24317.155721291478</v>
      </c>
      <c r="E749" s="2">
        <v>1</v>
      </c>
      <c r="F749" s="2">
        <f t="shared" si="157"/>
        <v>6.8000000000000034</v>
      </c>
      <c r="G749" s="17">
        <f t="shared" si="158"/>
        <v>0.29036666666666666</v>
      </c>
      <c r="H749" s="8">
        <f t="shared" si="147"/>
        <v>699210</v>
      </c>
      <c r="I749" s="9">
        <v>25</v>
      </c>
      <c r="L749" s="2">
        <f t="shared" si="153"/>
        <v>699210</v>
      </c>
      <c r="M749" s="2">
        <f t="shared" si="154"/>
        <v>1097</v>
      </c>
      <c r="N749" s="15">
        <f t="shared" si="155"/>
        <v>15028.926199486838</v>
      </c>
      <c r="O749" s="15">
        <f t="shared" si="156"/>
        <v>24317.155721291478</v>
      </c>
      <c r="P749" s="16">
        <f>SUM($H$3:H749)</f>
        <v>187141180</v>
      </c>
      <c r="Q749" s="2">
        <f>SUM($I$3:I749)</f>
        <v>8949</v>
      </c>
    </row>
    <row r="750" spans="1:17" x14ac:dyDescent="0.3">
      <c r="A750" s="7">
        <f t="shared" si="152"/>
        <v>748</v>
      </c>
      <c r="B750" s="2">
        <f t="shared" si="152"/>
        <v>1098</v>
      </c>
      <c r="C750" s="14">
        <f t="shared" si="141"/>
        <v>15067.670232301381</v>
      </c>
      <c r="D750" s="14">
        <f t="shared" si="142"/>
        <v>24382.38402556381</v>
      </c>
      <c r="E750" s="2">
        <v>1</v>
      </c>
      <c r="F750" s="2">
        <f t="shared" si="157"/>
        <v>6.8000000000000034</v>
      </c>
      <c r="G750" s="17">
        <f t="shared" si="158"/>
        <v>0.2908</v>
      </c>
      <c r="H750" s="8">
        <f t="shared" si="147"/>
        <v>700740</v>
      </c>
      <c r="I750" s="9">
        <v>25</v>
      </c>
      <c r="L750" s="2">
        <f t="shared" si="153"/>
        <v>700740</v>
      </c>
      <c r="M750" s="2">
        <f t="shared" si="154"/>
        <v>1098</v>
      </c>
      <c r="N750" s="15">
        <f t="shared" si="155"/>
        <v>15067.670232301381</v>
      </c>
      <c r="O750" s="15">
        <f t="shared" si="156"/>
        <v>24382.38402556381</v>
      </c>
      <c r="P750" s="16">
        <f>SUM($H$3:H750)</f>
        <v>187841920</v>
      </c>
      <c r="Q750" s="2">
        <f>SUM($I$3:I750)</f>
        <v>8974</v>
      </c>
    </row>
    <row r="751" spans="1:17" x14ac:dyDescent="0.3">
      <c r="A751" s="7">
        <f t="shared" si="152"/>
        <v>749</v>
      </c>
      <c r="B751" s="2">
        <f t="shared" si="152"/>
        <v>1099</v>
      </c>
      <c r="C751" s="14">
        <f t="shared" si="141"/>
        <v>15106.431565433491</v>
      </c>
      <c r="D751" s="14">
        <f t="shared" si="142"/>
        <v>24447.67059543982</v>
      </c>
      <c r="E751" s="2">
        <v>1</v>
      </c>
      <c r="F751" s="2">
        <f t="shared" si="157"/>
        <v>6.8000000000000034</v>
      </c>
      <c r="G751" s="17">
        <f t="shared" si="158"/>
        <v>0.29123333333333334</v>
      </c>
      <c r="H751" s="8">
        <f t="shared" si="147"/>
        <v>702270</v>
      </c>
      <c r="I751" s="9">
        <v>25</v>
      </c>
      <c r="L751" s="2">
        <f t="shared" si="153"/>
        <v>702270</v>
      </c>
      <c r="M751" s="2">
        <f t="shared" si="154"/>
        <v>1099</v>
      </c>
      <c r="N751" s="15">
        <f t="shared" si="155"/>
        <v>15106.431565433491</v>
      </c>
      <c r="O751" s="15">
        <f t="shared" si="156"/>
        <v>24447.67059543982</v>
      </c>
      <c r="P751" s="16">
        <f>SUM($H$3:H751)</f>
        <v>188544190</v>
      </c>
      <c r="Q751" s="2">
        <f>SUM($I$3:I751)</f>
        <v>8999</v>
      </c>
    </row>
    <row r="752" spans="1:17" x14ac:dyDescent="0.3">
      <c r="A752" s="7">
        <f t="shared" si="152"/>
        <v>750</v>
      </c>
      <c r="B752" s="2">
        <f t="shared" si="152"/>
        <v>1100</v>
      </c>
      <c r="C752" s="14">
        <f t="shared" ref="C752:C815" si="159">9.525*(A752-300)^1.2 + 600</f>
        <v>15145.210168051599</v>
      </c>
      <c r="D752" s="14">
        <f t="shared" ref="D752:D815" si="160">4.055*(A752-300)^1.4 + 3500</f>
        <v>24513.015353024119</v>
      </c>
      <c r="E752" s="2">
        <v>1</v>
      </c>
      <c r="F752" s="2">
        <f t="shared" si="157"/>
        <v>6.8000000000000034</v>
      </c>
      <c r="G752" s="17">
        <f t="shared" si="158"/>
        <v>0.29166666666666669</v>
      </c>
      <c r="H752" s="8">
        <f t="shared" si="147"/>
        <v>703800</v>
      </c>
      <c r="I752" s="9">
        <v>25</v>
      </c>
      <c r="L752" s="2">
        <f t="shared" si="153"/>
        <v>703800</v>
      </c>
      <c r="M752" s="2">
        <f t="shared" si="154"/>
        <v>1100</v>
      </c>
      <c r="N752" s="15">
        <f t="shared" si="155"/>
        <v>15145.210168051599</v>
      </c>
      <c r="O752" s="15">
        <f t="shared" si="156"/>
        <v>24513.015353024119</v>
      </c>
      <c r="P752" s="16">
        <f>SUM($H$3:H752)</f>
        <v>189247990</v>
      </c>
      <c r="Q752" s="2">
        <f>SUM($I$3:I752)</f>
        <v>9024</v>
      </c>
    </row>
    <row r="753" spans="1:17" x14ac:dyDescent="0.3">
      <c r="A753" s="7">
        <f t="shared" si="152"/>
        <v>751</v>
      </c>
      <c r="B753" s="2">
        <f t="shared" si="152"/>
        <v>1101</v>
      </c>
      <c r="C753" s="14">
        <f t="shared" si="159"/>
        <v>15184.006009447528</v>
      </c>
      <c r="D753" s="14">
        <f t="shared" si="160"/>
        <v>24578.418220698557</v>
      </c>
      <c r="E753" s="2">
        <v>1</v>
      </c>
      <c r="F753" s="2">
        <f t="shared" si="157"/>
        <v>6.8000000000000034</v>
      </c>
      <c r="G753" s="17">
        <f t="shared" si="158"/>
        <v>0.29210000000000003</v>
      </c>
      <c r="H753" s="8">
        <f t="shared" si="147"/>
        <v>705330</v>
      </c>
      <c r="I753" s="9">
        <v>25</v>
      </c>
      <c r="L753" s="2">
        <f t="shared" si="153"/>
        <v>705330</v>
      </c>
      <c r="M753" s="2">
        <f t="shared" si="154"/>
        <v>1101</v>
      </c>
      <c r="N753" s="15">
        <f t="shared" si="155"/>
        <v>15184.006009447528</v>
      </c>
      <c r="O753" s="15">
        <f t="shared" si="156"/>
        <v>24578.418220698557</v>
      </c>
      <c r="P753" s="16">
        <f>SUM($H$3:H753)</f>
        <v>189953320</v>
      </c>
      <c r="Q753" s="2">
        <f>SUM($I$3:I753)</f>
        <v>9049</v>
      </c>
    </row>
    <row r="754" spans="1:17" x14ac:dyDescent="0.3">
      <c r="A754" s="7">
        <f t="shared" si="152"/>
        <v>752</v>
      </c>
      <c r="B754" s="2">
        <f t="shared" si="152"/>
        <v>1102</v>
      </c>
      <c r="C754" s="14">
        <f t="shared" si="159"/>
        <v>15222.819059035683</v>
      </c>
      <c r="D754" s="14">
        <f t="shared" si="160"/>
        <v>24643.879121120379</v>
      </c>
      <c r="E754" s="2">
        <v>1</v>
      </c>
      <c r="F754" s="2">
        <f t="shared" si="157"/>
        <v>6.8000000000000034</v>
      </c>
      <c r="G754" s="17">
        <f t="shared" si="158"/>
        <v>0.29253333333333337</v>
      </c>
      <c r="H754" s="8">
        <f t="shared" si="147"/>
        <v>706860</v>
      </c>
      <c r="I754" s="9">
        <v>25</v>
      </c>
      <c r="L754" s="2">
        <f t="shared" si="153"/>
        <v>706860</v>
      </c>
      <c r="M754" s="2">
        <f t="shared" si="154"/>
        <v>1102</v>
      </c>
      <c r="N754" s="15">
        <f t="shared" si="155"/>
        <v>15222.819059035683</v>
      </c>
      <c r="O754" s="15">
        <f t="shared" si="156"/>
        <v>24643.879121120379</v>
      </c>
      <c r="P754" s="16">
        <f>SUM($H$3:H754)</f>
        <v>190660180</v>
      </c>
      <c r="Q754" s="2">
        <f>SUM($I$3:I754)</f>
        <v>9074</v>
      </c>
    </row>
    <row r="755" spans="1:17" x14ac:dyDescent="0.3">
      <c r="A755" s="7">
        <f t="shared" si="152"/>
        <v>753</v>
      </c>
      <c r="B755" s="2">
        <f t="shared" si="152"/>
        <v>1103</v>
      </c>
      <c r="C755" s="14">
        <f t="shared" si="159"/>
        <v>15261.649286352293</v>
      </c>
      <c r="D755" s="14">
        <f t="shared" si="160"/>
        <v>24709.39797722068</v>
      </c>
      <c r="E755" s="2">
        <v>1</v>
      </c>
      <c r="F755" s="2">
        <f t="shared" si="157"/>
        <v>6.8000000000000034</v>
      </c>
      <c r="G755" s="17">
        <f t="shared" si="158"/>
        <v>0.29296666666666671</v>
      </c>
      <c r="H755" s="8">
        <f t="shared" si="147"/>
        <v>708390</v>
      </c>
      <c r="I755" s="9">
        <v>25</v>
      </c>
      <c r="L755" s="2">
        <f t="shared" si="153"/>
        <v>708390</v>
      </c>
      <c r="M755" s="2">
        <f t="shared" si="154"/>
        <v>1103</v>
      </c>
      <c r="N755" s="15">
        <f t="shared" si="155"/>
        <v>15261.649286352293</v>
      </c>
      <c r="O755" s="15">
        <f t="shared" si="156"/>
        <v>24709.39797722068</v>
      </c>
      <c r="P755" s="16">
        <f>SUM($H$3:H755)</f>
        <v>191368570</v>
      </c>
      <c r="Q755" s="2">
        <f>SUM($I$3:I755)</f>
        <v>9099</v>
      </c>
    </row>
    <row r="756" spans="1:17" x14ac:dyDescent="0.3">
      <c r="A756" s="7">
        <f t="shared" si="152"/>
        <v>754</v>
      </c>
      <c r="B756" s="2">
        <f t="shared" si="152"/>
        <v>1104</v>
      </c>
      <c r="C756" s="14">
        <f t="shared" si="159"/>
        <v>15300.496661054674</v>
      </c>
      <c r="D756" s="14">
        <f t="shared" si="160"/>
        <v>24774.974712203009</v>
      </c>
      <c r="E756" s="2">
        <v>1</v>
      </c>
      <c r="F756" s="2">
        <f t="shared" si="157"/>
        <v>6.8000000000000034</v>
      </c>
      <c r="G756" s="17">
        <f t="shared" si="158"/>
        <v>0.29339999999999999</v>
      </c>
      <c r="H756" s="8">
        <f t="shared" si="147"/>
        <v>709920</v>
      </c>
      <c r="I756" s="9">
        <v>25</v>
      </c>
      <c r="L756" s="2">
        <f t="shared" si="153"/>
        <v>709920</v>
      </c>
      <c r="M756" s="2">
        <f t="shared" si="154"/>
        <v>1104</v>
      </c>
      <c r="N756" s="15">
        <f t="shared" si="155"/>
        <v>15300.496661054674</v>
      </c>
      <c r="O756" s="15">
        <f t="shared" si="156"/>
        <v>24774.974712203009</v>
      </c>
      <c r="P756" s="16">
        <f>SUM($H$3:H756)</f>
        <v>192078490</v>
      </c>
      <c r="Q756" s="2">
        <f>SUM($I$3:I756)</f>
        <v>9124</v>
      </c>
    </row>
    <row r="757" spans="1:17" x14ac:dyDescent="0.3">
      <c r="A757" s="7">
        <f t="shared" si="152"/>
        <v>755</v>
      </c>
      <c r="B757" s="2">
        <f t="shared" si="152"/>
        <v>1105</v>
      </c>
      <c r="C757" s="14">
        <f t="shared" si="159"/>
        <v>15339.361152920459</v>
      </c>
      <c r="D757" s="14">
        <f t="shared" si="160"/>
        <v>24840.609249541583</v>
      </c>
      <c r="E757" s="2">
        <v>1</v>
      </c>
      <c r="F757" s="2">
        <f t="shared" si="157"/>
        <v>6.8000000000000034</v>
      </c>
      <c r="G757" s="17">
        <f t="shared" si="158"/>
        <v>0.29383333333333334</v>
      </c>
      <c r="H757" s="8">
        <f t="shared" si="147"/>
        <v>711450</v>
      </c>
      <c r="I757" s="9">
        <v>25</v>
      </c>
      <c r="L757" s="2">
        <f t="shared" si="153"/>
        <v>711450</v>
      </c>
      <c r="M757" s="2">
        <f t="shared" si="154"/>
        <v>1105</v>
      </c>
      <c r="N757" s="15">
        <f t="shared" si="155"/>
        <v>15339.361152920459</v>
      </c>
      <c r="O757" s="15">
        <f t="shared" si="156"/>
        <v>24840.609249541583</v>
      </c>
      <c r="P757" s="16">
        <f>SUM($H$3:H757)</f>
        <v>192789940</v>
      </c>
      <c r="Q757" s="2">
        <f>SUM($I$3:I757)</f>
        <v>9149</v>
      </c>
    </row>
    <row r="758" spans="1:17" x14ac:dyDescent="0.3">
      <c r="A758" s="7">
        <f t="shared" si="152"/>
        <v>756</v>
      </c>
      <c r="B758" s="2">
        <f t="shared" si="152"/>
        <v>1106</v>
      </c>
      <c r="C758" s="14">
        <f t="shared" si="159"/>
        <v>15378.242731846887</v>
      </c>
      <c r="D758" s="14">
        <f t="shared" si="160"/>
        <v>24906.30151297991</v>
      </c>
      <c r="E758" s="2">
        <v>1</v>
      </c>
      <c r="F758" s="2">
        <f t="shared" si="157"/>
        <v>6.8000000000000034</v>
      </c>
      <c r="G758" s="17">
        <f t="shared" si="158"/>
        <v>0.29426666666666668</v>
      </c>
      <c r="H758" s="8">
        <f t="shared" si="147"/>
        <v>712980</v>
      </c>
      <c r="I758" s="9">
        <v>25</v>
      </c>
      <c r="L758" s="2">
        <f t="shared" si="153"/>
        <v>712980</v>
      </c>
      <c r="M758" s="2">
        <f t="shared" si="154"/>
        <v>1106</v>
      </c>
      <c r="N758" s="15">
        <f t="shared" si="155"/>
        <v>15378.242731846887</v>
      </c>
      <c r="O758" s="15">
        <f t="shared" si="156"/>
        <v>24906.30151297991</v>
      </c>
      <c r="P758" s="16">
        <f>SUM($H$3:H758)</f>
        <v>193502920</v>
      </c>
      <c r="Q758" s="2">
        <f>SUM($I$3:I758)</f>
        <v>9174</v>
      </c>
    </row>
    <row r="759" spans="1:17" x14ac:dyDescent="0.3">
      <c r="A759" s="7">
        <f t="shared" si="152"/>
        <v>757</v>
      </c>
      <c r="B759" s="2">
        <f t="shared" si="152"/>
        <v>1107</v>
      </c>
      <c r="C759" s="14">
        <f t="shared" si="159"/>
        <v>15417.141367850021</v>
      </c>
      <c r="D759" s="14">
        <f t="shared" si="160"/>
        <v>24972.051426529113</v>
      </c>
      <c r="E759" s="2">
        <v>1</v>
      </c>
      <c r="F759" s="2">
        <f t="shared" si="157"/>
        <v>6.8000000000000034</v>
      </c>
      <c r="G759" s="17">
        <f t="shared" si="158"/>
        <v>0.29470000000000002</v>
      </c>
      <c r="H759" s="8">
        <f t="shared" ref="H759:H801" si="161">(A759-290)*1530</f>
        <v>714510</v>
      </c>
      <c r="I759" s="9">
        <v>25</v>
      </c>
      <c r="L759" s="2">
        <f t="shared" si="153"/>
        <v>714510</v>
      </c>
      <c r="M759" s="2">
        <f t="shared" si="154"/>
        <v>1107</v>
      </c>
      <c r="N759" s="15">
        <f t="shared" si="155"/>
        <v>15417.141367850021</v>
      </c>
      <c r="O759" s="15">
        <f t="shared" si="156"/>
        <v>24972.051426529113</v>
      </c>
      <c r="P759" s="16">
        <f>SUM($H$3:H759)</f>
        <v>194217430</v>
      </c>
      <c r="Q759" s="2">
        <f>SUM($I$3:I759)</f>
        <v>9199</v>
      </c>
    </row>
    <row r="760" spans="1:17" x14ac:dyDescent="0.3">
      <c r="A760" s="7">
        <f t="shared" si="152"/>
        <v>758</v>
      </c>
      <c r="B760" s="2">
        <f t="shared" si="152"/>
        <v>1108</v>
      </c>
      <c r="C760" s="14">
        <f t="shared" si="159"/>
        <v>15456.057031064067</v>
      </c>
      <c r="D760" s="14">
        <f t="shared" si="160"/>
        <v>25037.858914466538</v>
      </c>
      <c r="E760" s="2">
        <v>1</v>
      </c>
      <c r="F760" s="2">
        <f t="shared" si="157"/>
        <v>6.8000000000000034</v>
      </c>
      <c r="G760" s="17">
        <f t="shared" si="158"/>
        <v>0.29513333333333336</v>
      </c>
      <c r="H760" s="8">
        <f t="shared" si="161"/>
        <v>716040</v>
      </c>
      <c r="I760" s="9">
        <v>25</v>
      </c>
      <c r="L760" s="2">
        <f t="shared" si="153"/>
        <v>716040</v>
      </c>
      <c r="M760" s="2">
        <f t="shared" si="154"/>
        <v>1108</v>
      </c>
      <c r="N760" s="15">
        <f t="shared" si="155"/>
        <v>15456.057031064067</v>
      </c>
      <c r="O760" s="15">
        <f t="shared" si="156"/>
        <v>25037.858914466538</v>
      </c>
      <c r="P760" s="16">
        <f>SUM($H$3:H760)</f>
        <v>194933470</v>
      </c>
      <c r="Q760" s="2">
        <f>SUM($I$3:I760)</f>
        <v>9224</v>
      </c>
    </row>
    <row r="761" spans="1:17" x14ac:dyDescent="0.3">
      <c r="A761" s="7">
        <f t="shared" si="152"/>
        <v>759</v>
      </c>
      <c r="B761" s="2">
        <f t="shared" si="152"/>
        <v>1109</v>
      </c>
      <c r="C761" s="14">
        <f t="shared" si="159"/>
        <v>15494.989691740611</v>
      </c>
      <c r="D761" s="14">
        <f t="shared" si="160"/>
        <v>25103.723901334168</v>
      </c>
      <c r="E761" s="2">
        <v>1</v>
      </c>
      <c r="F761" s="2">
        <f t="shared" si="157"/>
        <v>6.8000000000000034</v>
      </c>
      <c r="G761" s="17">
        <f t="shared" si="158"/>
        <v>0.29556666666666664</v>
      </c>
      <c r="H761" s="8">
        <f t="shared" si="161"/>
        <v>717570</v>
      </c>
      <c r="I761" s="9">
        <v>25</v>
      </c>
      <c r="L761" s="2">
        <f t="shared" si="153"/>
        <v>717570</v>
      </c>
      <c r="M761" s="2">
        <f t="shared" si="154"/>
        <v>1109</v>
      </c>
      <c r="N761" s="15">
        <f t="shared" si="155"/>
        <v>15494.989691740611</v>
      </c>
      <c r="O761" s="15">
        <f t="shared" si="156"/>
        <v>25103.723901334168</v>
      </c>
      <c r="P761" s="16">
        <f>SUM($H$3:H761)</f>
        <v>195651040</v>
      </c>
      <c r="Q761" s="2">
        <f>SUM($I$3:I761)</f>
        <v>9249</v>
      </c>
    </row>
    <row r="762" spans="1:17" x14ac:dyDescent="0.3">
      <c r="A762" s="7">
        <f t="shared" si="152"/>
        <v>760</v>
      </c>
      <c r="B762" s="2">
        <f t="shared" si="152"/>
        <v>1110</v>
      </c>
      <c r="C762" s="14">
        <f t="shared" si="159"/>
        <v>15533.939320247981</v>
      </c>
      <c r="D762" s="14">
        <f t="shared" si="160"/>
        <v>25169.646311937107</v>
      </c>
      <c r="E762" s="2">
        <v>1</v>
      </c>
      <c r="F762" s="2">
        <f t="shared" si="157"/>
        <v>7.0000000000000036</v>
      </c>
      <c r="G762" s="17">
        <f t="shared" si="158"/>
        <v>0.29600000000000004</v>
      </c>
      <c r="H762" s="8">
        <f t="shared" si="161"/>
        <v>719100</v>
      </c>
      <c r="I762" s="9">
        <v>25</v>
      </c>
      <c r="L762" s="2">
        <f t="shared" si="153"/>
        <v>719100</v>
      </c>
      <c r="M762" s="2">
        <f t="shared" si="154"/>
        <v>1110</v>
      </c>
      <c r="N762" s="15">
        <f t="shared" si="155"/>
        <v>15533.939320247981</v>
      </c>
      <c r="O762" s="15">
        <f t="shared" si="156"/>
        <v>25169.646311937107</v>
      </c>
      <c r="P762" s="16">
        <f>SUM($H$3:H762)</f>
        <v>196370140</v>
      </c>
      <c r="Q762" s="2">
        <f>SUM($I$3:I762)</f>
        <v>9274</v>
      </c>
    </row>
    <row r="763" spans="1:17" x14ac:dyDescent="0.3">
      <c r="A763" s="7">
        <f t="shared" si="152"/>
        <v>761</v>
      </c>
      <c r="B763" s="2">
        <f t="shared" si="152"/>
        <v>1111</v>
      </c>
      <c r="C763" s="14">
        <f t="shared" si="159"/>
        <v>15572.905887070408</v>
      </c>
      <c r="D763" s="14">
        <f t="shared" si="160"/>
        <v>25235.626071342103</v>
      </c>
      <c r="E763" s="2">
        <v>1</v>
      </c>
      <c r="F763" s="2">
        <f t="shared" si="157"/>
        <v>7.0000000000000036</v>
      </c>
      <c r="G763" s="17">
        <f t="shared" si="158"/>
        <v>0.29643333333333338</v>
      </c>
      <c r="H763" s="8">
        <f t="shared" si="161"/>
        <v>720630</v>
      </c>
      <c r="I763" s="9">
        <v>25</v>
      </c>
      <c r="L763" s="2">
        <f t="shared" si="153"/>
        <v>720630</v>
      </c>
      <c r="M763" s="2">
        <f t="shared" si="154"/>
        <v>1111</v>
      </c>
      <c r="N763" s="15">
        <f t="shared" si="155"/>
        <v>15572.905887070408</v>
      </c>
      <c r="O763" s="15">
        <f t="shared" si="156"/>
        <v>25235.626071342103</v>
      </c>
      <c r="P763" s="16">
        <f>SUM($H$3:H763)</f>
        <v>197090770</v>
      </c>
      <c r="Q763" s="2">
        <f>SUM($I$3:I763)</f>
        <v>9299</v>
      </c>
    </row>
    <row r="764" spans="1:17" x14ac:dyDescent="0.3">
      <c r="A764" s="7">
        <f t="shared" si="152"/>
        <v>762</v>
      </c>
      <c r="B764" s="2">
        <f t="shared" si="152"/>
        <v>1112</v>
      </c>
      <c r="C764" s="14">
        <f t="shared" si="159"/>
        <v>15611.889362807449</v>
      </c>
      <c r="D764" s="14">
        <f t="shared" si="160"/>
        <v>25301.663104876159</v>
      </c>
      <c r="E764" s="2">
        <v>1</v>
      </c>
      <c r="F764" s="2">
        <f t="shared" si="157"/>
        <v>7.0000000000000036</v>
      </c>
      <c r="G764" s="17">
        <f t="shared" si="158"/>
        <v>0.29686666666666667</v>
      </c>
      <c r="H764" s="8">
        <f t="shared" si="161"/>
        <v>722160</v>
      </c>
      <c r="I764" s="9">
        <v>25</v>
      </c>
      <c r="L764" s="2">
        <f t="shared" si="153"/>
        <v>722160</v>
      </c>
      <c r="M764" s="2">
        <f t="shared" si="154"/>
        <v>1112</v>
      </c>
      <c r="N764" s="15">
        <f t="shared" si="155"/>
        <v>15611.889362807449</v>
      </c>
      <c r="O764" s="15">
        <f t="shared" si="156"/>
        <v>25301.663104876159</v>
      </c>
      <c r="P764" s="16">
        <f>SUM($H$3:H764)</f>
        <v>197812930</v>
      </c>
      <c r="Q764" s="2">
        <f>SUM($I$3:I764)</f>
        <v>9324</v>
      </c>
    </row>
    <row r="765" spans="1:17" x14ac:dyDescent="0.3">
      <c r="A765" s="7">
        <f t="shared" si="152"/>
        <v>763</v>
      </c>
      <c r="B765" s="2">
        <f t="shared" si="152"/>
        <v>1113</v>
      </c>
      <c r="C765" s="14">
        <f t="shared" si="159"/>
        <v>15650.889718173223</v>
      </c>
      <c r="D765" s="14">
        <f t="shared" si="160"/>
        <v>25367.757338124993</v>
      </c>
      <c r="E765" s="2">
        <v>1</v>
      </c>
      <c r="F765" s="2">
        <f t="shared" si="157"/>
        <v>7.0000000000000036</v>
      </c>
      <c r="G765" s="17">
        <f t="shared" si="158"/>
        <v>0.29730000000000001</v>
      </c>
      <c r="H765" s="8">
        <f t="shared" si="161"/>
        <v>723690</v>
      </c>
      <c r="I765" s="9">
        <v>25</v>
      </c>
      <c r="L765" s="2">
        <f t="shared" si="153"/>
        <v>723690</v>
      </c>
      <c r="M765" s="2">
        <f t="shared" si="154"/>
        <v>1113</v>
      </c>
      <c r="N765" s="15">
        <f t="shared" si="155"/>
        <v>15650.889718173223</v>
      </c>
      <c r="O765" s="15">
        <f t="shared" si="156"/>
        <v>25367.757338124993</v>
      </c>
      <c r="P765" s="16">
        <f>SUM($H$3:H765)</f>
        <v>198536620</v>
      </c>
      <c r="Q765" s="2">
        <f>SUM($I$3:I765)</f>
        <v>9349</v>
      </c>
    </row>
    <row r="766" spans="1:17" x14ac:dyDescent="0.3">
      <c r="A766" s="7">
        <f t="shared" si="152"/>
        <v>764</v>
      </c>
      <c r="B766" s="2">
        <f t="shared" si="152"/>
        <v>1114</v>
      </c>
      <c r="C766" s="14">
        <f t="shared" si="159"/>
        <v>15689.906923995706</v>
      </c>
      <c r="D766" s="14">
        <f t="shared" si="160"/>
        <v>25433.908696931558</v>
      </c>
      <c r="E766" s="2">
        <v>1</v>
      </c>
      <c r="F766" s="2">
        <f t="shared" si="157"/>
        <v>7.0000000000000036</v>
      </c>
      <c r="G766" s="17">
        <f t="shared" si="158"/>
        <v>0.29773333333333341</v>
      </c>
      <c r="H766" s="8">
        <f t="shared" si="161"/>
        <v>725220</v>
      </c>
      <c r="I766" s="9">
        <v>25</v>
      </c>
      <c r="L766" s="2">
        <f t="shared" si="153"/>
        <v>725220</v>
      </c>
      <c r="M766" s="2">
        <f t="shared" si="154"/>
        <v>1114</v>
      </c>
      <c r="N766" s="15">
        <f t="shared" si="155"/>
        <v>15689.906923995706</v>
      </c>
      <c r="O766" s="15">
        <f t="shared" si="156"/>
        <v>25433.908696931558</v>
      </c>
      <c r="P766" s="16">
        <f>SUM($H$3:H766)</f>
        <v>199261840</v>
      </c>
      <c r="Q766" s="2">
        <f>SUM($I$3:I766)</f>
        <v>9374</v>
      </c>
    </row>
    <row r="767" spans="1:17" x14ac:dyDescent="0.3">
      <c r="A767" s="7">
        <f t="shared" si="152"/>
        <v>765</v>
      </c>
      <c r="B767" s="2">
        <f t="shared" si="152"/>
        <v>1115</v>
      </c>
      <c r="C767" s="14">
        <f t="shared" si="159"/>
        <v>15728.940951216069</v>
      </c>
      <c r="D767" s="14">
        <f t="shared" si="160"/>
        <v>25500.117107394548</v>
      </c>
      <c r="E767" s="2">
        <v>1</v>
      </c>
      <c r="F767" s="2">
        <f t="shared" si="157"/>
        <v>7.0000000000000036</v>
      </c>
      <c r="G767" s="17">
        <f t="shared" si="158"/>
        <v>0.29816666666666669</v>
      </c>
      <c r="H767" s="8">
        <f t="shared" si="161"/>
        <v>726750</v>
      </c>
      <c r="I767" s="9">
        <v>25</v>
      </c>
      <c r="L767" s="2">
        <f t="shared" si="153"/>
        <v>726750</v>
      </c>
      <c r="M767" s="2">
        <f t="shared" si="154"/>
        <v>1115</v>
      </c>
      <c r="N767" s="15">
        <f t="shared" si="155"/>
        <v>15728.940951216069</v>
      </c>
      <c r="O767" s="15">
        <f t="shared" si="156"/>
        <v>25500.117107394548</v>
      </c>
      <c r="P767" s="16">
        <f>SUM($H$3:H767)</f>
        <v>199988590</v>
      </c>
      <c r="Q767" s="2">
        <f>SUM($I$3:I767)</f>
        <v>9399</v>
      </c>
    </row>
    <row r="768" spans="1:17" x14ac:dyDescent="0.3">
      <c r="A768" s="7">
        <f t="shared" si="152"/>
        <v>766</v>
      </c>
      <c r="B768" s="2">
        <f t="shared" si="152"/>
        <v>1116</v>
      </c>
      <c r="C768" s="14">
        <f t="shared" si="159"/>
        <v>15767.991770888017</v>
      </c>
      <c r="D768" s="14">
        <f t="shared" si="160"/>
        <v>25566.38249586723</v>
      </c>
      <c r="E768" s="2">
        <v>1</v>
      </c>
      <c r="F768" s="2">
        <f t="shared" si="157"/>
        <v>7.0000000000000036</v>
      </c>
      <c r="G768" s="17">
        <f t="shared" si="158"/>
        <v>0.29860000000000003</v>
      </c>
      <c r="H768" s="8">
        <f t="shared" si="161"/>
        <v>728280</v>
      </c>
      <c r="I768" s="9">
        <v>25</v>
      </c>
      <c r="L768" s="2">
        <f t="shared" si="153"/>
        <v>728280</v>
      </c>
      <c r="M768" s="2">
        <f t="shared" si="154"/>
        <v>1116</v>
      </c>
      <c r="N768" s="15">
        <f t="shared" si="155"/>
        <v>15767.991770888017</v>
      </c>
      <c r="O768" s="15">
        <f t="shared" si="156"/>
        <v>25566.38249586723</v>
      </c>
      <c r="P768" s="16">
        <f>SUM($H$3:H768)</f>
        <v>200716870</v>
      </c>
      <c r="Q768" s="2">
        <f>SUM($I$3:I768)</f>
        <v>9424</v>
      </c>
    </row>
    <row r="769" spans="1:17" x14ac:dyDescent="0.3">
      <c r="A769" s="7">
        <f t="shared" si="152"/>
        <v>767</v>
      </c>
      <c r="B769" s="2">
        <f t="shared" si="152"/>
        <v>1117</v>
      </c>
      <c r="C769" s="14">
        <f t="shared" si="159"/>
        <v>15807.05935417709</v>
      </c>
      <c r="D769" s="14">
        <f t="shared" si="160"/>
        <v>25632.704788955725</v>
      </c>
      <c r="E769" s="2">
        <v>1</v>
      </c>
      <c r="F769" s="2">
        <f t="shared" si="157"/>
        <v>7.0000000000000036</v>
      </c>
      <c r="G769" s="17">
        <f t="shared" si="158"/>
        <v>0.29903333333333332</v>
      </c>
      <c r="H769" s="8">
        <f t="shared" si="161"/>
        <v>729810</v>
      </c>
      <c r="I769" s="9">
        <v>25</v>
      </c>
      <c r="L769" s="2">
        <f t="shared" si="153"/>
        <v>729810</v>
      </c>
      <c r="M769" s="2">
        <f t="shared" si="154"/>
        <v>1117</v>
      </c>
      <c r="N769" s="15">
        <f t="shared" si="155"/>
        <v>15807.05935417709</v>
      </c>
      <c r="O769" s="15">
        <f t="shared" si="156"/>
        <v>25632.704788955725</v>
      </c>
      <c r="P769" s="16">
        <f>SUM($H$3:H769)</f>
        <v>201446680</v>
      </c>
      <c r="Q769" s="2">
        <f>SUM($I$3:I769)</f>
        <v>9449</v>
      </c>
    </row>
    <row r="770" spans="1:17" x14ac:dyDescent="0.3">
      <c r="A770" s="7">
        <f t="shared" si="152"/>
        <v>768</v>
      </c>
      <c r="B770" s="2">
        <f t="shared" si="152"/>
        <v>1118</v>
      </c>
      <c r="C770" s="14">
        <f t="shared" si="159"/>
        <v>15846.143672359947</v>
      </c>
      <c r="D770" s="14">
        <f t="shared" si="160"/>
        <v>25699.08391351773</v>
      </c>
      <c r="E770" s="2">
        <v>1</v>
      </c>
      <c r="F770" s="2">
        <f t="shared" si="157"/>
        <v>7.0000000000000036</v>
      </c>
      <c r="G770" s="17">
        <f t="shared" si="158"/>
        <v>0.29946666666666666</v>
      </c>
      <c r="H770" s="8">
        <f t="shared" si="161"/>
        <v>731340</v>
      </c>
      <c r="I770" s="9">
        <v>25</v>
      </c>
      <c r="L770" s="2">
        <f t="shared" si="153"/>
        <v>731340</v>
      </c>
      <c r="M770" s="2">
        <f t="shared" si="154"/>
        <v>1118</v>
      </c>
      <c r="N770" s="15">
        <f t="shared" si="155"/>
        <v>15846.143672359947</v>
      </c>
      <c r="O770" s="15">
        <f t="shared" si="156"/>
        <v>25699.08391351773</v>
      </c>
      <c r="P770" s="16">
        <f>SUM($H$3:H770)</f>
        <v>202178020</v>
      </c>
      <c r="Q770" s="2">
        <f>SUM($I$3:I770)</f>
        <v>9474</v>
      </c>
    </row>
    <row r="771" spans="1:17" x14ac:dyDescent="0.3">
      <c r="A771" s="7">
        <f t="shared" si="152"/>
        <v>769</v>
      </c>
      <c r="B771" s="2">
        <f t="shared" si="152"/>
        <v>1119</v>
      </c>
      <c r="C771" s="14">
        <f t="shared" si="159"/>
        <v>15885.244696823778</v>
      </c>
      <c r="D771" s="14">
        <f t="shared" si="160"/>
        <v>25765.51979666109</v>
      </c>
      <c r="E771" s="2">
        <v>1</v>
      </c>
      <c r="F771" s="2">
        <f t="shared" si="157"/>
        <v>7.0000000000000036</v>
      </c>
      <c r="G771" s="17">
        <f t="shared" si="158"/>
        <v>0.29990000000000006</v>
      </c>
      <c r="H771" s="8">
        <f t="shared" si="161"/>
        <v>732870</v>
      </c>
      <c r="I771" s="9">
        <v>25</v>
      </c>
      <c r="L771" s="2">
        <f t="shared" si="153"/>
        <v>732870</v>
      </c>
      <c r="M771" s="2">
        <f t="shared" si="154"/>
        <v>1119</v>
      </c>
      <c r="N771" s="15">
        <f t="shared" si="155"/>
        <v>15885.244696823778</v>
      </c>
      <c r="O771" s="15">
        <f t="shared" si="156"/>
        <v>25765.51979666109</v>
      </c>
      <c r="P771" s="16">
        <f>SUM($H$3:H771)</f>
        <v>202910890</v>
      </c>
      <c r="Q771" s="2">
        <f>SUM($I$3:I771)</f>
        <v>9499</v>
      </c>
    </row>
    <row r="772" spans="1:17" x14ac:dyDescent="0.3">
      <c r="A772" s="7">
        <f t="shared" si="152"/>
        <v>770</v>
      </c>
      <c r="B772" s="2">
        <f t="shared" si="152"/>
        <v>1120</v>
      </c>
      <c r="C772" s="14">
        <f t="shared" si="159"/>
        <v>15924.362399065623</v>
      </c>
      <c r="D772" s="14">
        <f t="shared" si="160"/>
        <v>25832.012365742561</v>
      </c>
      <c r="E772" s="2">
        <v>1</v>
      </c>
      <c r="F772" s="2">
        <f t="shared" si="157"/>
        <v>7.0000000000000036</v>
      </c>
      <c r="G772" s="17">
        <f t="shared" si="158"/>
        <v>0.30033333333333334</v>
      </c>
      <c r="H772" s="8">
        <f t="shared" si="161"/>
        <v>734400</v>
      </c>
      <c r="I772" s="9">
        <v>25</v>
      </c>
      <c r="L772" s="2">
        <f t="shared" si="153"/>
        <v>734400</v>
      </c>
      <c r="M772" s="2">
        <f t="shared" si="154"/>
        <v>1120</v>
      </c>
      <c r="N772" s="15">
        <f t="shared" si="155"/>
        <v>15924.362399065623</v>
      </c>
      <c r="O772" s="15">
        <f t="shared" si="156"/>
        <v>25832.012365742561</v>
      </c>
      <c r="P772" s="16">
        <f>SUM($H$3:H772)</f>
        <v>203645290</v>
      </c>
      <c r="Q772" s="2">
        <f>SUM($I$3:I772)</f>
        <v>9524</v>
      </c>
    </row>
    <row r="773" spans="1:17" x14ac:dyDescent="0.3">
      <c r="A773" s="7">
        <f t="shared" ref="A773:B836" si="162">A772+1</f>
        <v>771</v>
      </c>
      <c r="B773" s="2">
        <f t="shared" si="162"/>
        <v>1121</v>
      </c>
      <c r="C773" s="14">
        <f t="shared" si="159"/>
        <v>15963.496750691695</v>
      </c>
      <c r="D773" s="14">
        <f t="shared" si="160"/>
        <v>25898.561548366135</v>
      </c>
      <c r="E773" s="2">
        <v>1</v>
      </c>
      <c r="F773" s="2">
        <f t="shared" si="157"/>
        <v>7.0000000000000036</v>
      </c>
      <c r="G773" s="17">
        <f t="shared" si="158"/>
        <v>0.30076666666666668</v>
      </c>
      <c r="H773" s="8">
        <f t="shared" si="161"/>
        <v>735930</v>
      </c>
      <c r="I773" s="9">
        <v>25</v>
      </c>
      <c r="L773" s="2">
        <f t="shared" si="153"/>
        <v>735930</v>
      </c>
      <c r="M773" s="2">
        <f t="shared" si="154"/>
        <v>1121</v>
      </c>
      <c r="N773" s="15">
        <f t="shared" si="155"/>
        <v>15963.496750691695</v>
      </c>
      <c r="O773" s="15">
        <f t="shared" si="156"/>
        <v>25898.561548366135</v>
      </c>
      <c r="P773" s="16">
        <f>SUM($H$3:H773)</f>
        <v>204381220</v>
      </c>
      <c r="Q773" s="2">
        <f>SUM($I$3:I773)</f>
        <v>9549</v>
      </c>
    </row>
    <row r="774" spans="1:17" x14ac:dyDescent="0.3">
      <c r="A774" s="7">
        <f t="shared" si="162"/>
        <v>772</v>
      </c>
      <c r="B774" s="2">
        <f t="shared" si="162"/>
        <v>1122</v>
      </c>
      <c r="C774" s="14">
        <f t="shared" si="159"/>
        <v>16002.647723416716</v>
      </c>
      <c r="D774" s="14">
        <f t="shared" si="160"/>
        <v>25965.167272381932</v>
      </c>
      <c r="E774" s="2">
        <v>1</v>
      </c>
      <c r="F774" s="2">
        <f t="shared" si="157"/>
        <v>7.0000000000000036</v>
      </c>
      <c r="G774" s="17">
        <f t="shared" si="158"/>
        <v>0.30119999999999997</v>
      </c>
      <c r="H774" s="8">
        <f t="shared" si="161"/>
        <v>737460</v>
      </c>
      <c r="I774" s="9">
        <v>25</v>
      </c>
      <c r="L774" s="2">
        <f t="shared" si="153"/>
        <v>737460</v>
      </c>
      <c r="M774" s="2">
        <f t="shared" si="154"/>
        <v>1122</v>
      </c>
      <c r="N774" s="15">
        <f t="shared" si="155"/>
        <v>16002.647723416716</v>
      </c>
      <c r="O774" s="15">
        <f t="shared" si="156"/>
        <v>25965.167272381932</v>
      </c>
      <c r="P774" s="16">
        <f>SUM($H$3:H774)</f>
        <v>205118680</v>
      </c>
      <c r="Q774" s="2">
        <f>SUM($I$3:I774)</f>
        <v>9574</v>
      </c>
    </row>
    <row r="775" spans="1:17" x14ac:dyDescent="0.3">
      <c r="A775" s="7">
        <f t="shared" si="162"/>
        <v>773</v>
      </c>
      <c r="B775" s="2">
        <f t="shared" si="162"/>
        <v>1123</v>
      </c>
      <c r="C775" s="14">
        <f t="shared" si="159"/>
        <v>16041.815289063334</v>
      </c>
      <c r="D775" s="14">
        <f t="shared" si="160"/>
        <v>26031.829465884701</v>
      </c>
      <c r="E775" s="2">
        <v>1</v>
      </c>
      <c r="F775" s="2">
        <f t="shared" si="157"/>
        <v>7.0000000000000036</v>
      </c>
      <c r="G775" s="17">
        <f t="shared" si="158"/>
        <v>0.30163333333333336</v>
      </c>
      <c r="H775" s="8">
        <f t="shared" si="161"/>
        <v>738990</v>
      </c>
      <c r="I775" s="9">
        <v>25</v>
      </c>
      <c r="L775" s="2">
        <f t="shared" si="153"/>
        <v>738990</v>
      </c>
      <c r="M775" s="2">
        <f t="shared" si="154"/>
        <v>1123</v>
      </c>
      <c r="N775" s="15">
        <f t="shared" si="155"/>
        <v>16041.815289063334</v>
      </c>
      <c r="O775" s="15">
        <f t="shared" si="156"/>
        <v>26031.829465884701</v>
      </c>
      <c r="P775" s="16">
        <f>SUM($H$3:H775)</f>
        <v>205857670</v>
      </c>
      <c r="Q775" s="2">
        <f>SUM($I$3:I775)</f>
        <v>9599</v>
      </c>
    </row>
    <row r="776" spans="1:17" x14ac:dyDescent="0.3">
      <c r="A776" s="7">
        <f t="shared" si="162"/>
        <v>774</v>
      </c>
      <c r="B776" s="2">
        <f t="shared" si="162"/>
        <v>1124</v>
      </c>
      <c r="C776" s="14">
        <f t="shared" si="159"/>
        <v>16080.999419561458</v>
      </c>
      <c r="D776" s="14">
        <f t="shared" si="160"/>
        <v>26098.548057212625</v>
      </c>
      <c r="E776" s="2">
        <v>1</v>
      </c>
      <c r="F776" s="2">
        <f t="shared" si="157"/>
        <v>7.0000000000000036</v>
      </c>
      <c r="G776" s="17">
        <f t="shared" si="158"/>
        <v>0.30206666666666671</v>
      </c>
      <c r="H776" s="8">
        <f t="shared" si="161"/>
        <v>740520</v>
      </c>
      <c r="I776" s="9">
        <v>25</v>
      </c>
      <c r="L776" s="2">
        <f t="shared" si="153"/>
        <v>740520</v>
      </c>
      <c r="M776" s="2">
        <f t="shared" si="154"/>
        <v>1124</v>
      </c>
      <c r="N776" s="15">
        <f t="shared" si="155"/>
        <v>16080.999419561458</v>
      </c>
      <c r="O776" s="15">
        <f t="shared" si="156"/>
        <v>26098.548057212625</v>
      </c>
      <c r="P776" s="16">
        <f>SUM($H$3:H776)</f>
        <v>206598190</v>
      </c>
      <c r="Q776" s="2">
        <f>SUM($I$3:I776)</f>
        <v>9624</v>
      </c>
    </row>
    <row r="777" spans="1:17" x14ac:dyDescent="0.3">
      <c r="A777" s="7">
        <f t="shared" si="162"/>
        <v>775</v>
      </c>
      <c r="B777" s="2">
        <f t="shared" si="162"/>
        <v>1125</v>
      </c>
      <c r="C777" s="14">
        <f t="shared" si="159"/>
        <v>16120.200086947534</v>
      </c>
      <c r="D777" s="14">
        <f t="shared" si="160"/>
        <v>26165.322974945691</v>
      </c>
      <c r="E777" s="2">
        <v>1</v>
      </c>
      <c r="F777" s="2">
        <f t="shared" si="157"/>
        <v>7.0000000000000036</v>
      </c>
      <c r="G777" s="17">
        <f t="shared" si="158"/>
        <v>0.30249999999999999</v>
      </c>
      <c r="H777" s="8">
        <f t="shared" si="161"/>
        <v>742050</v>
      </c>
      <c r="I777" s="9">
        <v>25</v>
      </c>
      <c r="L777" s="2">
        <f t="shared" ref="L777:L840" si="163">H777</f>
        <v>742050</v>
      </c>
      <c r="M777" s="2">
        <f t="shared" ref="M777:M840" si="164">B777</f>
        <v>1125</v>
      </c>
      <c r="N777" s="15">
        <f t="shared" ref="N777:N840" si="165">C777</f>
        <v>16120.200086947534</v>
      </c>
      <c r="O777" s="15">
        <f t="shared" ref="O777:O840" si="166">D777</f>
        <v>26165.322974945691</v>
      </c>
      <c r="P777" s="16">
        <f>SUM($H$3:H777)</f>
        <v>207340240</v>
      </c>
      <c r="Q777" s="2">
        <f>SUM($I$3:I777)</f>
        <v>9649</v>
      </c>
    </row>
    <row r="778" spans="1:17" x14ac:dyDescent="0.3">
      <c r="A778" s="7">
        <f t="shared" si="162"/>
        <v>776</v>
      </c>
      <c r="B778" s="2">
        <f t="shared" si="162"/>
        <v>1126</v>
      </c>
      <c r="C778" s="14">
        <f t="shared" si="159"/>
        <v>16159.417263364112</v>
      </c>
      <c r="D778" s="14">
        <f t="shared" si="160"/>
        <v>26232.154147904832</v>
      </c>
      <c r="E778" s="2">
        <v>1</v>
      </c>
      <c r="F778" s="2">
        <f t="shared" si="157"/>
        <v>7.0000000000000036</v>
      </c>
      <c r="G778" s="17">
        <f t="shared" si="158"/>
        <v>0.30293333333333333</v>
      </c>
      <c r="H778" s="8">
        <f t="shared" si="161"/>
        <v>743580</v>
      </c>
      <c r="I778" s="9">
        <v>25</v>
      </c>
      <c r="L778" s="2">
        <f t="shared" si="163"/>
        <v>743580</v>
      </c>
      <c r="M778" s="2">
        <f t="shared" si="164"/>
        <v>1126</v>
      </c>
      <c r="N778" s="15">
        <f t="shared" si="165"/>
        <v>16159.417263364112</v>
      </c>
      <c r="O778" s="15">
        <f t="shared" si="166"/>
        <v>26232.154147904832</v>
      </c>
      <c r="P778" s="16">
        <f>SUM($H$3:H778)</f>
        <v>208083820</v>
      </c>
      <c r="Q778" s="2">
        <f>SUM($I$3:I778)</f>
        <v>9674</v>
      </c>
    </row>
    <row r="779" spans="1:17" x14ac:dyDescent="0.3">
      <c r="A779" s="7">
        <f t="shared" si="162"/>
        <v>777</v>
      </c>
      <c r="B779" s="2">
        <f t="shared" si="162"/>
        <v>1127</v>
      </c>
      <c r="C779" s="14">
        <f t="shared" si="159"/>
        <v>16198.650921059021</v>
      </c>
      <c r="D779" s="14">
        <f t="shared" si="160"/>
        <v>26299.041505150042</v>
      </c>
      <c r="E779" s="2">
        <v>1</v>
      </c>
      <c r="F779" s="2">
        <f t="shared" ref="F779:F842" si="167">F759+0.2</f>
        <v>7.0000000000000036</v>
      </c>
      <c r="G779" s="17">
        <f t="shared" si="158"/>
        <v>0.30336666666666673</v>
      </c>
      <c r="H779" s="8">
        <f t="shared" si="161"/>
        <v>745110</v>
      </c>
      <c r="I779" s="9">
        <v>25</v>
      </c>
      <c r="L779" s="2">
        <f t="shared" si="163"/>
        <v>745110</v>
      </c>
      <c r="M779" s="2">
        <f t="shared" si="164"/>
        <v>1127</v>
      </c>
      <c r="N779" s="15">
        <f t="shared" si="165"/>
        <v>16198.650921059021</v>
      </c>
      <c r="O779" s="15">
        <f t="shared" si="166"/>
        <v>26299.041505150042</v>
      </c>
      <c r="P779" s="16">
        <f>SUM($H$3:H779)</f>
        <v>208828930</v>
      </c>
      <c r="Q779" s="2">
        <f>SUM($I$3:I779)</f>
        <v>9699</v>
      </c>
    </row>
    <row r="780" spans="1:17" x14ac:dyDescent="0.3">
      <c r="A780" s="7">
        <f t="shared" si="162"/>
        <v>778</v>
      </c>
      <c r="B780" s="2">
        <f t="shared" si="162"/>
        <v>1128</v>
      </c>
      <c r="C780" s="14">
        <f t="shared" si="159"/>
        <v>16237.901032384869</v>
      </c>
      <c r="D780" s="14">
        <f t="shared" si="160"/>
        <v>26365.984975979631</v>
      </c>
      <c r="E780" s="2">
        <v>1</v>
      </c>
      <c r="F780" s="2">
        <f t="shared" si="167"/>
        <v>7.0000000000000036</v>
      </c>
      <c r="G780" s="17">
        <f t="shared" si="158"/>
        <v>0.30380000000000001</v>
      </c>
      <c r="H780" s="8">
        <f t="shared" si="161"/>
        <v>746640</v>
      </c>
      <c r="I780" s="9">
        <v>25</v>
      </c>
      <c r="L780" s="2">
        <f t="shared" si="163"/>
        <v>746640</v>
      </c>
      <c r="M780" s="2">
        <f t="shared" si="164"/>
        <v>1128</v>
      </c>
      <c r="N780" s="15">
        <f t="shared" si="165"/>
        <v>16237.901032384869</v>
      </c>
      <c r="O780" s="15">
        <f t="shared" si="166"/>
        <v>26365.984975979631</v>
      </c>
      <c r="P780" s="16">
        <f>SUM($H$3:H780)</f>
        <v>209575570</v>
      </c>
      <c r="Q780" s="2">
        <f>SUM($I$3:I780)</f>
        <v>9724</v>
      </c>
    </row>
    <row r="781" spans="1:17" x14ac:dyDescent="0.3">
      <c r="A781" s="7">
        <f t="shared" si="162"/>
        <v>779</v>
      </c>
      <c r="B781" s="2">
        <f t="shared" si="162"/>
        <v>1129</v>
      </c>
      <c r="C781" s="14">
        <f t="shared" si="159"/>
        <v>16277.167569798406</v>
      </c>
      <c r="D781" s="14">
        <f t="shared" si="160"/>
        <v>26432.984489928524</v>
      </c>
      <c r="E781" s="2">
        <v>1</v>
      </c>
      <c r="F781" s="2">
        <f t="shared" si="167"/>
        <v>7.0000000000000036</v>
      </c>
      <c r="G781" s="17">
        <f t="shared" si="158"/>
        <v>0.30423333333333336</v>
      </c>
      <c r="H781" s="8">
        <f t="shared" si="161"/>
        <v>748170</v>
      </c>
      <c r="I781" s="9">
        <v>25</v>
      </c>
      <c r="L781" s="2">
        <f t="shared" si="163"/>
        <v>748170</v>
      </c>
      <c r="M781" s="2">
        <f t="shared" si="164"/>
        <v>1129</v>
      </c>
      <c r="N781" s="15">
        <f t="shared" si="165"/>
        <v>16277.167569798406</v>
      </c>
      <c r="O781" s="15">
        <f t="shared" si="166"/>
        <v>26432.984489928524</v>
      </c>
      <c r="P781" s="16">
        <f>SUM($H$3:H781)</f>
        <v>210323740</v>
      </c>
      <c r="Q781" s="2">
        <f>SUM($I$3:I781)</f>
        <v>9749</v>
      </c>
    </row>
    <row r="782" spans="1:17" x14ac:dyDescent="0.3">
      <c r="A782" s="7">
        <f t="shared" si="162"/>
        <v>780</v>
      </c>
      <c r="B782" s="2">
        <f t="shared" si="162"/>
        <v>1130</v>
      </c>
      <c r="C782" s="14">
        <f t="shared" si="159"/>
        <v>16316.450505859901</v>
      </c>
      <c r="D782" s="14">
        <f t="shared" si="160"/>
        <v>26500.039976767162</v>
      </c>
      <c r="E782" s="2">
        <v>1</v>
      </c>
      <c r="F782" s="2">
        <f t="shared" si="167"/>
        <v>7.2000000000000037</v>
      </c>
      <c r="G782" s="17">
        <f t="shared" si="158"/>
        <v>0.30466666666666664</v>
      </c>
      <c r="H782" s="8">
        <f t="shared" si="161"/>
        <v>749700</v>
      </c>
      <c r="I782" s="9">
        <v>25</v>
      </c>
      <c r="L782" s="2">
        <f t="shared" si="163"/>
        <v>749700</v>
      </c>
      <c r="M782" s="2">
        <f t="shared" si="164"/>
        <v>1130</v>
      </c>
      <c r="N782" s="15">
        <f t="shared" si="165"/>
        <v>16316.450505859901</v>
      </c>
      <c r="O782" s="15">
        <f t="shared" si="166"/>
        <v>26500.039976767162</v>
      </c>
      <c r="P782" s="16">
        <f>SUM($H$3:H782)</f>
        <v>211073440</v>
      </c>
      <c r="Q782" s="2">
        <f>SUM($I$3:I782)</f>
        <v>9774</v>
      </c>
    </row>
    <row r="783" spans="1:17" x14ac:dyDescent="0.3">
      <c r="A783" s="7">
        <f t="shared" si="162"/>
        <v>781</v>
      </c>
      <c r="B783" s="2">
        <f t="shared" si="162"/>
        <v>1131</v>
      </c>
      <c r="C783" s="14">
        <f t="shared" si="159"/>
        <v>16355.749813232529</v>
      </c>
      <c r="D783" s="14">
        <f t="shared" si="160"/>
        <v>26567.151366500133</v>
      </c>
      <c r="E783" s="2">
        <v>1</v>
      </c>
      <c r="F783" s="2">
        <f t="shared" si="167"/>
        <v>7.2000000000000037</v>
      </c>
      <c r="G783" s="17">
        <f t="shared" si="158"/>
        <v>0.30510000000000004</v>
      </c>
      <c r="H783" s="8">
        <f t="shared" si="161"/>
        <v>751230</v>
      </c>
      <c r="I783" s="9">
        <v>25</v>
      </c>
      <c r="L783" s="2">
        <f t="shared" si="163"/>
        <v>751230</v>
      </c>
      <c r="M783" s="2">
        <f t="shared" si="164"/>
        <v>1131</v>
      </c>
      <c r="N783" s="15">
        <f t="shared" si="165"/>
        <v>16355.749813232529</v>
      </c>
      <c r="O783" s="15">
        <f t="shared" si="166"/>
        <v>26567.151366500133</v>
      </c>
      <c r="P783" s="16">
        <f>SUM($H$3:H783)</f>
        <v>211824670</v>
      </c>
      <c r="Q783" s="2">
        <f>SUM($I$3:I783)</f>
        <v>9799</v>
      </c>
    </row>
    <row r="784" spans="1:17" x14ac:dyDescent="0.3">
      <c r="A784" s="7">
        <f t="shared" si="162"/>
        <v>782</v>
      </c>
      <c r="B784" s="2">
        <f t="shared" si="162"/>
        <v>1132</v>
      </c>
      <c r="C784" s="14">
        <f t="shared" si="159"/>
        <v>16395.0654646818</v>
      </c>
      <c r="D784" s="14">
        <f t="shared" si="160"/>
        <v>26634.318589364982</v>
      </c>
      <c r="E784" s="2">
        <v>1</v>
      </c>
      <c r="F784" s="2">
        <f t="shared" si="167"/>
        <v>7.2000000000000037</v>
      </c>
      <c r="G784" s="17">
        <f t="shared" si="158"/>
        <v>0.30553333333333338</v>
      </c>
      <c r="H784" s="8">
        <f t="shared" si="161"/>
        <v>752760</v>
      </c>
      <c r="I784" s="9">
        <v>25</v>
      </c>
      <c r="L784" s="2">
        <f t="shared" si="163"/>
        <v>752760</v>
      </c>
      <c r="M784" s="2">
        <f t="shared" si="164"/>
        <v>1132</v>
      </c>
      <c r="N784" s="15">
        <f t="shared" si="165"/>
        <v>16395.0654646818</v>
      </c>
      <c r="O784" s="15">
        <f t="shared" si="166"/>
        <v>26634.318589364982</v>
      </c>
      <c r="P784" s="16">
        <f>SUM($H$3:H784)</f>
        <v>212577430</v>
      </c>
      <c r="Q784" s="2">
        <f>SUM($I$3:I784)</f>
        <v>9824</v>
      </c>
    </row>
    <row r="785" spans="1:17" x14ac:dyDescent="0.3">
      <c r="A785" s="7">
        <f t="shared" si="162"/>
        <v>783</v>
      </c>
      <c r="B785" s="2">
        <f t="shared" si="162"/>
        <v>1133</v>
      </c>
      <c r="C785" s="14">
        <f t="shared" si="159"/>
        <v>16434.397433074948</v>
      </c>
      <c r="D785" s="14">
        <f t="shared" si="160"/>
        <v>26701.541575831008</v>
      </c>
      <c r="E785" s="2">
        <v>1</v>
      </c>
      <c r="F785" s="2">
        <f t="shared" si="167"/>
        <v>7.2000000000000037</v>
      </c>
      <c r="G785" s="17">
        <f t="shared" si="158"/>
        <v>0.30596666666666666</v>
      </c>
      <c r="H785" s="8">
        <f t="shared" si="161"/>
        <v>754290</v>
      </c>
      <c r="I785" s="9">
        <v>25</v>
      </c>
      <c r="L785" s="2">
        <f t="shared" si="163"/>
        <v>754290</v>
      </c>
      <c r="M785" s="2">
        <f t="shared" si="164"/>
        <v>1133</v>
      </c>
      <c r="N785" s="15">
        <f t="shared" si="165"/>
        <v>16434.397433074948</v>
      </c>
      <c r="O785" s="15">
        <f t="shared" si="166"/>
        <v>26701.541575831008</v>
      </c>
      <c r="P785" s="16">
        <f>SUM($H$3:H785)</f>
        <v>213331720</v>
      </c>
      <c r="Q785" s="2">
        <f>SUM($I$3:I785)</f>
        <v>9849</v>
      </c>
    </row>
    <row r="786" spans="1:17" x14ac:dyDescent="0.3">
      <c r="A786" s="7">
        <f t="shared" si="162"/>
        <v>784</v>
      </c>
      <c r="B786" s="2">
        <f t="shared" si="162"/>
        <v>1134</v>
      </c>
      <c r="C786" s="14">
        <f t="shared" si="159"/>
        <v>16473.745691380362</v>
      </c>
      <c r="D786" s="14">
        <f t="shared" si="160"/>
        <v>26768.820256597839</v>
      </c>
      <c r="E786" s="2">
        <v>1</v>
      </c>
      <c r="F786" s="2">
        <f t="shared" si="167"/>
        <v>7.2000000000000037</v>
      </c>
      <c r="G786" s="17">
        <f t="shared" si="158"/>
        <v>0.30640000000000001</v>
      </c>
      <c r="H786" s="8">
        <f t="shared" si="161"/>
        <v>755820</v>
      </c>
      <c r="I786" s="9">
        <v>25</v>
      </c>
      <c r="L786" s="2">
        <f t="shared" si="163"/>
        <v>755820</v>
      </c>
      <c r="M786" s="2">
        <f t="shared" si="164"/>
        <v>1134</v>
      </c>
      <c r="N786" s="15">
        <f t="shared" si="165"/>
        <v>16473.745691380362</v>
      </c>
      <c r="O786" s="15">
        <f t="shared" si="166"/>
        <v>26768.820256597839</v>
      </c>
      <c r="P786" s="16">
        <f>SUM($H$3:H786)</f>
        <v>214087540</v>
      </c>
      <c r="Q786" s="2">
        <f>SUM($I$3:I786)</f>
        <v>9874</v>
      </c>
    </row>
    <row r="787" spans="1:17" x14ac:dyDescent="0.3">
      <c r="A787" s="7">
        <f t="shared" si="162"/>
        <v>785</v>
      </c>
      <c r="B787" s="2">
        <f t="shared" si="162"/>
        <v>1135</v>
      </c>
      <c r="C787" s="14">
        <f t="shared" si="159"/>
        <v>16513.110212666925</v>
      </c>
      <c r="D787" s="14">
        <f t="shared" si="160"/>
        <v>26836.154562594296</v>
      </c>
      <c r="E787" s="2">
        <v>1</v>
      </c>
      <c r="F787" s="2">
        <f t="shared" si="167"/>
        <v>7.2000000000000037</v>
      </c>
      <c r="G787" s="17">
        <f t="shared" si="158"/>
        <v>0.3068333333333334</v>
      </c>
      <c r="H787" s="8">
        <f t="shared" si="161"/>
        <v>757350</v>
      </c>
      <c r="I787" s="9">
        <v>25</v>
      </c>
      <c r="L787" s="2">
        <f t="shared" si="163"/>
        <v>757350</v>
      </c>
      <c r="M787" s="2">
        <f t="shared" si="164"/>
        <v>1135</v>
      </c>
      <c r="N787" s="15">
        <f t="shared" si="165"/>
        <v>16513.110212666925</v>
      </c>
      <c r="O787" s="15">
        <f t="shared" si="166"/>
        <v>26836.154562594296</v>
      </c>
      <c r="P787" s="16">
        <f>SUM($H$3:H787)</f>
        <v>214844890</v>
      </c>
      <c r="Q787" s="2">
        <f>SUM($I$3:I787)</f>
        <v>9899</v>
      </c>
    </row>
    <row r="788" spans="1:17" x14ac:dyDescent="0.3">
      <c r="A788" s="7">
        <f t="shared" si="162"/>
        <v>786</v>
      </c>
      <c r="B788" s="2">
        <f t="shared" si="162"/>
        <v>1136</v>
      </c>
      <c r="C788" s="14">
        <f t="shared" si="159"/>
        <v>16552.490970103565</v>
      </c>
      <c r="D788" s="14">
        <f t="shared" si="160"/>
        <v>26903.544424977186</v>
      </c>
      <c r="E788" s="2">
        <v>1</v>
      </c>
      <c r="F788" s="2">
        <f t="shared" si="167"/>
        <v>7.2000000000000037</v>
      </c>
      <c r="G788" s="17">
        <f t="shared" si="158"/>
        <v>0.30726666666666669</v>
      </c>
      <c r="H788" s="8">
        <f t="shared" si="161"/>
        <v>758880</v>
      </c>
      <c r="I788" s="9">
        <v>25</v>
      </c>
      <c r="L788" s="2">
        <f t="shared" si="163"/>
        <v>758880</v>
      </c>
      <c r="M788" s="2">
        <f t="shared" si="164"/>
        <v>1136</v>
      </c>
      <c r="N788" s="15">
        <f t="shared" si="165"/>
        <v>16552.490970103565</v>
      </c>
      <c r="O788" s="15">
        <f t="shared" si="166"/>
        <v>26903.544424977186</v>
      </c>
      <c r="P788" s="16">
        <f>SUM($H$3:H788)</f>
        <v>215603770</v>
      </c>
      <c r="Q788" s="2">
        <f>SUM($I$3:I788)</f>
        <v>9924</v>
      </c>
    </row>
    <row r="789" spans="1:17" x14ac:dyDescent="0.3">
      <c r="A789" s="7">
        <f t="shared" si="162"/>
        <v>787</v>
      </c>
      <c r="B789" s="2">
        <f t="shared" si="162"/>
        <v>1137</v>
      </c>
      <c r="C789" s="14">
        <f t="shared" si="159"/>
        <v>16591.88793695857</v>
      </c>
      <c r="D789" s="14">
        <f t="shared" si="160"/>
        <v>26970.989775130052</v>
      </c>
      <c r="E789" s="2">
        <v>1</v>
      </c>
      <c r="F789" s="2">
        <f t="shared" si="167"/>
        <v>7.2000000000000037</v>
      </c>
      <c r="G789" s="17">
        <f t="shared" si="158"/>
        <v>0.30770000000000003</v>
      </c>
      <c r="H789" s="8">
        <f t="shared" si="161"/>
        <v>760410</v>
      </c>
      <c r="I789" s="9">
        <v>25</v>
      </c>
      <c r="L789" s="2">
        <f t="shared" si="163"/>
        <v>760410</v>
      </c>
      <c r="M789" s="2">
        <f t="shared" si="164"/>
        <v>1137</v>
      </c>
      <c r="N789" s="15">
        <f t="shared" si="165"/>
        <v>16591.88793695857</v>
      </c>
      <c r="O789" s="15">
        <f t="shared" si="166"/>
        <v>26970.989775130052</v>
      </c>
      <c r="P789" s="16">
        <f>SUM($H$3:H789)</f>
        <v>216364180</v>
      </c>
      <c r="Q789" s="2">
        <f>SUM($I$3:I789)</f>
        <v>9949</v>
      </c>
    </row>
    <row r="790" spans="1:17" x14ac:dyDescent="0.3">
      <c r="A790" s="7">
        <f t="shared" si="162"/>
        <v>788</v>
      </c>
      <c r="B790" s="2">
        <f t="shared" si="162"/>
        <v>1138</v>
      </c>
      <c r="C790" s="14">
        <f t="shared" si="159"/>
        <v>16631.301086599029</v>
      </c>
      <c r="D790" s="14">
        <f t="shared" si="160"/>
        <v>27038.49054466196</v>
      </c>
      <c r="E790" s="2">
        <v>1</v>
      </c>
      <c r="F790" s="2">
        <f t="shared" si="167"/>
        <v>7.2000000000000037</v>
      </c>
      <c r="G790" s="17">
        <f t="shared" si="158"/>
        <v>0.30813333333333331</v>
      </c>
      <c r="H790" s="8">
        <f t="shared" si="161"/>
        <v>761940</v>
      </c>
      <c r="I790" s="9">
        <v>25</v>
      </c>
      <c r="L790" s="2">
        <f t="shared" si="163"/>
        <v>761940</v>
      </c>
      <c r="M790" s="2">
        <f t="shared" si="164"/>
        <v>1138</v>
      </c>
      <c r="N790" s="15">
        <f t="shared" si="165"/>
        <v>16631.301086599029</v>
      </c>
      <c r="O790" s="15">
        <f t="shared" si="166"/>
        <v>27038.49054466196</v>
      </c>
      <c r="P790" s="16">
        <f>SUM($H$3:H790)</f>
        <v>217126120</v>
      </c>
      <c r="Q790" s="2">
        <f>SUM($I$3:I790)</f>
        <v>9974</v>
      </c>
    </row>
    <row r="791" spans="1:17" x14ac:dyDescent="0.3">
      <c r="A791" s="7">
        <f t="shared" si="162"/>
        <v>789</v>
      </c>
      <c r="B791" s="2">
        <f t="shared" si="162"/>
        <v>1139</v>
      </c>
      <c r="C791" s="14">
        <f t="shared" si="159"/>
        <v>16670.730392490332</v>
      </c>
      <c r="D791" s="14">
        <f t="shared" si="160"/>
        <v>27106.04666540628</v>
      </c>
      <c r="E791" s="2">
        <v>1</v>
      </c>
      <c r="F791" s="2">
        <f t="shared" si="167"/>
        <v>7.2000000000000037</v>
      </c>
      <c r="G791" s="17">
        <f t="shared" si="158"/>
        <v>0.30856666666666671</v>
      </c>
      <c r="H791" s="8">
        <f t="shared" si="161"/>
        <v>763470</v>
      </c>
      <c r="I791" s="9">
        <v>25</v>
      </c>
      <c r="L791" s="2">
        <f t="shared" si="163"/>
        <v>763470</v>
      </c>
      <c r="M791" s="2">
        <f t="shared" si="164"/>
        <v>1139</v>
      </c>
      <c r="N791" s="15">
        <f t="shared" si="165"/>
        <v>16670.730392490332</v>
      </c>
      <c r="O791" s="15">
        <f t="shared" si="166"/>
        <v>27106.04666540628</v>
      </c>
      <c r="P791" s="16">
        <f>SUM($H$3:H791)</f>
        <v>217889590</v>
      </c>
      <c r="Q791" s="2">
        <f>SUM($I$3:I791)</f>
        <v>9999</v>
      </c>
    </row>
    <row r="792" spans="1:17" x14ac:dyDescent="0.3">
      <c r="A792" s="7">
        <f t="shared" si="162"/>
        <v>790</v>
      </c>
      <c r="B792" s="2">
        <f t="shared" si="162"/>
        <v>1140</v>
      </c>
      <c r="C792" s="14">
        <f t="shared" si="159"/>
        <v>16710.175828195523</v>
      </c>
      <c r="D792" s="14">
        <f t="shared" si="160"/>
        <v>27173.658069419544</v>
      </c>
      <c r="E792" s="2">
        <v>1</v>
      </c>
      <c r="F792" s="2">
        <f t="shared" si="167"/>
        <v>7.2000000000000037</v>
      </c>
      <c r="G792" s="17">
        <f t="shared" si="158"/>
        <v>0.30900000000000005</v>
      </c>
      <c r="H792" s="8">
        <f t="shared" si="161"/>
        <v>765000</v>
      </c>
      <c r="I792" s="9">
        <v>25</v>
      </c>
      <c r="L792" s="2">
        <f t="shared" si="163"/>
        <v>765000</v>
      </c>
      <c r="M792" s="2">
        <f t="shared" si="164"/>
        <v>1140</v>
      </c>
      <c r="N792" s="15">
        <f t="shared" si="165"/>
        <v>16710.175828195523</v>
      </c>
      <c r="O792" s="15">
        <f t="shared" si="166"/>
        <v>27173.658069419544</v>
      </c>
      <c r="P792" s="16">
        <f>SUM($H$3:H792)</f>
        <v>218654590</v>
      </c>
      <c r="Q792" s="2">
        <f>SUM($I$3:I792)</f>
        <v>10024</v>
      </c>
    </row>
    <row r="793" spans="1:17" x14ac:dyDescent="0.3">
      <c r="A793" s="7">
        <f t="shared" si="162"/>
        <v>791</v>
      </c>
      <c r="B793" s="2">
        <f t="shared" si="162"/>
        <v>1141</v>
      </c>
      <c r="C793" s="14">
        <f t="shared" si="159"/>
        <v>16749.637367374835</v>
      </c>
      <c r="D793" s="14">
        <f t="shared" si="160"/>
        <v>27241.324688980269</v>
      </c>
      <c r="E793" s="2">
        <v>1</v>
      </c>
      <c r="F793" s="2">
        <f t="shared" si="167"/>
        <v>7.2000000000000037</v>
      </c>
      <c r="G793" s="17">
        <f t="shared" si="158"/>
        <v>0.30943333333333334</v>
      </c>
      <c r="H793" s="8">
        <f t="shared" si="161"/>
        <v>766530</v>
      </c>
      <c r="I793" s="9">
        <v>25</v>
      </c>
      <c r="L793" s="2">
        <f t="shared" si="163"/>
        <v>766530</v>
      </c>
      <c r="M793" s="2">
        <f t="shared" si="164"/>
        <v>1141</v>
      </c>
      <c r="N793" s="15">
        <f t="shared" si="165"/>
        <v>16749.637367374835</v>
      </c>
      <c r="O793" s="15">
        <f t="shared" si="166"/>
        <v>27241.324688980269</v>
      </c>
      <c r="P793" s="16">
        <f>SUM($H$3:H793)</f>
        <v>219421120</v>
      </c>
      <c r="Q793" s="2">
        <f>SUM($I$3:I793)</f>
        <v>10049</v>
      </c>
    </row>
    <row r="794" spans="1:17" x14ac:dyDescent="0.3">
      <c r="A794" s="7">
        <f t="shared" si="162"/>
        <v>792</v>
      </c>
      <c r="B794" s="2">
        <f t="shared" si="162"/>
        <v>1142</v>
      </c>
      <c r="C794" s="14">
        <f t="shared" si="159"/>
        <v>16789.11498378501</v>
      </c>
      <c r="D794" s="14">
        <f t="shared" si="160"/>
        <v>27309.046456587665</v>
      </c>
      <c r="E794" s="2">
        <v>1</v>
      </c>
      <c r="F794" s="2">
        <f t="shared" si="167"/>
        <v>7.2000000000000037</v>
      </c>
      <c r="G794" s="17">
        <f t="shared" si="158"/>
        <v>0.30986666666666668</v>
      </c>
      <c r="H794" s="8">
        <f t="shared" si="161"/>
        <v>768060</v>
      </c>
      <c r="I794" s="9">
        <v>25</v>
      </c>
      <c r="L794" s="2">
        <f t="shared" si="163"/>
        <v>768060</v>
      </c>
      <c r="M794" s="2">
        <f t="shared" si="164"/>
        <v>1142</v>
      </c>
      <c r="N794" s="15">
        <f t="shared" si="165"/>
        <v>16789.11498378501</v>
      </c>
      <c r="O794" s="15">
        <f t="shared" si="166"/>
        <v>27309.046456587665</v>
      </c>
      <c r="P794" s="16">
        <f>SUM($H$3:H794)</f>
        <v>220189180</v>
      </c>
      <c r="Q794" s="2">
        <f>SUM($I$3:I794)</f>
        <v>10074</v>
      </c>
    </row>
    <row r="795" spans="1:17" x14ac:dyDescent="0.3">
      <c r="A795" s="7">
        <f t="shared" si="162"/>
        <v>793</v>
      </c>
      <c r="B795" s="2">
        <f t="shared" si="162"/>
        <v>1143</v>
      </c>
      <c r="C795" s="14">
        <f t="shared" si="159"/>
        <v>16828.608651278886</v>
      </c>
      <c r="D795" s="14">
        <f t="shared" si="160"/>
        <v>27376.823304960544</v>
      </c>
      <c r="E795" s="2">
        <v>1</v>
      </c>
      <c r="F795" s="2">
        <f t="shared" si="167"/>
        <v>7.2000000000000037</v>
      </c>
      <c r="G795" s="17">
        <f t="shared" si="158"/>
        <v>0.31029999999999996</v>
      </c>
      <c r="H795" s="8">
        <f t="shared" si="161"/>
        <v>769590</v>
      </c>
      <c r="I795" s="9">
        <v>25</v>
      </c>
      <c r="L795" s="2">
        <f t="shared" si="163"/>
        <v>769590</v>
      </c>
      <c r="M795" s="2">
        <f t="shared" si="164"/>
        <v>1143</v>
      </c>
      <c r="N795" s="15">
        <f t="shared" si="165"/>
        <v>16828.608651278886</v>
      </c>
      <c r="O795" s="15">
        <f t="shared" si="166"/>
        <v>27376.823304960544</v>
      </c>
      <c r="P795" s="16">
        <f>SUM($H$3:H795)</f>
        <v>220958770</v>
      </c>
      <c r="Q795" s="2">
        <f>SUM($I$3:I795)</f>
        <v>10099</v>
      </c>
    </row>
    <row r="796" spans="1:17" x14ac:dyDescent="0.3">
      <c r="A796" s="7">
        <f t="shared" si="162"/>
        <v>794</v>
      </c>
      <c r="B796" s="2">
        <f t="shared" si="162"/>
        <v>1144</v>
      </c>
      <c r="C796" s="14">
        <f t="shared" si="159"/>
        <v>16868.118343804741</v>
      </c>
      <c r="D796" s="14">
        <f t="shared" si="160"/>
        <v>27444.655167036235</v>
      </c>
      <c r="E796" s="2">
        <v>1</v>
      </c>
      <c r="F796" s="2">
        <f t="shared" si="167"/>
        <v>7.2000000000000037</v>
      </c>
      <c r="G796" s="17">
        <f t="shared" si="158"/>
        <v>0.31073333333333336</v>
      </c>
      <c r="H796" s="8">
        <f t="shared" si="161"/>
        <v>771120</v>
      </c>
      <c r="I796" s="9">
        <v>25</v>
      </c>
      <c r="L796" s="2">
        <f t="shared" si="163"/>
        <v>771120</v>
      </c>
      <c r="M796" s="2">
        <f t="shared" si="164"/>
        <v>1144</v>
      </c>
      <c r="N796" s="15">
        <f t="shared" si="165"/>
        <v>16868.118343804741</v>
      </c>
      <c r="O796" s="15">
        <f t="shared" si="166"/>
        <v>27444.655167036235</v>
      </c>
      <c r="P796" s="16">
        <f>SUM($H$3:H796)</f>
        <v>221729890</v>
      </c>
      <c r="Q796" s="2">
        <f>SUM($I$3:I796)</f>
        <v>10124</v>
      </c>
    </row>
    <row r="797" spans="1:17" x14ac:dyDescent="0.3">
      <c r="A797" s="7">
        <f t="shared" si="162"/>
        <v>795</v>
      </c>
      <c r="B797" s="2">
        <f t="shared" si="162"/>
        <v>1145</v>
      </c>
      <c r="C797" s="14">
        <f t="shared" si="159"/>
        <v>16907.644035405821</v>
      </c>
      <c r="D797" s="14">
        <f t="shared" si="160"/>
        <v>27512.541975969281</v>
      </c>
      <c r="E797" s="2">
        <v>1</v>
      </c>
      <c r="F797" s="2">
        <f t="shared" si="167"/>
        <v>7.2000000000000037</v>
      </c>
      <c r="G797" s="17">
        <f t="shared" si="158"/>
        <v>0.3111666666666667</v>
      </c>
      <c r="H797" s="8">
        <f t="shared" si="161"/>
        <v>772650</v>
      </c>
      <c r="I797" s="9">
        <v>25</v>
      </c>
      <c r="L797" s="2">
        <f t="shared" si="163"/>
        <v>772650</v>
      </c>
      <c r="M797" s="2">
        <f t="shared" si="164"/>
        <v>1145</v>
      </c>
      <c r="N797" s="15">
        <f t="shared" si="165"/>
        <v>16907.644035405821</v>
      </c>
      <c r="O797" s="15">
        <f t="shared" si="166"/>
        <v>27512.541975969281</v>
      </c>
      <c r="P797" s="16">
        <f>SUM($H$3:H797)</f>
        <v>222502540</v>
      </c>
      <c r="Q797" s="2">
        <f>SUM($I$3:I797)</f>
        <v>10149</v>
      </c>
    </row>
    <row r="798" spans="1:17" x14ac:dyDescent="0.3">
      <c r="A798" s="7">
        <f t="shared" si="162"/>
        <v>796</v>
      </c>
      <c r="B798" s="2">
        <f t="shared" si="162"/>
        <v>1146</v>
      </c>
      <c r="C798" s="14">
        <f t="shared" si="159"/>
        <v>16947.18570021979</v>
      </c>
      <c r="D798" s="14">
        <f t="shared" si="160"/>
        <v>27580.483665130505</v>
      </c>
      <c r="E798" s="2">
        <v>1</v>
      </c>
      <c r="F798" s="2">
        <f t="shared" si="167"/>
        <v>7.2000000000000037</v>
      </c>
      <c r="G798" s="17">
        <f t="shared" si="158"/>
        <v>0.31159999999999999</v>
      </c>
      <c r="H798" s="8">
        <f t="shared" si="161"/>
        <v>774180</v>
      </c>
      <c r="I798" s="9">
        <v>25</v>
      </c>
      <c r="L798" s="2">
        <f t="shared" si="163"/>
        <v>774180</v>
      </c>
      <c r="M798" s="2">
        <f t="shared" si="164"/>
        <v>1146</v>
      </c>
      <c r="N798" s="15">
        <f t="shared" si="165"/>
        <v>16947.18570021979</v>
      </c>
      <c r="O798" s="15">
        <f t="shared" si="166"/>
        <v>27580.483665130505</v>
      </c>
      <c r="P798" s="16">
        <f>SUM($H$3:H798)</f>
        <v>223276720</v>
      </c>
      <c r="Q798" s="2">
        <f>SUM($I$3:I798)</f>
        <v>10174</v>
      </c>
    </row>
    <row r="799" spans="1:17" x14ac:dyDescent="0.3">
      <c r="A799" s="7">
        <f t="shared" si="162"/>
        <v>797</v>
      </c>
      <c r="B799" s="2">
        <f t="shared" si="162"/>
        <v>1147</v>
      </c>
      <c r="C799" s="14">
        <f t="shared" si="159"/>
        <v>16986.743312478149</v>
      </c>
      <c r="D799" s="14">
        <f t="shared" si="160"/>
        <v>27648.480168105583</v>
      </c>
      <c r="E799" s="2">
        <v>1</v>
      </c>
      <c r="F799" s="2">
        <f t="shared" si="167"/>
        <v>7.2000000000000037</v>
      </c>
      <c r="G799" s="17">
        <f t="shared" si="158"/>
        <v>0.31203333333333333</v>
      </c>
      <c r="H799" s="8">
        <f t="shared" si="161"/>
        <v>775710</v>
      </c>
      <c r="I799" s="9">
        <v>25</v>
      </c>
      <c r="L799" s="2">
        <f t="shared" si="163"/>
        <v>775710</v>
      </c>
      <c r="M799" s="2">
        <f t="shared" si="164"/>
        <v>1147</v>
      </c>
      <c r="N799" s="15">
        <f t="shared" si="165"/>
        <v>16986.743312478149</v>
      </c>
      <c r="O799" s="15">
        <f t="shared" si="166"/>
        <v>27648.480168105583</v>
      </c>
      <c r="P799" s="16">
        <f>SUM($H$3:H799)</f>
        <v>224052430</v>
      </c>
      <c r="Q799" s="2">
        <f>SUM($I$3:I799)</f>
        <v>10199</v>
      </c>
    </row>
    <row r="800" spans="1:17" x14ac:dyDescent="0.3">
      <c r="A800" s="7">
        <f t="shared" si="162"/>
        <v>798</v>
      </c>
      <c r="B800" s="2">
        <f t="shared" si="162"/>
        <v>1148</v>
      </c>
      <c r="C800" s="14">
        <f t="shared" si="159"/>
        <v>17026.316846505786</v>
      </c>
      <c r="D800" s="14">
        <f t="shared" si="160"/>
        <v>27716.531418694212</v>
      </c>
      <c r="E800" s="2">
        <v>1</v>
      </c>
      <c r="F800" s="2">
        <f t="shared" si="167"/>
        <v>7.2000000000000037</v>
      </c>
      <c r="G800" s="17">
        <f t="shared" si="158"/>
        <v>0.31246666666666673</v>
      </c>
      <c r="H800" s="8">
        <f t="shared" si="161"/>
        <v>777240</v>
      </c>
      <c r="I800" s="9">
        <v>25</v>
      </c>
      <c r="L800" s="2">
        <f t="shared" si="163"/>
        <v>777240</v>
      </c>
      <c r="M800" s="2">
        <f t="shared" si="164"/>
        <v>1148</v>
      </c>
      <c r="N800" s="15">
        <f t="shared" si="165"/>
        <v>17026.316846505786</v>
      </c>
      <c r="O800" s="15">
        <f t="shared" si="166"/>
        <v>27716.531418694212</v>
      </c>
      <c r="P800" s="16">
        <f>SUM($H$3:H800)</f>
        <v>224829670</v>
      </c>
      <c r="Q800" s="2">
        <f>SUM($I$3:I800)</f>
        <v>10224</v>
      </c>
    </row>
    <row r="801" spans="1:17" x14ac:dyDescent="0.3">
      <c r="A801" s="7">
        <f t="shared" si="162"/>
        <v>799</v>
      </c>
      <c r="B801" s="2">
        <f t="shared" si="162"/>
        <v>1149</v>
      </c>
      <c r="C801" s="14">
        <f t="shared" si="159"/>
        <v>17065.906276720376</v>
      </c>
      <c r="D801" s="14">
        <f t="shared" si="160"/>
        <v>27784.63735090883</v>
      </c>
      <c r="E801" s="2">
        <v>1</v>
      </c>
      <c r="F801" s="2">
        <f t="shared" si="167"/>
        <v>7.2000000000000037</v>
      </c>
      <c r="G801" s="17">
        <f t="shared" si="158"/>
        <v>0.31290000000000001</v>
      </c>
      <c r="H801" s="8">
        <f t="shared" si="161"/>
        <v>778770</v>
      </c>
      <c r="I801" s="9">
        <v>25</v>
      </c>
      <c r="L801" s="2">
        <f t="shared" si="163"/>
        <v>778770</v>
      </c>
      <c r="M801" s="2">
        <f t="shared" si="164"/>
        <v>1149</v>
      </c>
      <c r="N801" s="15">
        <f t="shared" si="165"/>
        <v>17065.906276720376</v>
      </c>
      <c r="O801" s="15">
        <f t="shared" si="166"/>
        <v>27784.63735090883</v>
      </c>
      <c r="P801" s="16">
        <f>SUM($H$3:H801)</f>
        <v>225608440</v>
      </c>
      <c r="Q801" s="2">
        <f>SUM($I$3:I801)</f>
        <v>10249</v>
      </c>
    </row>
    <row r="802" spans="1:17" x14ac:dyDescent="0.3">
      <c r="A802" s="7">
        <f t="shared" si="162"/>
        <v>800</v>
      </c>
      <c r="B802" s="2">
        <f t="shared" si="162"/>
        <v>1150</v>
      </c>
      <c r="C802" s="14">
        <f t="shared" si="159"/>
        <v>17105.511577631914</v>
      </c>
      <c r="D802" s="14">
        <f t="shared" si="160"/>
        <v>27852.797898973487</v>
      </c>
      <c r="E802" s="2">
        <v>1</v>
      </c>
      <c r="F802" s="2">
        <f t="shared" si="167"/>
        <v>7.4000000000000039</v>
      </c>
      <c r="G802" s="17">
        <f t="shared" si="158"/>
        <v>0.31333333333333335</v>
      </c>
      <c r="H802" s="8">
        <f>(A802-600)*3970</f>
        <v>794000</v>
      </c>
      <c r="I802" s="9">
        <v>25</v>
      </c>
      <c r="L802" s="2">
        <f t="shared" si="163"/>
        <v>794000</v>
      </c>
      <c r="M802" s="2">
        <f t="shared" si="164"/>
        <v>1150</v>
      </c>
      <c r="N802" s="15">
        <f t="shared" si="165"/>
        <v>17105.511577631914</v>
      </c>
      <c r="O802" s="15">
        <f t="shared" si="166"/>
        <v>27852.797898973487</v>
      </c>
      <c r="P802" s="16">
        <f>SUM($H$3:H802)</f>
        <v>226402440</v>
      </c>
      <c r="Q802" s="2">
        <f>SUM($I$3:I802)</f>
        <v>10274</v>
      </c>
    </row>
    <row r="803" spans="1:17" x14ac:dyDescent="0.3">
      <c r="A803" s="7">
        <f t="shared" si="162"/>
        <v>801</v>
      </c>
      <c r="B803" s="2">
        <f t="shared" si="162"/>
        <v>1151</v>
      </c>
      <c r="C803" s="14">
        <f t="shared" si="159"/>
        <v>17145.132723842173</v>
      </c>
      <c r="D803" s="14">
        <f t="shared" si="160"/>
        <v>27921.012997322952</v>
      </c>
      <c r="E803" s="2">
        <v>1</v>
      </c>
      <c r="F803" s="2">
        <f t="shared" si="167"/>
        <v>7.4000000000000039</v>
      </c>
      <c r="G803" s="17">
        <f t="shared" si="158"/>
        <v>0.31376666666666664</v>
      </c>
      <c r="H803" s="8">
        <f t="shared" ref="H803:H866" si="168">(A803-600)*3970</f>
        <v>797970</v>
      </c>
      <c r="I803" s="9">
        <v>25</v>
      </c>
      <c r="L803" s="2">
        <f t="shared" si="163"/>
        <v>797970</v>
      </c>
      <c r="M803" s="2">
        <f t="shared" si="164"/>
        <v>1151</v>
      </c>
      <c r="N803" s="15">
        <f t="shared" si="165"/>
        <v>17145.132723842173</v>
      </c>
      <c r="O803" s="15">
        <f t="shared" si="166"/>
        <v>27921.012997322952</v>
      </c>
      <c r="P803" s="16">
        <f>SUM($H$3:H803)</f>
        <v>227200410</v>
      </c>
      <c r="Q803" s="2">
        <f>SUM($I$3:I803)</f>
        <v>10299</v>
      </c>
    </row>
    <row r="804" spans="1:17" x14ac:dyDescent="0.3">
      <c r="A804" s="7">
        <f t="shared" si="162"/>
        <v>802</v>
      </c>
      <c r="B804" s="2">
        <f t="shared" si="162"/>
        <v>1152</v>
      </c>
      <c r="C804" s="14">
        <f t="shared" si="159"/>
        <v>17184.769690044192</v>
      </c>
      <c r="D804" s="14">
        <f t="shared" si="160"/>
        <v>27989.282580601248</v>
      </c>
      <c r="E804" s="2">
        <v>1</v>
      </c>
      <c r="F804" s="2">
        <f t="shared" si="167"/>
        <v>7.4000000000000039</v>
      </c>
      <c r="G804" s="17">
        <f t="shared" si="158"/>
        <v>0.31420000000000003</v>
      </c>
      <c r="H804" s="8">
        <f t="shared" si="168"/>
        <v>801940</v>
      </c>
      <c r="I804" s="9">
        <v>25</v>
      </c>
      <c r="L804" s="2">
        <f t="shared" si="163"/>
        <v>801940</v>
      </c>
      <c r="M804" s="2">
        <f t="shared" si="164"/>
        <v>1152</v>
      </c>
      <c r="N804" s="15">
        <f t="shared" si="165"/>
        <v>17184.769690044192</v>
      </c>
      <c r="O804" s="15">
        <f t="shared" si="166"/>
        <v>27989.282580601248</v>
      </c>
      <c r="P804" s="16">
        <f>SUM($H$3:H804)</f>
        <v>228002350</v>
      </c>
      <c r="Q804" s="2">
        <f>SUM($I$3:I804)</f>
        <v>10324</v>
      </c>
    </row>
    <row r="805" spans="1:17" x14ac:dyDescent="0.3">
      <c r="A805" s="7">
        <f t="shared" si="162"/>
        <v>803</v>
      </c>
      <c r="B805" s="2">
        <f t="shared" si="162"/>
        <v>1153</v>
      </c>
      <c r="C805" s="14">
        <f t="shared" si="159"/>
        <v>17224.422451021783</v>
      </c>
      <c r="D805" s="14">
        <f t="shared" si="160"/>
        <v>28057.606583661032</v>
      </c>
      <c r="E805" s="2">
        <v>1</v>
      </c>
      <c r="F805" s="2">
        <f t="shared" si="167"/>
        <v>7.4000000000000039</v>
      </c>
      <c r="G805" s="17">
        <f t="shared" si="158"/>
        <v>0.31463333333333338</v>
      </c>
      <c r="H805" s="8">
        <f t="shared" si="168"/>
        <v>805910</v>
      </c>
      <c r="I805" s="9">
        <v>25</v>
      </c>
      <c r="L805" s="2">
        <f t="shared" si="163"/>
        <v>805910</v>
      </c>
      <c r="M805" s="2">
        <f t="shared" si="164"/>
        <v>1153</v>
      </c>
      <c r="N805" s="15">
        <f t="shared" si="165"/>
        <v>17224.422451021783</v>
      </c>
      <c r="O805" s="15">
        <f t="shared" si="166"/>
        <v>28057.606583661032</v>
      </c>
      <c r="P805" s="16">
        <f>SUM($H$3:H805)</f>
        <v>228808260</v>
      </c>
      <c r="Q805" s="2">
        <f>SUM($I$3:I805)</f>
        <v>10349</v>
      </c>
    </row>
    <row r="806" spans="1:17" x14ac:dyDescent="0.3">
      <c r="A806" s="7">
        <f t="shared" si="162"/>
        <v>804</v>
      </c>
      <c r="B806" s="2">
        <f t="shared" si="162"/>
        <v>1154</v>
      </c>
      <c r="C806" s="14">
        <f t="shared" si="159"/>
        <v>17264.090981648998</v>
      </c>
      <c r="D806" s="14">
        <f t="shared" si="160"/>
        <v>28125.984941562085</v>
      </c>
      <c r="E806" s="2">
        <v>1</v>
      </c>
      <c r="F806" s="2">
        <f t="shared" si="167"/>
        <v>7.4000000000000039</v>
      </c>
      <c r="G806" s="17">
        <f t="shared" si="158"/>
        <v>0.31506666666666666</v>
      </c>
      <c r="H806" s="8">
        <f t="shared" si="168"/>
        <v>809880</v>
      </c>
      <c r="I806" s="9">
        <v>25</v>
      </c>
      <c r="L806" s="2">
        <f t="shared" si="163"/>
        <v>809880</v>
      </c>
      <c r="M806" s="2">
        <f t="shared" si="164"/>
        <v>1154</v>
      </c>
      <c r="N806" s="15">
        <f t="shared" si="165"/>
        <v>17264.090981648998</v>
      </c>
      <c r="O806" s="15">
        <f t="shared" si="166"/>
        <v>28125.984941562085</v>
      </c>
      <c r="P806" s="16">
        <f>SUM($H$3:H806)</f>
        <v>229618140</v>
      </c>
      <c r="Q806" s="2">
        <f>SUM($I$3:I806)</f>
        <v>10374</v>
      </c>
    </row>
    <row r="807" spans="1:17" x14ac:dyDescent="0.3">
      <c r="A807" s="7">
        <f t="shared" si="162"/>
        <v>805</v>
      </c>
      <c r="B807" s="2">
        <f t="shared" si="162"/>
        <v>1155</v>
      </c>
      <c r="C807" s="14">
        <f t="shared" si="159"/>
        <v>17303.775256889632</v>
      </c>
      <c r="D807" s="14">
        <f t="shared" si="160"/>
        <v>28194.41758957045</v>
      </c>
      <c r="E807" s="2">
        <v>1</v>
      </c>
      <c r="F807" s="2">
        <f t="shared" si="167"/>
        <v>7.4000000000000039</v>
      </c>
      <c r="G807" s="17">
        <f t="shared" ref="G807:G870" si="169">0.01 + (A807-100)*(0.4-0.01)/(1000-100)</f>
        <v>0.3155</v>
      </c>
      <c r="H807" s="8">
        <f t="shared" si="168"/>
        <v>813850</v>
      </c>
      <c r="I807" s="9">
        <v>25</v>
      </c>
      <c r="L807" s="2">
        <f t="shared" si="163"/>
        <v>813850</v>
      </c>
      <c r="M807" s="2">
        <f t="shared" si="164"/>
        <v>1155</v>
      </c>
      <c r="N807" s="15">
        <f t="shared" si="165"/>
        <v>17303.775256889632</v>
      </c>
      <c r="O807" s="15">
        <f t="shared" si="166"/>
        <v>28194.41758957045</v>
      </c>
      <c r="P807" s="16">
        <f>SUM($H$3:H807)</f>
        <v>230431990</v>
      </c>
      <c r="Q807" s="2">
        <f>SUM($I$3:I807)</f>
        <v>10399</v>
      </c>
    </row>
    <row r="808" spans="1:17" x14ac:dyDescent="0.3">
      <c r="A808" s="7">
        <f t="shared" si="162"/>
        <v>806</v>
      </c>
      <c r="B808" s="2">
        <f t="shared" si="162"/>
        <v>1156</v>
      </c>
      <c r="C808" s="14">
        <f t="shared" si="159"/>
        <v>17343.475251796772</v>
      </c>
      <c r="D808" s="14">
        <f t="shared" si="160"/>
        <v>28262.904463157483</v>
      </c>
      <c r="E808" s="2">
        <v>1</v>
      </c>
      <c r="F808" s="2">
        <f t="shared" si="167"/>
        <v>7.4000000000000039</v>
      </c>
      <c r="G808" s="17">
        <f t="shared" si="169"/>
        <v>0.3159333333333334</v>
      </c>
      <c r="H808" s="8">
        <f t="shared" si="168"/>
        <v>817820</v>
      </c>
      <c r="I808" s="9">
        <v>25</v>
      </c>
      <c r="L808" s="2">
        <f t="shared" si="163"/>
        <v>817820</v>
      </c>
      <c r="M808" s="2">
        <f t="shared" si="164"/>
        <v>1156</v>
      </c>
      <c r="N808" s="15">
        <f t="shared" si="165"/>
        <v>17343.475251796772</v>
      </c>
      <c r="O808" s="15">
        <f t="shared" si="166"/>
        <v>28262.904463157483</v>
      </c>
      <c r="P808" s="16">
        <f>SUM($H$3:H808)</f>
        <v>231249810</v>
      </c>
      <c r="Q808" s="2">
        <f>SUM($I$3:I808)</f>
        <v>10424</v>
      </c>
    </row>
    <row r="809" spans="1:17" x14ac:dyDescent="0.3">
      <c r="A809" s="7">
        <f t="shared" si="162"/>
        <v>807</v>
      </c>
      <c r="B809" s="2">
        <f t="shared" si="162"/>
        <v>1157</v>
      </c>
      <c r="C809" s="14">
        <f t="shared" si="159"/>
        <v>17383.190941512221</v>
      </c>
      <c r="D809" s="14">
        <f t="shared" si="160"/>
        <v>28331.445497998491</v>
      </c>
      <c r="E809" s="2">
        <v>1</v>
      </c>
      <c r="F809" s="2">
        <f t="shared" si="167"/>
        <v>7.4000000000000039</v>
      </c>
      <c r="G809" s="17">
        <f t="shared" si="169"/>
        <v>0.31636666666666668</v>
      </c>
      <c r="H809" s="8">
        <f t="shared" si="168"/>
        <v>821790</v>
      </c>
      <c r="I809" s="9">
        <v>25</v>
      </c>
      <c r="L809" s="2">
        <f t="shared" si="163"/>
        <v>821790</v>
      </c>
      <c r="M809" s="2">
        <f t="shared" si="164"/>
        <v>1157</v>
      </c>
      <c r="N809" s="15">
        <f t="shared" si="165"/>
        <v>17383.190941512221</v>
      </c>
      <c r="O809" s="15">
        <f t="shared" si="166"/>
        <v>28331.445497998491</v>
      </c>
      <c r="P809" s="16">
        <f>SUM($H$3:H809)</f>
        <v>232071600</v>
      </c>
      <c r="Q809" s="2">
        <f>SUM($I$3:I809)</f>
        <v>10449</v>
      </c>
    </row>
    <row r="810" spans="1:17" x14ac:dyDescent="0.3">
      <c r="A810" s="7">
        <f t="shared" si="162"/>
        <v>808</v>
      </c>
      <c r="B810" s="2">
        <f t="shared" si="162"/>
        <v>1158</v>
      </c>
      <c r="C810" s="14">
        <f t="shared" si="159"/>
        <v>17422.922301266099</v>
      </c>
      <c r="D810" s="14">
        <f t="shared" si="160"/>
        <v>28400.040629972005</v>
      </c>
      <c r="E810" s="2">
        <v>1</v>
      </c>
      <c r="F810" s="2">
        <f t="shared" si="167"/>
        <v>7.4000000000000039</v>
      </c>
      <c r="G810" s="17">
        <f t="shared" si="169"/>
        <v>0.31680000000000003</v>
      </c>
      <c r="H810" s="8">
        <f t="shared" si="168"/>
        <v>825760</v>
      </c>
      <c r="I810" s="9">
        <v>25</v>
      </c>
      <c r="L810" s="2">
        <f t="shared" si="163"/>
        <v>825760</v>
      </c>
      <c r="M810" s="2">
        <f t="shared" si="164"/>
        <v>1158</v>
      </c>
      <c r="N810" s="15">
        <f t="shared" si="165"/>
        <v>17422.922301266099</v>
      </c>
      <c r="O810" s="15">
        <f t="shared" si="166"/>
        <v>28400.040629972005</v>
      </c>
      <c r="P810" s="16">
        <f>SUM($H$3:H810)</f>
        <v>232897360</v>
      </c>
      <c r="Q810" s="2">
        <f>SUM($I$3:I810)</f>
        <v>10474</v>
      </c>
    </row>
    <row r="811" spans="1:17" x14ac:dyDescent="0.3">
      <c r="A811" s="7">
        <f t="shared" si="162"/>
        <v>809</v>
      </c>
      <c r="B811" s="2">
        <f t="shared" si="162"/>
        <v>1159</v>
      </c>
      <c r="C811" s="14">
        <f t="shared" si="159"/>
        <v>17462.669306376272</v>
      </c>
      <c r="D811" s="14">
        <f t="shared" si="160"/>
        <v>28468.689795158476</v>
      </c>
      <c r="E811" s="2">
        <v>1</v>
      </c>
      <c r="F811" s="2">
        <f t="shared" si="167"/>
        <v>7.4000000000000039</v>
      </c>
      <c r="G811" s="17">
        <f t="shared" si="169"/>
        <v>0.31723333333333331</v>
      </c>
      <c r="H811" s="8">
        <f t="shared" si="168"/>
        <v>829730</v>
      </c>
      <c r="I811" s="9">
        <v>25</v>
      </c>
      <c r="L811" s="2">
        <f t="shared" si="163"/>
        <v>829730</v>
      </c>
      <c r="M811" s="2">
        <f t="shared" si="164"/>
        <v>1159</v>
      </c>
      <c r="N811" s="15">
        <f t="shared" si="165"/>
        <v>17462.669306376272</v>
      </c>
      <c r="O811" s="15">
        <f t="shared" si="166"/>
        <v>28468.689795158476</v>
      </c>
      <c r="P811" s="16">
        <f>SUM($H$3:H811)</f>
        <v>233727090</v>
      </c>
      <c r="Q811" s="2">
        <f>SUM($I$3:I811)</f>
        <v>10499</v>
      </c>
    </row>
    <row r="812" spans="1:17" x14ac:dyDescent="0.3">
      <c r="A812" s="7">
        <f t="shared" si="162"/>
        <v>810</v>
      </c>
      <c r="B812" s="2">
        <f t="shared" si="162"/>
        <v>1160</v>
      </c>
      <c r="C812" s="14">
        <f t="shared" si="159"/>
        <v>17502.431932247946</v>
      </c>
      <c r="D812" s="14">
        <f t="shared" si="160"/>
        <v>28537.392929839454</v>
      </c>
      <c r="E812" s="2">
        <v>1</v>
      </c>
      <c r="F812" s="2">
        <f t="shared" si="167"/>
        <v>7.4000000000000039</v>
      </c>
      <c r="G812" s="17">
        <f t="shared" si="169"/>
        <v>0.31766666666666671</v>
      </c>
      <c r="H812" s="8">
        <f t="shared" si="168"/>
        <v>833700</v>
      </c>
      <c r="I812" s="9">
        <v>25</v>
      </c>
      <c r="L812" s="2">
        <f t="shared" si="163"/>
        <v>833700</v>
      </c>
      <c r="M812" s="2">
        <f t="shared" si="164"/>
        <v>1160</v>
      </c>
      <c r="N812" s="15">
        <f t="shared" si="165"/>
        <v>17502.431932247946</v>
      </c>
      <c r="O812" s="15">
        <f t="shared" si="166"/>
        <v>28537.392929839454</v>
      </c>
      <c r="P812" s="16">
        <f>SUM($H$3:H812)</f>
        <v>234560790</v>
      </c>
      <c r="Q812" s="2">
        <f>SUM($I$3:I812)</f>
        <v>10524</v>
      </c>
    </row>
    <row r="813" spans="1:17" x14ac:dyDescent="0.3">
      <c r="A813" s="7">
        <f t="shared" si="162"/>
        <v>811</v>
      </c>
      <c r="B813" s="2">
        <f t="shared" si="162"/>
        <v>1161</v>
      </c>
      <c r="C813" s="14">
        <f t="shared" si="159"/>
        <v>17542.210154373111</v>
      </c>
      <c r="D813" s="14">
        <f t="shared" si="160"/>
        <v>28606.149970496386</v>
      </c>
      <c r="E813" s="2">
        <v>1</v>
      </c>
      <c r="F813" s="2">
        <f t="shared" si="167"/>
        <v>7.4000000000000039</v>
      </c>
      <c r="G813" s="17">
        <f t="shared" si="169"/>
        <v>0.31810000000000005</v>
      </c>
      <c r="H813" s="8">
        <f t="shared" si="168"/>
        <v>837670</v>
      </c>
      <c r="I813" s="9">
        <v>25</v>
      </c>
      <c r="L813" s="2">
        <f t="shared" si="163"/>
        <v>837670</v>
      </c>
      <c r="M813" s="2">
        <f t="shared" si="164"/>
        <v>1161</v>
      </c>
      <c r="N813" s="15">
        <f t="shared" si="165"/>
        <v>17542.210154373111</v>
      </c>
      <c r="O813" s="15">
        <f t="shared" si="166"/>
        <v>28606.149970496386</v>
      </c>
      <c r="P813" s="16">
        <f>SUM($H$3:H813)</f>
        <v>235398460</v>
      </c>
      <c r="Q813" s="2">
        <f>SUM($I$3:I813)</f>
        <v>10549</v>
      </c>
    </row>
    <row r="814" spans="1:17" x14ac:dyDescent="0.3">
      <c r="A814" s="7">
        <f t="shared" si="162"/>
        <v>812</v>
      </c>
      <c r="B814" s="2">
        <f t="shared" si="162"/>
        <v>1162</v>
      </c>
      <c r="C814" s="14">
        <f t="shared" si="159"/>
        <v>17582.003948330141</v>
      </c>
      <c r="D814" s="14">
        <f t="shared" si="160"/>
        <v>28674.960853809807</v>
      </c>
      <c r="E814" s="2">
        <v>1</v>
      </c>
      <c r="F814" s="2">
        <f t="shared" si="167"/>
        <v>7.4000000000000039</v>
      </c>
      <c r="G814" s="17">
        <f t="shared" si="169"/>
        <v>0.31853333333333333</v>
      </c>
      <c r="H814" s="8">
        <f t="shared" si="168"/>
        <v>841640</v>
      </c>
      <c r="I814" s="9">
        <v>25</v>
      </c>
      <c r="L814" s="2">
        <f t="shared" si="163"/>
        <v>841640</v>
      </c>
      <c r="M814" s="2">
        <f t="shared" si="164"/>
        <v>1162</v>
      </c>
      <c r="N814" s="15">
        <f t="shared" si="165"/>
        <v>17582.003948330141</v>
      </c>
      <c r="O814" s="15">
        <f t="shared" si="166"/>
        <v>28674.960853809807</v>
      </c>
      <c r="P814" s="16">
        <f>SUM($H$3:H814)</f>
        <v>236240100</v>
      </c>
      <c r="Q814" s="2">
        <f>SUM($I$3:I814)</f>
        <v>10574</v>
      </c>
    </row>
    <row r="815" spans="1:17" x14ac:dyDescent="0.3">
      <c r="A815" s="7">
        <f t="shared" si="162"/>
        <v>813</v>
      </c>
      <c r="B815" s="2">
        <f t="shared" si="162"/>
        <v>1163</v>
      </c>
      <c r="C815" s="14">
        <f t="shared" si="159"/>
        <v>17621.813289783258</v>
      </c>
      <c r="D815" s="14">
        <f t="shared" si="160"/>
        <v>28743.825516658042</v>
      </c>
      <c r="E815" s="2">
        <v>1</v>
      </c>
      <c r="F815" s="2">
        <f t="shared" si="167"/>
        <v>7.4000000000000039</v>
      </c>
      <c r="G815" s="17">
        <f t="shared" si="169"/>
        <v>0.31896666666666668</v>
      </c>
      <c r="H815" s="8">
        <f t="shared" si="168"/>
        <v>845610</v>
      </c>
      <c r="I815" s="9">
        <v>25</v>
      </c>
      <c r="L815" s="2">
        <f t="shared" si="163"/>
        <v>845610</v>
      </c>
      <c r="M815" s="2">
        <f t="shared" si="164"/>
        <v>1163</v>
      </c>
      <c r="N815" s="15">
        <f t="shared" si="165"/>
        <v>17621.813289783258</v>
      </c>
      <c r="O815" s="15">
        <f t="shared" si="166"/>
        <v>28743.825516658042</v>
      </c>
      <c r="P815" s="16">
        <f>SUM($H$3:H815)</f>
        <v>237085710</v>
      </c>
      <c r="Q815" s="2">
        <f>SUM($I$3:I815)</f>
        <v>10599</v>
      </c>
    </row>
    <row r="816" spans="1:17" x14ac:dyDescent="0.3">
      <c r="A816" s="7">
        <f t="shared" si="162"/>
        <v>814</v>
      </c>
      <c r="B816" s="2">
        <f t="shared" si="162"/>
        <v>1164</v>
      </c>
      <c r="C816" s="14">
        <f t="shared" ref="C816:C879" si="170">9.525*(A816-300)^1.2 + 600</f>
        <v>17661.638154482098</v>
      </c>
      <c r="D816" s="14">
        <f t="shared" ref="D816:D879" si="171">4.055*(A816-300)^1.4 + 3500</f>
        <v>28812.743896116463</v>
      </c>
      <c r="E816" s="2">
        <v>1</v>
      </c>
      <c r="F816" s="2">
        <f t="shared" si="167"/>
        <v>7.4000000000000039</v>
      </c>
      <c r="G816" s="17">
        <f t="shared" si="169"/>
        <v>0.31940000000000007</v>
      </c>
      <c r="H816" s="8">
        <f t="shared" si="168"/>
        <v>849580</v>
      </c>
      <c r="I816" s="9">
        <v>25</v>
      </c>
      <c r="L816" s="2">
        <f t="shared" si="163"/>
        <v>849580</v>
      </c>
      <c r="M816" s="2">
        <f t="shared" si="164"/>
        <v>1164</v>
      </c>
      <c r="N816" s="15">
        <f t="shared" si="165"/>
        <v>17661.638154482098</v>
      </c>
      <c r="O816" s="15">
        <f t="shared" si="166"/>
        <v>28812.743896116463</v>
      </c>
      <c r="P816" s="16">
        <f>SUM($H$3:H816)</f>
        <v>237935290</v>
      </c>
      <c r="Q816" s="2">
        <f>SUM($I$3:I816)</f>
        <v>10624</v>
      </c>
    </row>
    <row r="817" spans="1:17" x14ac:dyDescent="0.3">
      <c r="A817" s="7">
        <f t="shared" si="162"/>
        <v>815</v>
      </c>
      <c r="B817" s="2">
        <f t="shared" si="162"/>
        <v>1165</v>
      </c>
      <c r="C817" s="14">
        <f t="shared" si="170"/>
        <v>17701.478518261214</v>
      </c>
      <c r="D817" s="14">
        <f t="shared" si="171"/>
        <v>28881.715929456408</v>
      </c>
      <c r="E817" s="2">
        <v>1</v>
      </c>
      <c r="F817" s="2">
        <f t="shared" si="167"/>
        <v>7.4000000000000039</v>
      </c>
      <c r="G817" s="17">
        <f t="shared" si="169"/>
        <v>0.31983333333333336</v>
      </c>
      <c r="H817" s="8">
        <f t="shared" si="168"/>
        <v>853550</v>
      </c>
      <c r="I817" s="9">
        <v>25</v>
      </c>
      <c r="L817" s="2">
        <f t="shared" si="163"/>
        <v>853550</v>
      </c>
      <c r="M817" s="2">
        <f t="shared" si="164"/>
        <v>1165</v>
      </c>
      <c r="N817" s="15">
        <f t="shared" si="165"/>
        <v>17701.478518261214</v>
      </c>
      <c r="O817" s="15">
        <f t="shared" si="166"/>
        <v>28881.715929456408</v>
      </c>
      <c r="P817" s="16">
        <f>SUM($H$3:H817)</f>
        <v>238788840</v>
      </c>
      <c r="Q817" s="2">
        <f>SUM($I$3:I817)</f>
        <v>10649</v>
      </c>
    </row>
    <row r="818" spans="1:17" x14ac:dyDescent="0.3">
      <c r="A818" s="7">
        <f t="shared" si="162"/>
        <v>816</v>
      </c>
      <c r="B818" s="2">
        <f t="shared" si="162"/>
        <v>1166</v>
      </c>
      <c r="C818" s="14">
        <f t="shared" si="170"/>
        <v>17741.334357039683</v>
      </c>
      <c r="D818" s="14">
        <f t="shared" si="171"/>
        <v>28950.741554144035</v>
      </c>
      <c r="E818" s="2">
        <v>1</v>
      </c>
      <c r="F818" s="2">
        <f t="shared" si="167"/>
        <v>7.4000000000000039</v>
      </c>
      <c r="G818" s="17">
        <f t="shared" si="169"/>
        <v>0.3202666666666667</v>
      </c>
      <c r="H818" s="8">
        <f t="shared" si="168"/>
        <v>857520</v>
      </c>
      <c r="I818" s="9">
        <v>25</v>
      </c>
      <c r="L818" s="2">
        <f t="shared" si="163"/>
        <v>857520</v>
      </c>
      <c r="M818" s="2">
        <f t="shared" si="164"/>
        <v>1166</v>
      </c>
      <c r="N818" s="15">
        <f t="shared" si="165"/>
        <v>17741.334357039683</v>
      </c>
      <c r="O818" s="15">
        <f t="shared" si="166"/>
        <v>28950.741554144035</v>
      </c>
      <c r="P818" s="16">
        <f>SUM($H$3:H818)</f>
        <v>239646360</v>
      </c>
      <c r="Q818" s="2">
        <f>SUM($I$3:I818)</f>
        <v>10674</v>
      </c>
    </row>
    <row r="819" spans="1:17" x14ac:dyDescent="0.3">
      <c r="A819" s="7">
        <f t="shared" si="162"/>
        <v>817</v>
      </c>
      <c r="B819" s="2">
        <f t="shared" si="162"/>
        <v>1167</v>
      </c>
      <c r="C819" s="14">
        <f t="shared" si="170"/>
        <v>17781.205646820566</v>
      </c>
      <c r="D819" s="14">
        <f t="shared" si="171"/>
        <v>29019.820707839684</v>
      </c>
      <c r="E819" s="2">
        <v>1</v>
      </c>
      <c r="F819" s="2">
        <f t="shared" si="167"/>
        <v>7.4000000000000039</v>
      </c>
      <c r="G819" s="17">
        <f t="shared" si="169"/>
        <v>0.32069999999999999</v>
      </c>
      <c r="H819" s="8">
        <f t="shared" si="168"/>
        <v>861490</v>
      </c>
      <c r="I819" s="9">
        <v>25</v>
      </c>
      <c r="L819" s="2">
        <f t="shared" si="163"/>
        <v>861490</v>
      </c>
      <c r="M819" s="2">
        <f t="shared" si="164"/>
        <v>1167</v>
      </c>
      <c r="N819" s="15">
        <f t="shared" si="165"/>
        <v>17781.205646820566</v>
      </c>
      <c r="O819" s="15">
        <f t="shared" si="166"/>
        <v>29019.820707839684</v>
      </c>
      <c r="P819" s="16">
        <f>SUM($H$3:H819)</f>
        <v>240507850</v>
      </c>
      <c r="Q819" s="2">
        <f>SUM($I$3:I819)</f>
        <v>10699</v>
      </c>
    </row>
    <row r="820" spans="1:17" x14ac:dyDescent="0.3">
      <c r="A820" s="7">
        <f t="shared" si="162"/>
        <v>818</v>
      </c>
      <c r="B820" s="2">
        <f t="shared" si="162"/>
        <v>1168</v>
      </c>
      <c r="C820" s="14">
        <f t="shared" si="170"/>
        <v>17821.092363690492</v>
      </c>
      <c r="D820" s="14">
        <f t="shared" si="171"/>
        <v>29088.953328396583</v>
      </c>
      <c r="E820" s="2">
        <v>1</v>
      </c>
      <c r="F820" s="2">
        <f t="shared" si="167"/>
        <v>7.4000000000000039</v>
      </c>
      <c r="G820" s="17">
        <f t="shared" si="169"/>
        <v>0.32113333333333333</v>
      </c>
      <c r="H820" s="8">
        <f t="shared" si="168"/>
        <v>865460</v>
      </c>
      <c r="I820" s="9">
        <v>25</v>
      </c>
      <c r="L820" s="2">
        <f t="shared" si="163"/>
        <v>865460</v>
      </c>
      <c r="M820" s="2">
        <f t="shared" si="164"/>
        <v>1168</v>
      </c>
      <c r="N820" s="15">
        <f t="shared" si="165"/>
        <v>17821.092363690492</v>
      </c>
      <c r="O820" s="15">
        <f t="shared" si="166"/>
        <v>29088.953328396583</v>
      </c>
      <c r="P820" s="16">
        <f>SUM($H$3:H820)</f>
        <v>241373310</v>
      </c>
      <c r="Q820" s="2">
        <f>SUM($I$3:I820)</f>
        <v>10724</v>
      </c>
    </row>
    <row r="821" spans="1:17" x14ac:dyDescent="0.3">
      <c r="A821" s="7">
        <f t="shared" si="162"/>
        <v>819</v>
      </c>
      <c r="B821" s="2">
        <f t="shared" si="162"/>
        <v>1169</v>
      </c>
      <c r="C821" s="14">
        <f t="shared" si="170"/>
        <v>17860.994483819242</v>
      </c>
      <c r="D821" s="14">
        <f t="shared" si="171"/>
        <v>29158.139353860028</v>
      </c>
      <c r="E821" s="2">
        <v>1</v>
      </c>
      <c r="F821" s="2">
        <f t="shared" si="167"/>
        <v>7.4000000000000039</v>
      </c>
      <c r="G821" s="17">
        <f t="shared" si="169"/>
        <v>0.32156666666666672</v>
      </c>
      <c r="H821" s="8">
        <f t="shared" si="168"/>
        <v>869430</v>
      </c>
      <c r="I821" s="9">
        <v>25</v>
      </c>
      <c r="L821" s="2">
        <f t="shared" si="163"/>
        <v>869430</v>
      </c>
      <c r="M821" s="2">
        <f t="shared" si="164"/>
        <v>1169</v>
      </c>
      <c r="N821" s="15">
        <f t="shared" si="165"/>
        <v>17860.994483819242</v>
      </c>
      <c r="O821" s="15">
        <f t="shared" si="166"/>
        <v>29158.139353860028</v>
      </c>
      <c r="P821" s="16">
        <f>SUM($H$3:H821)</f>
        <v>242242740</v>
      </c>
      <c r="Q821" s="2">
        <f>SUM($I$3:I821)</f>
        <v>10749</v>
      </c>
    </row>
    <row r="822" spans="1:17" x14ac:dyDescent="0.3">
      <c r="A822" s="7">
        <f t="shared" si="162"/>
        <v>820</v>
      </c>
      <c r="B822" s="2">
        <f t="shared" si="162"/>
        <v>1170</v>
      </c>
      <c r="C822" s="14">
        <f t="shared" si="170"/>
        <v>17900.911983459209</v>
      </c>
      <c r="D822" s="14">
        <f t="shared" si="171"/>
        <v>29227.378722466314</v>
      </c>
      <c r="E822" s="2">
        <v>1</v>
      </c>
      <c r="F822" s="2">
        <f t="shared" si="167"/>
        <v>7.6000000000000041</v>
      </c>
      <c r="G822" s="17">
        <f t="shared" si="169"/>
        <v>0.32200000000000001</v>
      </c>
      <c r="H822" s="8">
        <f t="shared" si="168"/>
        <v>873400</v>
      </c>
      <c r="I822" s="9">
        <v>25</v>
      </c>
      <c r="L822" s="2">
        <f t="shared" si="163"/>
        <v>873400</v>
      </c>
      <c r="M822" s="2">
        <f t="shared" si="164"/>
        <v>1170</v>
      </c>
      <c r="N822" s="15">
        <f t="shared" si="165"/>
        <v>17900.911983459209</v>
      </c>
      <c r="O822" s="15">
        <f t="shared" si="166"/>
        <v>29227.378722466314</v>
      </c>
      <c r="P822" s="16">
        <f>SUM($H$3:H822)</f>
        <v>243116140</v>
      </c>
      <c r="Q822" s="2">
        <f>SUM($I$3:I822)</f>
        <v>10774</v>
      </c>
    </row>
    <row r="823" spans="1:17" x14ac:dyDescent="0.3">
      <c r="A823" s="7">
        <f t="shared" si="162"/>
        <v>821</v>
      </c>
      <c r="B823" s="2">
        <f t="shared" si="162"/>
        <v>1171</v>
      </c>
      <c r="C823" s="14">
        <f t="shared" si="170"/>
        <v>17940.844838945031</v>
      </c>
      <c r="D823" s="14">
        <f t="shared" si="171"/>
        <v>29296.67137264194</v>
      </c>
      <c r="E823" s="2">
        <v>1</v>
      </c>
      <c r="F823" s="2">
        <f t="shared" si="167"/>
        <v>7.6000000000000041</v>
      </c>
      <c r="G823" s="17">
        <f t="shared" si="169"/>
        <v>0.32243333333333335</v>
      </c>
      <c r="H823" s="8">
        <f t="shared" si="168"/>
        <v>877370</v>
      </c>
      <c r="I823" s="9">
        <v>25</v>
      </c>
      <c r="L823" s="2">
        <f t="shared" si="163"/>
        <v>877370</v>
      </c>
      <c r="M823" s="2">
        <f t="shared" si="164"/>
        <v>1171</v>
      </c>
      <c r="N823" s="15">
        <f t="shared" si="165"/>
        <v>17940.844838945031</v>
      </c>
      <c r="O823" s="15">
        <f t="shared" si="166"/>
        <v>29296.67137264194</v>
      </c>
      <c r="P823" s="16">
        <f>SUM($H$3:H823)</f>
        <v>243993510</v>
      </c>
      <c r="Q823" s="2">
        <f>SUM($I$3:I823)</f>
        <v>10799</v>
      </c>
    </row>
    <row r="824" spans="1:17" x14ac:dyDescent="0.3">
      <c r="A824" s="7">
        <f t="shared" si="162"/>
        <v>822</v>
      </c>
      <c r="B824" s="2">
        <f t="shared" si="162"/>
        <v>1172</v>
      </c>
      <c r="C824" s="14">
        <f t="shared" si="170"/>
        <v>17980.793026693129</v>
      </c>
      <c r="D824" s="14">
        <f t="shared" si="171"/>
        <v>29366.017243002494</v>
      </c>
      <c r="E824" s="2">
        <v>1</v>
      </c>
      <c r="F824" s="2">
        <f t="shared" si="167"/>
        <v>7.6000000000000041</v>
      </c>
      <c r="G824" s="17">
        <f t="shared" si="169"/>
        <v>0.32286666666666664</v>
      </c>
      <c r="H824" s="8">
        <f t="shared" si="168"/>
        <v>881340</v>
      </c>
      <c r="I824" s="9">
        <v>25</v>
      </c>
      <c r="L824" s="2">
        <f t="shared" si="163"/>
        <v>881340</v>
      </c>
      <c r="M824" s="2">
        <f t="shared" si="164"/>
        <v>1172</v>
      </c>
      <c r="N824" s="15">
        <f t="shared" si="165"/>
        <v>17980.793026693129</v>
      </c>
      <c r="O824" s="15">
        <f t="shared" si="166"/>
        <v>29366.017243002494</v>
      </c>
      <c r="P824" s="16">
        <f>SUM($H$3:H824)</f>
        <v>244874850</v>
      </c>
      <c r="Q824" s="2">
        <f>SUM($I$3:I824)</f>
        <v>10824</v>
      </c>
    </row>
    <row r="825" spans="1:17" x14ac:dyDescent="0.3">
      <c r="A825" s="7">
        <f t="shared" si="162"/>
        <v>823</v>
      </c>
      <c r="B825" s="2">
        <f t="shared" si="162"/>
        <v>1173</v>
      </c>
      <c r="C825" s="14">
        <f t="shared" si="170"/>
        <v>18020.756523201217</v>
      </c>
      <c r="D825" s="14">
        <f t="shared" si="171"/>
        <v>29435.416272351911</v>
      </c>
      <c r="E825" s="2">
        <v>1</v>
      </c>
      <c r="F825" s="2">
        <f t="shared" si="167"/>
        <v>7.6000000000000041</v>
      </c>
      <c r="G825" s="17">
        <f t="shared" si="169"/>
        <v>0.32330000000000003</v>
      </c>
      <c r="H825" s="8">
        <f t="shared" si="168"/>
        <v>885310</v>
      </c>
      <c r="I825" s="9">
        <v>25</v>
      </c>
      <c r="L825" s="2">
        <f t="shared" si="163"/>
        <v>885310</v>
      </c>
      <c r="M825" s="2">
        <f t="shared" si="164"/>
        <v>1173</v>
      </c>
      <c r="N825" s="15">
        <f t="shared" si="165"/>
        <v>18020.756523201217</v>
      </c>
      <c r="O825" s="15">
        <f t="shared" si="166"/>
        <v>29435.416272351911</v>
      </c>
      <c r="P825" s="16">
        <f>SUM($H$3:H825)</f>
        <v>245760160</v>
      </c>
      <c r="Q825" s="2">
        <f>SUM($I$3:I825)</f>
        <v>10849</v>
      </c>
    </row>
    <row r="826" spans="1:17" x14ac:dyDescent="0.3">
      <c r="A826" s="7">
        <f t="shared" si="162"/>
        <v>824</v>
      </c>
      <c r="B826" s="2">
        <f t="shared" si="162"/>
        <v>1174</v>
      </c>
      <c r="C826" s="14">
        <f t="shared" si="170"/>
        <v>18060.735305047972</v>
      </c>
      <c r="D826" s="14">
        <f t="shared" si="171"/>
        <v>29504.868399681243</v>
      </c>
      <c r="E826" s="2">
        <v>1</v>
      </c>
      <c r="F826" s="2">
        <f t="shared" si="167"/>
        <v>7.6000000000000041</v>
      </c>
      <c r="G826" s="17">
        <f t="shared" si="169"/>
        <v>0.32373333333333337</v>
      </c>
      <c r="H826" s="8">
        <f t="shared" si="168"/>
        <v>889280</v>
      </c>
      <c r="I826" s="9">
        <v>25</v>
      </c>
      <c r="L826" s="2">
        <f t="shared" si="163"/>
        <v>889280</v>
      </c>
      <c r="M826" s="2">
        <f t="shared" si="164"/>
        <v>1174</v>
      </c>
      <c r="N826" s="15">
        <f t="shared" si="165"/>
        <v>18060.735305047972</v>
      </c>
      <c r="O826" s="15">
        <f t="shared" si="166"/>
        <v>29504.868399681243</v>
      </c>
      <c r="P826" s="16">
        <f>SUM($H$3:H826)</f>
        <v>246649440</v>
      </c>
      <c r="Q826" s="2">
        <f>SUM($I$3:I826)</f>
        <v>10874</v>
      </c>
    </row>
    <row r="827" spans="1:17" x14ac:dyDescent="0.3">
      <c r="A827" s="7">
        <f t="shared" si="162"/>
        <v>825</v>
      </c>
      <c r="B827" s="2">
        <f t="shared" si="162"/>
        <v>1175</v>
      </c>
      <c r="C827" s="14">
        <f t="shared" si="170"/>
        <v>18100.729348892521</v>
      </c>
      <c r="D827" s="14">
        <f t="shared" si="171"/>
        <v>29574.373564168047</v>
      </c>
      <c r="E827" s="2">
        <v>1</v>
      </c>
      <c r="F827" s="2">
        <f t="shared" si="167"/>
        <v>7.6000000000000041</v>
      </c>
      <c r="G827" s="17">
        <f t="shared" si="169"/>
        <v>0.32416666666666666</v>
      </c>
      <c r="H827" s="8">
        <f t="shared" si="168"/>
        <v>893250</v>
      </c>
      <c r="I827" s="9">
        <v>25</v>
      </c>
      <c r="L827" s="2">
        <f t="shared" si="163"/>
        <v>893250</v>
      </c>
      <c r="M827" s="2">
        <f t="shared" si="164"/>
        <v>1175</v>
      </c>
      <c r="N827" s="15">
        <f t="shared" si="165"/>
        <v>18100.729348892521</v>
      </c>
      <c r="O827" s="15">
        <f t="shared" si="166"/>
        <v>29574.373564168047</v>
      </c>
      <c r="P827" s="16">
        <f>SUM($H$3:H827)</f>
        <v>247542690</v>
      </c>
      <c r="Q827" s="2">
        <f>SUM($I$3:I827)</f>
        <v>10899</v>
      </c>
    </row>
    <row r="828" spans="1:17" x14ac:dyDescent="0.3">
      <c r="A828" s="7">
        <f t="shared" si="162"/>
        <v>826</v>
      </c>
      <c r="B828" s="2">
        <f t="shared" si="162"/>
        <v>1176</v>
      </c>
      <c r="C828" s="14">
        <f t="shared" si="170"/>
        <v>18140.738631474032</v>
      </c>
      <c r="D828" s="14">
        <f t="shared" si="171"/>
        <v>29643.931705175295</v>
      </c>
      <c r="E828" s="2">
        <v>1</v>
      </c>
      <c r="F828" s="2">
        <f t="shared" si="167"/>
        <v>7.6000000000000041</v>
      </c>
      <c r="G828" s="17">
        <f t="shared" si="169"/>
        <v>0.3246</v>
      </c>
      <c r="H828" s="8">
        <f t="shared" si="168"/>
        <v>897220</v>
      </c>
      <c r="I828" s="9">
        <v>25</v>
      </c>
      <c r="L828" s="2">
        <f t="shared" si="163"/>
        <v>897220</v>
      </c>
      <c r="M828" s="2">
        <f t="shared" si="164"/>
        <v>1176</v>
      </c>
      <c r="N828" s="15">
        <f t="shared" si="165"/>
        <v>18140.738631474032</v>
      </c>
      <c r="O828" s="15">
        <f t="shared" si="166"/>
        <v>29643.931705175295</v>
      </c>
      <c r="P828" s="16">
        <f>SUM($H$3:H828)</f>
        <v>248439910</v>
      </c>
      <c r="Q828" s="2">
        <f>SUM($I$3:I828)</f>
        <v>10924</v>
      </c>
    </row>
    <row r="829" spans="1:17" x14ac:dyDescent="0.3">
      <c r="A829" s="7">
        <f t="shared" si="162"/>
        <v>827</v>
      </c>
      <c r="B829" s="2">
        <f t="shared" si="162"/>
        <v>1177</v>
      </c>
      <c r="C829" s="14">
        <f t="shared" si="170"/>
        <v>18180.76312961126</v>
      </c>
      <c r="D829" s="14">
        <f t="shared" si="171"/>
        <v>29713.542762250323</v>
      </c>
      <c r="E829" s="2">
        <v>1</v>
      </c>
      <c r="F829" s="2">
        <f t="shared" si="167"/>
        <v>7.6000000000000041</v>
      </c>
      <c r="G829" s="17">
        <f t="shared" si="169"/>
        <v>0.3250333333333334</v>
      </c>
      <c r="H829" s="8">
        <f t="shared" si="168"/>
        <v>901190</v>
      </c>
      <c r="I829" s="9">
        <v>25</v>
      </c>
      <c r="L829" s="2">
        <f t="shared" si="163"/>
        <v>901190</v>
      </c>
      <c r="M829" s="2">
        <f t="shared" si="164"/>
        <v>1177</v>
      </c>
      <c r="N829" s="15">
        <f t="shared" si="165"/>
        <v>18180.76312961126</v>
      </c>
      <c r="O829" s="15">
        <f t="shared" si="166"/>
        <v>29713.542762250323</v>
      </c>
      <c r="P829" s="16">
        <f>SUM($H$3:H829)</f>
        <v>249341100</v>
      </c>
      <c r="Q829" s="2">
        <f>SUM($I$3:I829)</f>
        <v>10949</v>
      </c>
    </row>
    <row r="830" spans="1:17" x14ac:dyDescent="0.3">
      <c r="A830" s="7">
        <f t="shared" si="162"/>
        <v>828</v>
      </c>
      <c r="B830" s="2">
        <f t="shared" si="162"/>
        <v>1178</v>
      </c>
      <c r="C830" s="14">
        <f t="shared" si="170"/>
        <v>18220.802820202196</v>
      </c>
      <c r="D830" s="14">
        <f t="shared" si="171"/>
        <v>29783.206675124304</v>
      </c>
      <c r="E830" s="2">
        <v>1</v>
      </c>
      <c r="F830" s="2">
        <f t="shared" si="167"/>
        <v>7.6000000000000041</v>
      </c>
      <c r="G830" s="17">
        <f t="shared" si="169"/>
        <v>0.32546666666666668</v>
      </c>
      <c r="H830" s="8">
        <f t="shared" si="168"/>
        <v>905160</v>
      </c>
      <c r="I830" s="9">
        <v>25</v>
      </c>
      <c r="L830" s="2">
        <f t="shared" si="163"/>
        <v>905160</v>
      </c>
      <c r="M830" s="2">
        <f t="shared" si="164"/>
        <v>1178</v>
      </c>
      <c r="N830" s="15">
        <f t="shared" si="165"/>
        <v>18220.802820202196</v>
      </c>
      <c r="O830" s="15">
        <f t="shared" si="166"/>
        <v>29783.206675124304</v>
      </c>
      <c r="P830" s="16">
        <f>SUM($H$3:H830)</f>
        <v>250246260</v>
      </c>
      <c r="Q830" s="2">
        <f>SUM($I$3:I830)</f>
        <v>10974</v>
      </c>
    </row>
    <row r="831" spans="1:17" x14ac:dyDescent="0.3">
      <c r="A831" s="7">
        <f t="shared" si="162"/>
        <v>829</v>
      </c>
      <c r="B831" s="2">
        <f t="shared" si="162"/>
        <v>1179</v>
      </c>
      <c r="C831" s="14">
        <f t="shared" si="170"/>
        <v>18260.857680223573</v>
      </c>
      <c r="D831" s="14">
        <f t="shared" si="171"/>
        <v>29852.923383710924</v>
      </c>
      <c r="E831" s="2">
        <v>1</v>
      </c>
      <c r="F831" s="2">
        <f t="shared" si="167"/>
        <v>7.6000000000000041</v>
      </c>
      <c r="G831" s="17">
        <f t="shared" si="169"/>
        <v>0.32590000000000002</v>
      </c>
      <c r="H831" s="8">
        <f t="shared" si="168"/>
        <v>909130</v>
      </c>
      <c r="I831" s="9">
        <v>25</v>
      </c>
      <c r="L831" s="2">
        <f t="shared" si="163"/>
        <v>909130</v>
      </c>
      <c r="M831" s="2">
        <f t="shared" si="164"/>
        <v>1179</v>
      </c>
      <c r="N831" s="15">
        <f t="shared" si="165"/>
        <v>18260.857680223573</v>
      </c>
      <c r="O831" s="15">
        <f t="shared" si="166"/>
        <v>29852.923383710924</v>
      </c>
      <c r="P831" s="16">
        <f>SUM($H$3:H831)</f>
        <v>251155390</v>
      </c>
      <c r="Q831" s="2">
        <f>SUM($I$3:I831)</f>
        <v>10999</v>
      </c>
    </row>
    <row r="832" spans="1:17" x14ac:dyDescent="0.3">
      <c r="A832" s="7">
        <f t="shared" si="162"/>
        <v>830</v>
      </c>
      <c r="B832" s="2">
        <f t="shared" si="162"/>
        <v>1180</v>
      </c>
      <c r="C832" s="14">
        <f t="shared" si="170"/>
        <v>18300.927686730487</v>
      </c>
      <c r="D832" s="14">
        <f t="shared" si="171"/>
        <v>29922.692828105795</v>
      </c>
      <c r="E832" s="2">
        <v>1</v>
      </c>
      <c r="F832" s="2">
        <f t="shared" si="167"/>
        <v>7.6000000000000041</v>
      </c>
      <c r="G832" s="17">
        <f t="shared" si="169"/>
        <v>0.32633333333333331</v>
      </c>
      <c r="H832" s="8">
        <f t="shared" si="168"/>
        <v>913100</v>
      </c>
      <c r="I832" s="9">
        <v>25</v>
      </c>
      <c r="L832" s="2">
        <f t="shared" si="163"/>
        <v>913100</v>
      </c>
      <c r="M832" s="2">
        <f t="shared" si="164"/>
        <v>1180</v>
      </c>
      <c r="N832" s="15">
        <f t="shared" si="165"/>
        <v>18300.927686730487</v>
      </c>
      <c r="O832" s="15">
        <f t="shared" si="166"/>
        <v>29922.692828105795</v>
      </c>
      <c r="P832" s="16">
        <f>SUM($H$3:H832)</f>
        <v>252068490</v>
      </c>
      <c r="Q832" s="2">
        <f>SUM($I$3:I832)</f>
        <v>11024</v>
      </c>
    </row>
    <row r="833" spans="1:17" x14ac:dyDescent="0.3">
      <c r="A833" s="7">
        <f t="shared" si="162"/>
        <v>831</v>
      </c>
      <c r="B833" s="2">
        <f t="shared" si="162"/>
        <v>1181</v>
      </c>
      <c r="C833" s="14">
        <f t="shared" si="170"/>
        <v>18341.012816855993</v>
      </c>
      <c r="D833" s="14">
        <f t="shared" si="171"/>
        <v>29992.514948585387</v>
      </c>
      <c r="E833" s="2">
        <v>1</v>
      </c>
      <c r="F833" s="2">
        <f t="shared" si="167"/>
        <v>7.6000000000000041</v>
      </c>
      <c r="G833" s="17">
        <f t="shared" si="169"/>
        <v>0.32676666666666671</v>
      </c>
      <c r="H833" s="8">
        <f t="shared" si="168"/>
        <v>917070</v>
      </c>
      <c r="I833" s="9">
        <v>25</v>
      </c>
      <c r="L833" s="2">
        <f t="shared" si="163"/>
        <v>917070</v>
      </c>
      <c r="M833" s="2">
        <f t="shared" si="164"/>
        <v>1181</v>
      </c>
      <c r="N833" s="15">
        <f t="shared" si="165"/>
        <v>18341.012816855993</v>
      </c>
      <c r="O833" s="15">
        <f t="shared" si="166"/>
        <v>29992.514948585387</v>
      </c>
      <c r="P833" s="16">
        <f>SUM($H$3:H833)</f>
        <v>252985560</v>
      </c>
      <c r="Q833" s="2">
        <f>SUM($I$3:I833)</f>
        <v>11049</v>
      </c>
    </row>
    <row r="834" spans="1:17" x14ac:dyDescent="0.3">
      <c r="A834" s="7">
        <f t="shared" si="162"/>
        <v>832</v>
      </c>
      <c r="B834" s="2">
        <f t="shared" si="162"/>
        <v>1182</v>
      </c>
      <c r="C834" s="14">
        <f t="shared" si="170"/>
        <v>18381.113047810661</v>
      </c>
      <c r="D834" s="14">
        <f t="shared" si="171"/>
        <v>30062.389685606253</v>
      </c>
      <c r="E834" s="2">
        <v>1</v>
      </c>
      <c r="F834" s="2">
        <f t="shared" si="167"/>
        <v>7.6000000000000041</v>
      </c>
      <c r="G834" s="17">
        <f t="shared" si="169"/>
        <v>0.32720000000000005</v>
      </c>
      <c r="H834" s="8">
        <f t="shared" si="168"/>
        <v>921040</v>
      </c>
      <c r="I834" s="9">
        <v>25</v>
      </c>
      <c r="L834" s="2">
        <f t="shared" si="163"/>
        <v>921040</v>
      </c>
      <c r="M834" s="2">
        <f t="shared" si="164"/>
        <v>1182</v>
      </c>
      <c r="N834" s="15">
        <f t="shared" si="165"/>
        <v>18381.113047810661</v>
      </c>
      <c r="O834" s="15">
        <f t="shared" si="166"/>
        <v>30062.389685606253</v>
      </c>
      <c r="P834" s="16">
        <f>SUM($H$3:H834)</f>
        <v>253906600</v>
      </c>
      <c r="Q834" s="2">
        <f>SUM($I$3:I834)</f>
        <v>11074</v>
      </c>
    </row>
    <row r="835" spans="1:17" x14ac:dyDescent="0.3">
      <c r="A835" s="7">
        <f t="shared" si="162"/>
        <v>833</v>
      </c>
      <c r="B835" s="2">
        <f t="shared" si="162"/>
        <v>1183</v>
      </c>
      <c r="C835" s="14">
        <f t="shared" si="170"/>
        <v>18421.22835688214</v>
      </c>
      <c r="D835" s="14">
        <f t="shared" si="171"/>
        <v>30132.316979803938</v>
      </c>
      <c r="E835" s="2">
        <v>1</v>
      </c>
      <c r="F835" s="2">
        <f t="shared" si="167"/>
        <v>7.6000000000000041</v>
      </c>
      <c r="G835" s="17">
        <f t="shared" si="169"/>
        <v>0.32763333333333333</v>
      </c>
      <c r="H835" s="8">
        <f t="shared" si="168"/>
        <v>925010</v>
      </c>
      <c r="I835" s="9">
        <v>25</v>
      </c>
      <c r="L835" s="2">
        <f t="shared" si="163"/>
        <v>925010</v>
      </c>
      <c r="M835" s="2">
        <f t="shared" si="164"/>
        <v>1183</v>
      </c>
      <c r="N835" s="15">
        <f t="shared" si="165"/>
        <v>18421.22835688214</v>
      </c>
      <c r="O835" s="15">
        <f t="shared" si="166"/>
        <v>30132.316979803938</v>
      </c>
      <c r="P835" s="16">
        <f>SUM($H$3:H835)</f>
        <v>254831610</v>
      </c>
      <c r="Q835" s="2">
        <f>SUM($I$3:I835)</f>
        <v>11099</v>
      </c>
    </row>
    <row r="836" spans="1:17" x14ac:dyDescent="0.3">
      <c r="A836" s="7">
        <f t="shared" si="162"/>
        <v>834</v>
      </c>
      <c r="B836" s="2">
        <f t="shared" si="162"/>
        <v>1184</v>
      </c>
      <c r="C836" s="14">
        <f t="shared" si="170"/>
        <v>18461.358721434899</v>
      </c>
      <c r="D836" s="14">
        <f t="shared" si="171"/>
        <v>30202.296771992471</v>
      </c>
      <c r="E836" s="2">
        <v>1</v>
      </c>
      <c r="F836" s="2">
        <f t="shared" si="167"/>
        <v>7.6000000000000041</v>
      </c>
      <c r="G836" s="17">
        <f t="shared" si="169"/>
        <v>0.32806666666666667</v>
      </c>
      <c r="H836" s="8">
        <f t="shared" si="168"/>
        <v>928980</v>
      </c>
      <c r="I836" s="9">
        <v>25</v>
      </c>
      <c r="L836" s="2">
        <f t="shared" si="163"/>
        <v>928980</v>
      </c>
      <c r="M836" s="2">
        <f t="shared" si="164"/>
        <v>1184</v>
      </c>
      <c r="N836" s="15">
        <f t="shared" si="165"/>
        <v>18461.358721434899</v>
      </c>
      <c r="O836" s="15">
        <f t="shared" si="166"/>
        <v>30202.296771992471</v>
      </c>
      <c r="P836" s="16">
        <f>SUM($H$3:H836)</f>
        <v>255760590</v>
      </c>
      <c r="Q836" s="2">
        <f>SUM($I$3:I836)</f>
        <v>11124</v>
      </c>
    </row>
    <row r="837" spans="1:17" x14ac:dyDescent="0.3">
      <c r="A837" s="7">
        <f t="shared" ref="A837:B900" si="172">A836+1</f>
        <v>835</v>
      </c>
      <c r="B837" s="2">
        <f t="shared" si="172"/>
        <v>1185</v>
      </c>
      <c r="C837" s="14">
        <f t="shared" si="170"/>
        <v>18501.504118909601</v>
      </c>
      <c r="D837" s="14">
        <f t="shared" si="171"/>
        <v>30272.329003163049</v>
      </c>
      <c r="E837" s="2">
        <v>1</v>
      </c>
      <c r="F837" s="2">
        <f t="shared" si="167"/>
        <v>7.6000000000000041</v>
      </c>
      <c r="G837" s="17">
        <f t="shared" si="169"/>
        <v>0.32850000000000007</v>
      </c>
      <c r="H837" s="8">
        <f t="shared" si="168"/>
        <v>932950</v>
      </c>
      <c r="I837" s="9">
        <v>25</v>
      </c>
      <c r="L837" s="2">
        <f t="shared" si="163"/>
        <v>932950</v>
      </c>
      <c r="M837" s="2">
        <f t="shared" si="164"/>
        <v>1185</v>
      </c>
      <c r="N837" s="15">
        <f t="shared" si="165"/>
        <v>18501.504118909601</v>
      </c>
      <c r="O837" s="15">
        <f t="shared" si="166"/>
        <v>30272.329003163049</v>
      </c>
      <c r="P837" s="16">
        <f>SUM($H$3:H837)</f>
        <v>256693540</v>
      </c>
      <c r="Q837" s="2">
        <f>SUM($I$3:I837)</f>
        <v>11149</v>
      </c>
    </row>
    <row r="838" spans="1:17" x14ac:dyDescent="0.3">
      <c r="A838" s="7">
        <f t="shared" si="172"/>
        <v>836</v>
      </c>
      <c r="B838" s="2">
        <f t="shared" si="172"/>
        <v>1186</v>
      </c>
      <c r="C838" s="14">
        <f t="shared" si="170"/>
        <v>18541.664526822926</v>
      </c>
      <c r="D838" s="14">
        <f t="shared" si="171"/>
        <v>30342.413614483714</v>
      </c>
      <c r="E838" s="2">
        <v>1</v>
      </c>
      <c r="F838" s="2">
        <f t="shared" si="167"/>
        <v>7.6000000000000041</v>
      </c>
      <c r="G838" s="17">
        <f t="shared" si="169"/>
        <v>0.32893333333333336</v>
      </c>
      <c r="H838" s="8">
        <f t="shared" si="168"/>
        <v>936920</v>
      </c>
      <c r="I838" s="9">
        <v>25</v>
      </c>
      <c r="L838" s="2">
        <f t="shared" si="163"/>
        <v>936920</v>
      </c>
      <c r="M838" s="2">
        <f t="shared" si="164"/>
        <v>1186</v>
      </c>
      <c r="N838" s="15">
        <f t="shared" si="165"/>
        <v>18541.664526822926</v>
      </c>
      <c r="O838" s="15">
        <f t="shared" si="166"/>
        <v>30342.413614483714</v>
      </c>
      <c r="P838" s="16">
        <f>SUM($H$3:H838)</f>
        <v>257630460</v>
      </c>
      <c r="Q838" s="2">
        <f>SUM($I$3:I838)</f>
        <v>11174</v>
      </c>
    </row>
    <row r="839" spans="1:17" x14ac:dyDescent="0.3">
      <c r="A839" s="7">
        <f t="shared" si="172"/>
        <v>837</v>
      </c>
      <c r="B839" s="2">
        <f t="shared" si="172"/>
        <v>1187</v>
      </c>
      <c r="C839" s="14">
        <f t="shared" si="170"/>
        <v>18581.839922767005</v>
      </c>
      <c r="D839" s="14">
        <f t="shared" si="171"/>
        <v>30412.550547297888</v>
      </c>
      <c r="E839" s="2">
        <v>1</v>
      </c>
      <c r="F839" s="2">
        <f t="shared" si="167"/>
        <v>7.6000000000000041</v>
      </c>
      <c r="G839" s="17">
        <f t="shared" si="169"/>
        <v>0.3293666666666667</v>
      </c>
      <c r="H839" s="8">
        <f t="shared" si="168"/>
        <v>940890</v>
      </c>
      <c r="I839" s="9">
        <v>25</v>
      </c>
      <c r="L839" s="2">
        <f t="shared" si="163"/>
        <v>940890</v>
      </c>
      <c r="M839" s="2">
        <f t="shared" si="164"/>
        <v>1187</v>
      </c>
      <c r="N839" s="15">
        <f t="shared" si="165"/>
        <v>18581.839922767005</v>
      </c>
      <c r="O839" s="15">
        <f t="shared" si="166"/>
        <v>30412.550547297888</v>
      </c>
      <c r="P839" s="16">
        <f>SUM($H$3:H839)</f>
        <v>258571350</v>
      </c>
      <c r="Q839" s="2">
        <f>SUM($I$3:I839)</f>
        <v>11199</v>
      </c>
    </row>
    <row r="840" spans="1:17" x14ac:dyDescent="0.3">
      <c r="A840" s="7">
        <f t="shared" si="172"/>
        <v>838</v>
      </c>
      <c r="B840" s="2">
        <f t="shared" si="172"/>
        <v>1188</v>
      </c>
      <c r="C840" s="14">
        <f t="shared" si="170"/>
        <v>18622.030284409117</v>
      </c>
      <c r="D840" s="14">
        <f t="shared" si="171"/>
        <v>30482.739743123977</v>
      </c>
      <c r="E840" s="2">
        <v>1</v>
      </c>
      <c r="F840" s="2">
        <f t="shared" si="167"/>
        <v>7.6000000000000041</v>
      </c>
      <c r="G840" s="17">
        <f t="shared" si="169"/>
        <v>0.32979999999999998</v>
      </c>
      <c r="H840" s="8">
        <f t="shared" si="168"/>
        <v>944860</v>
      </c>
      <c r="I840" s="9">
        <v>25</v>
      </c>
      <c r="L840" s="2">
        <f t="shared" si="163"/>
        <v>944860</v>
      </c>
      <c r="M840" s="2">
        <f t="shared" si="164"/>
        <v>1188</v>
      </c>
      <c r="N840" s="15">
        <f t="shared" si="165"/>
        <v>18622.030284409117</v>
      </c>
      <c r="O840" s="15">
        <f t="shared" si="166"/>
        <v>30482.739743123977</v>
      </c>
      <c r="P840" s="16">
        <f>SUM($H$3:H840)</f>
        <v>259516210</v>
      </c>
      <c r="Q840" s="2">
        <f>SUM($I$3:I840)</f>
        <v>11224</v>
      </c>
    </row>
    <row r="841" spans="1:17" x14ac:dyDescent="0.3">
      <c r="A841" s="7">
        <f t="shared" si="172"/>
        <v>839</v>
      </c>
      <c r="B841" s="2">
        <f t="shared" si="172"/>
        <v>1189</v>
      </c>
      <c r="C841" s="14">
        <f t="shared" si="170"/>
        <v>18662.235589491298</v>
      </c>
      <c r="D841" s="14">
        <f t="shared" si="171"/>
        <v>30552.98114365439</v>
      </c>
      <c r="E841" s="2">
        <v>1</v>
      </c>
      <c r="F841" s="2">
        <f t="shared" si="167"/>
        <v>7.6000000000000041</v>
      </c>
      <c r="G841" s="17">
        <f t="shared" si="169"/>
        <v>0.33023333333333338</v>
      </c>
      <c r="H841" s="8">
        <f t="shared" si="168"/>
        <v>948830</v>
      </c>
      <c r="I841" s="9">
        <v>25</v>
      </c>
      <c r="L841" s="2">
        <f t="shared" ref="L841:L904" si="173">H841</f>
        <v>948830</v>
      </c>
      <c r="M841" s="2">
        <f t="shared" ref="M841:M904" si="174">B841</f>
        <v>1189</v>
      </c>
      <c r="N841" s="15">
        <f t="shared" ref="N841:N904" si="175">C841</f>
        <v>18662.235589491298</v>
      </c>
      <c r="O841" s="15">
        <f t="shared" ref="O841:O904" si="176">D841</f>
        <v>30552.98114365439</v>
      </c>
      <c r="P841" s="16">
        <f>SUM($H$3:H841)</f>
        <v>260465040</v>
      </c>
      <c r="Q841" s="2">
        <f>SUM($I$3:I841)</f>
        <v>11249</v>
      </c>
    </row>
    <row r="842" spans="1:17" x14ac:dyDescent="0.3">
      <c r="A842" s="7">
        <f t="shared" si="172"/>
        <v>840</v>
      </c>
      <c r="B842" s="2">
        <f t="shared" si="172"/>
        <v>1190</v>
      </c>
      <c r="C842" s="14">
        <f t="shared" si="170"/>
        <v>18702.455815829868</v>
      </c>
      <c r="D842" s="14">
        <f t="shared" si="171"/>
        <v>30623.274690754606</v>
      </c>
      <c r="E842" s="2">
        <v>1</v>
      </c>
      <c r="F842" s="2">
        <f t="shared" si="167"/>
        <v>7.8000000000000043</v>
      </c>
      <c r="G842" s="17">
        <f t="shared" si="169"/>
        <v>0.33066666666666672</v>
      </c>
      <c r="H842" s="8">
        <f t="shared" si="168"/>
        <v>952800</v>
      </c>
      <c r="I842" s="9">
        <v>25</v>
      </c>
      <c r="L842" s="2">
        <f t="shared" si="173"/>
        <v>952800</v>
      </c>
      <c r="M842" s="2">
        <f t="shared" si="174"/>
        <v>1190</v>
      </c>
      <c r="N842" s="15">
        <f t="shared" si="175"/>
        <v>18702.455815829868</v>
      </c>
      <c r="O842" s="15">
        <f t="shared" si="176"/>
        <v>30623.274690754606</v>
      </c>
      <c r="P842" s="16">
        <f>SUM($H$3:H842)</f>
        <v>261417840</v>
      </c>
      <c r="Q842" s="2">
        <f>SUM($I$3:I842)</f>
        <v>11274</v>
      </c>
    </row>
    <row r="843" spans="1:17" x14ac:dyDescent="0.3">
      <c r="A843" s="7">
        <f t="shared" si="172"/>
        <v>841</v>
      </c>
      <c r="B843" s="2">
        <f t="shared" si="172"/>
        <v>1191</v>
      </c>
      <c r="C843" s="14">
        <f t="shared" si="170"/>
        <v>18742.690941315137</v>
      </c>
      <c r="D843" s="14">
        <f t="shared" si="171"/>
        <v>30693.620326462507</v>
      </c>
      <c r="E843" s="2">
        <v>1</v>
      </c>
      <c r="F843" s="2">
        <f t="shared" ref="F843:F906" si="177">F823+0.2</f>
        <v>7.8000000000000043</v>
      </c>
      <c r="G843" s="17">
        <f t="shared" si="169"/>
        <v>0.33110000000000001</v>
      </c>
      <c r="H843" s="8">
        <f t="shared" si="168"/>
        <v>956770</v>
      </c>
      <c r="I843" s="9">
        <v>25</v>
      </c>
      <c r="L843" s="2">
        <f t="shared" si="173"/>
        <v>956770</v>
      </c>
      <c r="M843" s="2">
        <f t="shared" si="174"/>
        <v>1191</v>
      </c>
      <c r="N843" s="15">
        <f t="shared" si="175"/>
        <v>18742.690941315137</v>
      </c>
      <c r="O843" s="15">
        <f t="shared" si="176"/>
        <v>30693.620326462507</v>
      </c>
      <c r="P843" s="16">
        <f>SUM($H$3:H843)</f>
        <v>262374610</v>
      </c>
      <c r="Q843" s="2">
        <f>SUM($I$3:I843)</f>
        <v>11299</v>
      </c>
    </row>
    <row r="844" spans="1:17" x14ac:dyDescent="0.3">
      <c r="A844" s="7">
        <f t="shared" si="172"/>
        <v>842</v>
      </c>
      <c r="B844" s="2">
        <f t="shared" si="172"/>
        <v>1192</v>
      </c>
      <c r="C844" s="14">
        <f t="shared" si="170"/>
        <v>18782.940943911057</v>
      </c>
      <c r="D844" s="14">
        <f t="shared" si="171"/>
        <v>30764.017992987392</v>
      </c>
      <c r="E844" s="2">
        <v>1</v>
      </c>
      <c r="F844" s="2">
        <f t="shared" si="177"/>
        <v>7.8000000000000043</v>
      </c>
      <c r="G844" s="17">
        <f t="shared" si="169"/>
        <v>0.33153333333333335</v>
      </c>
      <c r="H844" s="8">
        <f t="shared" si="168"/>
        <v>960740</v>
      </c>
      <c r="I844" s="9">
        <v>25</v>
      </c>
      <c r="L844" s="2">
        <f t="shared" si="173"/>
        <v>960740</v>
      </c>
      <c r="M844" s="2">
        <f t="shared" si="174"/>
        <v>1192</v>
      </c>
      <c r="N844" s="15">
        <f t="shared" si="175"/>
        <v>18782.940943911057</v>
      </c>
      <c r="O844" s="15">
        <f t="shared" si="176"/>
        <v>30764.017992987392</v>
      </c>
      <c r="P844" s="16">
        <f>SUM($H$3:H844)</f>
        <v>263335350</v>
      </c>
      <c r="Q844" s="2">
        <f>SUM($I$3:I844)</f>
        <v>11324</v>
      </c>
    </row>
    <row r="845" spans="1:17" x14ac:dyDescent="0.3">
      <c r="A845" s="7">
        <f t="shared" si="172"/>
        <v>843</v>
      </c>
      <c r="B845" s="2">
        <f t="shared" si="172"/>
        <v>1193</v>
      </c>
      <c r="C845" s="14">
        <f t="shared" si="170"/>
        <v>18823.205801654647</v>
      </c>
      <c r="D845" s="14">
        <f t="shared" si="171"/>
        <v>30834.467632709231</v>
      </c>
      <c r="E845" s="2">
        <v>1</v>
      </c>
      <c r="F845" s="2">
        <f t="shared" si="177"/>
        <v>7.8000000000000043</v>
      </c>
      <c r="G845" s="17">
        <f t="shared" si="169"/>
        <v>0.33196666666666663</v>
      </c>
      <c r="H845" s="8">
        <f t="shared" si="168"/>
        <v>964710</v>
      </c>
      <c r="I845" s="9">
        <v>25</v>
      </c>
      <c r="L845" s="2">
        <f t="shared" si="173"/>
        <v>964710</v>
      </c>
      <c r="M845" s="2">
        <f t="shared" si="174"/>
        <v>1193</v>
      </c>
      <c r="N845" s="15">
        <f t="shared" si="175"/>
        <v>18823.205801654647</v>
      </c>
      <c r="O845" s="15">
        <f t="shared" si="176"/>
        <v>30834.467632709231</v>
      </c>
      <c r="P845" s="16">
        <f>SUM($H$3:H845)</f>
        <v>264300060</v>
      </c>
      <c r="Q845" s="2">
        <f>SUM($I$3:I845)</f>
        <v>11349</v>
      </c>
    </row>
    <row r="846" spans="1:17" x14ac:dyDescent="0.3">
      <c r="A846" s="7">
        <f t="shared" si="172"/>
        <v>844</v>
      </c>
      <c r="B846" s="2">
        <f t="shared" si="172"/>
        <v>1194</v>
      </c>
      <c r="C846" s="14">
        <f t="shared" si="170"/>
        <v>18863.485492655855</v>
      </c>
      <c r="D846" s="14">
        <f t="shared" si="171"/>
        <v>30904.969188177842</v>
      </c>
      <c r="E846" s="2">
        <v>1</v>
      </c>
      <c r="F846" s="2">
        <f t="shared" si="177"/>
        <v>7.8000000000000043</v>
      </c>
      <c r="G846" s="17">
        <f t="shared" si="169"/>
        <v>0.33240000000000003</v>
      </c>
      <c r="H846" s="8">
        <f t="shared" si="168"/>
        <v>968680</v>
      </c>
      <c r="I846" s="9">
        <v>25</v>
      </c>
      <c r="L846" s="2">
        <f t="shared" si="173"/>
        <v>968680</v>
      </c>
      <c r="M846" s="2">
        <f t="shared" si="174"/>
        <v>1194</v>
      </c>
      <c r="N846" s="15">
        <f t="shared" si="175"/>
        <v>18863.485492655855</v>
      </c>
      <c r="O846" s="15">
        <f t="shared" si="176"/>
        <v>30904.969188177842</v>
      </c>
      <c r="P846" s="16">
        <f>SUM($H$3:H846)</f>
        <v>265268740</v>
      </c>
      <c r="Q846" s="2">
        <f>SUM($I$3:I846)</f>
        <v>11374</v>
      </c>
    </row>
    <row r="847" spans="1:17" x14ac:dyDescent="0.3">
      <c r="A847" s="7">
        <f t="shared" si="172"/>
        <v>845</v>
      </c>
      <c r="B847" s="2">
        <f t="shared" si="172"/>
        <v>1195</v>
      </c>
      <c r="C847" s="14">
        <f t="shared" si="170"/>
        <v>18903.779995097037</v>
      </c>
      <c r="D847" s="14">
        <f t="shared" si="171"/>
        <v>30975.522602112149</v>
      </c>
      <c r="E847" s="2">
        <v>1</v>
      </c>
      <c r="F847" s="2">
        <f t="shared" si="177"/>
        <v>7.8000000000000043</v>
      </c>
      <c r="G847" s="17">
        <f t="shared" si="169"/>
        <v>0.33283333333333337</v>
      </c>
      <c r="H847" s="8">
        <f t="shared" si="168"/>
        <v>972650</v>
      </c>
      <c r="I847" s="9">
        <v>25</v>
      </c>
      <c r="L847" s="2">
        <f t="shared" si="173"/>
        <v>972650</v>
      </c>
      <c r="M847" s="2">
        <f t="shared" si="174"/>
        <v>1195</v>
      </c>
      <c r="N847" s="15">
        <f t="shared" si="175"/>
        <v>18903.779995097037</v>
      </c>
      <c r="O847" s="15">
        <f t="shared" si="176"/>
        <v>30975.522602112149</v>
      </c>
      <c r="P847" s="16">
        <f>SUM($H$3:H847)</f>
        <v>266241390</v>
      </c>
      <c r="Q847" s="2">
        <f>SUM($I$3:I847)</f>
        <v>11399</v>
      </c>
    </row>
    <row r="848" spans="1:17" x14ac:dyDescent="0.3">
      <c r="A848" s="7">
        <f t="shared" si="172"/>
        <v>846</v>
      </c>
      <c r="B848" s="2">
        <f t="shared" si="172"/>
        <v>1196</v>
      </c>
      <c r="C848" s="14">
        <f t="shared" si="170"/>
        <v>18944.089287232582</v>
      </c>
      <c r="D848" s="14">
        <f t="shared" si="171"/>
        <v>31046.127817399232</v>
      </c>
      <c r="E848" s="2">
        <v>1</v>
      </c>
      <c r="F848" s="2">
        <f t="shared" si="177"/>
        <v>7.8000000000000043</v>
      </c>
      <c r="G848" s="17">
        <f t="shared" si="169"/>
        <v>0.33326666666666666</v>
      </c>
      <c r="H848" s="8">
        <f t="shared" si="168"/>
        <v>976620</v>
      </c>
      <c r="I848" s="9">
        <v>25</v>
      </c>
      <c r="L848" s="2">
        <f t="shared" si="173"/>
        <v>976620</v>
      </c>
      <c r="M848" s="2">
        <f t="shared" si="174"/>
        <v>1196</v>
      </c>
      <c r="N848" s="15">
        <f t="shared" si="175"/>
        <v>18944.089287232582</v>
      </c>
      <c r="O848" s="15">
        <f t="shared" si="176"/>
        <v>31046.127817399232</v>
      </c>
      <c r="P848" s="16">
        <f>SUM($H$3:H848)</f>
        <v>267218010</v>
      </c>
      <c r="Q848" s="2">
        <f>SUM($I$3:I848)</f>
        <v>11424</v>
      </c>
    </row>
    <row r="849" spans="1:17" x14ac:dyDescent="0.3">
      <c r="A849" s="7">
        <f t="shared" si="172"/>
        <v>847</v>
      </c>
      <c r="B849" s="2">
        <f t="shared" si="172"/>
        <v>1197</v>
      </c>
      <c r="C849" s="14">
        <f t="shared" si="170"/>
        <v>18984.41334738864</v>
      </c>
      <c r="D849" s="14">
        <f t="shared" si="171"/>
        <v>31116.784777093515</v>
      </c>
      <c r="E849" s="2">
        <v>1</v>
      </c>
      <c r="F849" s="2">
        <f t="shared" si="177"/>
        <v>7.8000000000000043</v>
      </c>
      <c r="G849" s="17">
        <f t="shared" si="169"/>
        <v>0.3337</v>
      </c>
      <c r="H849" s="8">
        <f t="shared" si="168"/>
        <v>980590</v>
      </c>
      <c r="I849" s="9">
        <v>25</v>
      </c>
      <c r="L849" s="2">
        <f t="shared" si="173"/>
        <v>980590</v>
      </c>
      <c r="M849" s="2">
        <f t="shared" si="174"/>
        <v>1197</v>
      </c>
      <c r="N849" s="15">
        <f t="shared" si="175"/>
        <v>18984.41334738864</v>
      </c>
      <c r="O849" s="15">
        <f t="shared" si="176"/>
        <v>31116.784777093515</v>
      </c>
      <c r="P849" s="16">
        <f>SUM($H$3:H849)</f>
        <v>268198600</v>
      </c>
      <c r="Q849" s="2">
        <f>SUM($I$3:I849)</f>
        <v>11449</v>
      </c>
    </row>
    <row r="850" spans="1:17" x14ac:dyDescent="0.3">
      <c r="A850" s="7">
        <f t="shared" si="172"/>
        <v>848</v>
      </c>
      <c r="B850" s="2">
        <f t="shared" si="172"/>
        <v>1198</v>
      </c>
      <c r="C850" s="14">
        <f t="shared" si="170"/>
        <v>19024.752153962665</v>
      </c>
      <c r="D850" s="14">
        <f t="shared" si="171"/>
        <v>31187.493424416301</v>
      </c>
      <c r="E850" s="2">
        <v>1</v>
      </c>
      <c r="F850" s="2">
        <f t="shared" si="177"/>
        <v>7.8000000000000043</v>
      </c>
      <c r="G850" s="17">
        <f t="shared" si="169"/>
        <v>0.33413333333333339</v>
      </c>
      <c r="H850" s="8">
        <f t="shared" si="168"/>
        <v>984560</v>
      </c>
      <c r="I850" s="9">
        <v>25</v>
      </c>
      <c r="L850" s="2">
        <f t="shared" si="173"/>
        <v>984560</v>
      </c>
      <c r="M850" s="2">
        <f t="shared" si="174"/>
        <v>1198</v>
      </c>
      <c r="N850" s="15">
        <f t="shared" si="175"/>
        <v>19024.752153962665</v>
      </c>
      <c r="O850" s="15">
        <f t="shared" si="176"/>
        <v>31187.493424416301</v>
      </c>
      <c r="P850" s="16">
        <f>SUM($H$3:H850)</f>
        <v>269183160</v>
      </c>
      <c r="Q850" s="2">
        <f>SUM($I$3:I850)</f>
        <v>11474</v>
      </c>
    </row>
    <row r="851" spans="1:17" x14ac:dyDescent="0.3">
      <c r="A851" s="7">
        <f t="shared" si="172"/>
        <v>849</v>
      </c>
      <c r="B851" s="2">
        <f t="shared" si="172"/>
        <v>1199</v>
      </c>
      <c r="C851" s="14">
        <f t="shared" si="170"/>
        <v>19065.105685423074</v>
      </c>
      <c r="D851" s="14">
        <f t="shared" si="171"/>
        <v>31258.253702754402</v>
      </c>
      <c r="E851" s="2">
        <v>1</v>
      </c>
      <c r="F851" s="2">
        <f t="shared" si="177"/>
        <v>7.8000000000000043</v>
      </c>
      <c r="G851" s="17">
        <f t="shared" si="169"/>
        <v>0.33456666666666668</v>
      </c>
      <c r="H851" s="8">
        <f t="shared" si="168"/>
        <v>988530</v>
      </c>
      <c r="I851" s="9">
        <v>25</v>
      </c>
      <c r="L851" s="2">
        <f t="shared" si="173"/>
        <v>988530</v>
      </c>
      <c r="M851" s="2">
        <f t="shared" si="174"/>
        <v>1199</v>
      </c>
      <c r="N851" s="15">
        <f t="shared" si="175"/>
        <v>19065.105685423074</v>
      </c>
      <c r="O851" s="15">
        <f t="shared" si="176"/>
        <v>31258.253702754402</v>
      </c>
      <c r="P851" s="16">
        <f>SUM($H$3:H851)</f>
        <v>270171690</v>
      </c>
      <c r="Q851" s="2">
        <f>SUM($I$3:I851)</f>
        <v>11499</v>
      </c>
    </row>
    <row r="852" spans="1:17" x14ac:dyDescent="0.3">
      <c r="A852" s="7">
        <f t="shared" si="172"/>
        <v>850</v>
      </c>
      <c r="B852" s="2">
        <f t="shared" si="172"/>
        <v>1200</v>
      </c>
      <c r="C852" s="14">
        <f t="shared" si="170"/>
        <v>19105.473920308927</v>
      </c>
      <c r="D852" s="14">
        <f t="shared" si="171"/>
        <v>31329.065555659956</v>
      </c>
      <c r="E852" s="2">
        <v>1</v>
      </c>
      <c r="F852" s="2">
        <f t="shared" si="177"/>
        <v>7.8000000000000043</v>
      </c>
      <c r="G852" s="17">
        <f t="shared" si="169"/>
        <v>0.33500000000000002</v>
      </c>
      <c r="H852" s="8">
        <f t="shared" si="168"/>
        <v>992500</v>
      </c>
      <c r="I852" s="9">
        <v>25</v>
      </c>
      <c r="L852" s="2">
        <f t="shared" si="173"/>
        <v>992500</v>
      </c>
      <c r="M852" s="2">
        <f t="shared" si="174"/>
        <v>1200</v>
      </c>
      <c r="N852" s="15">
        <f t="shared" si="175"/>
        <v>19105.473920308927</v>
      </c>
      <c r="O852" s="15">
        <f t="shared" si="176"/>
        <v>31329.065555659956</v>
      </c>
      <c r="P852" s="16">
        <f>SUM($H$3:H852)</f>
        <v>271164190</v>
      </c>
      <c r="Q852" s="2">
        <f>SUM($I$3:I852)</f>
        <v>11524</v>
      </c>
    </row>
    <row r="853" spans="1:17" x14ac:dyDescent="0.3">
      <c r="A853" s="7">
        <f t="shared" si="172"/>
        <v>851</v>
      </c>
      <c r="B853" s="2">
        <f t="shared" si="172"/>
        <v>1201</v>
      </c>
      <c r="C853" s="14">
        <f t="shared" si="170"/>
        <v>19145.856837229498</v>
      </c>
      <c r="D853" s="14">
        <f t="shared" si="171"/>
        <v>31399.928926849287</v>
      </c>
      <c r="E853" s="2">
        <v>1</v>
      </c>
      <c r="F853" s="2">
        <f t="shared" si="177"/>
        <v>7.8000000000000043</v>
      </c>
      <c r="G853" s="17">
        <f t="shared" si="169"/>
        <v>0.33543333333333331</v>
      </c>
      <c r="H853" s="8">
        <f t="shared" si="168"/>
        <v>996470</v>
      </c>
      <c r="I853" s="9">
        <v>25</v>
      </c>
      <c r="L853" s="2">
        <f t="shared" si="173"/>
        <v>996470</v>
      </c>
      <c r="M853" s="2">
        <f t="shared" si="174"/>
        <v>1201</v>
      </c>
      <c r="N853" s="15">
        <f t="shared" si="175"/>
        <v>19145.856837229498</v>
      </c>
      <c r="O853" s="15">
        <f t="shared" si="176"/>
        <v>31399.928926849287</v>
      </c>
      <c r="P853" s="16">
        <f>SUM($H$3:H853)</f>
        <v>272160660</v>
      </c>
      <c r="Q853" s="2">
        <f>SUM($I$3:I853)</f>
        <v>11549</v>
      </c>
    </row>
    <row r="854" spans="1:17" x14ac:dyDescent="0.3">
      <c r="A854" s="7">
        <f t="shared" si="172"/>
        <v>852</v>
      </c>
      <c r="B854" s="2">
        <f t="shared" si="172"/>
        <v>1202</v>
      </c>
      <c r="C854" s="14">
        <f t="shared" si="170"/>
        <v>19186.254414863957</v>
      </c>
      <c r="D854" s="14">
        <f t="shared" si="171"/>
        <v>31470.843760202144</v>
      </c>
      <c r="E854" s="2">
        <v>1</v>
      </c>
      <c r="F854" s="2">
        <f t="shared" si="177"/>
        <v>7.8000000000000043</v>
      </c>
      <c r="G854" s="17">
        <f t="shared" si="169"/>
        <v>0.3358666666666667</v>
      </c>
      <c r="H854" s="8">
        <f t="shared" si="168"/>
        <v>1000440</v>
      </c>
      <c r="I854" s="9">
        <v>25</v>
      </c>
      <c r="L854" s="2">
        <f t="shared" si="173"/>
        <v>1000440</v>
      </c>
      <c r="M854" s="2">
        <f t="shared" si="174"/>
        <v>1202</v>
      </c>
      <c r="N854" s="15">
        <f t="shared" si="175"/>
        <v>19186.254414863957</v>
      </c>
      <c r="O854" s="15">
        <f t="shared" si="176"/>
        <v>31470.843760202144</v>
      </c>
      <c r="P854" s="16">
        <f>SUM($H$3:H854)</f>
        <v>273161100</v>
      </c>
      <c r="Q854" s="2">
        <f>SUM($I$3:I854)</f>
        <v>11574</v>
      </c>
    </row>
    <row r="855" spans="1:17" x14ac:dyDescent="0.3">
      <c r="A855" s="7">
        <f t="shared" si="172"/>
        <v>853</v>
      </c>
      <c r="B855" s="2">
        <f t="shared" si="172"/>
        <v>1203</v>
      </c>
      <c r="C855" s="14">
        <f t="shared" si="170"/>
        <v>19226.666631961049</v>
      </c>
      <c r="D855" s="14">
        <f t="shared" si="171"/>
        <v>31541.809999761135</v>
      </c>
      <c r="E855" s="2">
        <v>1</v>
      </c>
      <c r="F855" s="2">
        <f t="shared" si="177"/>
        <v>7.8000000000000043</v>
      </c>
      <c r="G855" s="17">
        <f t="shared" si="169"/>
        <v>0.33630000000000004</v>
      </c>
      <c r="H855" s="8">
        <f t="shared" si="168"/>
        <v>1004410</v>
      </c>
      <c r="I855" s="9">
        <v>25</v>
      </c>
      <c r="L855" s="2">
        <f t="shared" si="173"/>
        <v>1004410</v>
      </c>
      <c r="M855" s="2">
        <f t="shared" si="174"/>
        <v>1203</v>
      </c>
      <c r="N855" s="15">
        <f t="shared" si="175"/>
        <v>19226.666631961049</v>
      </c>
      <c r="O855" s="15">
        <f t="shared" si="176"/>
        <v>31541.809999761135</v>
      </c>
      <c r="P855" s="16">
        <f>SUM($H$3:H855)</f>
        <v>274165510</v>
      </c>
      <c r="Q855" s="2">
        <f>SUM($I$3:I855)</f>
        <v>11599</v>
      </c>
    </row>
    <row r="856" spans="1:17" x14ac:dyDescent="0.3">
      <c r="A856" s="7">
        <f t="shared" si="172"/>
        <v>854</v>
      </c>
      <c r="B856" s="2">
        <f t="shared" si="172"/>
        <v>1204</v>
      </c>
      <c r="C856" s="14">
        <f t="shared" si="170"/>
        <v>19267.093467338647</v>
      </c>
      <c r="D856" s="14">
        <f t="shared" si="171"/>
        <v>31612.827589730619</v>
      </c>
      <c r="E856" s="2">
        <v>1</v>
      </c>
      <c r="F856" s="2">
        <f t="shared" si="177"/>
        <v>7.8000000000000043</v>
      </c>
      <c r="G856" s="17">
        <f t="shared" si="169"/>
        <v>0.33673333333333333</v>
      </c>
      <c r="H856" s="8">
        <f t="shared" si="168"/>
        <v>1008380</v>
      </c>
      <c r="I856" s="9">
        <v>25</v>
      </c>
      <c r="L856" s="2">
        <f t="shared" si="173"/>
        <v>1008380</v>
      </c>
      <c r="M856" s="2">
        <f t="shared" si="174"/>
        <v>1204</v>
      </c>
      <c r="N856" s="15">
        <f t="shared" si="175"/>
        <v>19267.093467338647</v>
      </c>
      <c r="O856" s="15">
        <f t="shared" si="176"/>
        <v>31612.827589730619</v>
      </c>
      <c r="P856" s="16">
        <f>SUM($H$3:H856)</f>
        <v>275173890</v>
      </c>
      <c r="Q856" s="2">
        <f>SUM($I$3:I856)</f>
        <v>11624</v>
      </c>
    </row>
    <row r="857" spans="1:17" x14ac:dyDescent="0.3">
      <c r="A857" s="7">
        <f t="shared" si="172"/>
        <v>855</v>
      </c>
      <c r="B857" s="2">
        <f t="shared" si="172"/>
        <v>1205</v>
      </c>
      <c r="C857" s="14">
        <f t="shared" si="170"/>
        <v>19307.534899883485</v>
      </c>
      <c r="D857" s="14">
        <f t="shared" si="171"/>
        <v>31683.89647447642</v>
      </c>
      <c r="E857" s="2">
        <v>1</v>
      </c>
      <c r="F857" s="2">
        <f t="shared" si="177"/>
        <v>7.8000000000000043</v>
      </c>
      <c r="G857" s="17">
        <f t="shared" si="169"/>
        <v>0.33716666666666667</v>
      </c>
      <c r="H857" s="8">
        <f t="shared" si="168"/>
        <v>1012350</v>
      </c>
      <c r="I857" s="9">
        <v>25</v>
      </c>
      <c r="L857" s="2">
        <f t="shared" si="173"/>
        <v>1012350</v>
      </c>
      <c r="M857" s="2">
        <f t="shared" si="174"/>
        <v>1205</v>
      </c>
      <c r="N857" s="15">
        <f t="shared" si="175"/>
        <v>19307.534899883485</v>
      </c>
      <c r="O857" s="15">
        <f t="shared" si="176"/>
        <v>31683.89647447642</v>
      </c>
      <c r="P857" s="16">
        <f>SUM($H$3:H857)</f>
        <v>276186240</v>
      </c>
      <c r="Q857" s="2">
        <f>SUM($I$3:I857)</f>
        <v>11649</v>
      </c>
    </row>
    <row r="858" spans="1:17" x14ac:dyDescent="0.3">
      <c r="A858" s="7">
        <f t="shared" si="172"/>
        <v>856</v>
      </c>
      <c r="B858" s="2">
        <f t="shared" si="172"/>
        <v>1206</v>
      </c>
      <c r="C858" s="14">
        <f t="shared" si="170"/>
        <v>19347.990908550808</v>
      </c>
      <c r="D858" s="14">
        <f t="shared" si="171"/>
        <v>31755.016598524624</v>
      </c>
      <c r="E858" s="2">
        <v>1</v>
      </c>
      <c r="F858" s="2">
        <f t="shared" si="177"/>
        <v>7.8000000000000043</v>
      </c>
      <c r="G858" s="17">
        <f t="shared" si="169"/>
        <v>0.33760000000000007</v>
      </c>
      <c r="H858" s="8">
        <f t="shared" si="168"/>
        <v>1016320</v>
      </c>
      <c r="I858" s="9">
        <v>25</v>
      </c>
      <c r="L858" s="2">
        <f t="shared" si="173"/>
        <v>1016320</v>
      </c>
      <c r="M858" s="2">
        <f t="shared" si="174"/>
        <v>1206</v>
      </c>
      <c r="N858" s="15">
        <f t="shared" si="175"/>
        <v>19347.990908550808</v>
      </c>
      <c r="O858" s="15">
        <f t="shared" si="176"/>
        <v>31755.016598524624</v>
      </c>
      <c r="P858" s="16">
        <f>SUM($H$3:H858)</f>
        <v>277202560</v>
      </c>
      <c r="Q858" s="2">
        <f>SUM($I$3:I858)</f>
        <v>11674</v>
      </c>
    </row>
    <row r="859" spans="1:17" x14ac:dyDescent="0.3">
      <c r="A859" s="7">
        <f t="shared" si="172"/>
        <v>857</v>
      </c>
      <c r="B859" s="2">
        <f t="shared" si="172"/>
        <v>1207</v>
      </c>
      <c r="C859" s="14">
        <f t="shared" si="170"/>
        <v>19388.461472363975</v>
      </c>
      <c r="D859" s="14">
        <f t="shared" si="171"/>
        <v>31826.187906561085</v>
      </c>
      <c r="E859" s="2">
        <v>1</v>
      </c>
      <c r="F859" s="2">
        <f t="shared" si="177"/>
        <v>7.8000000000000043</v>
      </c>
      <c r="G859" s="17">
        <f t="shared" si="169"/>
        <v>0.33803333333333335</v>
      </c>
      <c r="H859" s="8">
        <f t="shared" si="168"/>
        <v>1020290</v>
      </c>
      <c r="I859" s="9">
        <v>25</v>
      </c>
      <c r="L859" s="2">
        <f t="shared" si="173"/>
        <v>1020290</v>
      </c>
      <c r="M859" s="2">
        <f t="shared" si="174"/>
        <v>1207</v>
      </c>
      <c r="N859" s="15">
        <f t="shared" si="175"/>
        <v>19388.461472363975</v>
      </c>
      <c r="O859" s="15">
        <f t="shared" si="176"/>
        <v>31826.187906561085</v>
      </c>
      <c r="P859" s="16">
        <f>SUM($H$3:H859)</f>
        <v>278222850</v>
      </c>
      <c r="Q859" s="2">
        <f>SUM($I$3:I859)</f>
        <v>11699</v>
      </c>
    </row>
    <row r="860" spans="1:17" x14ac:dyDescent="0.3">
      <c r="A860" s="7">
        <f t="shared" si="172"/>
        <v>858</v>
      </c>
      <c r="B860" s="2">
        <f t="shared" si="172"/>
        <v>1208</v>
      </c>
      <c r="C860" s="14">
        <f t="shared" si="170"/>
        <v>19428.946570414137</v>
      </c>
      <c r="D860" s="14">
        <f t="shared" si="171"/>
        <v>31897.410343430547</v>
      </c>
      <c r="E860" s="2">
        <v>1</v>
      </c>
      <c r="F860" s="2">
        <f t="shared" si="177"/>
        <v>7.8000000000000043</v>
      </c>
      <c r="G860" s="17">
        <f t="shared" si="169"/>
        <v>0.33846666666666669</v>
      </c>
      <c r="H860" s="8">
        <f t="shared" si="168"/>
        <v>1024260</v>
      </c>
      <c r="I860" s="9">
        <v>25</v>
      </c>
      <c r="L860" s="2">
        <f t="shared" si="173"/>
        <v>1024260</v>
      </c>
      <c r="M860" s="2">
        <f t="shared" si="174"/>
        <v>1208</v>
      </c>
      <c r="N860" s="15">
        <f t="shared" si="175"/>
        <v>19428.946570414137</v>
      </c>
      <c r="O860" s="15">
        <f t="shared" si="176"/>
        <v>31897.410343430547</v>
      </c>
      <c r="P860" s="16">
        <f>SUM($H$3:H860)</f>
        <v>279247110</v>
      </c>
      <c r="Q860" s="2">
        <f>SUM($I$3:I860)</f>
        <v>11724</v>
      </c>
    </row>
    <row r="861" spans="1:17" x14ac:dyDescent="0.3">
      <c r="A861" s="7">
        <f t="shared" si="172"/>
        <v>859</v>
      </c>
      <c r="B861" s="2">
        <f t="shared" si="172"/>
        <v>1209</v>
      </c>
      <c r="C861" s="14">
        <f t="shared" si="170"/>
        <v>19469.446181859945</v>
      </c>
      <c r="D861" s="14">
        <f t="shared" si="171"/>
        <v>31968.68385413603</v>
      </c>
      <c r="E861" s="2">
        <v>1</v>
      </c>
      <c r="F861" s="2">
        <f t="shared" si="177"/>
        <v>7.8000000000000043</v>
      </c>
      <c r="G861" s="17">
        <f t="shared" si="169"/>
        <v>0.33889999999999998</v>
      </c>
      <c r="H861" s="8">
        <f t="shared" si="168"/>
        <v>1028230</v>
      </c>
      <c r="I861" s="9">
        <v>25</v>
      </c>
      <c r="L861" s="2">
        <f t="shared" si="173"/>
        <v>1028230</v>
      </c>
      <c r="M861" s="2">
        <f t="shared" si="174"/>
        <v>1209</v>
      </c>
      <c r="N861" s="15">
        <f t="shared" si="175"/>
        <v>19469.446181859945</v>
      </c>
      <c r="O861" s="15">
        <f t="shared" si="176"/>
        <v>31968.68385413603</v>
      </c>
      <c r="P861" s="16">
        <f>SUM($H$3:H861)</f>
        <v>280275340</v>
      </c>
      <c r="Q861" s="2">
        <f>SUM($I$3:I861)</f>
        <v>11749</v>
      </c>
    </row>
    <row r="862" spans="1:17" x14ac:dyDescent="0.3">
      <c r="A862" s="7">
        <f t="shared" si="172"/>
        <v>860</v>
      </c>
      <c r="B862" s="2">
        <f t="shared" si="172"/>
        <v>1210</v>
      </c>
      <c r="C862" s="14">
        <f t="shared" si="170"/>
        <v>19509.960285927118</v>
      </c>
      <c r="D862" s="14">
        <f t="shared" si="171"/>
        <v>32040.008383837994</v>
      </c>
      <c r="E862" s="2">
        <v>1</v>
      </c>
      <c r="F862" s="2">
        <f t="shared" si="177"/>
        <v>8.0000000000000036</v>
      </c>
      <c r="G862" s="17">
        <f t="shared" si="169"/>
        <v>0.33933333333333338</v>
      </c>
      <c r="H862" s="8">
        <f t="shared" si="168"/>
        <v>1032200</v>
      </c>
      <c r="I862" s="9">
        <v>25</v>
      </c>
      <c r="L862" s="2">
        <f t="shared" si="173"/>
        <v>1032200</v>
      </c>
      <c r="M862" s="2">
        <f t="shared" si="174"/>
        <v>1210</v>
      </c>
      <c r="N862" s="15">
        <f t="shared" si="175"/>
        <v>19509.960285927118</v>
      </c>
      <c r="O862" s="15">
        <f t="shared" si="176"/>
        <v>32040.008383837994</v>
      </c>
      <c r="P862" s="16">
        <f>SUM($H$3:H862)</f>
        <v>281307540</v>
      </c>
      <c r="Q862" s="2">
        <f>SUM($I$3:I862)</f>
        <v>11774</v>
      </c>
    </row>
    <row r="863" spans="1:17" x14ac:dyDescent="0.3">
      <c r="A863" s="7">
        <f t="shared" si="172"/>
        <v>861</v>
      </c>
      <c r="B863" s="2">
        <f t="shared" si="172"/>
        <v>1211</v>
      </c>
      <c r="C863" s="14">
        <f t="shared" si="170"/>
        <v>19550.48886190823</v>
      </c>
      <c r="D863" s="14">
        <f t="shared" si="171"/>
        <v>32111.383877853692</v>
      </c>
      <c r="E863" s="2">
        <v>1</v>
      </c>
      <c r="F863" s="2">
        <f t="shared" si="177"/>
        <v>8.0000000000000036</v>
      </c>
      <c r="G863" s="17">
        <f t="shared" si="169"/>
        <v>0.33976666666666672</v>
      </c>
      <c r="H863" s="8">
        <f t="shared" si="168"/>
        <v>1036170</v>
      </c>
      <c r="I863" s="9">
        <v>25</v>
      </c>
      <c r="L863" s="2">
        <f t="shared" si="173"/>
        <v>1036170</v>
      </c>
      <c r="M863" s="2">
        <f t="shared" si="174"/>
        <v>1211</v>
      </c>
      <c r="N863" s="15">
        <f t="shared" si="175"/>
        <v>19550.48886190823</v>
      </c>
      <c r="O863" s="15">
        <f t="shared" si="176"/>
        <v>32111.383877853692</v>
      </c>
      <c r="P863" s="16">
        <f>SUM($H$3:H863)</f>
        <v>282343710</v>
      </c>
      <c r="Q863" s="2">
        <f>SUM($I$3:I863)</f>
        <v>11799</v>
      </c>
    </row>
    <row r="864" spans="1:17" x14ac:dyDescent="0.3">
      <c r="A864" s="7">
        <f t="shared" si="172"/>
        <v>862</v>
      </c>
      <c r="B864" s="2">
        <f t="shared" si="172"/>
        <v>1212</v>
      </c>
      <c r="C864" s="14">
        <f t="shared" si="170"/>
        <v>19591.031889162248</v>
      </c>
      <c r="D864" s="14">
        <f t="shared" si="171"/>
        <v>32182.810281656235</v>
      </c>
      <c r="E864" s="2">
        <v>1</v>
      </c>
      <c r="F864" s="2">
        <f t="shared" si="177"/>
        <v>8.0000000000000036</v>
      </c>
      <c r="G864" s="17">
        <f t="shared" si="169"/>
        <v>0.3402</v>
      </c>
      <c r="H864" s="8">
        <f t="shared" si="168"/>
        <v>1040140</v>
      </c>
      <c r="I864" s="9">
        <v>25</v>
      </c>
      <c r="L864" s="2">
        <f t="shared" si="173"/>
        <v>1040140</v>
      </c>
      <c r="M864" s="2">
        <f t="shared" si="174"/>
        <v>1212</v>
      </c>
      <c r="N864" s="15">
        <f t="shared" si="175"/>
        <v>19591.031889162248</v>
      </c>
      <c r="O864" s="15">
        <f t="shared" si="176"/>
        <v>32182.810281656235</v>
      </c>
      <c r="P864" s="16">
        <f>SUM($H$3:H864)</f>
        <v>283383850</v>
      </c>
      <c r="Q864" s="2">
        <f>SUM($I$3:I864)</f>
        <v>11824</v>
      </c>
    </row>
    <row r="865" spans="1:17" x14ac:dyDescent="0.3">
      <c r="A865" s="7">
        <f t="shared" si="172"/>
        <v>863</v>
      </c>
      <c r="B865" s="2">
        <f t="shared" si="172"/>
        <v>1213</v>
      </c>
      <c r="C865" s="14">
        <f t="shared" si="170"/>
        <v>19631.589347114303</v>
      </c>
      <c r="D865" s="14">
        <f t="shared" si="171"/>
        <v>32254.287540874258</v>
      </c>
      <c r="E865" s="2">
        <v>1</v>
      </c>
      <c r="F865" s="2">
        <f t="shared" si="177"/>
        <v>8.0000000000000036</v>
      </c>
      <c r="G865" s="17">
        <f t="shared" si="169"/>
        <v>0.34063333333333334</v>
      </c>
      <c r="H865" s="8">
        <f t="shared" si="168"/>
        <v>1044110</v>
      </c>
      <c r="I865" s="9">
        <v>25</v>
      </c>
      <c r="L865" s="2">
        <f t="shared" si="173"/>
        <v>1044110</v>
      </c>
      <c r="M865" s="2">
        <f t="shared" si="174"/>
        <v>1213</v>
      </c>
      <c r="N865" s="15">
        <f t="shared" si="175"/>
        <v>19631.589347114303</v>
      </c>
      <c r="O865" s="15">
        <f t="shared" si="176"/>
        <v>32254.287540874258</v>
      </c>
      <c r="P865" s="16">
        <f>SUM($H$3:H865)</f>
        <v>284427960</v>
      </c>
      <c r="Q865" s="2">
        <f>SUM($I$3:I865)</f>
        <v>11849</v>
      </c>
    </row>
    <row r="866" spans="1:17" x14ac:dyDescent="0.3">
      <c r="A866" s="7">
        <f t="shared" si="172"/>
        <v>864</v>
      </c>
      <c r="B866" s="2">
        <f t="shared" si="172"/>
        <v>1214</v>
      </c>
      <c r="C866" s="14">
        <f t="shared" si="170"/>
        <v>19672.161215255252</v>
      </c>
      <c r="D866" s="14">
        <f t="shared" si="171"/>
        <v>32325.815601290717</v>
      </c>
      <c r="E866" s="2">
        <v>1</v>
      </c>
      <c r="F866" s="2">
        <f t="shared" si="177"/>
        <v>8.0000000000000036</v>
      </c>
      <c r="G866" s="17">
        <f t="shared" si="169"/>
        <v>0.34106666666666674</v>
      </c>
      <c r="H866" s="8">
        <f t="shared" si="168"/>
        <v>1048080</v>
      </c>
      <c r="I866" s="9">
        <v>25</v>
      </c>
      <c r="L866" s="2">
        <f t="shared" si="173"/>
        <v>1048080</v>
      </c>
      <c r="M866" s="2">
        <f t="shared" si="174"/>
        <v>1214</v>
      </c>
      <c r="N866" s="15">
        <f t="shared" si="175"/>
        <v>19672.161215255252</v>
      </c>
      <c r="O866" s="15">
        <f t="shared" si="176"/>
        <v>32325.815601290717</v>
      </c>
      <c r="P866" s="16">
        <f>SUM($H$3:H866)</f>
        <v>285476040</v>
      </c>
      <c r="Q866" s="2">
        <f>SUM($I$3:I866)</f>
        <v>11874</v>
      </c>
    </row>
    <row r="867" spans="1:17" x14ac:dyDescent="0.3">
      <c r="A867" s="7">
        <f t="shared" si="172"/>
        <v>865</v>
      </c>
      <c r="B867" s="2">
        <f t="shared" si="172"/>
        <v>1215</v>
      </c>
      <c r="C867" s="14">
        <f t="shared" si="170"/>
        <v>19712.747473141513</v>
      </c>
      <c r="D867" s="14">
        <f t="shared" si="171"/>
        <v>32397.394408842651</v>
      </c>
      <c r="E867" s="2">
        <v>1</v>
      </c>
      <c r="F867" s="2">
        <f t="shared" si="177"/>
        <v>8.0000000000000036</v>
      </c>
      <c r="G867" s="17">
        <f t="shared" si="169"/>
        <v>0.34150000000000003</v>
      </c>
      <c r="H867" s="8">
        <f t="shared" ref="H867:H901" si="178">(A867-600)*3970</f>
        <v>1052050</v>
      </c>
      <c r="I867" s="9">
        <v>25</v>
      </c>
      <c r="L867" s="2">
        <f t="shared" si="173"/>
        <v>1052050</v>
      </c>
      <c r="M867" s="2">
        <f t="shared" si="174"/>
        <v>1215</v>
      </c>
      <c r="N867" s="15">
        <f t="shared" si="175"/>
        <v>19712.747473141513</v>
      </c>
      <c r="O867" s="15">
        <f t="shared" si="176"/>
        <v>32397.394408842651</v>
      </c>
      <c r="P867" s="16">
        <f>SUM($H$3:H867)</f>
        <v>286528090</v>
      </c>
      <c r="Q867" s="2">
        <f>SUM($I$3:I867)</f>
        <v>11899</v>
      </c>
    </row>
    <row r="868" spans="1:17" x14ac:dyDescent="0.3">
      <c r="A868" s="7">
        <f t="shared" si="172"/>
        <v>866</v>
      </c>
      <c r="B868" s="2">
        <f t="shared" si="172"/>
        <v>1216</v>
      </c>
      <c r="C868" s="14">
        <f t="shared" si="170"/>
        <v>19753.34810039456</v>
      </c>
      <c r="D868" s="14">
        <f t="shared" si="171"/>
        <v>32469.023909620129</v>
      </c>
      <c r="E868" s="2">
        <v>1</v>
      </c>
      <c r="F868" s="2">
        <f t="shared" si="177"/>
        <v>8.0000000000000036</v>
      </c>
      <c r="G868" s="17">
        <f t="shared" si="169"/>
        <v>0.34193333333333337</v>
      </c>
      <c r="H868" s="8">
        <f t="shared" si="178"/>
        <v>1056020</v>
      </c>
      <c r="I868" s="9">
        <v>25</v>
      </c>
      <c r="L868" s="2">
        <f t="shared" si="173"/>
        <v>1056020</v>
      </c>
      <c r="M868" s="2">
        <f t="shared" si="174"/>
        <v>1216</v>
      </c>
      <c r="N868" s="15">
        <f t="shared" si="175"/>
        <v>19753.34810039456</v>
      </c>
      <c r="O868" s="15">
        <f t="shared" si="176"/>
        <v>32469.023909620129</v>
      </c>
      <c r="P868" s="16">
        <f>SUM($H$3:H868)</f>
        <v>287584110</v>
      </c>
      <c r="Q868" s="2">
        <f>SUM($I$3:I868)</f>
        <v>11924</v>
      </c>
    </row>
    <row r="869" spans="1:17" x14ac:dyDescent="0.3">
      <c r="A869" s="7">
        <f t="shared" si="172"/>
        <v>867</v>
      </c>
      <c r="B869" s="2">
        <f t="shared" si="172"/>
        <v>1217</v>
      </c>
      <c r="C869" s="14">
        <f t="shared" si="170"/>
        <v>19793.963076700744</v>
      </c>
      <c r="D869" s="14">
        <f t="shared" si="171"/>
        <v>32540.704049865693</v>
      </c>
      <c r="E869" s="2">
        <v>1</v>
      </c>
      <c r="F869" s="2">
        <f t="shared" si="177"/>
        <v>8.0000000000000036</v>
      </c>
      <c r="G869" s="17">
        <f t="shared" si="169"/>
        <v>0.34236666666666665</v>
      </c>
      <c r="H869" s="8">
        <f t="shared" si="178"/>
        <v>1059990</v>
      </c>
      <c r="I869" s="9">
        <v>25</v>
      </c>
      <c r="L869" s="2">
        <f t="shared" si="173"/>
        <v>1059990</v>
      </c>
      <c r="M869" s="2">
        <f t="shared" si="174"/>
        <v>1217</v>
      </c>
      <c r="N869" s="15">
        <f t="shared" si="175"/>
        <v>19793.963076700744</v>
      </c>
      <c r="O869" s="15">
        <f t="shared" si="176"/>
        <v>32540.704049865693</v>
      </c>
      <c r="P869" s="16">
        <f>SUM($H$3:H869)</f>
        <v>288644100</v>
      </c>
      <c r="Q869" s="2">
        <f>SUM($I$3:I869)</f>
        <v>11949</v>
      </c>
    </row>
    <row r="870" spans="1:17" x14ac:dyDescent="0.3">
      <c r="A870" s="7">
        <f t="shared" si="172"/>
        <v>868</v>
      </c>
      <c r="B870" s="2">
        <f t="shared" si="172"/>
        <v>1218</v>
      </c>
      <c r="C870" s="14">
        <f t="shared" si="170"/>
        <v>19834.592381810911</v>
      </c>
      <c r="D870" s="14">
        <f t="shared" si="171"/>
        <v>32612.434775973652</v>
      </c>
      <c r="E870" s="2">
        <v>1</v>
      </c>
      <c r="F870" s="2">
        <f t="shared" si="177"/>
        <v>8.0000000000000036</v>
      </c>
      <c r="G870" s="17">
        <f t="shared" si="169"/>
        <v>0.34279999999999999</v>
      </c>
      <c r="H870" s="8">
        <f t="shared" si="178"/>
        <v>1063960</v>
      </c>
      <c r="I870" s="9">
        <v>25</v>
      </c>
      <c r="L870" s="2">
        <f t="shared" si="173"/>
        <v>1063960</v>
      </c>
      <c r="M870" s="2">
        <f t="shared" si="174"/>
        <v>1218</v>
      </c>
      <c r="N870" s="15">
        <f t="shared" si="175"/>
        <v>19834.592381810911</v>
      </c>
      <c r="O870" s="15">
        <f t="shared" si="176"/>
        <v>32612.434775973652</v>
      </c>
      <c r="P870" s="16">
        <f>SUM($H$3:H870)</f>
        <v>289708060</v>
      </c>
      <c r="Q870" s="2">
        <f>SUM($I$3:I870)</f>
        <v>11974</v>
      </c>
    </row>
    <row r="871" spans="1:17" x14ac:dyDescent="0.3">
      <c r="A871" s="7">
        <f t="shared" si="172"/>
        <v>869</v>
      </c>
      <c r="B871" s="2">
        <f t="shared" si="172"/>
        <v>1219</v>
      </c>
      <c r="C871" s="14">
        <f t="shared" si="170"/>
        <v>19875.235995540028</v>
      </c>
      <c r="D871" s="14">
        <f t="shared" si="171"/>
        <v>32684.216034489331</v>
      </c>
      <c r="E871" s="2">
        <v>1</v>
      </c>
      <c r="F871" s="2">
        <f t="shared" si="177"/>
        <v>8.0000000000000036</v>
      </c>
      <c r="G871" s="17">
        <f t="shared" ref="G871:G934" si="179">0.01 + (A871-100)*(0.4-0.01)/(1000-100)</f>
        <v>0.34323333333333339</v>
      </c>
      <c r="H871" s="8">
        <f t="shared" si="178"/>
        <v>1067930</v>
      </c>
      <c r="I871" s="9">
        <v>25</v>
      </c>
      <c r="L871" s="2">
        <f t="shared" si="173"/>
        <v>1067930</v>
      </c>
      <c r="M871" s="2">
        <f t="shared" si="174"/>
        <v>1219</v>
      </c>
      <c r="N871" s="15">
        <f t="shared" si="175"/>
        <v>19875.235995540028</v>
      </c>
      <c r="O871" s="15">
        <f t="shared" si="176"/>
        <v>32684.216034489331</v>
      </c>
      <c r="P871" s="16">
        <f>SUM($H$3:H871)</f>
        <v>290775990</v>
      </c>
      <c r="Q871" s="2">
        <f>SUM($I$3:I871)</f>
        <v>11999</v>
      </c>
    </row>
    <row r="872" spans="1:17" x14ac:dyDescent="0.3">
      <c r="A872" s="7">
        <f t="shared" si="172"/>
        <v>870</v>
      </c>
      <c r="B872" s="2">
        <f t="shared" si="172"/>
        <v>1220</v>
      </c>
      <c r="C872" s="14">
        <f t="shared" si="170"/>
        <v>19915.893897767011</v>
      </c>
      <c r="D872" s="14">
        <f t="shared" si="171"/>
        <v>32756.047772108515</v>
      </c>
      <c r="E872" s="2">
        <v>1</v>
      </c>
      <c r="F872" s="2">
        <f t="shared" si="177"/>
        <v>8.0000000000000036</v>
      </c>
      <c r="G872" s="17">
        <f t="shared" si="179"/>
        <v>0.34366666666666668</v>
      </c>
      <c r="H872" s="8">
        <f t="shared" si="178"/>
        <v>1071900</v>
      </c>
      <c r="I872" s="9">
        <v>25</v>
      </c>
      <c r="L872" s="2">
        <f t="shared" si="173"/>
        <v>1071900</v>
      </c>
      <c r="M872" s="2">
        <f t="shared" si="174"/>
        <v>1220</v>
      </c>
      <c r="N872" s="15">
        <f t="shared" si="175"/>
        <v>19915.893897767011</v>
      </c>
      <c r="O872" s="15">
        <f t="shared" si="176"/>
        <v>32756.047772108515</v>
      </c>
      <c r="P872" s="16">
        <f>SUM($H$3:H872)</f>
        <v>291847890</v>
      </c>
      <c r="Q872" s="2">
        <f>SUM($I$3:I872)</f>
        <v>12024</v>
      </c>
    </row>
    <row r="873" spans="1:17" x14ac:dyDescent="0.3">
      <c r="A873" s="7">
        <f t="shared" si="172"/>
        <v>871</v>
      </c>
      <c r="B873" s="2">
        <f t="shared" si="172"/>
        <v>1221</v>
      </c>
      <c r="C873" s="14">
        <f t="shared" si="170"/>
        <v>19956.566068434277</v>
      </c>
      <c r="D873" s="14">
        <f t="shared" si="171"/>
        <v>32827.929935676584</v>
      </c>
      <c r="E873" s="2">
        <v>1</v>
      </c>
      <c r="F873" s="2">
        <f t="shared" si="177"/>
        <v>8.0000000000000036</v>
      </c>
      <c r="G873" s="17">
        <f t="shared" si="179"/>
        <v>0.34410000000000002</v>
      </c>
      <c r="H873" s="8">
        <f t="shared" si="178"/>
        <v>1075870</v>
      </c>
      <c r="I873" s="9">
        <v>25</v>
      </c>
      <c r="L873" s="2">
        <f t="shared" si="173"/>
        <v>1075870</v>
      </c>
      <c r="M873" s="2">
        <f t="shared" si="174"/>
        <v>1221</v>
      </c>
      <c r="N873" s="15">
        <f t="shared" si="175"/>
        <v>19956.566068434277</v>
      </c>
      <c r="O873" s="15">
        <f t="shared" si="176"/>
        <v>32827.929935676584</v>
      </c>
      <c r="P873" s="16">
        <f>SUM($H$3:H873)</f>
        <v>292923760</v>
      </c>
      <c r="Q873" s="2">
        <f>SUM($I$3:I873)</f>
        <v>12049</v>
      </c>
    </row>
    <row r="874" spans="1:17" x14ac:dyDescent="0.3">
      <c r="A874" s="7">
        <f t="shared" si="172"/>
        <v>872</v>
      </c>
      <c r="B874" s="2">
        <f t="shared" si="172"/>
        <v>1222</v>
      </c>
      <c r="C874" s="14">
        <f t="shared" si="170"/>
        <v>19997.252487547492</v>
      </c>
      <c r="D874" s="14">
        <f t="shared" si="171"/>
        <v>32899.862472187866</v>
      </c>
      <c r="E874" s="2">
        <v>1</v>
      </c>
      <c r="F874" s="2">
        <f t="shared" si="177"/>
        <v>8.0000000000000036</v>
      </c>
      <c r="G874" s="17">
        <f t="shared" si="179"/>
        <v>0.3445333333333333</v>
      </c>
      <c r="H874" s="8">
        <f t="shared" si="178"/>
        <v>1079840</v>
      </c>
      <c r="I874" s="9">
        <v>25</v>
      </c>
      <c r="L874" s="2">
        <f t="shared" si="173"/>
        <v>1079840</v>
      </c>
      <c r="M874" s="2">
        <f t="shared" si="174"/>
        <v>1222</v>
      </c>
      <c r="N874" s="15">
        <f t="shared" si="175"/>
        <v>19997.252487547492</v>
      </c>
      <c r="O874" s="15">
        <f t="shared" si="176"/>
        <v>32899.862472187866</v>
      </c>
      <c r="P874" s="16">
        <f>SUM($H$3:H874)</f>
        <v>294003600</v>
      </c>
      <c r="Q874" s="2">
        <f>SUM($I$3:I874)</f>
        <v>12074</v>
      </c>
    </row>
    <row r="875" spans="1:17" x14ac:dyDescent="0.3">
      <c r="A875" s="7">
        <f t="shared" si="172"/>
        <v>873</v>
      </c>
      <c r="B875" s="2">
        <f t="shared" si="172"/>
        <v>1223</v>
      </c>
      <c r="C875" s="14">
        <f t="shared" si="170"/>
        <v>20037.953135175267</v>
      </c>
      <c r="D875" s="14">
        <f t="shared" si="171"/>
        <v>32971.845328785173</v>
      </c>
      <c r="E875" s="2">
        <v>1</v>
      </c>
      <c r="F875" s="2">
        <f t="shared" si="177"/>
        <v>8.0000000000000036</v>
      </c>
      <c r="G875" s="17">
        <f t="shared" si="179"/>
        <v>0.3449666666666667</v>
      </c>
      <c r="H875" s="8">
        <f t="shared" si="178"/>
        <v>1083810</v>
      </c>
      <c r="I875" s="9">
        <v>25</v>
      </c>
      <c r="L875" s="2">
        <f t="shared" si="173"/>
        <v>1083810</v>
      </c>
      <c r="M875" s="2">
        <f t="shared" si="174"/>
        <v>1223</v>
      </c>
      <c r="N875" s="15">
        <f t="shared" si="175"/>
        <v>20037.953135175267</v>
      </c>
      <c r="O875" s="15">
        <f t="shared" si="176"/>
        <v>32971.845328785173</v>
      </c>
      <c r="P875" s="16">
        <f>SUM($H$3:H875)</f>
        <v>295087410</v>
      </c>
      <c r="Q875" s="2">
        <f>SUM($I$3:I875)</f>
        <v>12099</v>
      </c>
    </row>
    <row r="876" spans="1:17" x14ac:dyDescent="0.3">
      <c r="A876" s="7">
        <f t="shared" si="172"/>
        <v>874</v>
      </c>
      <c r="B876" s="2">
        <f t="shared" si="172"/>
        <v>1224</v>
      </c>
      <c r="C876" s="14">
        <f t="shared" si="170"/>
        <v>20078.667991448812</v>
      </c>
      <c r="D876" s="14">
        <f t="shared" si="171"/>
        <v>33043.878452758756</v>
      </c>
      <c r="E876" s="2">
        <v>1</v>
      </c>
      <c r="F876" s="2">
        <f t="shared" si="177"/>
        <v>8.0000000000000036</v>
      </c>
      <c r="G876" s="17">
        <f t="shared" si="179"/>
        <v>0.34540000000000004</v>
      </c>
      <c r="H876" s="8">
        <f t="shared" si="178"/>
        <v>1087780</v>
      </c>
      <c r="I876" s="9">
        <v>25</v>
      </c>
      <c r="L876" s="2">
        <f t="shared" si="173"/>
        <v>1087780</v>
      </c>
      <c r="M876" s="2">
        <f t="shared" si="174"/>
        <v>1224</v>
      </c>
      <c r="N876" s="15">
        <f t="shared" si="175"/>
        <v>20078.667991448812</v>
      </c>
      <c r="O876" s="15">
        <f t="shared" si="176"/>
        <v>33043.878452758756</v>
      </c>
      <c r="P876" s="16">
        <f>SUM($H$3:H876)</f>
        <v>296175190</v>
      </c>
      <c r="Q876" s="2">
        <f>SUM($I$3:I876)</f>
        <v>12124</v>
      </c>
    </row>
    <row r="877" spans="1:17" x14ac:dyDescent="0.3">
      <c r="A877" s="7">
        <f t="shared" si="172"/>
        <v>875</v>
      </c>
      <c r="B877" s="2">
        <f t="shared" si="172"/>
        <v>1225</v>
      </c>
      <c r="C877" s="14">
        <f t="shared" si="170"/>
        <v>20119.397036561644</v>
      </c>
      <c r="D877" s="14">
        <f t="shared" si="171"/>
        <v>33115.96179154604</v>
      </c>
      <c r="E877" s="2">
        <v>1</v>
      </c>
      <c r="F877" s="2">
        <f t="shared" si="177"/>
        <v>8.0000000000000036</v>
      </c>
      <c r="G877" s="17">
        <f t="shared" si="179"/>
        <v>0.34583333333333333</v>
      </c>
      <c r="H877" s="8">
        <f t="shared" si="178"/>
        <v>1091750</v>
      </c>
      <c r="I877" s="9">
        <v>25</v>
      </c>
      <c r="L877" s="2">
        <f t="shared" si="173"/>
        <v>1091750</v>
      </c>
      <c r="M877" s="2">
        <f t="shared" si="174"/>
        <v>1225</v>
      </c>
      <c r="N877" s="15">
        <f t="shared" si="175"/>
        <v>20119.397036561644</v>
      </c>
      <c r="O877" s="15">
        <f t="shared" si="176"/>
        <v>33115.96179154604</v>
      </c>
      <c r="P877" s="16">
        <f>SUM($H$3:H877)</f>
        <v>297266940</v>
      </c>
      <c r="Q877" s="2">
        <f>SUM($I$3:I877)</f>
        <v>12149</v>
      </c>
    </row>
    <row r="878" spans="1:17" x14ac:dyDescent="0.3">
      <c r="A878" s="7">
        <f t="shared" si="172"/>
        <v>876</v>
      </c>
      <c r="B878" s="2">
        <f t="shared" si="172"/>
        <v>1226</v>
      </c>
      <c r="C878" s="14">
        <f t="shared" si="170"/>
        <v>20160.140250769356</v>
      </c>
      <c r="D878" s="14">
        <f t="shared" si="171"/>
        <v>33188.095292730679</v>
      </c>
      <c r="E878" s="2">
        <v>1</v>
      </c>
      <c r="F878" s="2">
        <f t="shared" si="177"/>
        <v>8.0000000000000036</v>
      </c>
      <c r="G878" s="17">
        <f t="shared" si="179"/>
        <v>0.34626666666666667</v>
      </c>
      <c r="H878" s="8">
        <f t="shared" si="178"/>
        <v>1095720</v>
      </c>
      <c r="I878" s="9">
        <v>25</v>
      </c>
      <c r="L878" s="2">
        <f t="shared" si="173"/>
        <v>1095720</v>
      </c>
      <c r="M878" s="2">
        <f t="shared" si="174"/>
        <v>1226</v>
      </c>
      <c r="N878" s="15">
        <f t="shared" si="175"/>
        <v>20160.140250769356</v>
      </c>
      <c r="O878" s="15">
        <f t="shared" si="176"/>
        <v>33188.095292730679</v>
      </c>
      <c r="P878" s="16">
        <f>SUM($H$3:H878)</f>
        <v>298362660</v>
      </c>
      <c r="Q878" s="2">
        <f>SUM($I$3:I878)</f>
        <v>12174</v>
      </c>
    </row>
    <row r="879" spans="1:17" x14ac:dyDescent="0.3">
      <c r="A879" s="7">
        <f t="shared" si="172"/>
        <v>877</v>
      </c>
      <c r="B879" s="2">
        <f t="shared" si="172"/>
        <v>1227</v>
      </c>
      <c r="C879" s="14">
        <f t="shared" si="170"/>
        <v>20200.8976143892</v>
      </c>
      <c r="D879" s="14">
        <f t="shared" si="171"/>
        <v>33260.278904041937</v>
      </c>
      <c r="E879" s="2">
        <v>1</v>
      </c>
      <c r="F879" s="2">
        <f t="shared" si="177"/>
        <v>8.0000000000000036</v>
      </c>
      <c r="G879" s="17">
        <f t="shared" si="179"/>
        <v>0.34670000000000006</v>
      </c>
      <c r="H879" s="8">
        <f t="shared" si="178"/>
        <v>1099690</v>
      </c>
      <c r="I879" s="9">
        <v>25</v>
      </c>
      <c r="L879" s="2">
        <f t="shared" si="173"/>
        <v>1099690</v>
      </c>
      <c r="M879" s="2">
        <f t="shared" si="174"/>
        <v>1227</v>
      </c>
      <c r="N879" s="15">
        <f t="shared" si="175"/>
        <v>20200.8976143892</v>
      </c>
      <c r="O879" s="15">
        <f t="shared" si="176"/>
        <v>33260.278904041937</v>
      </c>
      <c r="P879" s="16">
        <f>SUM($H$3:H879)</f>
        <v>299462350</v>
      </c>
      <c r="Q879" s="2">
        <f>SUM($I$3:I879)</f>
        <v>12199</v>
      </c>
    </row>
    <row r="880" spans="1:17" x14ac:dyDescent="0.3">
      <c r="A880" s="7">
        <f t="shared" si="172"/>
        <v>878</v>
      </c>
      <c r="B880" s="2">
        <f t="shared" si="172"/>
        <v>1228</v>
      </c>
      <c r="C880" s="14">
        <f t="shared" ref="C880:C943" si="180">9.525*(A880-300)^1.2 + 600</f>
        <v>20241.669107799848</v>
      </c>
      <c r="D880" s="14">
        <f t="shared" ref="D880:D943" si="181">4.055*(A880-300)^1.4 + 3500</f>
        <v>33332.512573354092</v>
      </c>
      <c r="E880" s="2">
        <v>1</v>
      </c>
      <c r="F880" s="2">
        <f t="shared" si="177"/>
        <v>8.0000000000000036</v>
      </c>
      <c r="G880" s="17">
        <f t="shared" si="179"/>
        <v>0.34713333333333335</v>
      </c>
      <c r="H880" s="8">
        <f t="shared" si="178"/>
        <v>1103660</v>
      </c>
      <c r="I880" s="9">
        <v>25</v>
      </c>
      <c r="L880" s="2">
        <f t="shared" si="173"/>
        <v>1103660</v>
      </c>
      <c r="M880" s="2">
        <f t="shared" si="174"/>
        <v>1228</v>
      </c>
      <c r="N880" s="15">
        <f t="shared" si="175"/>
        <v>20241.669107799848</v>
      </c>
      <c r="O880" s="15">
        <f t="shared" si="176"/>
        <v>33332.512573354092</v>
      </c>
      <c r="P880" s="16">
        <f>SUM($H$3:H880)</f>
        <v>300566010</v>
      </c>
      <c r="Q880" s="2">
        <f>SUM($I$3:I880)</f>
        <v>12224</v>
      </c>
    </row>
    <row r="881" spans="1:17" x14ac:dyDescent="0.3">
      <c r="A881" s="7">
        <f t="shared" si="172"/>
        <v>879</v>
      </c>
      <c r="B881" s="2">
        <f t="shared" si="172"/>
        <v>1229</v>
      </c>
      <c r="C881" s="14">
        <f t="shared" si="180"/>
        <v>20282.454711441082</v>
      </c>
      <c r="D881" s="14">
        <f t="shared" si="181"/>
        <v>33404.796248685838</v>
      </c>
      <c r="E881" s="2">
        <v>1</v>
      </c>
      <c r="F881" s="2">
        <f t="shared" si="177"/>
        <v>8.0000000000000036</v>
      </c>
      <c r="G881" s="17">
        <f t="shared" si="179"/>
        <v>0.34756666666666669</v>
      </c>
      <c r="H881" s="8">
        <f t="shared" si="178"/>
        <v>1107630</v>
      </c>
      <c r="I881" s="9">
        <v>25</v>
      </c>
      <c r="L881" s="2">
        <f t="shared" si="173"/>
        <v>1107630</v>
      </c>
      <c r="M881" s="2">
        <f t="shared" si="174"/>
        <v>1229</v>
      </c>
      <c r="N881" s="15">
        <f t="shared" si="175"/>
        <v>20282.454711441082</v>
      </c>
      <c r="O881" s="15">
        <f t="shared" si="176"/>
        <v>33404.796248685838</v>
      </c>
      <c r="P881" s="16">
        <f>SUM($H$3:H881)</f>
        <v>301673640</v>
      </c>
      <c r="Q881" s="2">
        <f>SUM($I$3:I881)</f>
        <v>12249</v>
      </c>
    </row>
    <row r="882" spans="1:17" x14ac:dyDescent="0.3">
      <c r="A882" s="7">
        <f t="shared" si="172"/>
        <v>880</v>
      </c>
      <c r="B882" s="2">
        <f t="shared" si="172"/>
        <v>1230</v>
      </c>
      <c r="C882" s="14">
        <f t="shared" si="180"/>
        <v>20323.254405813524</v>
      </c>
      <c r="D882" s="14">
        <f t="shared" si="181"/>
        <v>33477.129878199456</v>
      </c>
      <c r="E882" s="2">
        <v>1</v>
      </c>
      <c r="F882" s="2">
        <f t="shared" si="177"/>
        <v>8.2000000000000028</v>
      </c>
      <c r="G882" s="17">
        <f t="shared" si="179"/>
        <v>0.34799999999999998</v>
      </c>
      <c r="H882" s="8">
        <f t="shared" si="178"/>
        <v>1111600</v>
      </c>
      <c r="I882" s="9">
        <v>25</v>
      </c>
      <c r="L882" s="2">
        <f t="shared" si="173"/>
        <v>1111600</v>
      </c>
      <c r="M882" s="2">
        <f t="shared" si="174"/>
        <v>1230</v>
      </c>
      <c r="N882" s="15">
        <f t="shared" si="175"/>
        <v>20323.254405813524</v>
      </c>
      <c r="O882" s="15">
        <f t="shared" si="176"/>
        <v>33477.129878199456</v>
      </c>
      <c r="P882" s="16">
        <f>SUM($H$3:H882)</f>
        <v>302785240</v>
      </c>
      <c r="Q882" s="2">
        <f>SUM($I$3:I882)</f>
        <v>12274</v>
      </c>
    </row>
    <row r="883" spans="1:17" x14ac:dyDescent="0.3">
      <c r="A883" s="7">
        <f t="shared" si="172"/>
        <v>881</v>
      </c>
      <c r="B883" s="2">
        <f t="shared" si="172"/>
        <v>1231</v>
      </c>
      <c r="C883" s="14">
        <f t="shared" si="180"/>
        <v>20364.06817147832</v>
      </c>
      <c r="D883" s="14">
        <f t="shared" si="181"/>
        <v>33549.513410200409</v>
      </c>
      <c r="E883" s="2">
        <v>1</v>
      </c>
      <c r="F883" s="2">
        <f t="shared" si="177"/>
        <v>8.2000000000000028</v>
      </c>
      <c r="G883" s="17">
        <f t="shared" si="179"/>
        <v>0.34843333333333337</v>
      </c>
      <c r="H883" s="8">
        <f t="shared" si="178"/>
        <v>1115570</v>
      </c>
      <c r="I883" s="9">
        <v>25</v>
      </c>
      <c r="L883" s="2">
        <f t="shared" si="173"/>
        <v>1115570</v>
      </c>
      <c r="M883" s="2">
        <f t="shared" si="174"/>
        <v>1231</v>
      </c>
      <c r="N883" s="15">
        <f t="shared" si="175"/>
        <v>20364.06817147832</v>
      </c>
      <c r="O883" s="15">
        <f t="shared" si="176"/>
        <v>33549.513410200409</v>
      </c>
      <c r="P883" s="16">
        <f>SUM($H$3:H883)</f>
        <v>303900810</v>
      </c>
      <c r="Q883" s="2">
        <f>SUM($I$3:I883)</f>
        <v>12299</v>
      </c>
    </row>
    <row r="884" spans="1:17" x14ac:dyDescent="0.3">
      <c r="A884" s="7">
        <f t="shared" si="172"/>
        <v>882</v>
      </c>
      <c r="B884" s="2">
        <f t="shared" si="172"/>
        <v>1232</v>
      </c>
      <c r="C884" s="14">
        <f t="shared" si="180"/>
        <v>20404.895989056869</v>
      </c>
      <c r="D884" s="14">
        <f t="shared" si="181"/>
        <v>33621.946793136427</v>
      </c>
      <c r="E884" s="2">
        <v>1</v>
      </c>
      <c r="F884" s="2">
        <f t="shared" si="177"/>
        <v>8.2000000000000028</v>
      </c>
      <c r="G884" s="17">
        <f t="shared" si="179"/>
        <v>0.34886666666666671</v>
      </c>
      <c r="H884" s="8">
        <f t="shared" si="178"/>
        <v>1119540</v>
      </c>
      <c r="I884" s="9">
        <v>25</v>
      </c>
      <c r="L884" s="2">
        <f t="shared" si="173"/>
        <v>1119540</v>
      </c>
      <c r="M884" s="2">
        <f t="shared" si="174"/>
        <v>1232</v>
      </c>
      <c r="N884" s="15">
        <f t="shared" si="175"/>
        <v>20404.895989056869</v>
      </c>
      <c r="O884" s="15">
        <f t="shared" si="176"/>
        <v>33621.946793136427</v>
      </c>
      <c r="P884" s="16">
        <f>SUM($H$3:H884)</f>
        <v>305020350</v>
      </c>
      <c r="Q884" s="2">
        <f>SUM($I$3:I884)</f>
        <v>12324</v>
      </c>
    </row>
    <row r="885" spans="1:17" x14ac:dyDescent="0.3">
      <c r="A885" s="7">
        <f t="shared" si="172"/>
        <v>883</v>
      </c>
      <c r="B885" s="2">
        <f t="shared" si="172"/>
        <v>1233</v>
      </c>
      <c r="C885" s="14">
        <f t="shared" si="180"/>
        <v>20445.737839230409</v>
      </c>
      <c r="D885" s="14">
        <f t="shared" si="181"/>
        <v>33694.429975597057</v>
      </c>
      <c r="E885" s="2">
        <v>1</v>
      </c>
      <c r="F885" s="2">
        <f t="shared" si="177"/>
        <v>8.2000000000000028</v>
      </c>
      <c r="G885" s="17">
        <f t="shared" si="179"/>
        <v>0.3493</v>
      </c>
      <c r="H885" s="8">
        <f t="shared" si="178"/>
        <v>1123510</v>
      </c>
      <c r="I885" s="9">
        <v>25</v>
      </c>
      <c r="L885" s="2">
        <f t="shared" si="173"/>
        <v>1123510</v>
      </c>
      <c r="M885" s="2">
        <f t="shared" si="174"/>
        <v>1233</v>
      </c>
      <c r="N885" s="15">
        <f t="shared" si="175"/>
        <v>20445.737839230409</v>
      </c>
      <c r="O885" s="15">
        <f t="shared" si="176"/>
        <v>33694.429975597057</v>
      </c>
      <c r="P885" s="16">
        <f>SUM($H$3:H885)</f>
        <v>306143860</v>
      </c>
      <c r="Q885" s="2">
        <f>SUM($I$3:I885)</f>
        <v>12349</v>
      </c>
    </row>
    <row r="886" spans="1:17" x14ac:dyDescent="0.3">
      <c r="A886" s="7">
        <f t="shared" si="172"/>
        <v>884</v>
      </c>
      <c r="B886" s="2">
        <f t="shared" si="172"/>
        <v>1234</v>
      </c>
      <c r="C886" s="14">
        <f t="shared" si="180"/>
        <v>20486.593702739985</v>
      </c>
      <c r="D886" s="14">
        <f t="shared" si="181"/>
        <v>33766.962906313143</v>
      </c>
      <c r="E886" s="2">
        <v>1</v>
      </c>
      <c r="F886" s="2">
        <f t="shared" si="177"/>
        <v>8.2000000000000028</v>
      </c>
      <c r="G886" s="17">
        <f t="shared" si="179"/>
        <v>0.34973333333333334</v>
      </c>
      <c r="H886" s="8">
        <f t="shared" si="178"/>
        <v>1127480</v>
      </c>
      <c r="I886" s="9">
        <v>25</v>
      </c>
      <c r="L886" s="2">
        <f t="shared" si="173"/>
        <v>1127480</v>
      </c>
      <c r="M886" s="2">
        <f t="shared" si="174"/>
        <v>1234</v>
      </c>
      <c r="N886" s="15">
        <f t="shared" si="175"/>
        <v>20486.593702739985</v>
      </c>
      <c r="O886" s="15">
        <f t="shared" si="176"/>
        <v>33766.962906313143</v>
      </c>
      <c r="P886" s="16">
        <f>SUM($H$3:H886)</f>
        <v>307271340</v>
      </c>
      <c r="Q886" s="2">
        <f>SUM($I$3:I886)</f>
        <v>12374</v>
      </c>
    </row>
    <row r="887" spans="1:17" x14ac:dyDescent="0.3">
      <c r="A887" s="7">
        <f t="shared" si="172"/>
        <v>885</v>
      </c>
      <c r="B887" s="2">
        <f t="shared" si="172"/>
        <v>1235</v>
      </c>
      <c r="C887" s="14">
        <f t="shared" si="180"/>
        <v>20527.463560385902</v>
      </c>
      <c r="D887" s="14">
        <f t="shared" si="181"/>
        <v>33839.545534155768</v>
      </c>
      <c r="E887" s="2">
        <v>1</v>
      </c>
      <c r="F887" s="2">
        <f t="shared" si="177"/>
        <v>8.2000000000000028</v>
      </c>
      <c r="G887" s="17">
        <f t="shared" si="179"/>
        <v>0.35016666666666674</v>
      </c>
      <c r="H887" s="8">
        <f t="shared" si="178"/>
        <v>1131450</v>
      </c>
      <c r="I887" s="9">
        <v>25</v>
      </c>
      <c r="L887" s="2">
        <f t="shared" si="173"/>
        <v>1131450</v>
      </c>
      <c r="M887" s="2">
        <f t="shared" si="174"/>
        <v>1235</v>
      </c>
      <c r="N887" s="15">
        <f t="shared" si="175"/>
        <v>20527.463560385902</v>
      </c>
      <c r="O887" s="15">
        <f t="shared" si="176"/>
        <v>33839.545534155768</v>
      </c>
      <c r="P887" s="16">
        <f>SUM($H$3:H887)</f>
        <v>308402790</v>
      </c>
      <c r="Q887" s="2">
        <f>SUM($I$3:I887)</f>
        <v>12399</v>
      </c>
    </row>
    <row r="888" spans="1:17" x14ac:dyDescent="0.3">
      <c r="A888" s="7">
        <f t="shared" si="172"/>
        <v>886</v>
      </c>
      <c r="B888" s="2">
        <f t="shared" si="172"/>
        <v>1236</v>
      </c>
      <c r="C888" s="14">
        <f t="shared" si="180"/>
        <v>20568.347393027598</v>
      </c>
      <c r="D888" s="14">
        <f t="shared" si="181"/>
        <v>33912.177808136039</v>
      </c>
      <c r="E888" s="2">
        <v>1</v>
      </c>
      <c r="F888" s="2">
        <f t="shared" si="177"/>
        <v>8.2000000000000028</v>
      </c>
      <c r="G888" s="17">
        <f t="shared" si="179"/>
        <v>0.35060000000000002</v>
      </c>
      <c r="H888" s="8">
        <f t="shared" si="178"/>
        <v>1135420</v>
      </c>
      <c r="I888" s="9">
        <v>25</v>
      </c>
      <c r="L888" s="2">
        <f t="shared" si="173"/>
        <v>1135420</v>
      </c>
      <c r="M888" s="2">
        <f t="shared" si="174"/>
        <v>1236</v>
      </c>
      <c r="N888" s="15">
        <f t="shared" si="175"/>
        <v>20568.347393027598</v>
      </c>
      <c r="O888" s="15">
        <f t="shared" si="176"/>
        <v>33912.177808136039</v>
      </c>
      <c r="P888" s="16">
        <f>SUM($H$3:H888)</f>
        <v>309538210</v>
      </c>
      <c r="Q888" s="2">
        <f>SUM($I$3:I888)</f>
        <v>12424</v>
      </c>
    </row>
    <row r="889" spans="1:17" x14ac:dyDescent="0.3">
      <c r="A889" s="7">
        <f t="shared" si="172"/>
        <v>887</v>
      </c>
      <c r="B889" s="2">
        <f t="shared" si="172"/>
        <v>1237</v>
      </c>
      <c r="C889" s="14">
        <f t="shared" si="180"/>
        <v>20609.245181583334</v>
      </c>
      <c r="D889" s="14">
        <f t="shared" si="181"/>
        <v>33984.859677404434</v>
      </c>
      <c r="E889" s="2">
        <v>1</v>
      </c>
      <c r="F889" s="2">
        <f t="shared" si="177"/>
        <v>8.2000000000000028</v>
      </c>
      <c r="G889" s="17">
        <f t="shared" si="179"/>
        <v>0.35103333333333336</v>
      </c>
      <c r="H889" s="8">
        <f t="shared" si="178"/>
        <v>1139390</v>
      </c>
      <c r="I889" s="9">
        <v>25</v>
      </c>
      <c r="L889" s="2">
        <f t="shared" si="173"/>
        <v>1139390</v>
      </c>
      <c r="M889" s="2">
        <f t="shared" si="174"/>
        <v>1237</v>
      </c>
      <c r="N889" s="15">
        <f t="shared" si="175"/>
        <v>20609.245181583334</v>
      </c>
      <c r="O889" s="15">
        <f t="shared" si="176"/>
        <v>33984.859677404434</v>
      </c>
      <c r="P889" s="16">
        <f>SUM($H$3:H889)</f>
        <v>310677600</v>
      </c>
      <c r="Q889" s="2">
        <f>SUM($I$3:I889)</f>
        <v>12449</v>
      </c>
    </row>
    <row r="890" spans="1:17" x14ac:dyDescent="0.3">
      <c r="A890" s="7">
        <f t="shared" si="172"/>
        <v>888</v>
      </c>
      <c r="B890" s="2">
        <f t="shared" si="172"/>
        <v>1238</v>
      </c>
      <c r="C890" s="14">
        <f t="shared" si="180"/>
        <v>20650.156907029796</v>
      </c>
      <c r="D890" s="14">
        <f t="shared" si="181"/>
        <v>34057.591091249829</v>
      </c>
      <c r="E890" s="2">
        <v>1</v>
      </c>
      <c r="F890" s="2">
        <f t="shared" si="177"/>
        <v>8.2000000000000028</v>
      </c>
      <c r="G890" s="17">
        <f t="shared" si="179"/>
        <v>0.35146666666666665</v>
      </c>
      <c r="H890" s="8">
        <f t="shared" si="178"/>
        <v>1143360</v>
      </c>
      <c r="I890" s="9">
        <v>25</v>
      </c>
      <c r="L890" s="2">
        <f t="shared" si="173"/>
        <v>1143360</v>
      </c>
      <c r="M890" s="2">
        <f t="shared" si="174"/>
        <v>1238</v>
      </c>
      <c r="N890" s="15">
        <f t="shared" si="175"/>
        <v>20650.156907029796</v>
      </c>
      <c r="O890" s="15">
        <f t="shared" si="176"/>
        <v>34057.591091249829</v>
      </c>
      <c r="P890" s="16">
        <f>SUM($H$3:H890)</f>
        <v>311820960</v>
      </c>
      <c r="Q890" s="2">
        <f>SUM($I$3:I890)</f>
        <v>12474</v>
      </c>
    </row>
    <row r="891" spans="1:17" x14ac:dyDescent="0.3">
      <c r="A891" s="7">
        <f t="shared" si="172"/>
        <v>889</v>
      </c>
      <c r="B891" s="2">
        <f t="shared" si="172"/>
        <v>1239</v>
      </c>
      <c r="C891" s="14">
        <f t="shared" si="180"/>
        <v>20691.082550402065</v>
      </c>
      <c r="D891" s="14">
        <f t="shared" si="181"/>
        <v>34130.371999099443</v>
      </c>
      <c r="E891" s="2">
        <v>1</v>
      </c>
      <c r="F891" s="2">
        <f t="shared" si="177"/>
        <v>8.2000000000000028</v>
      </c>
      <c r="G891" s="17">
        <f t="shared" si="179"/>
        <v>0.35190000000000005</v>
      </c>
      <c r="H891" s="8">
        <f t="shared" si="178"/>
        <v>1147330</v>
      </c>
      <c r="I891" s="9">
        <v>25</v>
      </c>
      <c r="L891" s="2">
        <f t="shared" si="173"/>
        <v>1147330</v>
      </c>
      <c r="M891" s="2">
        <f t="shared" si="174"/>
        <v>1239</v>
      </c>
      <c r="N891" s="15">
        <f t="shared" si="175"/>
        <v>20691.082550402065</v>
      </c>
      <c r="O891" s="15">
        <f t="shared" si="176"/>
        <v>34130.371999099443</v>
      </c>
      <c r="P891" s="16">
        <f>SUM($H$3:H891)</f>
        <v>312968290</v>
      </c>
      <c r="Q891" s="2">
        <f>SUM($I$3:I891)</f>
        <v>12499</v>
      </c>
    </row>
    <row r="892" spans="1:17" x14ac:dyDescent="0.3">
      <c r="A892" s="7">
        <f t="shared" si="172"/>
        <v>890</v>
      </c>
      <c r="B892" s="2">
        <f t="shared" si="172"/>
        <v>1240</v>
      </c>
      <c r="C892" s="14">
        <f t="shared" si="180"/>
        <v>20732.022092793057</v>
      </c>
      <c r="D892" s="14">
        <f t="shared" si="181"/>
        <v>34203.202350517662</v>
      </c>
      <c r="E892" s="2">
        <v>1</v>
      </c>
      <c r="F892" s="2">
        <f t="shared" si="177"/>
        <v>8.2000000000000028</v>
      </c>
      <c r="G892" s="17">
        <f t="shared" si="179"/>
        <v>0.35233333333333339</v>
      </c>
      <c r="H892" s="8">
        <f t="shared" si="178"/>
        <v>1151300</v>
      </c>
      <c r="I892" s="9">
        <v>25</v>
      </c>
      <c r="L892" s="2">
        <f t="shared" si="173"/>
        <v>1151300</v>
      </c>
      <c r="M892" s="2">
        <f t="shared" si="174"/>
        <v>1240</v>
      </c>
      <c r="N892" s="15">
        <f t="shared" si="175"/>
        <v>20732.022092793057</v>
      </c>
      <c r="O892" s="15">
        <f t="shared" si="176"/>
        <v>34203.202350517662</v>
      </c>
      <c r="P892" s="16">
        <f>SUM($H$3:H892)</f>
        <v>314119590</v>
      </c>
      <c r="Q892" s="2">
        <f>SUM($I$3:I892)</f>
        <v>12524</v>
      </c>
    </row>
    <row r="893" spans="1:17" x14ac:dyDescent="0.3">
      <c r="A893" s="7">
        <f t="shared" si="172"/>
        <v>891</v>
      </c>
      <c r="B893" s="2">
        <f t="shared" si="172"/>
        <v>1241</v>
      </c>
      <c r="C893" s="14">
        <f t="shared" si="180"/>
        <v>20772.975515353468</v>
      </c>
      <c r="D893" s="14">
        <f t="shared" si="181"/>
        <v>34276.0820952059</v>
      </c>
      <c r="E893" s="2">
        <v>1</v>
      </c>
      <c r="F893" s="2">
        <f t="shared" si="177"/>
        <v>8.2000000000000028</v>
      </c>
      <c r="G893" s="17">
        <f t="shared" si="179"/>
        <v>0.35276666666666667</v>
      </c>
      <c r="H893" s="8">
        <f t="shared" si="178"/>
        <v>1155270</v>
      </c>
      <c r="I893" s="9">
        <v>25</v>
      </c>
      <c r="L893" s="2">
        <f t="shared" si="173"/>
        <v>1155270</v>
      </c>
      <c r="M893" s="2">
        <f t="shared" si="174"/>
        <v>1241</v>
      </c>
      <c r="N893" s="15">
        <f t="shared" si="175"/>
        <v>20772.975515353468</v>
      </c>
      <c r="O893" s="15">
        <f t="shared" si="176"/>
        <v>34276.0820952059</v>
      </c>
      <c r="P893" s="16">
        <f>SUM($H$3:H893)</f>
        <v>315274860</v>
      </c>
      <c r="Q893" s="2">
        <f>SUM($I$3:I893)</f>
        <v>12549</v>
      </c>
    </row>
    <row r="894" spans="1:17" x14ac:dyDescent="0.3">
      <c r="A894" s="7">
        <f t="shared" si="172"/>
        <v>892</v>
      </c>
      <c r="B894" s="2">
        <f t="shared" si="172"/>
        <v>1242</v>
      </c>
      <c r="C894" s="14">
        <f t="shared" si="180"/>
        <v>20813.942799291326</v>
      </c>
      <c r="D894" s="14">
        <f t="shared" si="181"/>
        <v>34349.011183001516</v>
      </c>
      <c r="E894" s="2">
        <v>1</v>
      </c>
      <c r="F894" s="2">
        <f t="shared" si="177"/>
        <v>8.2000000000000028</v>
      </c>
      <c r="G894" s="17">
        <f t="shared" si="179"/>
        <v>0.35320000000000001</v>
      </c>
      <c r="H894" s="8">
        <f t="shared" si="178"/>
        <v>1159240</v>
      </c>
      <c r="I894" s="9">
        <v>25</v>
      </c>
      <c r="L894" s="2">
        <f t="shared" si="173"/>
        <v>1159240</v>
      </c>
      <c r="M894" s="2">
        <f t="shared" si="174"/>
        <v>1242</v>
      </c>
      <c r="N894" s="15">
        <f t="shared" si="175"/>
        <v>20813.942799291326</v>
      </c>
      <c r="O894" s="15">
        <f t="shared" si="176"/>
        <v>34349.011183001516</v>
      </c>
      <c r="P894" s="16">
        <f>SUM($H$3:H894)</f>
        <v>316434100</v>
      </c>
      <c r="Q894" s="2">
        <f>SUM($I$3:I894)</f>
        <v>12574</v>
      </c>
    </row>
    <row r="895" spans="1:17" x14ac:dyDescent="0.3">
      <c r="A895" s="7">
        <f t="shared" si="172"/>
        <v>893</v>
      </c>
      <c r="B895" s="2">
        <f t="shared" si="172"/>
        <v>1243</v>
      </c>
      <c r="C895" s="14">
        <f t="shared" si="180"/>
        <v>20854.923925871917</v>
      </c>
      <c r="D895" s="14">
        <f t="shared" si="181"/>
        <v>34421.989563877811</v>
      </c>
      <c r="E895" s="2">
        <v>1</v>
      </c>
      <c r="F895" s="2">
        <f t="shared" si="177"/>
        <v>8.2000000000000028</v>
      </c>
      <c r="G895" s="17">
        <f t="shared" si="179"/>
        <v>0.35363333333333341</v>
      </c>
      <c r="H895" s="8">
        <f t="shared" si="178"/>
        <v>1163210</v>
      </c>
      <c r="I895" s="9">
        <v>25</v>
      </c>
      <c r="L895" s="2">
        <f t="shared" si="173"/>
        <v>1163210</v>
      </c>
      <c r="M895" s="2">
        <f t="shared" si="174"/>
        <v>1243</v>
      </c>
      <c r="N895" s="15">
        <f t="shared" si="175"/>
        <v>20854.923925871917</v>
      </c>
      <c r="O895" s="15">
        <f t="shared" si="176"/>
        <v>34421.989563877811</v>
      </c>
      <c r="P895" s="16">
        <f>SUM($H$3:H895)</f>
        <v>317597310</v>
      </c>
      <c r="Q895" s="2">
        <f>SUM($I$3:I895)</f>
        <v>12599</v>
      </c>
    </row>
    <row r="896" spans="1:17" x14ac:dyDescent="0.3">
      <c r="A896" s="7">
        <f t="shared" si="172"/>
        <v>894</v>
      </c>
      <c r="B896" s="2">
        <f t="shared" si="172"/>
        <v>1244</v>
      </c>
      <c r="C896" s="14">
        <f t="shared" si="180"/>
        <v>20895.918876417309</v>
      </c>
      <c r="D896" s="14">
        <f t="shared" si="181"/>
        <v>34495.017187942882</v>
      </c>
      <c r="E896" s="2">
        <v>1</v>
      </c>
      <c r="F896" s="2">
        <f t="shared" si="177"/>
        <v>8.2000000000000028</v>
      </c>
      <c r="G896" s="17">
        <f t="shared" si="179"/>
        <v>0.3540666666666667</v>
      </c>
      <c r="H896" s="8">
        <f t="shared" si="178"/>
        <v>1167180</v>
      </c>
      <c r="I896" s="9">
        <v>25</v>
      </c>
      <c r="L896" s="2">
        <f t="shared" si="173"/>
        <v>1167180</v>
      </c>
      <c r="M896" s="2">
        <f t="shared" si="174"/>
        <v>1244</v>
      </c>
      <c r="N896" s="15">
        <f t="shared" si="175"/>
        <v>20895.918876417309</v>
      </c>
      <c r="O896" s="15">
        <f t="shared" si="176"/>
        <v>34495.017187942882</v>
      </c>
      <c r="P896" s="16">
        <f>SUM($H$3:H896)</f>
        <v>318764490</v>
      </c>
      <c r="Q896" s="2">
        <f>SUM($I$3:I896)</f>
        <v>12624</v>
      </c>
    </row>
    <row r="897" spans="1:17" x14ac:dyDescent="0.3">
      <c r="A897" s="7">
        <f t="shared" si="172"/>
        <v>895</v>
      </c>
      <c r="B897" s="2">
        <f t="shared" si="172"/>
        <v>1245</v>
      </c>
      <c r="C897" s="14">
        <f t="shared" si="180"/>
        <v>20936.927632306226</v>
      </c>
      <c r="D897" s="14">
        <f t="shared" si="181"/>
        <v>34568.094005439358</v>
      </c>
      <c r="E897" s="2">
        <v>1</v>
      </c>
      <c r="F897" s="2">
        <f t="shared" si="177"/>
        <v>8.2000000000000028</v>
      </c>
      <c r="G897" s="17">
        <f t="shared" si="179"/>
        <v>0.35450000000000004</v>
      </c>
      <c r="H897" s="8">
        <f t="shared" si="178"/>
        <v>1171150</v>
      </c>
      <c r="I897" s="9">
        <v>25</v>
      </c>
      <c r="L897" s="2">
        <f t="shared" si="173"/>
        <v>1171150</v>
      </c>
      <c r="M897" s="2">
        <f t="shared" si="174"/>
        <v>1245</v>
      </c>
      <c r="N897" s="15">
        <f t="shared" si="175"/>
        <v>20936.927632306226</v>
      </c>
      <c r="O897" s="15">
        <f t="shared" si="176"/>
        <v>34568.094005439358</v>
      </c>
      <c r="P897" s="16">
        <f>SUM($H$3:H897)</f>
        <v>319935640</v>
      </c>
      <c r="Q897" s="2">
        <f>SUM($I$3:I897)</f>
        <v>12649</v>
      </c>
    </row>
    <row r="898" spans="1:17" x14ac:dyDescent="0.3">
      <c r="A898" s="7">
        <f t="shared" si="172"/>
        <v>896</v>
      </c>
      <c r="B898" s="2">
        <f t="shared" si="172"/>
        <v>1246</v>
      </c>
      <c r="C898" s="14">
        <f t="shared" si="180"/>
        <v>20977.950174973721</v>
      </c>
      <c r="D898" s="14">
        <f t="shared" si="181"/>
        <v>34641.219966743673</v>
      </c>
      <c r="E898" s="2">
        <v>1</v>
      </c>
      <c r="F898" s="2">
        <f t="shared" si="177"/>
        <v>8.2000000000000028</v>
      </c>
      <c r="G898" s="17">
        <f t="shared" si="179"/>
        <v>0.35493333333333332</v>
      </c>
      <c r="H898" s="8">
        <f t="shared" si="178"/>
        <v>1175120</v>
      </c>
      <c r="I898" s="9">
        <v>25</v>
      </c>
      <c r="L898" s="2">
        <f t="shared" si="173"/>
        <v>1175120</v>
      </c>
      <c r="M898" s="2">
        <f t="shared" si="174"/>
        <v>1246</v>
      </c>
      <c r="N898" s="15">
        <f t="shared" si="175"/>
        <v>20977.950174973721</v>
      </c>
      <c r="O898" s="15">
        <f t="shared" si="176"/>
        <v>34641.219966743673</v>
      </c>
      <c r="P898" s="16">
        <f>SUM($H$3:H898)</f>
        <v>321110760</v>
      </c>
      <c r="Q898" s="2">
        <f>SUM($I$3:I898)</f>
        <v>12674</v>
      </c>
    </row>
    <row r="899" spans="1:17" x14ac:dyDescent="0.3">
      <c r="A899" s="7">
        <f t="shared" si="172"/>
        <v>897</v>
      </c>
      <c r="B899" s="2">
        <f t="shared" si="172"/>
        <v>1247</v>
      </c>
      <c r="C899" s="14">
        <f t="shared" si="180"/>
        <v>21018.986485910922</v>
      </c>
      <c r="D899" s="14">
        <f t="shared" si="181"/>
        <v>34714.395022365556</v>
      </c>
      <c r="E899" s="2">
        <v>1</v>
      </c>
      <c r="F899" s="2">
        <f t="shared" si="177"/>
        <v>8.2000000000000028</v>
      </c>
      <c r="G899" s="17">
        <f t="shared" si="179"/>
        <v>0.35536666666666666</v>
      </c>
      <c r="H899" s="8">
        <f t="shared" si="178"/>
        <v>1179090</v>
      </c>
      <c r="I899" s="9">
        <v>25</v>
      </c>
      <c r="L899" s="2">
        <f t="shared" si="173"/>
        <v>1179090</v>
      </c>
      <c r="M899" s="2">
        <f t="shared" si="174"/>
        <v>1247</v>
      </c>
      <c r="N899" s="15">
        <f t="shared" si="175"/>
        <v>21018.986485910922</v>
      </c>
      <c r="O899" s="15">
        <f t="shared" si="176"/>
        <v>34714.395022365556</v>
      </c>
      <c r="P899" s="16">
        <f>SUM($H$3:H899)</f>
        <v>322289850</v>
      </c>
      <c r="Q899" s="2">
        <f>SUM($I$3:I899)</f>
        <v>12699</v>
      </c>
    </row>
    <row r="900" spans="1:17" x14ac:dyDescent="0.3">
      <c r="A900" s="7">
        <f t="shared" si="172"/>
        <v>898</v>
      </c>
      <c r="B900" s="2">
        <f t="shared" si="172"/>
        <v>1248</v>
      </c>
      <c r="C900" s="14">
        <f t="shared" si="180"/>
        <v>21060.036546664764</v>
      </c>
      <c r="D900" s="14">
        <f t="shared" si="181"/>
        <v>34787.619122947377</v>
      </c>
      <c r="E900" s="2">
        <v>1</v>
      </c>
      <c r="F900" s="2">
        <f t="shared" si="177"/>
        <v>8.2000000000000028</v>
      </c>
      <c r="G900" s="17">
        <f t="shared" si="179"/>
        <v>0.35580000000000006</v>
      </c>
      <c r="H900" s="8">
        <f t="shared" si="178"/>
        <v>1183060</v>
      </c>
      <c r="I900" s="9">
        <v>25</v>
      </c>
      <c r="L900" s="2">
        <f t="shared" si="173"/>
        <v>1183060</v>
      </c>
      <c r="M900" s="2">
        <f t="shared" si="174"/>
        <v>1248</v>
      </c>
      <c r="N900" s="15">
        <f t="shared" si="175"/>
        <v>21060.036546664764</v>
      </c>
      <c r="O900" s="15">
        <f t="shared" si="176"/>
        <v>34787.619122947377</v>
      </c>
      <c r="P900" s="16">
        <f>SUM($H$3:H900)</f>
        <v>323472910</v>
      </c>
      <c r="Q900" s="2">
        <f>SUM($I$3:I900)</f>
        <v>12724</v>
      </c>
    </row>
    <row r="901" spans="1:17" x14ac:dyDescent="0.3">
      <c r="A901" s="7">
        <f t="shared" ref="A901:B964" si="182">A900+1</f>
        <v>899</v>
      </c>
      <c r="B901" s="2">
        <f t="shared" si="182"/>
        <v>1249</v>
      </c>
      <c r="C901" s="14">
        <f t="shared" si="180"/>
        <v>21101.100338837809</v>
      </c>
      <c r="D901" s="14">
        <f t="shared" si="181"/>
        <v>34860.892219263704</v>
      </c>
      <c r="E901" s="2">
        <v>1</v>
      </c>
      <c r="F901" s="2">
        <f t="shared" si="177"/>
        <v>8.2000000000000028</v>
      </c>
      <c r="G901" s="17">
        <f t="shared" si="179"/>
        <v>0.35623333333333335</v>
      </c>
      <c r="H901" s="8">
        <f t="shared" si="178"/>
        <v>1187030</v>
      </c>
      <c r="I901" s="9">
        <v>25</v>
      </c>
      <c r="L901" s="2">
        <f t="shared" si="173"/>
        <v>1187030</v>
      </c>
      <c r="M901" s="2">
        <f t="shared" si="174"/>
        <v>1249</v>
      </c>
      <c r="N901" s="15">
        <f t="shared" si="175"/>
        <v>21101.100338837809</v>
      </c>
      <c r="O901" s="15">
        <f t="shared" si="176"/>
        <v>34860.892219263704</v>
      </c>
      <c r="P901" s="16">
        <f>SUM($H$3:H901)</f>
        <v>324659940</v>
      </c>
      <c r="Q901" s="2">
        <f>SUM($I$3:I901)</f>
        <v>12749</v>
      </c>
    </row>
    <row r="902" spans="1:17" x14ac:dyDescent="0.3">
      <c r="A902" s="7">
        <f t="shared" si="182"/>
        <v>900</v>
      </c>
      <c r="B902" s="2">
        <f t="shared" si="182"/>
        <v>1250</v>
      </c>
      <c r="C902" s="14">
        <f t="shared" si="180"/>
        <v>21142.177844087793</v>
      </c>
      <c r="D902" s="14">
        <f t="shared" si="181"/>
        <v>34934.214262220521</v>
      </c>
      <c r="E902" s="2">
        <v>1</v>
      </c>
      <c r="F902" s="2">
        <f t="shared" si="177"/>
        <v>8.4000000000000021</v>
      </c>
      <c r="G902" s="17">
        <f t="shared" si="179"/>
        <v>0.35666666666666669</v>
      </c>
      <c r="H902" s="8">
        <f>(A902-799)*12070</f>
        <v>1219070</v>
      </c>
      <c r="I902" s="9">
        <v>25</v>
      </c>
      <c r="L902" s="2">
        <f t="shared" si="173"/>
        <v>1219070</v>
      </c>
      <c r="M902" s="2">
        <f t="shared" si="174"/>
        <v>1250</v>
      </c>
      <c r="N902" s="15">
        <f t="shared" si="175"/>
        <v>21142.177844087793</v>
      </c>
      <c r="O902" s="15">
        <f t="shared" si="176"/>
        <v>34934.214262220521</v>
      </c>
      <c r="P902" s="16">
        <f>SUM($H$3:H902)</f>
        <v>325879010</v>
      </c>
      <c r="Q902" s="2">
        <f>SUM($I$3:I902)</f>
        <v>12774</v>
      </c>
    </row>
    <row r="903" spans="1:17" x14ac:dyDescent="0.3">
      <c r="A903" s="7">
        <f t="shared" si="182"/>
        <v>901</v>
      </c>
      <c r="B903" s="2">
        <f t="shared" si="182"/>
        <v>1251</v>
      </c>
      <c r="C903" s="14">
        <f t="shared" si="180"/>
        <v>21183.269044127584</v>
      </c>
      <c r="D903" s="14">
        <f t="shared" si="181"/>
        <v>35007.585202854854</v>
      </c>
      <c r="E903" s="2">
        <v>1</v>
      </c>
      <c r="F903" s="2">
        <f t="shared" si="177"/>
        <v>8.4000000000000021</v>
      </c>
      <c r="G903" s="17">
        <f t="shared" si="179"/>
        <v>0.35709999999999997</v>
      </c>
      <c r="H903" s="8">
        <f t="shared" ref="H903:H966" si="183">(A903-799)*12070</f>
        <v>1231140</v>
      </c>
      <c r="I903" s="9">
        <v>25</v>
      </c>
      <c r="L903" s="2">
        <f t="shared" si="173"/>
        <v>1231140</v>
      </c>
      <c r="M903" s="2">
        <f t="shared" si="174"/>
        <v>1251</v>
      </c>
      <c r="N903" s="15">
        <f t="shared" si="175"/>
        <v>21183.269044127584</v>
      </c>
      <c r="O903" s="15">
        <f t="shared" si="176"/>
        <v>35007.585202854854</v>
      </c>
      <c r="P903" s="16">
        <f>SUM($H$3:H903)</f>
        <v>327110150</v>
      </c>
      <c r="Q903" s="2">
        <f>SUM($I$3:I903)</f>
        <v>12799</v>
      </c>
    </row>
    <row r="904" spans="1:17" x14ac:dyDescent="0.3">
      <c r="A904" s="7">
        <f t="shared" si="182"/>
        <v>902</v>
      </c>
      <c r="B904" s="2">
        <f t="shared" si="182"/>
        <v>1252</v>
      </c>
      <c r="C904" s="14">
        <f t="shared" si="180"/>
        <v>21224.373920724767</v>
      </c>
      <c r="D904" s="14">
        <f t="shared" si="181"/>
        <v>35081.004992334041</v>
      </c>
      <c r="E904" s="2">
        <v>1</v>
      </c>
      <c r="F904" s="2">
        <f t="shared" si="177"/>
        <v>8.4000000000000021</v>
      </c>
      <c r="G904" s="17">
        <f t="shared" si="179"/>
        <v>0.35753333333333337</v>
      </c>
      <c r="H904" s="8">
        <f t="shared" si="183"/>
        <v>1243210</v>
      </c>
      <c r="I904" s="9">
        <v>25</v>
      </c>
      <c r="L904" s="2">
        <f t="shared" si="173"/>
        <v>1243210</v>
      </c>
      <c r="M904" s="2">
        <f t="shared" si="174"/>
        <v>1252</v>
      </c>
      <c r="N904" s="15">
        <f t="shared" si="175"/>
        <v>21224.373920724767</v>
      </c>
      <c r="O904" s="15">
        <f t="shared" si="176"/>
        <v>35081.004992334041</v>
      </c>
      <c r="P904" s="16">
        <f>SUM($H$3:H904)</f>
        <v>328353360</v>
      </c>
      <c r="Q904" s="2">
        <f>SUM($I$3:I904)</f>
        <v>12824</v>
      </c>
    </row>
    <row r="905" spans="1:17" x14ac:dyDescent="0.3">
      <c r="A905" s="7">
        <f t="shared" si="182"/>
        <v>903</v>
      </c>
      <c r="B905" s="2">
        <f t="shared" si="182"/>
        <v>1253</v>
      </c>
      <c r="C905" s="14">
        <f t="shared" si="180"/>
        <v>21265.492455701515</v>
      </c>
      <c r="D905" s="14">
        <f t="shared" si="181"/>
        <v>35154.473581955346</v>
      </c>
      <c r="E905" s="2">
        <v>1</v>
      </c>
      <c r="F905" s="2">
        <f t="shared" si="177"/>
        <v>8.4000000000000021</v>
      </c>
      <c r="G905" s="17">
        <f t="shared" si="179"/>
        <v>0.35796666666666671</v>
      </c>
      <c r="H905" s="8">
        <f t="shared" si="183"/>
        <v>1255280</v>
      </c>
      <c r="I905" s="9">
        <v>25</v>
      </c>
      <c r="L905" s="2">
        <f t="shared" ref="L905:L968" si="184">H905</f>
        <v>1255280</v>
      </c>
      <c r="M905" s="2">
        <f t="shared" ref="M905:M968" si="185">B905</f>
        <v>1253</v>
      </c>
      <c r="N905" s="15">
        <f t="shared" ref="N905:N968" si="186">C905</f>
        <v>21265.492455701515</v>
      </c>
      <c r="O905" s="15">
        <f t="shared" ref="O905:O968" si="187">D905</f>
        <v>35154.473581955346</v>
      </c>
      <c r="P905" s="16">
        <f>SUM($H$3:H905)</f>
        <v>329608640</v>
      </c>
      <c r="Q905" s="2">
        <f>SUM($I$3:I905)</f>
        <v>12849</v>
      </c>
    </row>
    <row r="906" spans="1:17" x14ac:dyDescent="0.3">
      <c r="A906" s="7">
        <f t="shared" si="182"/>
        <v>904</v>
      </c>
      <c r="B906" s="2">
        <f t="shared" si="182"/>
        <v>1254</v>
      </c>
      <c r="C906" s="14">
        <f t="shared" si="180"/>
        <v>21306.624630934188</v>
      </c>
      <c r="D906" s="14">
        <f t="shared" si="181"/>
        <v>35227.990923145262</v>
      </c>
      <c r="E906" s="2">
        <v>1</v>
      </c>
      <c r="F906" s="2">
        <f t="shared" si="177"/>
        <v>8.4000000000000021</v>
      </c>
      <c r="G906" s="17">
        <f t="shared" si="179"/>
        <v>0.3584</v>
      </c>
      <c r="H906" s="8">
        <f t="shared" si="183"/>
        <v>1267350</v>
      </c>
      <c r="I906" s="9">
        <v>25</v>
      </c>
      <c r="L906" s="2">
        <f t="shared" si="184"/>
        <v>1267350</v>
      </c>
      <c r="M906" s="2">
        <f t="shared" si="185"/>
        <v>1254</v>
      </c>
      <c r="N906" s="15">
        <f t="shared" si="186"/>
        <v>21306.624630934188</v>
      </c>
      <c r="O906" s="15">
        <f t="shared" si="187"/>
        <v>35227.990923145262</v>
      </c>
      <c r="P906" s="16">
        <f>SUM($H$3:H906)</f>
        <v>330875990</v>
      </c>
      <c r="Q906" s="2">
        <f>SUM($I$3:I906)</f>
        <v>12874</v>
      </c>
    </row>
    <row r="907" spans="1:17" x14ac:dyDescent="0.3">
      <c r="A907" s="7">
        <f t="shared" si="182"/>
        <v>905</v>
      </c>
      <c r="B907" s="2">
        <f t="shared" si="182"/>
        <v>1255</v>
      </c>
      <c r="C907" s="14">
        <f t="shared" si="180"/>
        <v>21347.770428353258</v>
      </c>
      <c r="D907" s="14">
        <f t="shared" si="181"/>
        <v>35301.556967458979</v>
      </c>
      <c r="E907" s="2">
        <v>1</v>
      </c>
      <c r="F907" s="2">
        <f t="shared" ref="F907:F970" si="188">F887+0.2</f>
        <v>8.4000000000000021</v>
      </c>
      <c r="G907" s="17">
        <f t="shared" si="179"/>
        <v>0.35883333333333334</v>
      </c>
      <c r="H907" s="8">
        <f t="shared" si="183"/>
        <v>1279420</v>
      </c>
      <c r="I907" s="9">
        <v>25</v>
      </c>
      <c r="L907" s="2">
        <f t="shared" si="184"/>
        <v>1279420</v>
      </c>
      <c r="M907" s="2">
        <f t="shared" si="185"/>
        <v>1255</v>
      </c>
      <c r="N907" s="15">
        <f t="shared" si="186"/>
        <v>21347.770428353258</v>
      </c>
      <c r="O907" s="15">
        <f t="shared" si="187"/>
        <v>35301.556967458979</v>
      </c>
      <c r="P907" s="16">
        <f>SUM($H$3:H907)</f>
        <v>332155410</v>
      </c>
      <c r="Q907" s="2">
        <f>SUM($I$3:I907)</f>
        <v>12899</v>
      </c>
    </row>
    <row r="908" spans="1:17" x14ac:dyDescent="0.3">
      <c r="A908" s="7">
        <f t="shared" si="182"/>
        <v>906</v>
      </c>
      <c r="B908" s="2">
        <f t="shared" si="182"/>
        <v>1256</v>
      </c>
      <c r="C908" s="14">
        <f t="shared" si="180"/>
        <v>21388.929829942892</v>
      </c>
      <c r="D908" s="14">
        <f t="shared" si="181"/>
        <v>35375.171666579838</v>
      </c>
      <c r="E908" s="2">
        <v>1</v>
      </c>
      <c r="F908" s="2">
        <f t="shared" si="188"/>
        <v>8.4000000000000021</v>
      </c>
      <c r="G908" s="17">
        <f t="shared" si="179"/>
        <v>0.35926666666666673</v>
      </c>
      <c r="H908" s="8">
        <f t="shared" si="183"/>
        <v>1291490</v>
      </c>
      <c r="I908" s="9">
        <v>25</v>
      </c>
      <c r="L908" s="2">
        <f t="shared" si="184"/>
        <v>1291490</v>
      </c>
      <c r="M908" s="2">
        <f t="shared" si="185"/>
        <v>1256</v>
      </c>
      <c r="N908" s="15">
        <f t="shared" si="186"/>
        <v>21388.929829942892</v>
      </c>
      <c r="O908" s="15">
        <f t="shared" si="187"/>
        <v>35375.171666579838</v>
      </c>
      <c r="P908" s="16">
        <f>SUM($H$3:H908)</f>
        <v>333446900</v>
      </c>
      <c r="Q908" s="2">
        <f>SUM($I$3:I908)</f>
        <v>12924</v>
      </c>
    </row>
    <row r="909" spans="1:17" x14ac:dyDescent="0.3">
      <c r="A909" s="7">
        <f t="shared" si="182"/>
        <v>907</v>
      </c>
      <c r="B909" s="2">
        <f t="shared" si="182"/>
        <v>1257</v>
      </c>
      <c r="C909" s="14">
        <f t="shared" si="180"/>
        <v>21430.102817740837</v>
      </c>
      <c r="D909" s="14">
        <f t="shared" si="181"/>
        <v>35448.834972318873</v>
      </c>
      <c r="E909" s="2">
        <v>1</v>
      </c>
      <c r="F909" s="2">
        <f t="shared" si="188"/>
        <v>8.4000000000000021</v>
      </c>
      <c r="G909" s="17">
        <f t="shared" si="179"/>
        <v>0.35970000000000002</v>
      </c>
      <c r="H909" s="8">
        <f t="shared" si="183"/>
        <v>1303560</v>
      </c>
      <c r="I909" s="9">
        <v>25</v>
      </c>
      <c r="L909" s="2">
        <f t="shared" si="184"/>
        <v>1303560</v>
      </c>
      <c r="M909" s="2">
        <f t="shared" si="185"/>
        <v>1257</v>
      </c>
      <c r="N909" s="15">
        <f t="shared" si="186"/>
        <v>21430.102817740837</v>
      </c>
      <c r="O909" s="15">
        <f t="shared" si="187"/>
        <v>35448.834972318873</v>
      </c>
      <c r="P909" s="16">
        <f>SUM($H$3:H909)</f>
        <v>334750460</v>
      </c>
      <c r="Q909" s="2">
        <f>SUM($I$3:I909)</f>
        <v>12949</v>
      </c>
    </row>
    <row r="910" spans="1:17" x14ac:dyDescent="0.3">
      <c r="A910" s="7">
        <f t="shared" si="182"/>
        <v>908</v>
      </c>
      <c r="B910" s="2">
        <f t="shared" si="182"/>
        <v>1258</v>
      </c>
      <c r="C910" s="14">
        <f t="shared" si="180"/>
        <v>21471.289373838074</v>
      </c>
      <c r="D910" s="14">
        <f t="shared" si="181"/>
        <v>35522.546836614085</v>
      </c>
      <c r="E910" s="2">
        <v>1</v>
      </c>
      <c r="F910" s="2">
        <f t="shared" si="188"/>
        <v>8.4000000000000021</v>
      </c>
      <c r="G910" s="17">
        <f t="shared" si="179"/>
        <v>0.36013333333333336</v>
      </c>
      <c r="H910" s="8">
        <f t="shared" si="183"/>
        <v>1315630</v>
      </c>
      <c r="I910" s="9">
        <v>25</v>
      </c>
      <c r="L910" s="2">
        <f t="shared" si="184"/>
        <v>1315630</v>
      </c>
      <c r="M910" s="2">
        <f t="shared" si="185"/>
        <v>1258</v>
      </c>
      <c r="N910" s="15">
        <f t="shared" si="186"/>
        <v>21471.289373838074</v>
      </c>
      <c r="O910" s="15">
        <f t="shared" si="187"/>
        <v>35522.546836614085</v>
      </c>
      <c r="P910" s="16">
        <f>SUM($H$3:H910)</f>
        <v>336066090</v>
      </c>
      <c r="Q910" s="2">
        <f>SUM($I$3:I910)</f>
        <v>12974</v>
      </c>
    </row>
    <row r="911" spans="1:17" x14ac:dyDescent="0.3">
      <c r="A911" s="7">
        <f t="shared" si="182"/>
        <v>909</v>
      </c>
      <c r="B911" s="2">
        <f t="shared" si="182"/>
        <v>1259</v>
      </c>
      <c r="C911" s="14">
        <f t="shared" si="180"/>
        <v>21512.489480378597</v>
      </c>
      <c r="D911" s="14">
        <f t="shared" si="181"/>
        <v>35596.307211530017</v>
      </c>
      <c r="E911" s="2">
        <v>1</v>
      </c>
      <c r="F911" s="2">
        <f t="shared" si="188"/>
        <v>8.4000000000000021</v>
      </c>
      <c r="G911" s="17">
        <f t="shared" si="179"/>
        <v>0.36056666666666665</v>
      </c>
      <c r="H911" s="8">
        <f t="shared" si="183"/>
        <v>1327700</v>
      </c>
      <c r="I911" s="9">
        <v>25</v>
      </c>
      <c r="L911" s="2">
        <f t="shared" si="184"/>
        <v>1327700</v>
      </c>
      <c r="M911" s="2">
        <f t="shared" si="185"/>
        <v>1259</v>
      </c>
      <c r="N911" s="15">
        <f t="shared" si="186"/>
        <v>21512.489480378597</v>
      </c>
      <c r="O911" s="15">
        <f t="shared" si="187"/>
        <v>35596.307211530017</v>
      </c>
      <c r="P911" s="16">
        <f>SUM($H$3:H911)</f>
        <v>337393790</v>
      </c>
      <c r="Q911" s="2">
        <f>SUM($I$3:I911)</f>
        <v>12999</v>
      </c>
    </row>
    <row r="912" spans="1:17" x14ac:dyDescent="0.3">
      <c r="A912" s="7">
        <f t="shared" si="182"/>
        <v>910</v>
      </c>
      <c r="B912" s="2">
        <f t="shared" si="182"/>
        <v>1260</v>
      </c>
      <c r="C912" s="14">
        <f t="shared" si="180"/>
        <v>21553.703119559268</v>
      </c>
      <c r="D912" s="14">
        <f t="shared" si="181"/>
        <v>35670.116049257318</v>
      </c>
      <c r="E912" s="2">
        <v>1</v>
      </c>
      <c r="F912" s="2">
        <f t="shared" si="188"/>
        <v>8.4000000000000021</v>
      </c>
      <c r="G912" s="17">
        <f t="shared" si="179"/>
        <v>0.36100000000000004</v>
      </c>
      <c r="H912" s="8">
        <f t="shared" si="183"/>
        <v>1339770</v>
      </c>
      <c r="I912" s="9">
        <v>25</v>
      </c>
      <c r="L912" s="2">
        <f t="shared" si="184"/>
        <v>1339770</v>
      </c>
      <c r="M912" s="2">
        <f t="shared" si="185"/>
        <v>1260</v>
      </c>
      <c r="N912" s="15">
        <f t="shared" si="186"/>
        <v>21553.703119559268</v>
      </c>
      <c r="O912" s="15">
        <f t="shared" si="187"/>
        <v>35670.116049257318</v>
      </c>
      <c r="P912" s="16">
        <f>SUM($H$3:H912)</f>
        <v>338733560</v>
      </c>
      <c r="Q912" s="2">
        <f>SUM($I$3:I912)</f>
        <v>13024</v>
      </c>
    </row>
    <row r="913" spans="1:17" x14ac:dyDescent="0.3">
      <c r="A913" s="7">
        <f t="shared" si="182"/>
        <v>911</v>
      </c>
      <c r="B913" s="2">
        <f t="shared" si="182"/>
        <v>1261</v>
      </c>
      <c r="C913" s="14">
        <f t="shared" si="180"/>
        <v>21594.930273629383</v>
      </c>
      <c r="D913" s="14">
        <f t="shared" si="181"/>
        <v>35743.973302111845</v>
      </c>
      <c r="E913" s="2">
        <v>1</v>
      </c>
      <c r="F913" s="2">
        <f t="shared" si="188"/>
        <v>8.4000000000000021</v>
      </c>
      <c r="G913" s="17">
        <f t="shared" si="179"/>
        <v>0.36143333333333338</v>
      </c>
      <c r="H913" s="8">
        <f t="shared" si="183"/>
        <v>1351840</v>
      </c>
      <c r="I913" s="9">
        <v>25</v>
      </c>
      <c r="L913" s="2">
        <f t="shared" si="184"/>
        <v>1351840</v>
      </c>
      <c r="M913" s="2">
        <f t="shared" si="185"/>
        <v>1261</v>
      </c>
      <c r="N913" s="15">
        <f t="shared" si="186"/>
        <v>21594.930273629383</v>
      </c>
      <c r="O913" s="15">
        <f t="shared" si="187"/>
        <v>35743.973302111845</v>
      </c>
      <c r="P913" s="16">
        <f>SUM($H$3:H913)</f>
        <v>340085400</v>
      </c>
      <c r="Q913" s="2">
        <f>SUM($I$3:I913)</f>
        <v>13049</v>
      </c>
    </row>
    <row r="914" spans="1:17" x14ac:dyDescent="0.3">
      <c r="A914" s="7">
        <f t="shared" si="182"/>
        <v>912</v>
      </c>
      <c r="B914" s="2">
        <f t="shared" si="182"/>
        <v>1262</v>
      </c>
      <c r="C914" s="14">
        <f t="shared" si="180"/>
        <v>21636.170924890608</v>
      </c>
      <c r="D914" s="14">
        <f t="shared" si="181"/>
        <v>35817.878922534539</v>
      </c>
      <c r="E914" s="2">
        <v>1</v>
      </c>
      <c r="F914" s="2">
        <f t="shared" si="188"/>
        <v>8.4000000000000021</v>
      </c>
      <c r="G914" s="17">
        <f t="shared" si="179"/>
        <v>0.36186666666666667</v>
      </c>
      <c r="H914" s="8">
        <f t="shared" si="183"/>
        <v>1363910</v>
      </c>
      <c r="I914" s="9">
        <v>25</v>
      </c>
      <c r="L914" s="2">
        <f t="shared" si="184"/>
        <v>1363910</v>
      </c>
      <c r="M914" s="2">
        <f t="shared" si="185"/>
        <v>1262</v>
      </c>
      <c r="N914" s="15">
        <f t="shared" si="186"/>
        <v>21636.170924890608</v>
      </c>
      <c r="O914" s="15">
        <f t="shared" si="187"/>
        <v>35817.878922534539</v>
      </c>
      <c r="P914" s="16">
        <f>SUM($H$3:H914)</f>
        <v>341449310</v>
      </c>
      <c r="Q914" s="2">
        <f>SUM($I$3:I914)</f>
        <v>13074</v>
      </c>
    </row>
    <row r="915" spans="1:17" x14ac:dyDescent="0.3">
      <c r="A915" s="7">
        <f t="shared" si="182"/>
        <v>913</v>
      </c>
      <c r="B915" s="2">
        <f t="shared" si="182"/>
        <v>1263</v>
      </c>
      <c r="C915" s="14">
        <f t="shared" si="180"/>
        <v>21677.425055696687</v>
      </c>
      <c r="D915" s="14">
        <f t="shared" si="181"/>
        <v>35891.832863090684</v>
      </c>
      <c r="E915" s="2">
        <v>1</v>
      </c>
      <c r="F915" s="2">
        <f t="shared" si="188"/>
        <v>8.4000000000000021</v>
      </c>
      <c r="G915" s="17">
        <f t="shared" si="179"/>
        <v>0.36230000000000001</v>
      </c>
      <c r="H915" s="8">
        <f t="shared" si="183"/>
        <v>1375980</v>
      </c>
      <c r="I915" s="9">
        <v>25</v>
      </c>
      <c r="L915" s="2">
        <f t="shared" si="184"/>
        <v>1375980</v>
      </c>
      <c r="M915" s="2">
        <f t="shared" si="185"/>
        <v>1263</v>
      </c>
      <c r="N915" s="15">
        <f t="shared" si="186"/>
        <v>21677.425055696687</v>
      </c>
      <c r="O915" s="15">
        <f t="shared" si="187"/>
        <v>35891.832863090684</v>
      </c>
      <c r="P915" s="16">
        <f>SUM($H$3:H915)</f>
        <v>342825290</v>
      </c>
      <c r="Q915" s="2">
        <f>SUM($I$3:I915)</f>
        <v>13099</v>
      </c>
    </row>
    <row r="916" spans="1:17" x14ac:dyDescent="0.3">
      <c r="A916" s="7">
        <f t="shared" si="182"/>
        <v>914</v>
      </c>
      <c r="B916" s="2">
        <f t="shared" si="182"/>
        <v>1264</v>
      </c>
      <c r="C916" s="14">
        <f t="shared" si="180"/>
        <v>21718.69264845311</v>
      </c>
      <c r="D916" s="14">
        <f t="shared" si="181"/>
        <v>35965.835076469411</v>
      </c>
      <c r="E916" s="2">
        <v>1</v>
      </c>
      <c r="F916" s="2">
        <f t="shared" si="188"/>
        <v>8.4000000000000021</v>
      </c>
      <c r="G916" s="17">
        <f t="shared" si="179"/>
        <v>0.36273333333333341</v>
      </c>
      <c r="H916" s="8">
        <f t="shared" si="183"/>
        <v>1388050</v>
      </c>
      <c r="I916" s="9">
        <v>25</v>
      </c>
      <c r="L916" s="2">
        <f t="shared" si="184"/>
        <v>1388050</v>
      </c>
      <c r="M916" s="2">
        <f t="shared" si="185"/>
        <v>1264</v>
      </c>
      <c r="N916" s="15">
        <f t="shared" si="186"/>
        <v>21718.69264845311</v>
      </c>
      <c r="O916" s="15">
        <f t="shared" si="187"/>
        <v>35965.835076469411</v>
      </c>
      <c r="P916" s="16">
        <f>SUM($H$3:H916)</f>
        <v>344213340</v>
      </c>
      <c r="Q916" s="2">
        <f>SUM($I$3:I916)</f>
        <v>13124</v>
      </c>
    </row>
    <row r="917" spans="1:17" x14ac:dyDescent="0.3">
      <c r="A917" s="7">
        <f t="shared" si="182"/>
        <v>915</v>
      </c>
      <c r="B917" s="2">
        <f t="shared" si="182"/>
        <v>1265</v>
      </c>
      <c r="C917" s="14">
        <f t="shared" si="180"/>
        <v>21759.973685617038</v>
      </c>
      <c r="D917" s="14">
        <f t="shared" si="181"/>
        <v>36039.88551548314</v>
      </c>
      <c r="E917" s="2">
        <v>1</v>
      </c>
      <c r="F917" s="2">
        <f t="shared" si="188"/>
        <v>8.4000000000000021</v>
      </c>
      <c r="G917" s="17">
        <f t="shared" si="179"/>
        <v>0.36316666666666669</v>
      </c>
      <c r="H917" s="8">
        <f t="shared" si="183"/>
        <v>1400120</v>
      </c>
      <c r="I917" s="9">
        <v>25</v>
      </c>
      <c r="L917" s="2">
        <f t="shared" si="184"/>
        <v>1400120</v>
      </c>
      <c r="M917" s="2">
        <f t="shared" si="185"/>
        <v>1265</v>
      </c>
      <c r="N917" s="15">
        <f t="shared" si="186"/>
        <v>21759.973685617038</v>
      </c>
      <c r="O917" s="15">
        <f t="shared" si="187"/>
        <v>36039.88551548314</v>
      </c>
      <c r="P917" s="16">
        <f>SUM($H$3:H917)</f>
        <v>345613460</v>
      </c>
      <c r="Q917" s="2">
        <f>SUM($I$3:I917)</f>
        <v>13149</v>
      </c>
    </row>
    <row r="918" spans="1:17" x14ac:dyDescent="0.3">
      <c r="A918" s="7">
        <f t="shared" si="182"/>
        <v>916</v>
      </c>
      <c r="B918" s="2">
        <f t="shared" si="182"/>
        <v>1266</v>
      </c>
      <c r="C918" s="14">
        <f t="shared" si="180"/>
        <v>21801.268149696956</v>
      </c>
      <c r="D918" s="14">
        <f t="shared" si="181"/>
        <v>36113.984133067206</v>
      </c>
      <c r="E918" s="2">
        <v>1</v>
      </c>
      <c r="F918" s="2">
        <f t="shared" si="188"/>
        <v>8.4000000000000021</v>
      </c>
      <c r="G918" s="17">
        <f t="shared" si="179"/>
        <v>0.36360000000000003</v>
      </c>
      <c r="H918" s="8">
        <f t="shared" si="183"/>
        <v>1412190</v>
      </c>
      <c r="I918" s="9">
        <v>25</v>
      </c>
      <c r="L918" s="2">
        <f t="shared" si="184"/>
        <v>1412190</v>
      </c>
      <c r="M918" s="2">
        <f t="shared" si="185"/>
        <v>1266</v>
      </c>
      <c r="N918" s="15">
        <f t="shared" si="186"/>
        <v>21801.268149696956</v>
      </c>
      <c r="O918" s="15">
        <f t="shared" si="187"/>
        <v>36113.984133067206</v>
      </c>
      <c r="P918" s="16">
        <f>SUM($H$3:H918)</f>
        <v>347025650</v>
      </c>
      <c r="Q918" s="2">
        <f>SUM($I$3:I918)</f>
        <v>13174</v>
      </c>
    </row>
    <row r="919" spans="1:17" x14ac:dyDescent="0.3">
      <c r="A919" s="7">
        <f t="shared" si="182"/>
        <v>917</v>
      </c>
      <c r="B919" s="2">
        <f t="shared" si="182"/>
        <v>1267</v>
      </c>
      <c r="C919" s="14">
        <f t="shared" si="180"/>
        <v>21842.576023252463</v>
      </c>
      <c r="D919" s="14">
        <f t="shared" si="181"/>
        <v>36188.130882279074</v>
      </c>
      <c r="E919" s="2">
        <v>1</v>
      </c>
      <c r="F919" s="2">
        <f t="shared" si="188"/>
        <v>8.4000000000000021</v>
      </c>
      <c r="G919" s="17">
        <f t="shared" si="179"/>
        <v>0.36403333333333332</v>
      </c>
      <c r="H919" s="8">
        <f t="shared" si="183"/>
        <v>1424260</v>
      </c>
      <c r="I919" s="9">
        <v>25</v>
      </c>
      <c r="L919" s="2">
        <f t="shared" si="184"/>
        <v>1424260</v>
      </c>
      <c r="M919" s="2">
        <f t="shared" si="185"/>
        <v>1267</v>
      </c>
      <c r="N919" s="15">
        <f t="shared" si="186"/>
        <v>21842.576023252463</v>
      </c>
      <c r="O919" s="15">
        <f t="shared" si="187"/>
        <v>36188.130882279074</v>
      </c>
      <c r="P919" s="16">
        <f>SUM($H$3:H919)</f>
        <v>348449910</v>
      </c>
      <c r="Q919" s="2">
        <f>SUM($I$3:I919)</f>
        <v>13199</v>
      </c>
    </row>
    <row r="920" spans="1:17" x14ac:dyDescent="0.3">
      <c r="A920" s="7">
        <f t="shared" si="182"/>
        <v>918</v>
      </c>
      <c r="B920" s="2">
        <f t="shared" si="182"/>
        <v>1268</v>
      </c>
      <c r="C920" s="14">
        <f t="shared" si="180"/>
        <v>21883.897288894008</v>
      </c>
      <c r="D920" s="14">
        <f t="shared" si="181"/>
        <v>36262.325716297993</v>
      </c>
      <c r="E920" s="2">
        <v>1</v>
      </c>
      <c r="F920" s="2">
        <f t="shared" si="188"/>
        <v>8.4000000000000021</v>
      </c>
      <c r="G920" s="17">
        <f t="shared" si="179"/>
        <v>0.36446666666666672</v>
      </c>
      <c r="H920" s="8">
        <f t="shared" si="183"/>
        <v>1436330</v>
      </c>
      <c r="I920" s="9">
        <v>25</v>
      </c>
      <c r="L920" s="2">
        <f t="shared" si="184"/>
        <v>1436330</v>
      </c>
      <c r="M920" s="2">
        <f t="shared" si="185"/>
        <v>1268</v>
      </c>
      <c r="N920" s="15">
        <f t="shared" si="186"/>
        <v>21883.897288894008</v>
      </c>
      <c r="O920" s="15">
        <f t="shared" si="187"/>
        <v>36262.325716297993</v>
      </c>
      <c r="P920" s="16">
        <f>SUM($H$3:H920)</f>
        <v>349886240</v>
      </c>
      <c r="Q920" s="2">
        <f>SUM($I$3:I920)</f>
        <v>13224</v>
      </c>
    </row>
    <row r="921" spans="1:17" x14ac:dyDescent="0.3">
      <c r="A921" s="7">
        <f t="shared" si="182"/>
        <v>919</v>
      </c>
      <c r="B921" s="2">
        <f t="shared" si="182"/>
        <v>1269</v>
      </c>
      <c r="C921" s="14">
        <f t="shared" si="180"/>
        <v>21925.231929282792</v>
      </c>
      <c r="D921" s="14">
        <f t="shared" si="181"/>
        <v>36336.568588424721</v>
      </c>
      <c r="E921" s="2">
        <v>1</v>
      </c>
      <c r="F921" s="2">
        <f t="shared" si="188"/>
        <v>8.4000000000000021</v>
      </c>
      <c r="G921" s="17">
        <f t="shared" si="179"/>
        <v>0.36490000000000006</v>
      </c>
      <c r="H921" s="8">
        <f t="shared" si="183"/>
        <v>1448400</v>
      </c>
      <c r="I921" s="9">
        <v>25</v>
      </c>
      <c r="L921" s="2">
        <f t="shared" si="184"/>
        <v>1448400</v>
      </c>
      <c r="M921" s="2">
        <f t="shared" si="185"/>
        <v>1269</v>
      </c>
      <c r="N921" s="15">
        <f t="shared" si="186"/>
        <v>21925.231929282792</v>
      </c>
      <c r="O921" s="15">
        <f t="shared" si="187"/>
        <v>36336.568588424721</v>
      </c>
      <c r="P921" s="16">
        <f>SUM($H$3:H921)</f>
        <v>351334640</v>
      </c>
      <c r="Q921" s="2">
        <f>SUM($I$3:I921)</f>
        <v>13249</v>
      </c>
    </row>
    <row r="922" spans="1:17" x14ac:dyDescent="0.3">
      <c r="A922" s="7">
        <f t="shared" si="182"/>
        <v>920</v>
      </c>
      <c r="B922" s="2">
        <f t="shared" si="182"/>
        <v>1270</v>
      </c>
      <c r="C922" s="14">
        <f t="shared" si="180"/>
        <v>21966.579927130366</v>
      </c>
      <c r="D922" s="14">
        <f t="shared" si="181"/>
        <v>36410.859452080411</v>
      </c>
      <c r="E922" s="2">
        <v>1</v>
      </c>
      <c r="F922" s="2">
        <f t="shared" si="188"/>
        <v>8.6000000000000014</v>
      </c>
      <c r="G922" s="17">
        <f t="shared" si="179"/>
        <v>0.36533333333333334</v>
      </c>
      <c r="H922" s="8">
        <f t="shared" si="183"/>
        <v>1460470</v>
      </c>
      <c r="I922" s="9">
        <v>25</v>
      </c>
      <c r="L922" s="2">
        <f t="shared" si="184"/>
        <v>1460470</v>
      </c>
      <c r="M922" s="2">
        <f t="shared" si="185"/>
        <v>1270</v>
      </c>
      <c r="N922" s="15">
        <f t="shared" si="186"/>
        <v>21966.579927130366</v>
      </c>
      <c r="O922" s="15">
        <f t="shared" si="187"/>
        <v>36410.859452080411</v>
      </c>
      <c r="P922" s="16">
        <f>SUM($H$3:H922)</f>
        <v>352795110</v>
      </c>
      <c r="Q922" s="2">
        <f>SUM($I$3:I922)</f>
        <v>13274</v>
      </c>
    </row>
    <row r="923" spans="1:17" x14ac:dyDescent="0.3">
      <c r="A923" s="7">
        <f t="shared" si="182"/>
        <v>921</v>
      </c>
      <c r="B923" s="2">
        <f t="shared" si="182"/>
        <v>1271</v>
      </c>
      <c r="C923" s="14">
        <f t="shared" si="180"/>
        <v>22007.941265198471</v>
      </c>
      <c r="D923" s="14">
        <f t="shared" si="181"/>
        <v>36485.198260806646</v>
      </c>
      <c r="E923" s="2">
        <v>1</v>
      </c>
      <c r="F923" s="2">
        <f t="shared" si="188"/>
        <v>8.6000000000000014</v>
      </c>
      <c r="G923" s="17">
        <f t="shared" si="179"/>
        <v>0.36576666666666668</v>
      </c>
      <c r="H923" s="8">
        <f t="shared" si="183"/>
        <v>1472540</v>
      </c>
      <c r="I923" s="9">
        <v>25</v>
      </c>
      <c r="L923" s="2">
        <f t="shared" si="184"/>
        <v>1472540</v>
      </c>
      <c r="M923" s="2">
        <f t="shared" si="185"/>
        <v>1271</v>
      </c>
      <c r="N923" s="15">
        <f t="shared" si="186"/>
        <v>22007.941265198471</v>
      </c>
      <c r="O923" s="15">
        <f t="shared" si="187"/>
        <v>36485.198260806646</v>
      </c>
      <c r="P923" s="16">
        <f>SUM($H$3:H923)</f>
        <v>354267650</v>
      </c>
      <c r="Q923" s="2">
        <f>SUM($I$3:I923)</f>
        <v>13299</v>
      </c>
    </row>
    <row r="924" spans="1:17" x14ac:dyDescent="0.3">
      <c r="A924" s="7">
        <f t="shared" si="182"/>
        <v>922</v>
      </c>
      <c r="B924" s="2">
        <f t="shared" si="182"/>
        <v>1272</v>
      </c>
      <c r="C924" s="14">
        <f t="shared" si="180"/>
        <v>22049.315926298885</v>
      </c>
      <c r="D924" s="14">
        <f t="shared" si="181"/>
        <v>36559.584968264782</v>
      </c>
      <c r="E924" s="2">
        <v>1</v>
      </c>
      <c r="F924" s="2">
        <f t="shared" si="188"/>
        <v>8.6000000000000014</v>
      </c>
      <c r="G924" s="17">
        <f t="shared" si="179"/>
        <v>0.36619999999999997</v>
      </c>
      <c r="H924" s="8">
        <f t="shared" si="183"/>
        <v>1484610</v>
      </c>
      <c r="I924" s="9">
        <v>25</v>
      </c>
      <c r="L924" s="2">
        <f t="shared" si="184"/>
        <v>1484610</v>
      </c>
      <c r="M924" s="2">
        <f t="shared" si="185"/>
        <v>1272</v>
      </c>
      <c r="N924" s="15">
        <f t="shared" si="186"/>
        <v>22049.315926298885</v>
      </c>
      <c r="O924" s="15">
        <f t="shared" si="187"/>
        <v>36559.584968264782</v>
      </c>
      <c r="P924" s="16">
        <f>SUM($H$3:H924)</f>
        <v>355752260</v>
      </c>
      <c r="Q924" s="2">
        <f>SUM($I$3:I924)</f>
        <v>13324</v>
      </c>
    </row>
    <row r="925" spans="1:17" x14ac:dyDescent="0.3">
      <c r="A925" s="7">
        <f t="shared" si="182"/>
        <v>923</v>
      </c>
      <c r="B925" s="2">
        <f t="shared" si="182"/>
        <v>1273</v>
      </c>
      <c r="C925" s="14">
        <f t="shared" si="180"/>
        <v>22090.703893293117</v>
      </c>
      <c r="D925" s="14">
        <f t="shared" si="181"/>
        <v>36634.01952823528</v>
      </c>
      <c r="E925" s="2">
        <v>1</v>
      </c>
      <c r="F925" s="2">
        <f t="shared" si="188"/>
        <v>8.6000000000000014</v>
      </c>
      <c r="G925" s="17">
        <f t="shared" si="179"/>
        <v>0.36663333333333337</v>
      </c>
      <c r="H925" s="8">
        <f t="shared" si="183"/>
        <v>1496680</v>
      </c>
      <c r="I925" s="9">
        <v>25</v>
      </c>
      <c r="L925" s="2">
        <f t="shared" si="184"/>
        <v>1496680</v>
      </c>
      <c r="M925" s="2">
        <f t="shared" si="185"/>
        <v>1273</v>
      </c>
      <c r="N925" s="15">
        <f t="shared" si="186"/>
        <v>22090.703893293117</v>
      </c>
      <c r="O925" s="15">
        <f t="shared" si="187"/>
        <v>36634.01952823528</v>
      </c>
      <c r="P925" s="16">
        <f>SUM($H$3:H925)</f>
        <v>357248940</v>
      </c>
      <c r="Q925" s="2">
        <f>SUM($I$3:I925)</f>
        <v>13349</v>
      </c>
    </row>
    <row r="926" spans="1:17" x14ac:dyDescent="0.3">
      <c r="A926" s="7">
        <f t="shared" si="182"/>
        <v>924</v>
      </c>
      <c r="B926" s="2">
        <f t="shared" si="182"/>
        <v>1274</v>
      </c>
      <c r="C926" s="14">
        <f t="shared" si="180"/>
        <v>22132.105149092185</v>
      </c>
      <c r="D926" s="14">
        <f t="shared" si="181"/>
        <v>36708.501894617548</v>
      </c>
      <c r="E926" s="2">
        <v>1</v>
      </c>
      <c r="F926" s="2">
        <f t="shared" si="188"/>
        <v>8.6000000000000014</v>
      </c>
      <c r="G926" s="17">
        <f t="shared" si="179"/>
        <v>0.36706666666666671</v>
      </c>
      <c r="H926" s="8">
        <f t="shared" si="183"/>
        <v>1508750</v>
      </c>
      <c r="I926" s="9">
        <v>25</v>
      </c>
      <c r="L926" s="2">
        <f t="shared" si="184"/>
        <v>1508750</v>
      </c>
      <c r="M926" s="2">
        <f t="shared" si="185"/>
        <v>1274</v>
      </c>
      <c r="N926" s="15">
        <f t="shared" si="186"/>
        <v>22132.105149092185</v>
      </c>
      <c r="O926" s="15">
        <f t="shared" si="187"/>
        <v>36708.501894617548</v>
      </c>
      <c r="P926" s="16">
        <f>SUM($H$3:H926)</f>
        <v>358757690</v>
      </c>
      <c r="Q926" s="2">
        <f>SUM($I$3:I926)</f>
        <v>13374</v>
      </c>
    </row>
    <row r="927" spans="1:17" x14ac:dyDescent="0.3">
      <c r="A927" s="7">
        <f t="shared" si="182"/>
        <v>925</v>
      </c>
      <c r="B927" s="2">
        <f t="shared" si="182"/>
        <v>1275</v>
      </c>
      <c r="C927" s="14">
        <f t="shared" si="180"/>
        <v>22173.519676656386</v>
      </c>
      <c r="D927" s="14">
        <f t="shared" si="181"/>
        <v>36783.03202142896</v>
      </c>
      <c r="E927" s="2">
        <v>1</v>
      </c>
      <c r="F927" s="2">
        <f t="shared" si="188"/>
        <v>8.6000000000000014</v>
      </c>
      <c r="G927" s="17">
        <f t="shared" si="179"/>
        <v>0.36749999999999999</v>
      </c>
      <c r="H927" s="8">
        <f t="shared" si="183"/>
        <v>1520820</v>
      </c>
      <c r="I927" s="9">
        <v>25</v>
      </c>
      <c r="L927" s="2">
        <f t="shared" si="184"/>
        <v>1520820</v>
      </c>
      <c r="M927" s="2">
        <f t="shared" si="185"/>
        <v>1275</v>
      </c>
      <c r="N927" s="15">
        <f t="shared" si="186"/>
        <v>22173.519676656386</v>
      </c>
      <c r="O927" s="15">
        <f t="shared" si="187"/>
        <v>36783.03202142896</v>
      </c>
      <c r="P927" s="16">
        <f>SUM($H$3:H927)</f>
        <v>360278510</v>
      </c>
      <c r="Q927" s="2">
        <f>SUM($I$3:I927)</f>
        <v>13399</v>
      </c>
    </row>
    <row r="928" spans="1:17" x14ac:dyDescent="0.3">
      <c r="A928" s="7">
        <f t="shared" si="182"/>
        <v>926</v>
      </c>
      <c r="B928" s="2">
        <f t="shared" si="182"/>
        <v>1276</v>
      </c>
      <c r="C928" s="14">
        <f t="shared" si="180"/>
        <v>22214.947458995168</v>
      </c>
      <c r="D928" s="14">
        <f t="shared" si="181"/>
        <v>36857.609862804886</v>
      </c>
      <c r="E928" s="2">
        <v>1</v>
      </c>
      <c r="F928" s="2">
        <f t="shared" si="188"/>
        <v>8.6000000000000014</v>
      </c>
      <c r="G928" s="17">
        <f t="shared" si="179"/>
        <v>0.36793333333333333</v>
      </c>
      <c r="H928" s="8">
        <f t="shared" si="183"/>
        <v>1532890</v>
      </c>
      <c r="I928" s="9">
        <v>25</v>
      </c>
      <c r="L928" s="2">
        <f t="shared" si="184"/>
        <v>1532890</v>
      </c>
      <c r="M928" s="2">
        <f t="shared" si="185"/>
        <v>1276</v>
      </c>
      <c r="N928" s="15">
        <f t="shared" si="186"/>
        <v>22214.947458995168</v>
      </c>
      <c r="O928" s="15">
        <f t="shared" si="187"/>
        <v>36857.609862804886</v>
      </c>
      <c r="P928" s="16">
        <f>SUM($H$3:H928)</f>
        <v>361811400</v>
      </c>
      <c r="Q928" s="2">
        <f>SUM($I$3:I928)</f>
        <v>13424</v>
      </c>
    </row>
    <row r="929" spans="1:17" x14ac:dyDescent="0.3">
      <c r="A929" s="7">
        <f t="shared" si="182"/>
        <v>927</v>
      </c>
      <c r="B929" s="2">
        <f t="shared" si="182"/>
        <v>1277</v>
      </c>
      <c r="C929" s="14">
        <f t="shared" si="180"/>
        <v>22256.388479166788</v>
      </c>
      <c r="D929" s="14">
        <f t="shared" si="181"/>
        <v>36932.235372997835</v>
      </c>
      <c r="E929" s="2">
        <v>1</v>
      </c>
      <c r="F929" s="2">
        <f t="shared" si="188"/>
        <v>8.6000000000000014</v>
      </c>
      <c r="G929" s="17">
        <f t="shared" si="179"/>
        <v>0.36836666666666673</v>
      </c>
      <c r="H929" s="8">
        <f t="shared" si="183"/>
        <v>1544960</v>
      </c>
      <c r="I929" s="9">
        <v>25</v>
      </c>
      <c r="L929" s="2">
        <f t="shared" si="184"/>
        <v>1544960</v>
      </c>
      <c r="M929" s="2">
        <f t="shared" si="185"/>
        <v>1277</v>
      </c>
      <c r="N929" s="15">
        <f t="shared" si="186"/>
        <v>22256.388479166788</v>
      </c>
      <c r="O929" s="15">
        <f t="shared" si="187"/>
        <v>36932.235372997835</v>
      </c>
      <c r="P929" s="16">
        <f>SUM($H$3:H929)</f>
        <v>363356360</v>
      </c>
      <c r="Q929" s="2">
        <f>SUM($I$3:I929)</f>
        <v>13449</v>
      </c>
    </row>
    <row r="930" spans="1:17" x14ac:dyDescent="0.3">
      <c r="A930" s="7">
        <f t="shared" si="182"/>
        <v>928</v>
      </c>
      <c r="B930" s="2">
        <f t="shared" si="182"/>
        <v>1278</v>
      </c>
      <c r="C930" s="14">
        <f t="shared" si="180"/>
        <v>22297.842720278124</v>
      </c>
      <c r="D930" s="14">
        <f t="shared" si="181"/>
        <v>37006.908506377025</v>
      </c>
      <c r="E930" s="2">
        <v>1</v>
      </c>
      <c r="F930" s="2">
        <f t="shared" si="188"/>
        <v>8.6000000000000014</v>
      </c>
      <c r="G930" s="17">
        <f t="shared" si="179"/>
        <v>0.36880000000000002</v>
      </c>
      <c r="H930" s="8">
        <f t="shared" si="183"/>
        <v>1557030</v>
      </c>
      <c r="I930" s="9">
        <v>25</v>
      </c>
      <c r="L930" s="2">
        <f t="shared" si="184"/>
        <v>1557030</v>
      </c>
      <c r="M930" s="2">
        <f t="shared" si="185"/>
        <v>1278</v>
      </c>
      <c r="N930" s="15">
        <f t="shared" si="186"/>
        <v>22297.842720278124</v>
      </c>
      <c r="O930" s="15">
        <f t="shared" si="187"/>
        <v>37006.908506377025</v>
      </c>
      <c r="P930" s="16">
        <f>SUM($H$3:H930)</f>
        <v>364913390</v>
      </c>
      <c r="Q930" s="2">
        <f>SUM($I$3:I930)</f>
        <v>13474</v>
      </c>
    </row>
    <row r="931" spans="1:17" x14ac:dyDescent="0.3">
      <c r="A931" s="7">
        <f t="shared" si="182"/>
        <v>929</v>
      </c>
      <c r="B931" s="2">
        <f t="shared" si="182"/>
        <v>1279</v>
      </c>
      <c r="C931" s="14">
        <f t="shared" si="180"/>
        <v>22339.310165484578</v>
      </c>
      <c r="D931" s="14">
        <f t="shared" si="181"/>
        <v>37081.629217428243</v>
      </c>
      <c r="E931" s="2">
        <v>1</v>
      </c>
      <c r="F931" s="2">
        <f t="shared" si="188"/>
        <v>8.6000000000000014</v>
      </c>
      <c r="G931" s="17">
        <f t="shared" si="179"/>
        <v>0.36923333333333336</v>
      </c>
      <c r="H931" s="8">
        <f t="shared" si="183"/>
        <v>1569100</v>
      </c>
      <c r="I931" s="9">
        <v>25</v>
      </c>
      <c r="L931" s="2">
        <f t="shared" si="184"/>
        <v>1569100</v>
      </c>
      <c r="M931" s="2">
        <f t="shared" si="185"/>
        <v>1279</v>
      </c>
      <c r="N931" s="15">
        <f t="shared" si="186"/>
        <v>22339.310165484578</v>
      </c>
      <c r="O931" s="15">
        <f t="shared" si="187"/>
        <v>37081.629217428243</v>
      </c>
      <c r="P931" s="16">
        <f>SUM($H$3:H931)</f>
        <v>366482490</v>
      </c>
      <c r="Q931" s="2">
        <f>SUM($I$3:I931)</f>
        <v>13499</v>
      </c>
    </row>
    <row r="932" spans="1:17" x14ac:dyDescent="0.3">
      <c r="A932" s="7">
        <f t="shared" si="182"/>
        <v>930</v>
      </c>
      <c r="B932" s="2">
        <f t="shared" si="182"/>
        <v>1280</v>
      </c>
      <c r="C932" s="14">
        <f t="shared" si="180"/>
        <v>22380.790797989655</v>
      </c>
      <c r="D932" s="14">
        <f t="shared" si="181"/>
        <v>37156.397460752778</v>
      </c>
      <c r="E932" s="2">
        <v>1</v>
      </c>
      <c r="F932" s="2">
        <f t="shared" si="188"/>
        <v>8.6000000000000014</v>
      </c>
      <c r="G932" s="17">
        <f t="shared" si="179"/>
        <v>0.36966666666666664</v>
      </c>
      <c r="H932" s="8">
        <f t="shared" si="183"/>
        <v>1581170</v>
      </c>
      <c r="I932" s="9">
        <v>25</v>
      </c>
      <c r="L932" s="2">
        <f t="shared" si="184"/>
        <v>1581170</v>
      </c>
      <c r="M932" s="2">
        <f t="shared" si="185"/>
        <v>1280</v>
      </c>
      <c r="N932" s="15">
        <f t="shared" si="186"/>
        <v>22380.790797989655</v>
      </c>
      <c r="O932" s="15">
        <f t="shared" si="187"/>
        <v>37156.397460752778</v>
      </c>
      <c r="P932" s="16">
        <f>SUM($H$3:H932)</f>
        <v>368063660</v>
      </c>
      <c r="Q932" s="2">
        <f>SUM($I$3:I932)</f>
        <v>13524</v>
      </c>
    </row>
    <row r="933" spans="1:17" x14ac:dyDescent="0.3">
      <c r="A933" s="7">
        <f t="shared" si="182"/>
        <v>931</v>
      </c>
      <c r="B933" s="2">
        <f t="shared" si="182"/>
        <v>1281</v>
      </c>
      <c r="C933" s="14">
        <f t="shared" si="180"/>
        <v>22422.284601044932</v>
      </c>
      <c r="D933" s="14">
        <f t="shared" si="181"/>
        <v>37231.213191067429</v>
      </c>
      <c r="E933" s="2">
        <v>1</v>
      </c>
      <c r="F933" s="2">
        <f t="shared" si="188"/>
        <v>8.6000000000000014</v>
      </c>
      <c r="G933" s="17">
        <f t="shared" si="179"/>
        <v>0.37010000000000004</v>
      </c>
      <c r="H933" s="8">
        <f t="shared" si="183"/>
        <v>1593240</v>
      </c>
      <c r="I933" s="9">
        <v>25</v>
      </c>
      <c r="L933" s="2">
        <f t="shared" si="184"/>
        <v>1593240</v>
      </c>
      <c r="M933" s="2">
        <f t="shared" si="185"/>
        <v>1281</v>
      </c>
      <c r="N933" s="15">
        <f t="shared" si="186"/>
        <v>22422.284601044932</v>
      </c>
      <c r="O933" s="15">
        <f t="shared" si="187"/>
        <v>37231.213191067429</v>
      </c>
      <c r="P933" s="16">
        <f>SUM($H$3:H933)</f>
        <v>369656900</v>
      </c>
      <c r="Q933" s="2">
        <f>SUM($I$3:I933)</f>
        <v>13549</v>
      </c>
    </row>
    <row r="934" spans="1:17" x14ac:dyDescent="0.3">
      <c r="A934" s="7">
        <f t="shared" si="182"/>
        <v>932</v>
      </c>
      <c r="B934" s="2">
        <f t="shared" si="182"/>
        <v>1282</v>
      </c>
      <c r="C934" s="14">
        <f t="shared" si="180"/>
        <v>22463.791557949742</v>
      </c>
      <c r="D934" s="14">
        <f t="shared" si="181"/>
        <v>37306.07636320388</v>
      </c>
      <c r="E934" s="2">
        <v>1</v>
      </c>
      <c r="F934" s="2">
        <f t="shared" si="188"/>
        <v>8.6000000000000014</v>
      </c>
      <c r="G934" s="17">
        <f t="shared" si="179"/>
        <v>0.37053333333333338</v>
      </c>
      <c r="H934" s="8">
        <f t="shared" si="183"/>
        <v>1605310</v>
      </c>
      <c r="I934" s="9">
        <v>25</v>
      </c>
      <c r="L934" s="2">
        <f t="shared" si="184"/>
        <v>1605310</v>
      </c>
      <c r="M934" s="2">
        <f t="shared" si="185"/>
        <v>1282</v>
      </c>
      <c r="N934" s="15">
        <f t="shared" si="186"/>
        <v>22463.791557949742</v>
      </c>
      <c r="O934" s="15">
        <f t="shared" si="187"/>
        <v>37306.07636320388</v>
      </c>
      <c r="P934" s="16">
        <f>SUM($H$3:H934)</f>
        <v>371262210</v>
      </c>
      <c r="Q934" s="2">
        <f>SUM($I$3:I934)</f>
        <v>13574</v>
      </c>
    </row>
    <row r="935" spans="1:17" x14ac:dyDescent="0.3">
      <c r="A935" s="7">
        <f t="shared" si="182"/>
        <v>933</v>
      </c>
      <c r="B935" s="2">
        <f t="shared" si="182"/>
        <v>1283</v>
      </c>
      <c r="C935" s="14">
        <f t="shared" si="180"/>
        <v>22505.311652050968</v>
      </c>
      <c r="D935" s="14">
        <f t="shared" si="181"/>
        <v>37380.986932107968</v>
      </c>
      <c r="E935" s="2">
        <v>1</v>
      </c>
      <c r="F935" s="2">
        <f t="shared" si="188"/>
        <v>8.6000000000000014</v>
      </c>
      <c r="G935" s="17">
        <f t="shared" ref="G935:G998" si="189">0.01 + (A935-100)*(0.4-0.01)/(1000-100)</f>
        <v>0.37096666666666667</v>
      </c>
      <c r="H935" s="8">
        <f t="shared" si="183"/>
        <v>1617380</v>
      </c>
      <c r="I935" s="9">
        <v>25</v>
      </c>
      <c r="L935" s="2">
        <f t="shared" si="184"/>
        <v>1617380</v>
      </c>
      <c r="M935" s="2">
        <f t="shared" si="185"/>
        <v>1283</v>
      </c>
      <c r="N935" s="15">
        <f t="shared" si="186"/>
        <v>22505.311652050968</v>
      </c>
      <c r="O935" s="15">
        <f t="shared" si="187"/>
        <v>37380.986932107968</v>
      </c>
      <c r="P935" s="16">
        <f>SUM($H$3:H935)</f>
        <v>372879590</v>
      </c>
      <c r="Q935" s="2">
        <f>SUM($I$3:I935)</f>
        <v>13599</v>
      </c>
    </row>
    <row r="936" spans="1:17" x14ac:dyDescent="0.3">
      <c r="A936" s="7">
        <f t="shared" si="182"/>
        <v>934</v>
      </c>
      <c r="B936" s="2">
        <f t="shared" si="182"/>
        <v>1284</v>
      </c>
      <c r="C936" s="14">
        <f t="shared" si="180"/>
        <v>22546.84486674294</v>
      </c>
      <c r="D936" s="14">
        <f t="shared" si="181"/>
        <v>37455.944852839755</v>
      </c>
      <c r="E936" s="2">
        <v>1</v>
      </c>
      <c r="F936" s="2">
        <f t="shared" si="188"/>
        <v>8.6000000000000014</v>
      </c>
      <c r="G936" s="17">
        <f t="shared" si="189"/>
        <v>0.37140000000000001</v>
      </c>
      <c r="H936" s="8">
        <f t="shared" si="183"/>
        <v>1629450</v>
      </c>
      <c r="I936" s="9">
        <v>25</v>
      </c>
      <c r="L936" s="2">
        <f t="shared" si="184"/>
        <v>1629450</v>
      </c>
      <c r="M936" s="2">
        <f t="shared" si="185"/>
        <v>1284</v>
      </c>
      <c r="N936" s="15">
        <f t="shared" si="186"/>
        <v>22546.84486674294</v>
      </c>
      <c r="O936" s="15">
        <f t="shared" si="187"/>
        <v>37455.944852839755</v>
      </c>
      <c r="P936" s="16">
        <f>SUM($H$3:H936)</f>
        <v>374509040</v>
      </c>
      <c r="Q936" s="2">
        <f>SUM($I$3:I936)</f>
        <v>13624</v>
      </c>
    </row>
    <row r="937" spans="1:17" x14ac:dyDescent="0.3">
      <c r="A937" s="7">
        <f t="shared" si="182"/>
        <v>935</v>
      </c>
      <c r="B937" s="2">
        <f t="shared" si="182"/>
        <v>1285</v>
      </c>
      <c r="C937" s="14">
        <f t="shared" si="180"/>
        <v>22588.391185467037</v>
      </c>
      <c r="D937" s="14">
        <f t="shared" si="181"/>
        <v>37530.950080572547</v>
      </c>
      <c r="E937" s="2">
        <v>1</v>
      </c>
      <c r="F937" s="2">
        <f t="shared" si="188"/>
        <v>8.6000000000000014</v>
      </c>
      <c r="G937" s="17">
        <f t="shared" si="189"/>
        <v>0.3718333333333334</v>
      </c>
      <c r="H937" s="8">
        <f t="shared" si="183"/>
        <v>1641520</v>
      </c>
      <c r="I937" s="9">
        <v>25</v>
      </c>
      <c r="L937" s="2">
        <f t="shared" si="184"/>
        <v>1641520</v>
      </c>
      <c r="M937" s="2">
        <f t="shared" si="185"/>
        <v>1285</v>
      </c>
      <c r="N937" s="15">
        <f t="shared" si="186"/>
        <v>22588.391185467037</v>
      </c>
      <c r="O937" s="15">
        <f t="shared" si="187"/>
        <v>37530.950080572547</v>
      </c>
      <c r="P937" s="16">
        <f>SUM($H$3:H937)</f>
        <v>376150560</v>
      </c>
      <c r="Q937" s="2">
        <f>SUM($I$3:I937)</f>
        <v>13649</v>
      </c>
    </row>
    <row r="938" spans="1:17" x14ac:dyDescent="0.3">
      <c r="A938" s="7">
        <f t="shared" si="182"/>
        <v>936</v>
      </c>
      <c r="B938" s="2">
        <f t="shared" si="182"/>
        <v>1286</v>
      </c>
      <c r="C938" s="14">
        <f t="shared" si="180"/>
        <v>22629.950591711626</v>
      </c>
      <c r="D938" s="14">
        <f t="shared" si="181"/>
        <v>37606.002570592726</v>
      </c>
      <c r="E938" s="2">
        <v>1</v>
      </c>
      <c r="F938" s="2">
        <f t="shared" si="188"/>
        <v>8.6000000000000014</v>
      </c>
      <c r="G938" s="17">
        <f t="shared" si="189"/>
        <v>0.37226666666666669</v>
      </c>
      <c r="H938" s="8">
        <f t="shared" si="183"/>
        <v>1653590</v>
      </c>
      <c r="I938" s="9">
        <v>25</v>
      </c>
      <c r="L938" s="2">
        <f t="shared" si="184"/>
        <v>1653590</v>
      </c>
      <c r="M938" s="2">
        <f t="shared" si="185"/>
        <v>1286</v>
      </c>
      <c r="N938" s="15">
        <f t="shared" si="186"/>
        <v>22629.950591711626</v>
      </c>
      <c r="O938" s="15">
        <f t="shared" si="187"/>
        <v>37606.002570592726</v>
      </c>
      <c r="P938" s="16">
        <f>SUM($H$3:H938)</f>
        <v>377804150</v>
      </c>
      <c r="Q938" s="2">
        <f>SUM($I$3:I938)</f>
        <v>13674</v>
      </c>
    </row>
    <row r="939" spans="1:17" x14ac:dyDescent="0.3">
      <c r="A939" s="7">
        <f t="shared" si="182"/>
        <v>937</v>
      </c>
      <c r="B939" s="2">
        <f t="shared" si="182"/>
        <v>1287</v>
      </c>
      <c r="C939" s="14">
        <f t="shared" si="180"/>
        <v>22671.523069011837</v>
      </c>
      <c r="D939" s="14">
        <f t="shared" si="181"/>
        <v>37681.102278299186</v>
      </c>
      <c r="E939" s="2">
        <v>1</v>
      </c>
      <c r="F939" s="2">
        <f t="shared" si="188"/>
        <v>8.6000000000000014</v>
      </c>
      <c r="G939" s="17">
        <f t="shared" si="189"/>
        <v>0.37270000000000003</v>
      </c>
      <c r="H939" s="8">
        <f t="shared" si="183"/>
        <v>1665660</v>
      </c>
      <c r="I939" s="9">
        <v>25</v>
      </c>
      <c r="L939" s="2">
        <f t="shared" si="184"/>
        <v>1665660</v>
      </c>
      <c r="M939" s="2">
        <f t="shared" si="185"/>
        <v>1287</v>
      </c>
      <c r="N939" s="15">
        <f t="shared" si="186"/>
        <v>22671.523069011837</v>
      </c>
      <c r="O939" s="15">
        <f t="shared" si="187"/>
        <v>37681.102278299186</v>
      </c>
      <c r="P939" s="16">
        <f>SUM($H$3:H939)</f>
        <v>379469810</v>
      </c>
      <c r="Q939" s="2">
        <f>SUM($I$3:I939)</f>
        <v>13699</v>
      </c>
    </row>
    <row r="940" spans="1:17" x14ac:dyDescent="0.3">
      <c r="A940" s="7">
        <f t="shared" si="182"/>
        <v>938</v>
      </c>
      <c r="B940" s="2">
        <f t="shared" si="182"/>
        <v>1288</v>
      </c>
      <c r="C940" s="14">
        <f t="shared" si="180"/>
        <v>22713.10860094929</v>
      </c>
      <c r="D940" s="14">
        <f t="shared" si="181"/>
        <v>37756.249159202758</v>
      </c>
      <c r="E940" s="2">
        <v>1</v>
      </c>
      <c r="F940" s="2">
        <f t="shared" si="188"/>
        <v>8.6000000000000014</v>
      </c>
      <c r="G940" s="17">
        <f t="shared" si="189"/>
        <v>0.37313333333333332</v>
      </c>
      <c r="H940" s="8">
        <f t="shared" si="183"/>
        <v>1677730</v>
      </c>
      <c r="I940" s="9">
        <v>25</v>
      </c>
      <c r="L940" s="2">
        <f t="shared" si="184"/>
        <v>1677730</v>
      </c>
      <c r="M940" s="2">
        <f t="shared" si="185"/>
        <v>1288</v>
      </c>
      <c r="N940" s="15">
        <f t="shared" si="186"/>
        <v>22713.10860094929</v>
      </c>
      <c r="O940" s="15">
        <f t="shared" si="187"/>
        <v>37756.249159202758</v>
      </c>
      <c r="P940" s="16">
        <f>SUM($H$3:H940)</f>
        <v>381147540</v>
      </c>
      <c r="Q940" s="2">
        <f>SUM($I$3:I940)</f>
        <v>13724</v>
      </c>
    </row>
    <row r="941" spans="1:17" x14ac:dyDescent="0.3">
      <c r="A941" s="7">
        <f t="shared" si="182"/>
        <v>939</v>
      </c>
      <c r="B941" s="2">
        <f t="shared" si="182"/>
        <v>1289</v>
      </c>
      <c r="C941" s="14">
        <f t="shared" si="180"/>
        <v>22754.70717115196</v>
      </c>
      <c r="D941" s="14">
        <f t="shared" si="181"/>
        <v>37831.443168926104</v>
      </c>
      <c r="E941" s="2">
        <v>1</v>
      </c>
      <c r="F941" s="2">
        <f t="shared" si="188"/>
        <v>8.6000000000000014</v>
      </c>
      <c r="G941" s="17">
        <f t="shared" si="189"/>
        <v>0.37356666666666671</v>
      </c>
      <c r="H941" s="8">
        <f t="shared" si="183"/>
        <v>1689800</v>
      </c>
      <c r="I941" s="9">
        <v>25</v>
      </c>
      <c r="L941" s="2">
        <f t="shared" si="184"/>
        <v>1689800</v>
      </c>
      <c r="M941" s="2">
        <f t="shared" si="185"/>
        <v>1289</v>
      </c>
      <c r="N941" s="15">
        <f t="shared" si="186"/>
        <v>22754.70717115196</v>
      </c>
      <c r="O941" s="15">
        <f t="shared" si="187"/>
        <v>37831.443168926104</v>
      </c>
      <c r="P941" s="16">
        <f>SUM($H$3:H941)</f>
        <v>382837340</v>
      </c>
      <c r="Q941" s="2">
        <f>SUM($I$3:I941)</f>
        <v>13749</v>
      </c>
    </row>
    <row r="942" spans="1:17" x14ac:dyDescent="0.3">
      <c r="A942" s="7">
        <f t="shared" si="182"/>
        <v>940</v>
      </c>
      <c r="B942" s="2">
        <f t="shared" si="182"/>
        <v>1290</v>
      </c>
      <c r="C942" s="14">
        <f t="shared" si="180"/>
        <v>22796.31876329397</v>
      </c>
      <c r="D942" s="14">
        <f t="shared" si="181"/>
        <v>37906.684263202922</v>
      </c>
      <c r="E942" s="2">
        <v>1</v>
      </c>
      <c r="F942" s="2">
        <f t="shared" si="188"/>
        <v>8.8000000000000007</v>
      </c>
      <c r="G942" s="17">
        <f t="shared" si="189"/>
        <v>0.37400000000000005</v>
      </c>
      <c r="H942" s="8">
        <f t="shared" si="183"/>
        <v>1701870</v>
      </c>
      <c r="I942" s="9">
        <v>25</v>
      </c>
      <c r="L942" s="2">
        <f t="shared" si="184"/>
        <v>1701870</v>
      </c>
      <c r="M942" s="2">
        <f t="shared" si="185"/>
        <v>1290</v>
      </c>
      <c r="N942" s="15">
        <f t="shared" si="186"/>
        <v>22796.31876329397</v>
      </c>
      <c r="O942" s="15">
        <f t="shared" si="187"/>
        <v>37906.684263202922</v>
      </c>
      <c r="P942" s="16">
        <f>SUM($H$3:H942)</f>
        <v>384539210</v>
      </c>
      <c r="Q942" s="2">
        <f>SUM($I$3:I942)</f>
        <v>13774</v>
      </c>
    </row>
    <row r="943" spans="1:17" x14ac:dyDescent="0.3">
      <c r="A943" s="7">
        <f t="shared" si="182"/>
        <v>941</v>
      </c>
      <c r="B943" s="2">
        <f t="shared" si="182"/>
        <v>1291</v>
      </c>
      <c r="C943" s="14">
        <f t="shared" si="180"/>
        <v>22837.943361095287</v>
      </c>
      <c r="D943" s="14">
        <f t="shared" si="181"/>
        <v>37981.972397877536</v>
      </c>
      <c r="E943" s="2">
        <v>1</v>
      </c>
      <c r="F943" s="2">
        <f t="shared" si="188"/>
        <v>8.8000000000000007</v>
      </c>
      <c r="G943" s="17">
        <f t="shared" si="189"/>
        <v>0.37443333333333334</v>
      </c>
      <c r="H943" s="8">
        <f t="shared" si="183"/>
        <v>1713940</v>
      </c>
      <c r="I943" s="9">
        <v>25</v>
      </c>
      <c r="L943" s="2">
        <f t="shared" si="184"/>
        <v>1713940</v>
      </c>
      <c r="M943" s="2">
        <f t="shared" si="185"/>
        <v>1291</v>
      </c>
      <c r="N943" s="15">
        <f t="shared" si="186"/>
        <v>22837.943361095287</v>
      </c>
      <c r="O943" s="15">
        <f t="shared" si="187"/>
        <v>37981.972397877536</v>
      </c>
      <c r="P943" s="16">
        <f>SUM($H$3:H943)</f>
        <v>386253150</v>
      </c>
      <c r="Q943" s="2">
        <f>SUM($I$3:I943)</f>
        <v>13799</v>
      </c>
    </row>
    <row r="944" spans="1:17" x14ac:dyDescent="0.3">
      <c r="A944" s="7">
        <f t="shared" si="182"/>
        <v>942</v>
      </c>
      <c r="B944" s="2">
        <f t="shared" si="182"/>
        <v>1292</v>
      </c>
      <c r="C944" s="14">
        <f t="shared" ref="C944:C1001" si="190">9.525*(A944-300)^1.2 + 600</f>
        <v>22879.580948321694</v>
      </c>
      <c r="D944" s="14">
        <f t="shared" ref="D944:D1001" si="191">4.055*(A944-300)^1.4 + 3500</f>
        <v>38057.307528904574</v>
      </c>
      <c r="E944" s="2">
        <v>1</v>
      </c>
      <c r="F944" s="2">
        <f t="shared" si="188"/>
        <v>8.8000000000000007</v>
      </c>
      <c r="G944" s="17">
        <f t="shared" si="189"/>
        <v>0.37486666666666668</v>
      </c>
      <c r="H944" s="8">
        <f t="shared" si="183"/>
        <v>1726010</v>
      </c>
      <c r="I944" s="9">
        <v>25</v>
      </c>
      <c r="L944" s="2">
        <f t="shared" si="184"/>
        <v>1726010</v>
      </c>
      <c r="M944" s="2">
        <f t="shared" si="185"/>
        <v>1292</v>
      </c>
      <c r="N944" s="15">
        <f t="shared" si="186"/>
        <v>22879.580948321694</v>
      </c>
      <c r="O944" s="15">
        <f t="shared" si="187"/>
        <v>38057.307528904574</v>
      </c>
      <c r="P944" s="16">
        <f>SUM($H$3:H944)</f>
        <v>387979160</v>
      </c>
      <c r="Q944" s="2">
        <f>SUM($I$3:I944)</f>
        <v>13824</v>
      </c>
    </row>
    <row r="945" spans="1:17" x14ac:dyDescent="0.3">
      <c r="A945" s="7">
        <f t="shared" si="182"/>
        <v>943</v>
      </c>
      <c r="B945" s="2">
        <f t="shared" si="182"/>
        <v>1293</v>
      </c>
      <c r="C945" s="14">
        <f t="shared" si="190"/>
        <v>22921.231508784454</v>
      </c>
      <c r="D945" s="14">
        <f t="shared" si="191"/>
        <v>38132.689612348622</v>
      </c>
      <c r="E945" s="2">
        <v>1</v>
      </c>
      <c r="F945" s="2">
        <f t="shared" si="188"/>
        <v>8.8000000000000007</v>
      </c>
      <c r="G945" s="17">
        <f t="shared" si="189"/>
        <v>0.37530000000000008</v>
      </c>
      <c r="H945" s="8">
        <f t="shared" si="183"/>
        <v>1738080</v>
      </c>
      <c r="I945" s="9">
        <v>25</v>
      </c>
      <c r="L945" s="2">
        <f t="shared" si="184"/>
        <v>1738080</v>
      </c>
      <c r="M945" s="2">
        <f t="shared" si="185"/>
        <v>1293</v>
      </c>
      <c r="N945" s="15">
        <f t="shared" si="186"/>
        <v>22921.231508784454</v>
      </c>
      <c r="O945" s="15">
        <f t="shared" si="187"/>
        <v>38132.689612348622</v>
      </c>
      <c r="P945" s="16">
        <f>SUM($H$3:H945)</f>
        <v>389717240</v>
      </c>
      <c r="Q945" s="2">
        <f>SUM($I$3:I945)</f>
        <v>13849</v>
      </c>
    </row>
    <row r="946" spans="1:17" x14ac:dyDescent="0.3">
      <c r="A946" s="7">
        <f t="shared" si="182"/>
        <v>944</v>
      </c>
      <c r="B946" s="2">
        <f t="shared" si="182"/>
        <v>1294</v>
      </c>
      <c r="C946" s="14">
        <f t="shared" si="190"/>
        <v>22962.89502634016</v>
      </c>
      <c r="D946" s="14">
        <f t="shared" si="191"/>
        <v>38208.118604383417</v>
      </c>
      <c r="E946" s="2">
        <v>1</v>
      </c>
      <c r="F946" s="2">
        <f t="shared" si="188"/>
        <v>8.8000000000000007</v>
      </c>
      <c r="G946" s="17">
        <f t="shared" si="189"/>
        <v>0.37573333333333336</v>
      </c>
      <c r="H946" s="8">
        <f t="shared" si="183"/>
        <v>1750150</v>
      </c>
      <c r="I946" s="9">
        <v>25</v>
      </c>
      <c r="L946" s="2">
        <f t="shared" si="184"/>
        <v>1750150</v>
      </c>
      <c r="M946" s="2">
        <f t="shared" si="185"/>
        <v>1294</v>
      </c>
      <c r="N946" s="15">
        <f t="shared" si="186"/>
        <v>22962.89502634016</v>
      </c>
      <c r="O946" s="15">
        <f t="shared" si="187"/>
        <v>38208.118604383417</v>
      </c>
      <c r="P946" s="16">
        <f>SUM($H$3:H946)</f>
        <v>391467390</v>
      </c>
      <c r="Q946" s="2">
        <f>SUM($I$3:I946)</f>
        <v>13874</v>
      </c>
    </row>
    <row r="947" spans="1:17" x14ac:dyDescent="0.3">
      <c r="A947" s="7">
        <f t="shared" si="182"/>
        <v>945</v>
      </c>
      <c r="B947" s="2">
        <f t="shared" si="182"/>
        <v>1295</v>
      </c>
      <c r="C947" s="14">
        <f t="shared" si="190"/>
        <v>23004.571484890486</v>
      </c>
      <c r="D947" s="14">
        <f t="shared" si="191"/>
        <v>38283.594461291628</v>
      </c>
      <c r="E947" s="2">
        <v>1</v>
      </c>
      <c r="F947" s="2">
        <f t="shared" si="188"/>
        <v>8.8000000000000007</v>
      </c>
      <c r="G947" s="17">
        <f t="shared" si="189"/>
        <v>0.3761666666666667</v>
      </c>
      <c r="H947" s="8">
        <f t="shared" si="183"/>
        <v>1762220</v>
      </c>
      <c r="I947" s="9">
        <v>25</v>
      </c>
      <c r="L947" s="2">
        <f t="shared" si="184"/>
        <v>1762220</v>
      </c>
      <c r="M947" s="2">
        <f t="shared" si="185"/>
        <v>1295</v>
      </c>
      <c r="N947" s="15">
        <f t="shared" si="186"/>
        <v>23004.571484890486</v>
      </c>
      <c r="O947" s="15">
        <f t="shared" si="187"/>
        <v>38283.594461291628</v>
      </c>
      <c r="P947" s="16">
        <f>SUM($H$3:H947)</f>
        <v>393229610</v>
      </c>
      <c r="Q947" s="2">
        <f>SUM($I$3:I947)</f>
        <v>13899</v>
      </c>
    </row>
    <row r="948" spans="1:17" x14ac:dyDescent="0.3">
      <c r="A948" s="7">
        <f t="shared" si="182"/>
        <v>946</v>
      </c>
      <c r="B948" s="2">
        <f t="shared" si="182"/>
        <v>1296</v>
      </c>
      <c r="C948" s="14">
        <f t="shared" si="190"/>
        <v>23046.260868382127</v>
      </c>
      <c r="D948" s="14">
        <f t="shared" si="191"/>
        <v>38359.117139464564</v>
      </c>
      <c r="E948" s="2">
        <v>1</v>
      </c>
      <c r="F948" s="2">
        <f t="shared" si="188"/>
        <v>8.8000000000000007</v>
      </c>
      <c r="G948" s="17">
        <f t="shared" si="189"/>
        <v>0.37659999999999999</v>
      </c>
      <c r="H948" s="8">
        <f t="shared" si="183"/>
        <v>1774290</v>
      </c>
      <c r="I948" s="9">
        <v>25</v>
      </c>
      <c r="L948" s="2">
        <f t="shared" si="184"/>
        <v>1774290</v>
      </c>
      <c r="M948" s="2">
        <f t="shared" si="185"/>
        <v>1296</v>
      </c>
      <c r="N948" s="15">
        <f t="shared" si="186"/>
        <v>23046.260868382127</v>
      </c>
      <c r="O948" s="15">
        <f t="shared" si="187"/>
        <v>38359.117139464564</v>
      </c>
      <c r="P948" s="16">
        <f>SUM($H$3:H948)</f>
        <v>395003900</v>
      </c>
      <c r="Q948" s="2">
        <f>SUM($I$3:I948)</f>
        <v>13924</v>
      </c>
    </row>
    <row r="949" spans="1:17" x14ac:dyDescent="0.3">
      <c r="A949" s="7">
        <f t="shared" si="182"/>
        <v>947</v>
      </c>
      <c r="B949" s="2">
        <f t="shared" si="182"/>
        <v>1297</v>
      </c>
      <c r="C949" s="14">
        <f t="shared" si="190"/>
        <v>23087.963160806492</v>
      </c>
      <c r="D949" s="14">
        <f t="shared" si="191"/>
        <v>38434.686595401494</v>
      </c>
      <c r="E949" s="2">
        <v>1</v>
      </c>
      <c r="F949" s="2">
        <f t="shared" si="188"/>
        <v>8.8000000000000007</v>
      </c>
      <c r="G949" s="17">
        <f t="shared" si="189"/>
        <v>0.37703333333333333</v>
      </c>
      <c r="H949" s="8">
        <f t="shared" si="183"/>
        <v>1786360</v>
      </c>
      <c r="I949" s="9">
        <v>25</v>
      </c>
      <c r="L949" s="2">
        <f t="shared" si="184"/>
        <v>1786360</v>
      </c>
      <c r="M949" s="2">
        <f t="shared" si="185"/>
        <v>1297</v>
      </c>
      <c r="N949" s="15">
        <f t="shared" si="186"/>
        <v>23087.963160806492</v>
      </c>
      <c r="O949" s="15">
        <f t="shared" si="187"/>
        <v>38434.686595401494</v>
      </c>
      <c r="P949" s="16">
        <f>SUM($H$3:H949)</f>
        <v>396790260</v>
      </c>
      <c r="Q949" s="2">
        <f>SUM($I$3:I949)</f>
        <v>13949</v>
      </c>
    </row>
    <row r="950" spans="1:17" x14ac:dyDescent="0.3">
      <c r="A950" s="7">
        <f t="shared" si="182"/>
        <v>948</v>
      </c>
      <c r="B950" s="2">
        <f t="shared" si="182"/>
        <v>1298</v>
      </c>
      <c r="C950" s="14">
        <f t="shared" si="190"/>
        <v>23129.678346199456</v>
      </c>
      <c r="D950" s="14">
        <f t="shared" si="191"/>
        <v>38510.302785709144</v>
      </c>
      <c r="E950" s="2">
        <v>1</v>
      </c>
      <c r="F950" s="2">
        <f t="shared" si="188"/>
        <v>8.8000000000000007</v>
      </c>
      <c r="G950" s="17">
        <f t="shared" si="189"/>
        <v>0.37746666666666673</v>
      </c>
      <c r="H950" s="8">
        <f t="shared" si="183"/>
        <v>1798430</v>
      </c>
      <c r="I950" s="9">
        <v>25</v>
      </c>
      <c r="L950" s="2">
        <f t="shared" si="184"/>
        <v>1798430</v>
      </c>
      <c r="M950" s="2">
        <f t="shared" si="185"/>
        <v>1298</v>
      </c>
      <c r="N950" s="15">
        <f t="shared" si="186"/>
        <v>23129.678346199456</v>
      </c>
      <c r="O950" s="15">
        <f t="shared" si="187"/>
        <v>38510.302785709144</v>
      </c>
      <c r="P950" s="16">
        <f>SUM($H$3:H950)</f>
        <v>398588690</v>
      </c>
      <c r="Q950" s="2">
        <f>SUM($I$3:I950)</f>
        <v>13974</v>
      </c>
    </row>
    <row r="951" spans="1:17" x14ac:dyDescent="0.3">
      <c r="A951" s="7">
        <f t="shared" si="182"/>
        <v>949</v>
      </c>
      <c r="B951" s="2">
        <f t="shared" si="182"/>
        <v>1299</v>
      </c>
      <c r="C951" s="14">
        <f t="shared" si="190"/>
        <v>23171.406408641371</v>
      </c>
      <c r="D951" s="14">
        <f t="shared" si="191"/>
        <v>38585.965667101707</v>
      </c>
      <c r="E951" s="2">
        <v>1</v>
      </c>
      <c r="F951" s="2">
        <f t="shared" si="188"/>
        <v>8.8000000000000007</v>
      </c>
      <c r="G951" s="17">
        <f t="shared" si="189"/>
        <v>0.37790000000000001</v>
      </c>
      <c r="H951" s="8">
        <f t="shared" si="183"/>
        <v>1810500</v>
      </c>
      <c r="I951" s="9">
        <v>25</v>
      </c>
      <c r="L951" s="2">
        <f t="shared" si="184"/>
        <v>1810500</v>
      </c>
      <c r="M951" s="2">
        <f t="shared" si="185"/>
        <v>1299</v>
      </c>
      <c r="N951" s="15">
        <f t="shared" si="186"/>
        <v>23171.406408641371</v>
      </c>
      <c r="O951" s="15">
        <f t="shared" si="187"/>
        <v>38585.965667101707</v>
      </c>
      <c r="P951" s="16">
        <f>SUM($H$3:H951)</f>
        <v>400399190</v>
      </c>
      <c r="Q951" s="2">
        <f>SUM($I$3:I951)</f>
        <v>13999</v>
      </c>
    </row>
    <row r="952" spans="1:17" x14ac:dyDescent="0.3">
      <c r="A952" s="7">
        <f t="shared" si="182"/>
        <v>950</v>
      </c>
      <c r="B952" s="2">
        <f t="shared" si="182"/>
        <v>1300</v>
      </c>
      <c r="C952" s="14">
        <f t="shared" si="190"/>
        <v>23213.147332256602</v>
      </c>
      <c r="D952" s="14">
        <f t="shared" si="191"/>
        <v>38661.675196399869</v>
      </c>
      <c r="E952" s="2">
        <v>1</v>
      </c>
      <c r="F952" s="2">
        <f t="shared" si="188"/>
        <v>8.8000000000000007</v>
      </c>
      <c r="G952" s="17">
        <f t="shared" si="189"/>
        <v>0.37833333333333335</v>
      </c>
      <c r="H952" s="8">
        <f t="shared" si="183"/>
        <v>1822570</v>
      </c>
      <c r="I952" s="9">
        <v>25</v>
      </c>
      <c r="L952" s="2">
        <f t="shared" si="184"/>
        <v>1822570</v>
      </c>
      <c r="M952" s="2">
        <f t="shared" si="185"/>
        <v>1300</v>
      </c>
      <c r="N952" s="15">
        <f t="shared" si="186"/>
        <v>23213.147332256602</v>
      </c>
      <c r="O952" s="15">
        <f t="shared" si="187"/>
        <v>38661.675196399869</v>
      </c>
      <c r="P952" s="16">
        <f>SUM($H$3:H952)</f>
        <v>402221760</v>
      </c>
      <c r="Q952" s="2">
        <f>SUM($I$3:I952)</f>
        <v>14024</v>
      </c>
    </row>
    <row r="953" spans="1:17" x14ac:dyDescent="0.3">
      <c r="A953" s="7">
        <f t="shared" si="182"/>
        <v>951</v>
      </c>
      <c r="B953" s="2">
        <f t="shared" si="182"/>
        <v>1301</v>
      </c>
      <c r="C953" s="14">
        <f t="shared" si="190"/>
        <v>23254.901101213629</v>
      </c>
      <c r="D953" s="14">
        <f t="shared" si="191"/>
        <v>38737.431330530839</v>
      </c>
      <c r="E953" s="2">
        <v>1</v>
      </c>
      <c r="F953" s="2">
        <f t="shared" si="188"/>
        <v>8.8000000000000007</v>
      </c>
      <c r="G953" s="17">
        <f t="shared" si="189"/>
        <v>0.37876666666666664</v>
      </c>
      <c r="H953" s="8">
        <f t="shared" si="183"/>
        <v>1834640</v>
      </c>
      <c r="I953" s="9">
        <v>25</v>
      </c>
      <c r="L953" s="2">
        <f t="shared" si="184"/>
        <v>1834640</v>
      </c>
      <c r="M953" s="2">
        <f t="shared" si="185"/>
        <v>1301</v>
      </c>
      <c r="N953" s="15">
        <f t="shared" si="186"/>
        <v>23254.901101213629</v>
      </c>
      <c r="O953" s="15">
        <f t="shared" si="187"/>
        <v>38737.431330530839</v>
      </c>
      <c r="P953" s="16">
        <f>SUM($H$3:H953)</f>
        <v>404056400</v>
      </c>
      <c r="Q953" s="2">
        <f>SUM($I$3:I953)</f>
        <v>14049</v>
      </c>
    </row>
    <row r="954" spans="1:17" x14ac:dyDescent="0.3">
      <c r="A954" s="7">
        <f t="shared" si="182"/>
        <v>952</v>
      </c>
      <c r="B954" s="2">
        <f t="shared" si="182"/>
        <v>1302</v>
      </c>
      <c r="C954" s="14">
        <f t="shared" si="190"/>
        <v>23296.667699724665</v>
      </c>
      <c r="D954" s="14">
        <f t="shared" si="191"/>
        <v>38813.234026527556</v>
      </c>
      <c r="E954" s="2">
        <v>1</v>
      </c>
      <c r="F954" s="2">
        <f t="shared" si="188"/>
        <v>8.8000000000000007</v>
      </c>
      <c r="G954" s="17">
        <f t="shared" si="189"/>
        <v>0.37920000000000004</v>
      </c>
      <c r="H954" s="8">
        <f t="shared" si="183"/>
        <v>1846710</v>
      </c>
      <c r="I954" s="9">
        <v>25</v>
      </c>
      <c r="L954" s="2">
        <f t="shared" si="184"/>
        <v>1846710</v>
      </c>
      <c r="M954" s="2">
        <f t="shared" si="185"/>
        <v>1302</v>
      </c>
      <c r="N954" s="15">
        <f t="shared" si="186"/>
        <v>23296.667699724665</v>
      </c>
      <c r="O954" s="15">
        <f t="shared" si="187"/>
        <v>38813.234026527556</v>
      </c>
      <c r="P954" s="16">
        <f>SUM($H$3:H954)</f>
        <v>405903110</v>
      </c>
      <c r="Q954" s="2">
        <f>SUM($I$3:I954)</f>
        <v>14074</v>
      </c>
    </row>
    <row r="955" spans="1:17" x14ac:dyDescent="0.3">
      <c r="A955" s="7">
        <f t="shared" si="182"/>
        <v>953</v>
      </c>
      <c r="B955" s="2">
        <f t="shared" si="182"/>
        <v>1303</v>
      </c>
      <c r="C955" s="14">
        <f t="shared" si="190"/>
        <v>23338.447112045433</v>
      </c>
      <c r="D955" s="14">
        <f t="shared" si="191"/>
        <v>38889.083241528519</v>
      </c>
      <c r="E955" s="2">
        <v>1</v>
      </c>
      <c r="F955" s="2">
        <f t="shared" si="188"/>
        <v>8.8000000000000007</v>
      </c>
      <c r="G955" s="17">
        <f t="shared" si="189"/>
        <v>0.37963333333333338</v>
      </c>
      <c r="H955" s="8">
        <f t="shared" si="183"/>
        <v>1858780</v>
      </c>
      <c r="I955" s="9">
        <v>25</v>
      </c>
      <c r="L955" s="2">
        <f t="shared" si="184"/>
        <v>1858780</v>
      </c>
      <c r="M955" s="2">
        <f t="shared" si="185"/>
        <v>1303</v>
      </c>
      <c r="N955" s="15">
        <f t="shared" si="186"/>
        <v>23338.447112045433</v>
      </c>
      <c r="O955" s="15">
        <f t="shared" si="187"/>
        <v>38889.083241528519</v>
      </c>
      <c r="P955" s="16">
        <f>SUM($H$3:H955)</f>
        <v>407761890</v>
      </c>
      <c r="Q955" s="2">
        <f>SUM($I$3:I955)</f>
        <v>14099</v>
      </c>
    </row>
    <row r="956" spans="1:17" x14ac:dyDescent="0.3">
      <c r="A956" s="7">
        <f t="shared" si="182"/>
        <v>954</v>
      </c>
      <c r="B956" s="2">
        <f t="shared" si="182"/>
        <v>1304</v>
      </c>
      <c r="C956" s="14">
        <f t="shared" si="190"/>
        <v>23380.239322475169</v>
      </c>
      <c r="D956" s="14">
        <f t="shared" si="191"/>
        <v>38964.978932777216</v>
      </c>
      <c r="E956" s="2">
        <v>1</v>
      </c>
      <c r="F956" s="2">
        <f t="shared" si="188"/>
        <v>8.8000000000000007</v>
      </c>
      <c r="G956" s="17">
        <f t="shared" si="189"/>
        <v>0.38006666666666666</v>
      </c>
      <c r="H956" s="8">
        <f t="shared" si="183"/>
        <v>1870850</v>
      </c>
      <c r="I956" s="9">
        <v>25</v>
      </c>
      <c r="L956" s="2">
        <f t="shared" si="184"/>
        <v>1870850</v>
      </c>
      <c r="M956" s="2">
        <f t="shared" si="185"/>
        <v>1304</v>
      </c>
      <c r="N956" s="15">
        <f t="shared" si="186"/>
        <v>23380.239322475169</v>
      </c>
      <c r="O956" s="15">
        <f t="shared" si="187"/>
        <v>38964.978932777216</v>
      </c>
      <c r="P956" s="16">
        <f>SUM($H$3:H956)</f>
        <v>409632740</v>
      </c>
      <c r="Q956" s="2">
        <f>SUM($I$3:I956)</f>
        <v>14124</v>
      </c>
    </row>
    <row r="957" spans="1:17" x14ac:dyDescent="0.3">
      <c r="A957" s="7">
        <f t="shared" si="182"/>
        <v>955</v>
      </c>
      <c r="B957" s="2">
        <f t="shared" si="182"/>
        <v>1305</v>
      </c>
      <c r="C957" s="14">
        <f t="shared" si="190"/>
        <v>23422.044315356259</v>
      </c>
      <c r="D957" s="14">
        <f t="shared" si="191"/>
        <v>39040.92105762189</v>
      </c>
      <c r="E957" s="2">
        <v>1</v>
      </c>
      <c r="F957" s="2">
        <f t="shared" si="188"/>
        <v>8.8000000000000007</v>
      </c>
      <c r="G957" s="17">
        <f t="shared" si="189"/>
        <v>0.3805</v>
      </c>
      <c r="H957" s="8">
        <f t="shared" si="183"/>
        <v>1882920</v>
      </c>
      <c r="I957" s="9">
        <v>25</v>
      </c>
      <c r="L957" s="2">
        <f t="shared" si="184"/>
        <v>1882920</v>
      </c>
      <c r="M957" s="2">
        <f t="shared" si="185"/>
        <v>1305</v>
      </c>
      <c r="N957" s="15">
        <f t="shared" si="186"/>
        <v>23422.044315356259</v>
      </c>
      <c r="O957" s="15">
        <f t="shared" si="187"/>
        <v>39040.92105762189</v>
      </c>
      <c r="P957" s="16">
        <f>SUM($H$3:H957)</f>
        <v>411515660</v>
      </c>
      <c r="Q957" s="2">
        <f>SUM($I$3:I957)</f>
        <v>14149</v>
      </c>
    </row>
    <row r="958" spans="1:17" x14ac:dyDescent="0.3">
      <c r="A958" s="7">
        <f t="shared" si="182"/>
        <v>956</v>
      </c>
      <c r="B958" s="2">
        <f t="shared" si="182"/>
        <v>1306</v>
      </c>
      <c r="C958" s="14">
        <f t="shared" si="190"/>
        <v>23463.86207507419</v>
      </c>
      <c r="D958" s="14">
        <f t="shared" si="191"/>
        <v>39116.909573514829</v>
      </c>
      <c r="E958" s="2">
        <v>1</v>
      </c>
      <c r="F958" s="2">
        <f t="shared" si="188"/>
        <v>8.8000000000000007</v>
      </c>
      <c r="G958" s="17">
        <f t="shared" si="189"/>
        <v>0.3809333333333334</v>
      </c>
      <c r="H958" s="8">
        <f t="shared" si="183"/>
        <v>1894990</v>
      </c>
      <c r="I958" s="9">
        <v>25</v>
      </c>
      <c r="L958" s="2">
        <f t="shared" si="184"/>
        <v>1894990</v>
      </c>
      <c r="M958" s="2">
        <f t="shared" si="185"/>
        <v>1306</v>
      </c>
      <c r="N958" s="15">
        <f t="shared" si="186"/>
        <v>23463.86207507419</v>
      </c>
      <c r="O958" s="15">
        <f t="shared" si="187"/>
        <v>39116.909573514829</v>
      </c>
      <c r="P958" s="16">
        <f>SUM($H$3:H958)</f>
        <v>413410650</v>
      </c>
      <c r="Q958" s="2">
        <f>SUM($I$3:I958)</f>
        <v>14174</v>
      </c>
    </row>
    <row r="959" spans="1:17" x14ac:dyDescent="0.3">
      <c r="A959" s="7">
        <f t="shared" si="182"/>
        <v>957</v>
      </c>
      <c r="B959" s="2">
        <f t="shared" si="182"/>
        <v>1307</v>
      </c>
      <c r="C959" s="14">
        <f t="shared" si="190"/>
        <v>23505.692586057223</v>
      </c>
      <c r="D959" s="14">
        <f t="shared" si="191"/>
        <v>39192.944438012288</v>
      </c>
      <c r="E959" s="2">
        <v>1</v>
      </c>
      <c r="F959" s="2">
        <f t="shared" si="188"/>
        <v>8.8000000000000007</v>
      </c>
      <c r="G959" s="17">
        <f t="shared" si="189"/>
        <v>0.38136666666666669</v>
      </c>
      <c r="H959" s="8">
        <f t="shared" si="183"/>
        <v>1907060</v>
      </c>
      <c r="I959" s="9">
        <v>25</v>
      </c>
      <c r="L959" s="2">
        <f t="shared" si="184"/>
        <v>1907060</v>
      </c>
      <c r="M959" s="2">
        <f t="shared" si="185"/>
        <v>1307</v>
      </c>
      <c r="N959" s="15">
        <f t="shared" si="186"/>
        <v>23505.692586057223</v>
      </c>
      <c r="O959" s="15">
        <f t="shared" si="187"/>
        <v>39192.944438012288</v>
      </c>
      <c r="P959" s="16">
        <f>SUM($H$3:H959)</f>
        <v>415317710</v>
      </c>
      <c r="Q959" s="2">
        <f>SUM($I$3:I959)</f>
        <v>14199</v>
      </c>
    </row>
    <row r="960" spans="1:17" x14ac:dyDescent="0.3">
      <c r="A960" s="7">
        <f t="shared" si="182"/>
        <v>958</v>
      </c>
      <c r="B960" s="2">
        <f t="shared" si="182"/>
        <v>1308</v>
      </c>
      <c r="C960" s="14">
        <f t="shared" si="190"/>
        <v>23547.53583277639</v>
      </c>
      <c r="D960" s="14">
        <f t="shared" si="191"/>
        <v>39269.025608773838</v>
      </c>
      <c r="E960" s="2">
        <v>1</v>
      </c>
      <c r="F960" s="2">
        <f t="shared" si="188"/>
        <v>8.8000000000000007</v>
      </c>
      <c r="G960" s="17">
        <f t="shared" si="189"/>
        <v>0.38180000000000003</v>
      </c>
      <c r="H960" s="8">
        <f t="shared" si="183"/>
        <v>1919130</v>
      </c>
      <c r="I960" s="9">
        <v>25</v>
      </c>
      <c r="L960" s="2">
        <f t="shared" si="184"/>
        <v>1919130</v>
      </c>
      <c r="M960" s="2">
        <f t="shared" si="185"/>
        <v>1308</v>
      </c>
      <c r="N960" s="15">
        <f t="shared" si="186"/>
        <v>23547.53583277639</v>
      </c>
      <c r="O960" s="15">
        <f t="shared" si="187"/>
        <v>39269.025608773838</v>
      </c>
      <c r="P960" s="16">
        <f>SUM($H$3:H960)</f>
        <v>417236840</v>
      </c>
      <c r="Q960" s="2">
        <f>SUM($I$3:I960)</f>
        <v>14224</v>
      </c>
    </row>
    <row r="961" spans="1:17" x14ac:dyDescent="0.3">
      <c r="A961" s="7">
        <f t="shared" si="182"/>
        <v>959</v>
      </c>
      <c r="B961" s="2">
        <f t="shared" si="182"/>
        <v>1309</v>
      </c>
      <c r="C961" s="14">
        <f t="shared" si="190"/>
        <v>23589.391799745081</v>
      </c>
      <c r="D961" s="14">
        <f t="shared" si="191"/>
        <v>39345.153043562095</v>
      </c>
      <c r="E961" s="2">
        <v>1</v>
      </c>
      <c r="F961" s="2">
        <f t="shared" si="188"/>
        <v>8.8000000000000007</v>
      </c>
      <c r="G961" s="17">
        <f t="shared" si="189"/>
        <v>0.38223333333333331</v>
      </c>
      <c r="H961" s="8">
        <f t="shared" si="183"/>
        <v>1931200</v>
      </c>
      <c r="I961" s="9">
        <v>25</v>
      </c>
      <c r="L961" s="2">
        <f t="shared" si="184"/>
        <v>1931200</v>
      </c>
      <c r="M961" s="2">
        <f t="shared" si="185"/>
        <v>1309</v>
      </c>
      <c r="N961" s="15">
        <f t="shared" si="186"/>
        <v>23589.391799745081</v>
      </c>
      <c r="O961" s="15">
        <f t="shared" si="187"/>
        <v>39345.153043562095</v>
      </c>
      <c r="P961" s="16">
        <f>SUM($H$3:H961)</f>
        <v>419168040</v>
      </c>
      <c r="Q961" s="2">
        <f>SUM($I$3:I961)</f>
        <v>14249</v>
      </c>
    </row>
    <row r="962" spans="1:17" x14ac:dyDescent="0.3">
      <c r="A962" s="7">
        <f t="shared" si="182"/>
        <v>960</v>
      </c>
      <c r="B962" s="2">
        <f t="shared" si="182"/>
        <v>1310</v>
      </c>
      <c r="C962" s="14">
        <f t="shared" si="190"/>
        <v>23631.260471519083</v>
      </c>
      <c r="D962" s="14">
        <f t="shared" si="191"/>
        <v>39421.326700242098</v>
      </c>
      <c r="E962" s="2">
        <v>1</v>
      </c>
      <c r="F962" s="2">
        <f t="shared" si="188"/>
        <v>9</v>
      </c>
      <c r="G962" s="17">
        <f t="shared" si="189"/>
        <v>0.38266666666666671</v>
      </c>
      <c r="H962" s="8">
        <f t="shared" si="183"/>
        <v>1943270</v>
      </c>
      <c r="I962" s="9">
        <v>25</v>
      </c>
      <c r="L962" s="2">
        <f t="shared" si="184"/>
        <v>1943270</v>
      </c>
      <c r="M962" s="2">
        <f t="shared" si="185"/>
        <v>1310</v>
      </c>
      <c r="N962" s="15">
        <f t="shared" si="186"/>
        <v>23631.260471519083</v>
      </c>
      <c r="O962" s="15">
        <f t="shared" si="187"/>
        <v>39421.326700242098</v>
      </c>
      <c r="P962" s="16">
        <f>SUM($H$3:H962)</f>
        <v>421111310</v>
      </c>
      <c r="Q962" s="2">
        <f>SUM($I$3:I962)</f>
        <v>14274</v>
      </c>
    </row>
    <row r="963" spans="1:17" x14ac:dyDescent="0.3">
      <c r="A963" s="7">
        <f t="shared" si="182"/>
        <v>961</v>
      </c>
      <c r="B963" s="2">
        <f t="shared" si="182"/>
        <v>1311</v>
      </c>
      <c r="C963" s="14">
        <f t="shared" si="190"/>
        <v>23673.141832696288</v>
      </c>
      <c r="D963" s="14">
        <f t="shared" si="191"/>
        <v>39497.546536781294</v>
      </c>
      <c r="E963" s="2">
        <v>1</v>
      </c>
      <c r="F963" s="2">
        <f t="shared" si="188"/>
        <v>9</v>
      </c>
      <c r="G963" s="17">
        <f t="shared" si="189"/>
        <v>0.38310000000000005</v>
      </c>
      <c r="H963" s="8">
        <f t="shared" si="183"/>
        <v>1955340</v>
      </c>
      <c r="I963" s="9">
        <v>25</v>
      </c>
      <c r="L963" s="2">
        <f t="shared" si="184"/>
        <v>1955340</v>
      </c>
      <c r="M963" s="2">
        <f t="shared" si="185"/>
        <v>1311</v>
      </c>
      <c r="N963" s="15">
        <f t="shared" si="186"/>
        <v>23673.141832696288</v>
      </c>
      <c r="O963" s="15">
        <f t="shared" si="187"/>
        <v>39497.546536781294</v>
      </c>
      <c r="P963" s="16">
        <f>SUM($H$3:H963)</f>
        <v>423066650</v>
      </c>
      <c r="Q963" s="2">
        <f>SUM($I$3:I963)</f>
        <v>14299</v>
      </c>
    </row>
    <row r="964" spans="1:17" x14ac:dyDescent="0.3">
      <c r="A964" s="7">
        <f t="shared" si="182"/>
        <v>962</v>
      </c>
      <c r="B964" s="2">
        <f t="shared" si="182"/>
        <v>1312</v>
      </c>
      <c r="C964" s="14">
        <f t="shared" si="190"/>
        <v>23715.035867916551</v>
      </c>
      <c r="D964" s="14">
        <f t="shared" si="191"/>
        <v>39573.812511248783</v>
      </c>
      <c r="E964" s="2">
        <v>1</v>
      </c>
      <c r="F964" s="2">
        <f t="shared" si="188"/>
        <v>9</v>
      </c>
      <c r="G964" s="17">
        <f t="shared" si="189"/>
        <v>0.38353333333333334</v>
      </c>
      <c r="H964" s="8">
        <f t="shared" si="183"/>
        <v>1967410</v>
      </c>
      <c r="I964" s="9">
        <v>25</v>
      </c>
      <c r="L964" s="2">
        <f t="shared" si="184"/>
        <v>1967410</v>
      </c>
      <c r="M964" s="2">
        <f t="shared" si="185"/>
        <v>1312</v>
      </c>
      <c r="N964" s="15">
        <f t="shared" si="186"/>
        <v>23715.035867916551</v>
      </c>
      <c r="O964" s="15">
        <f t="shared" si="187"/>
        <v>39573.812511248783</v>
      </c>
      <c r="P964" s="16">
        <f>SUM($H$3:H964)</f>
        <v>425034060</v>
      </c>
      <c r="Q964" s="2">
        <f>SUM($I$3:I964)</f>
        <v>14324</v>
      </c>
    </row>
    <row r="965" spans="1:17" x14ac:dyDescent="0.3">
      <c r="A965" s="7">
        <f t="shared" ref="A965:B1002" si="192">A964+1</f>
        <v>963</v>
      </c>
      <c r="B965" s="2">
        <f t="shared" si="192"/>
        <v>1313</v>
      </c>
      <c r="C965" s="14">
        <f t="shared" si="190"/>
        <v>23756.942561861459</v>
      </c>
      <c r="D965" s="14">
        <f t="shared" si="191"/>
        <v>39650.124581814969</v>
      </c>
      <c r="E965" s="2">
        <v>1</v>
      </c>
      <c r="F965" s="2">
        <f t="shared" si="188"/>
        <v>9</v>
      </c>
      <c r="G965" s="17">
        <f t="shared" si="189"/>
        <v>0.38396666666666668</v>
      </c>
      <c r="H965" s="8">
        <f t="shared" si="183"/>
        <v>1979480</v>
      </c>
      <c r="I965" s="9">
        <v>25</v>
      </c>
      <c r="L965" s="2">
        <f t="shared" si="184"/>
        <v>1979480</v>
      </c>
      <c r="M965" s="2">
        <f t="shared" si="185"/>
        <v>1313</v>
      </c>
      <c r="N965" s="15">
        <f t="shared" si="186"/>
        <v>23756.942561861459</v>
      </c>
      <c r="O965" s="15">
        <f t="shared" si="187"/>
        <v>39650.124581814969</v>
      </c>
      <c r="P965" s="16">
        <f>SUM($H$3:H965)</f>
        <v>427013540</v>
      </c>
      <c r="Q965" s="2">
        <f>SUM($I$3:I965)</f>
        <v>14349</v>
      </c>
    </row>
    <row r="966" spans="1:17" x14ac:dyDescent="0.3">
      <c r="A966" s="7">
        <f t="shared" si="192"/>
        <v>964</v>
      </c>
      <c r="B966" s="2">
        <f t="shared" si="192"/>
        <v>1314</v>
      </c>
      <c r="C966" s="14">
        <f t="shared" si="190"/>
        <v>23798.861899254214</v>
      </c>
      <c r="D966" s="14">
        <f t="shared" si="191"/>
        <v>39726.482706751362</v>
      </c>
      <c r="E966" s="2">
        <v>1</v>
      </c>
      <c r="F966" s="2">
        <f t="shared" si="188"/>
        <v>9</v>
      </c>
      <c r="G966" s="17">
        <f t="shared" si="189"/>
        <v>0.38440000000000007</v>
      </c>
      <c r="H966" s="8">
        <f t="shared" si="183"/>
        <v>1991550</v>
      </c>
      <c r="I966" s="9">
        <v>25</v>
      </c>
      <c r="L966" s="2">
        <f t="shared" si="184"/>
        <v>1991550</v>
      </c>
      <c r="M966" s="2">
        <f t="shared" si="185"/>
        <v>1314</v>
      </c>
      <c r="N966" s="15">
        <f t="shared" si="186"/>
        <v>23798.861899254214</v>
      </c>
      <c r="O966" s="15">
        <f t="shared" si="187"/>
        <v>39726.482706751362</v>
      </c>
      <c r="P966" s="16">
        <f>SUM($H$3:H966)</f>
        <v>429005090</v>
      </c>
      <c r="Q966" s="2">
        <f>SUM($I$3:I966)</f>
        <v>14374</v>
      </c>
    </row>
    <row r="967" spans="1:17" x14ac:dyDescent="0.3">
      <c r="A967" s="7">
        <f t="shared" si="192"/>
        <v>965</v>
      </c>
      <c r="B967" s="2">
        <f t="shared" si="192"/>
        <v>1315</v>
      </c>
      <c r="C967" s="14">
        <f t="shared" si="190"/>
        <v>23840.793864859486</v>
      </c>
      <c r="D967" s="14">
        <f t="shared" si="191"/>
        <v>39802.886844429944</v>
      </c>
      <c r="E967" s="2">
        <v>1</v>
      </c>
      <c r="F967" s="2">
        <f t="shared" si="188"/>
        <v>9</v>
      </c>
      <c r="G967" s="17">
        <f t="shared" si="189"/>
        <v>0.38483333333333336</v>
      </c>
      <c r="H967" s="8">
        <f t="shared" ref="H967:H1002" si="193">(A967-799)*12070</f>
        <v>2003620</v>
      </c>
      <c r="I967" s="9">
        <v>25</v>
      </c>
      <c r="L967" s="2">
        <f t="shared" si="184"/>
        <v>2003620</v>
      </c>
      <c r="M967" s="2">
        <f t="shared" si="185"/>
        <v>1315</v>
      </c>
      <c r="N967" s="15">
        <f t="shared" si="186"/>
        <v>23840.793864859486</v>
      </c>
      <c r="O967" s="15">
        <f t="shared" si="187"/>
        <v>39802.886844429944</v>
      </c>
      <c r="P967" s="16">
        <f>SUM($H$3:H967)</f>
        <v>431008710</v>
      </c>
      <c r="Q967" s="2">
        <f>SUM($I$3:I967)</f>
        <v>14399</v>
      </c>
    </row>
    <row r="968" spans="1:17" x14ac:dyDescent="0.3">
      <c r="A968" s="7">
        <f t="shared" si="192"/>
        <v>966</v>
      </c>
      <c r="B968" s="2">
        <f t="shared" si="192"/>
        <v>1316</v>
      </c>
      <c r="C968" s="14">
        <f t="shared" si="190"/>
        <v>23882.738443483082</v>
      </c>
      <c r="D968" s="14">
        <f t="shared" si="191"/>
        <v>39879.336953323014</v>
      </c>
      <c r="E968" s="2">
        <v>1</v>
      </c>
      <c r="F968" s="2">
        <f t="shared" si="188"/>
        <v>9</v>
      </c>
      <c r="G968" s="17">
        <f t="shared" si="189"/>
        <v>0.3852666666666667</v>
      </c>
      <c r="H968" s="8">
        <f t="shared" si="193"/>
        <v>2015690</v>
      </c>
      <c r="I968" s="9">
        <v>25</v>
      </c>
      <c r="L968" s="2">
        <f t="shared" si="184"/>
        <v>2015690</v>
      </c>
      <c r="M968" s="2">
        <f t="shared" si="185"/>
        <v>1316</v>
      </c>
      <c r="N968" s="15">
        <f t="shared" si="186"/>
        <v>23882.738443483082</v>
      </c>
      <c r="O968" s="15">
        <f t="shared" si="187"/>
        <v>39879.336953323014</v>
      </c>
      <c r="P968" s="16">
        <f>SUM($H$3:H968)</f>
        <v>433024400</v>
      </c>
      <c r="Q968" s="2">
        <f>SUM($I$3:I968)</f>
        <v>14424</v>
      </c>
    </row>
    <row r="969" spans="1:17" x14ac:dyDescent="0.3">
      <c r="A969" s="7">
        <f t="shared" si="192"/>
        <v>967</v>
      </c>
      <c r="B969" s="2">
        <f t="shared" si="192"/>
        <v>1317</v>
      </c>
      <c r="C969" s="14">
        <f t="shared" si="190"/>
        <v>23924.695619971968</v>
      </c>
      <c r="D969" s="14">
        <f t="shared" si="191"/>
        <v>39955.832992002557</v>
      </c>
      <c r="E969" s="2">
        <v>1</v>
      </c>
      <c r="F969" s="2">
        <f t="shared" si="188"/>
        <v>9</v>
      </c>
      <c r="G969" s="17">
        <f t="shared" si="189"/>
        <v>0.38569999999999999</v>
      </c>
      <c r="H969" s="8">
        <f t="shared" si="193"/>
        <v>2027760</v>
      </c>
      <c r="I969" s="9">
        <v>25</v>
      </c>
      <c r="L969" s="2">
        <f t="shared" ref="L969:L1003" si="194">H969</f>
        <v>2027760</v>
      </c>
      <c r="M969" s="2">
        <f t="shared" ref="M969:M1002" si="195">B969</f>
        <v>1317</v>
      </c>
      <c r="N969" s="15">
        <f t="shared" ref="N969:N1002" si="196">C969</f>
        <v>23924.695619971968</v>
      </c>
      <c r="O969" s="15">
        <f t="shared" ref="O969:O1002" si="197">D969</f>
        <v>39955.832992002557</v>
      </c>
      <c r="P969" s="16">
        <f>SUM($H$3:H969)</f>
        <v>435052160</v>
      </c>
      <c r="Q969" s="2">
        <f>SUM($I$3:I969)</f>
        <v>14449</v>
      </c>
    </row>
    <row r="970" spans="1:17" x14ac:dyDescent="0.3">
      <c r="A970" s="7">
        <f t="shared" si="192"/>
        <v>968</v>
      </c>
      <c r="B970" s="2">
        <f t="shared" si="192"/>
        <v>1318</v>
      </c>
      <c r="C970" s="14">
        <f t="shared" si="190"/>
        <v>23966.665379214013</v>
      </c>
      <c r="D970" s="14">
        <f t="shared" si="191"/>
        <v>40032.374919139984</v>
      </c>
      <c r="E970" s="2">
        <v>1</v>
      </c>
      <c r="F970" s="2">
        <f t="shared" si="188"/>
        <v>9</v>
      </c>
      <c r="G970" s="17">
        <f t="shared" si="189"/>
        <v>0.38613333333333338</v>
      </c>
      <c r="H970" s="8">
        <f t="shared" si="193"/>
        <v>2039830</v>
      </c>
      <c r="I970" s="9">
        <v>25</v>
      </c>
      <c r="L970" s="2">
        <f t="shared" si="194"/>
        <v>2039830</v>
      </c>
      <c r="M970" s="2">
        <f t="shared" si="195"/>
        <v>1318</v>
      </c>
      <c r="N970" s="15">
        <f t="shared" si="196"/>
        <v>23966.665379214013</v>
      </c>
      <c r="O970" s="15">
        <f t="shared" si="197"/>
        <v>40032.374919139984</v>
      </c>
      <c r="P970" s="16">
        <f>SUM($H$3:H970)</f>
        <v>437091990</v>
      </c>
      <c r="Q970" s="2">
        <f>SUM($I$3:I970)</f>
        <v>14474</v>
      </c>
    </row>
    <row r="971" spans="1:17" x14ac:dyDescent="0.3">
      <c r="A971" s="7">
        <f t="shared" si="192"/>
        <v>969</v>
      </c>
      <c r="B971" s="2">
        <f t="shared" si="192"/>
        <v>1319</v>
      </c>
      <c r="C971" s="14">
        <f t="shared" si="190"/>
        <v>24008.647706137763</v>
      </c>
      <c r="D971" s="14">
        <f t="shared" si="191"/>
        <v>40108.96269350576</v>
      </c>
      <c r="E971" s="2">
        <v>1</v>
      </c>
      <c r="F971" s="2">
        <f t="shared" ref="F971:F1002" si="198">F951+0.2</f>
        <v>9</v>
      </c>
      <c r="G971" s="17">
        <f t="shared" si="189"/>
        <v>0.38656666666666673</v>
      </c>
      <c r="H971" s="8">
        <f t="shared" si="193"/>
        <v>2051900</v>
      </c>
      <c r="I971" s="9">
        <v>25</v>
      </c>
      <c r="L971" s="2">
        <f t="shared" si="194"/>
        <v>2051900</v>
      </c>
      <c r="M971" s="2">
        <f t="shared" si="195"/>
        <v>1319</v>
      </c>
      <c r="N971" s="15">
        <f t="shared" si="196"/>
        <v>24008.647706137763</v>
      </c>
      <c r="O971" s="15">
        <f t="shared" si="197"/>
        <v>40108.96269350576</v>
      </c>
      <c r="P971" s="16">
        <f>SUM($H$3:H971)</f>
        <v>439143890</v>
      </c>
      <c r="Q971" s="2">
        <f>SUM($I$3:I971)</f>
        <v>14499</v>
      </c>
    </row>
    <row r="972" spans="1:17" x14ac:dyDescent="0.3">
      <c r="A972" s="7">
        <f t="shared" si="192"/>
        <v>970</v>
      </c>
      <c r="B972" s="2">
        <f t="shared" si="192"/>
        <v>1320</v>
      </c>
      <c r="C972" s="14">
        <f t="shared" si="190"/>
        <v>24050.642585712296</v>
      </c>
      <c r="D972" s="14">
        <f t="shared" si="191"/>
        <v>40185.596273968949</v>
      </c>
      <c r="E972" s="2">
        <v>1</v>
      </c>
      <c r="F972" s="2">
        <f t="shared" si="198"/>
        <v>9</v>
      </c>
      <c r="G972" s="17">
        <f t="shared" si="189"/>
        <v>0.38700000000000001</v>
      </c>
      <c r="H972" s="8">
        <f t="shared" si="193"/>
        <v>2063970</v>
      </c>
      <c r="I972" s="9">
        <v>25</v>
      </c>
      <c r="L972" s="2">
        <f t="shared" si="194"/>
        <v>2063970</v>
      </c>
      <c r="M972" s="2">
        <f t="shared" si="195"/>
        <v>1320</v>
      </c>
      <c r="N972" s="15">
        <f t="shared" si="196"/>
        <v>24050.642585712296</v>
      </c>
      <c r="O972" s="15">
        <f t="shared" si="197"/>
        <v>40185.596273968949</v>
      </c>
      <c r="P972" s="16">
        <f>SUM($H$3:H972)</f>
        <v>441207860</v>
      </c>
      <c r="Q972" s="2">
        <f>SUM($I$3:I972)</f>
        <v>14524</v>
      </c>
    </row>
    <row r="973" spans="1:17" x14ac:dyDescent="0.3">
      <c r="A973" s="7">
        <f t="shared" si="192"/>
        <v>971</v>
      </c>
      <c r="B973" s="2">
        <f t="shared" si="192"/>
        <v>1321</v>
      </c>
      <c r="C973" s="14">
        <f t="shared" si="190"/>
        <v>24092.650002947201</v>
      </c>
      <c r="D973" s="14">
        <f t="shared" si="191"/>
        <v>40262.275619496977</v>
      </c>
      <c r="E973" s="2">
        <v>1</v>
      </c>
      <c r="F973" s="2">
        <f t="shared" si="198"/>
        <v>9</v>
      </c>
      <c r="G973" s="17">
        <f t="shared" si="189"/>
        <v>0.38743333333333335</v>
      </c>
      <c r="H973" s="8">
        <f t="shared" si="193"/>
        <v>2076040</v>
      </c>
      <c r="I973" s="9">
        <v>25</v>
      </c>
      <c r="L973" s="2">
        <f t="shared" si="194"/>
        <v>2076040</v>
      </c>
      <c r="M973" s="2">
        <f t="shared" si="195"/>
        <v>1321</v>
      </c>
      <c r="N973" s="15">
        <f t="shared" si="196"/>
        <v>24092.650002947201</v>
      </c>
      <c r="O973" s="15">
        <f t="shared" si="197"/>
        <v>40262.275619496977</v>
      </c>
      <c r="P973" s="16">
        <f>SUM($H$3:H973)</f>
        <v>443283900</v>
      </c>
      <c r="Q973" s="2">
        <f>SUM($I$3:I973)</f>
        <v>14549</v>
      </c>
    </row>
    <row r="974" spans="1:17" x14ac:dyDescent="0.3">
      <c r="A974" s="7">
        <f t="shared" si="192"/>
        <v>972</v>
      </c>
      <c r="B974" s="2">
        <f t="shared" si="192"/>
        <v>1322</v>
      </c>
      <c r="C974" s="14">
        <f t="shared" si="190"/>
        <v>24134.669942892167</v>
      </c>
      <c r="D974" s="14">
        <f t="shared" si="191"/>
        <v>40339.000689154935</v>
      </c>
      <c r="E974" s="2">
        <v>1</v>
      </c>
      <c r="F974" s="2">
        <f t="shared" si="198"/>
        <v>9</v>
      </c>
      <c r="G974" s="17">
        <f t="shared" si="189"/>
        <v>0.38786666666666664</v>
      </c>
      <c r="H974" s="8">
        <f t="shared" si="193"/>
        <v>2088110</v>
      </c>
      <c r="I974" s="9">
        <v>25</v>
      </c>
      <c r="L974" s="2">
        <f t="shared" si="194"/>
        <v>2088110</v>
      </c>
      <c r="M974" s="2">
        <f t="shared" si="195"/>
        <v>1322</v>
      </c>
      <c r="N974" s="15">
        <f t="shared" si="196"/>
        <v>24134.669942892167</v>
      </c>
      <c r="O974" s="15">
        <f t="shared" si="197"/>
        <v>40339.000689154935</v>
      </c>
      <c r="P974" s="16">
        <f>SUM($H$3:H974)</f>
        <v>445372010</v>
      </c>
      <c r="Q974" s="2">
        <f>SUM($I$3:I974)</f>
        <v>14574</v>
      </c>
    </row>
    <row r="975" spans="1:17" x14ac:dyDescent="0.3">
      <c r="A975" s="7">
        <f t="shared" si="192"/>
        <v>973</v>
      </c>
      <c r="B975" s="2">
        <f t="shared" si="192"/>
        <v>1323</v>
      </c>
      <c r="C975" s="14">
        <f t="shared" si="190"/>
        <v>24176.702390636976</v>
      </c>
      <c r="D975" s="14">
        <f t="shared" si="191"/>
        <v>40415.771442105521</v>
      </c>
      <c r="E975" s="2">
        <v>1</v>
      </c>
      <c r="F975" s="2">
        <f t="shared" si="198"/>
        <v>9</v>
      </c>
      <c r="G975" s="17">
        <f t="shared" si="189"/>
        <v>0.38830000000000003</v>
      </c>
      <c r="H975" s="8">
        <f t="shared" si="193"/>
        <v>2100180</v>
      </c>
      <c r="I975" s="9">
        <v>25</v>
      </c>
      <c r="L975" s="2">
        <f t="shared" si="194"/>
        <v>2100180</v>
      </c>
      <c r="M975" s="2">
        <f t="shared" si="195"/>
        <v>1323</v>
      </c>
      <c r="N975" s="15">
        <f t="shared" si="196"/>
        <v>24176.702390636976</v>
      </c>
      <c r="O975" s="15">
        <f t="shared" si="197"/>
        <v>40415.771442105521</v>
      </c>
      <c r="P975" s="16">
        <f>SUM($H$3:H975)</f>
        <v>447472190</v>
      </c>
      <c r="Q975" s="2">
        <f>SUM($I$3:I975)</f>
        <v>14599</v>
      </c>
    </row>
    <row r="976" spans="1:17" x14ac:dyDescent="0.3">
      <c r="A976" s="7">
        <f t="shared" si="192"/>
        <v>974</v>
      </c>
      <c r="B976" s="2">
        <f t="shared" si="192"/>
        <v>1324</v>
      </c>
      <c r="C976" s="14">
        <f t="shared" si="190"/>
        <v>24218.747331311304</v>
      </c>
      <c r="D976" s="14">
        <f t="shared" si="191"/>
        <v>40492.587837608691</v>
      </c>
      <c r="E976" s="2">
        <v>1</v>
      </c>
      <c r="F976" s="2">
        <f t="shared" si="198"/>
        <v>9</v>
      </c>
      <c r="G976" s="17">
        <f t="shared" si="189"/>
        <v>0.38873333333333338</v>
      </c>
      <c r="H976" s="8">
        <f t="shared" si="193"/>
        <v>2112250</v>
      </c>
      <c r="I976" s="9">
        <v>25</v>
      </c>
      <c r="L976" s="2">
        <f t="shared" si="194"/>
        <v>2112250</v>
      </c>
      <c r="M976" s="2">
        <f t="shared" si="195"/>
        <v>1324</v>
      </c>
      <c r="N976" s="15">
        <f t="shared" si="196"/>
        <v>24218.747331311304</v>
      </c>
      <c r="O976" s="15">
        <f t="shared" si="197"/>
        <v>40492.587837608691</v>
      </c>
      <c r="P976" s="16">
        <f>SUM($H$3:H976)</f>
        <v>449584440</v>
      </c>
      <c r="Q976" s="2">
        <f>SUM($I$3:I976)</f>
        <v>14624</v>
      </c>
    </row>
    <row r="977" spans="1:17" x14ac:dyDescent="0.3">
      <c r="A977" s="7">
        <f t="shared" si="192"/>
        <v>975</v>
      </c>
      <c r="B977" s="2">
        <f t="shared" si="192"/>
        <v>1325</v>
      </c>
      <c r="C977" s="14">
        <f t="shared" si="190"/>
        <v>24260.804750084535</v>
      </c>
      <c r="D977" s="14">
        <f t="shared" si="191"/>
        <v>40569.449835020867</v>
      </c>
      <c r="E977" s="2">
        <v>1</v>
      </c>
      <c r="F977" s="2">
        <f t="shared" si="198"/>
        <v>9</v>
      </c>
      <c r="G977" s="17">
        <f t="shared" si="189"/>
        <v>0.38916666666666666</v>
      </c>
      <c r="H977" s="8">
        <f t="shared" si="193"/>
        <v>2124320</v>
      </c>
      <c r="I977" s="9">
        <v>25</v>
      </c>
      <c r="L977" s="2">
        <f t="shared" si="194"/>
        <v>2124320</v>
      </c>
      <c r="M977" s="2">
        <f t="shared" si="195"/>
        <v>1325</v>
      </c>
      <c r="N977" s="15">
        <f t="shared" si="196"/>
        <v>24260.804750084535</v>
      </c>
      <c r="O977" s="15">
        <f t="shared" si="197"/>
        <v>40569.449835020867</v>
      </c>
      <c r="P977" s="16">
        <f>SUM($H$3:H977)</f>
        <v>451708760</v>
      </c>
      <c r="Q977" s="2">
        <f>SUM($I$3:I977)</f>
        <v>14649</v>
      </c>
    </row>
    <row r="978" spans="1:17" x14ac:dyDescent="0.3">
      <c r="A978" s="7">
        <f t="shared" si="192"/>
        <v>976</v>
      </c>
      <c r="B978" s="2">
        <f t="shared" si="192"/>
        <v>1326</v>
      </c>
      <c r="C978" s="14">
        <f t="shared" si="190"/>
        <v>24302.874632165614</v>
      </c>
      <c r="D978" s="14">
        <f t="shared" si="191"/>
        <v>40646.357393795013</v>
      </c>
      <c r="E978" s="2">
        <v>1</v>
      </c>
      <c r="F978" s="2">
        <f t="shared" si="198"/>
        <v>9</v>
      </c>
      <c r="G978" s="17">
        <f t="shared" si="189"/>
        <v>0.3896</v>
      </c>
      <c r="H978" s="8">
        <f t="shared" si="193"/>
        <v>2136390</v>
      </c>
      <c r="I978" s="9">
        <v>25</v>
      </c>
      <c r="L978" s="2">
        <f t="shared" si="194"/>
        <v>2136390</v>
      </c>
      <c r="M978" s="2">
        <f t="shared" si="195"/>
        <v>1326</v>
      </c>
      <c r="N978" s="15">
        <f t="shared" si="196"/>
        <v>24302.874632165614</v>
      </c>
      <c r="O978" s="15">
        <f t="shared" si="197"/>
        <v>40646.357393795013</v>
      </c>
      <c r="P978" s="16">
        <f>SUM($H$3:H978)</f>
        <v>453845150</v>
      </c>
      <c r="Q978" s="2">
        <f>SUM($I$3:I978)</f>
        <v>14674</v>
      </c>
    </row>
    <row r="979" spans="1:17" x14ac:dyDescent="0.3">
      <c r="A979" s="7">
        <f t="shared" si="192"/>
        <v>977</v>
      </c>
      <c r="B979" s="2">
        <f t="shared" si="192"/>
        <v>1327</v>
      </c>
      <c r="C979" s="14">
        <f t="shared" si="190"/>
        <v>24344.956962802844</v>
      </c>
      <c r="D979" s="14">
        <f t="shared" si="191"/>
        <v>40723.310473480116</v>
      </c>
      <c r="E979" s="2">
        <v>1</v>
      </c>
      <c r="F979" s="2">
        <f t="shared" si="198"/>
        <v>9</v>
      </c>
      <c r="G979" s="17">
        <f t="shared" si="189"/>
        <v>0.3900333333333334</v>
      </c>
      <c r="H979" s="8">
        <f t="shared" si="193"/>
        <v>2148460</v>
      </c>
      <c r="I979" s="9">
        <v>25</v>
      </c>
      <c r="L979" s="2">
        <f t="shared" si="194"/>
        <v>2148460</v>
      </c>
      <c r="M979" s="2">
        <f t="shared" si="195"/>
        <v>1327</v>
      </c>
      <c r="N979" s="15">
        <f t="shared" si="196"/>
        <v>24344.956962802844</v>
      </c>
      <c r="O979" s="15">
        <f t="shared" si="197"/>
        <v>40723.310473480116</v>
      </c>
      <c r="P979" s="16">
        <f>SUM($H$3:H979)</f>
        <v>455993610</v>
      </c>
      <c r="Q979" s="2">
        <f>SUM($I$3:I979)</f>
        <v>14699</v>
      </c>
    </row>
    <row r="980" spans="1:17" x14ac:dyDescent="0.3">
      <c r="A980" s="7">
        <f t="shared" si="192"/>
        <v>978</v>
      </c>
      <c r="B980" s="2">
        <f t="shared" si="192"/>
        <v>1328</v>
      </c>
      <c r="C980" s="14">
        <f t="shared" si="190"/>
        <v>24387.051727283815</v>
      </c>
      <c r="D980" s="14">
        <f t="shared" si="191"/>
        <v>40800.309033720616</v>
      </c>
      <c r="E980" s="2">
        <v>1</v>
      </c>
      <c r="F980" s="2">
        <f t="shared" si="198"/>
        <v>9</v>
      </c>
      <c r="G980" s="17">
        <f t="shared" si="189"/>
        <v>0.39046666666666668</v>
      </c>
      <c r="H980" s="8">
        <f t="shared" si="193"/>
        <v>2160530</v>
      </c>
      <c r="I980" s="9">
        <v>25</v>
      </c>
      <c r="L980" s="2">
        <f t="shared" si="194"/>
        <v>2160530</v>
      </c>
      <c r="M980" s="2">
        <f t="shared" si="195"/>
        <v>1328</v>
      </c>
      <c r="N980" s="15">
        <f t="shared" si="196"/>
        <v>24387.051727283815</v>
      </c>
      <c r="O980" s="15">
        <f t="shared" si="197"/>
        <v>40800.309033720616</v>
      </c>
      <c r="P980" s="16">
        <f>SUM($H$3:H980)</f>
        <v>458154140</v>
      </c>
      <c r="Q980" s="2">
        <f>SUM($I$3:I980)</f>
        <v>14724</v>
      </c>
    </row>
    <row r="981" spans="1:17" x14ac:dyDescent="0.3">
      <c r="A981" s="7">
        <f t="shared" si="192"/>
        <v>979</v>
      </c>
      <c r="B981" s="2">
        <f t="shared" si="192"/>
        <v>1329</v>
      </c>
      <c r="C981" s="14">
        <f t="shared" si="190"/>
        <v>24429.158910935148</v>
      </c>
      <c r="D981" s="14">
        <f t="shared" si="191"/>
        <v>40877.353034256426</v>
      </c>
      <c r="E981" s="2">
        <v>1</v>
      </c>
      <c r="F981" s="2">
        <f t="shared" si="198"/>
        <v>9</v>
      </c>
      <c r="G981" s="17">
        <f t="shared" si="189"/>
        <v>0.39090000000000003</v>
      </c>
      <c r="H981" s="8">
        <f t="shared" si="193"/>
        <v>2172600</v>
      </c>
      <c r="I981" s="9">
        <v>25</v>
      </c>
      <c r="L981" s="2">
        <f t="shared" si="194"/>
        <v>2172600</v>
      </c>
      <c r="M981" s="2">
        <f t="shared" si="195"/>
        <v>1329</v>
      </c>
      <c r="N981" s="15">
        <f t="shared" si="196"/>
        <v>24429.158910935148</v>
      </c>
      <c r="O981" s="15">
        <f t="shared" si="197"/>
        <v>40877.353034256426</v>
      </c>
      <c r="P981" s="16">
        <f>SUM($H$3:H981)</f>
        <v>460326740</v>
      </c>
      <c r="Q981" s="2">
        <f>SUM($I$3:I981)</f>
        <v>14749</v>
      </c>
    </row>
    <row r="982" spans="1:17" x14ac:dyDescent="0.3">
      <c r="A982" s="7">
        <f t="shared" si="192"/>
        <v>980</v>
      </c>
      <c r="B982" s="2">
        <f t="shared" si="192"/>
        <v>1330</v>
      </c>
      <c r="C982" s="14">
        <f t="shared" si="190"/>
        <v>24471.278499122342</v>
      </c>
      <c r="D982" s="14">
        <f t="shared" si="191"/>
        <v>40954.442434922217</v>
      </c>
      <c r="E982" s="2">
        <v>1</v>
      </c>
      <c r="F982" s="2">
        <f t="shared" si="198"/>
        <v>9.1999999999999993</v>
      </c>
      <c r="G982" s="17">
        <f t="shared" si="189"/>
        <v>0.39133333333333331</v>
      </c>
      <c r="H982" s="8">
        <f t="shared" si="193"/>
        <v>2184670</v>
      </c>
      <c r="I982" s="9">
        <v>25</v>
      </c>
      <c r="L982" s="2">
        <f t="shared" si="194"/>
        <v>2184670</v>
      </c>
      <c r="M982" s="2">
        <f t="shared" si="195"/>
        <v>1330</v>
      </c>
      <c r="N982" s="15">
        <f t="shared" si="196"/>
        <v>24471.278499122342</v>
      </c>
      <c r="O982" s="15">
        <f t="shared" si="197"/>
        <v>40954.442434922217</v>
      </c>
      <c r="P982" s="16">
        <f>SUM($H$3:H982)</f>
        <v>462511410</v>
      </c>
      <c r="Q982" s="2">
        <f>SUM($I$3:I982)</f>
        <v>14774</v>
      </c>
    </row>
    <row r="983" spans="1:17" x14ac:dyDescent="0.3">
      <c r="A983" s="7">
        <f t="shared" si="192"/>
        <v>981</v>
      </c>
      <c r="B983" s="2">
        <f t="shared" si="192"/>
        <v>1331</v>
      </c>
      <c r="C983" s="14">
        <f t="shared" si="190"/>
        <v>24513.410477249701</v>
      </c>
      <c r="D983" s="14">
        <f t="shared" si="191"/>
        <v>41031.577195647245</v>
      </c>
      <c r="E983" s="2">
        <v>1</v>
      </c>
      <c r="F983" s="2">
        <f t="shared" si="198"/>
        <v>9.1999999999999993</v>
      </c>
      <c r="G983" s="17">
        <f t="shared" si="189"/>
        <v>0.39176666666666671</v>
      </c>
      <c r="H983" s="8">
        <f t="shared" si="193"/>
        <v>2196740</v>
      </c>
      <c r="I983" s="9">
        <v>25</v>
      </c>
      <c r="L983" s="2">
        <f t="shared" si="194"/>
        <v>2196740</v>
      </c>
      <c r="M983" s="2">
        <f t="shared" si="195"/>
        <v>1331</v>
      </c>
      <c r="N983" s="15">
        <f t="shared" si="196"/>
        <v>24513.410477249701</v>
      </c>
      <c r="O983" s="15">
        <f t="shared" si="197"/>
        <v>41031.577195647245</v>
      </c>
      <c r="P983" s="16">
        <f>SUM($H$3:H983)</f>
        <v>464708150</v>
      </c>
      <c r="Q983" s="2">
        <f>SUM($I$3:I983)</f>
        <v>14799</v>
      </c>
    </row>
    <row r="984" spans="1:17" x14ac:dyDescent="0.3">
      <c r="A984" s="7">
        <f t="shared" si="192"/>
        <v>982</v>
      </c>
      <c r="B984" s="2">
        <f t="shared" si="192"/>
        <v>1332</v>
      </c>
      <c r="C984" s="14">
        <f t="shared" si="190"/>
        <v>24555.554830760091</v>
      </c>
      <c r="D984" s="14">
        <f t="shared" si="191"/>
        <v>41108.757276454984</v>
      </c>
      <c r="E984" s="2">
        <v>1</v>
      </c>
      <c r="F984" s="2">
        <f t="shared" si="198"/>
        <v>9.1999999999999993</v>
      </c>
      <c r="G984" s="17">
        <f t="shared" si="189"/>
        <v>0.39220000000000005</v>
      </c>
      <c r="H984" s="8">
        <f t="shared" si="193"/>
        <v>2208810</v>
      </c>
      <c r="I984" s="9">
        <v>25</v>
      </c>
      <c r="L984" s="2">
        <f t="shared" si="194"/>
        <v>2208810</v>
      </c>
      <c r="M984" s="2">
        <f t="shared" si="195"/>
        <v>1332</v>
      </c>
      <c r="N984" s="15">
        <f t="shared" si="196"/>
        <v>24555.554830760091</v>
      </c>
      <c r="O984" s="15">
        <f t="shared" si="197"/>
        <v>41108.757276454984</v>
      </c>
      <c r="P984" s="16">
        <f>SUM($H$3:H984)</f>
        <v>466916960</v>
      </c>
      <c r="Q984" s="2">
        <f>SUM($I$3:I984)</f>
        <v>14824</v>
      </c>
    </row>
    <row r="985" spans="1:17" x14ac:dyDescent="0.3">
      <c r="A985" s="7">
        <f t="shared" si="192"/>
        <v>983</v>
      </c>
      <c r="B985" s="2">
        <f t="shared" si="192"/>
        <v>1333</v>
      </c>
      <c r="C985" s="14">
        <f t="shared" si="190"/>
        <v>24597.711545134756</v>
      </c>
      <c r="D985" s="14">
        <f t="shared" si="191"/>
        <v>41185.982637462585</v>
      </c>
      <c r="E985" s="2">
        <v>1</v>
      </c>
      <c r="F985" s="2">
        <f t="shared" si="198"/>
        <v>9.1999999999999993</v>
      </c>
      <c r="G985" s="17">
        <f t="shared" si="189"/>
        <v>0.39263333333333333</v>
      </c>
      <c r="H985" s="8">
        <f t="shared" si="193"/>
        <v>2220880</v>
      </c>
      <c r="I985" s="9">
        <v>25</v>
      </c>
      <c r="L985" s="2">
        <f t="shared" si="194"/>
        <v>2220880</v>
      </c>
      <c r="M985" s="2">
        <f t="shared" si="195"/>
        <v>1333</v>
      </c>
      <c r="N985" s="15">
        <f t="shared" si="196"/>
        <v>24597.711545134756</v>
      </c>
      <c r="O985" s="15">
        <f t="shared" si="197"/>
        <v>41185.982637462585</v>
      </c>
      <c r="P985" s="16">
        <f>SUM($H$3:H985)</f>
        <v>469137840</v>
      </c>
      <c r="Q985" s="2">
        <f>SUM($I$3:I985)</f>
        <v>14849</v>
      </c>
    </row>
    <row r="986" spans="1:17" x14ac:dyDescent="0.3">
      <c r="A986" s="7">
        <f t="shared" si="192"/>
        <v>984</v>
      </c>
      <c r="B986" s="2">
        <f t="shared" si="192"/>
        <v>1334</v>
      </c>
      <c r="C986" s="14">
        <f t="shared" si="190"/>
        <v>24639.880605893239</v>
      </c>
      <c r="D986" s="14">
        <f t="shared" si="191"/>
        <v>41263.25323888073</v>
      </c>
      <c r="E986" s="2">
        <v>1</v>
      </c>
      <c r="F986" s="2">
        <f t="shared" si="198"/>
        <v>9.1999999999999993</v>
      </c>
      <c r="G986" s="17">
        <f t="shared" si="189"/>
        <v>0.39306666666666668</v>
      </c>
      <c r="H986" s="8">
        <f t="shared" si="193"/>
        <v>2232950</v>
      </c>
      <c r="I986" s="9">
        <v>25</v>
      </c>
      <c r="L986" s="2">
        <f t="shared" si="194"/>
        <v>2232950</v>
      </c>
      <c r="M986" s="2">
        <f t="shared" si="195"/>
        <v>1334</v>
      </c>
      <c r="N986" s="15">
        <f t="shared" si="196"/>
        <v>24639.880605893239</v>
      </c>
      <c r="O986" s="15">
        <f t="shared" si="197"/>
        <v>41263.25323888073</v>
      </c>
      <c r="P986" s="16">
        <f>SUM($H$3:H986)</f>
        <v>471370790</v>
      </c>
      <c r="Q986" s="2">
        <f>SUM($I$3:I986)</f>
        <v>14874</v>
      </c>
    </row>
    <row r="987" spans="1:17" x14ac:dyDescent="0.3">
      <c r="A987" s="7">
        <f t="shared" si="192"/>
        <v>985</v>
      </c>
      <c r="B987" s="2">
        <f t="shared" si="192"/>
        <v>1335</v>
      </c>
      <c r="C987" s="14">
        <f t="shared" si="190"/>
        <v>24682.061998593268</v>
      </c>
      <c r="D987" s="14">
        <f t="shared" si="191"/>
        <v>41340.569041013296</v>
      </c>
      <c r="E987" s="2">
        <v>1</v>
      </c>
      <c r="F987" s="2">
        <f t="shared" si="198"/>
        <v>9.1999999999999993</v>
      </c>
      <c r="G987" s="17">
        <f t="shared" si="189"/>
        <v>0.39350000000000007</v>
      </c>
      <c r="H987" s="8">
        <f t="shared" si="193"/>
        <v>2245020</v>
      </c>
      <c r="I987" s="9">
        <v>25</v>
      </c>
      <c r="L987" s="2">
        <f t="shared" si="194"/>
        <v>2245020</v>
      </c>
      <c r="M987" s="2">
        <f t="shared" si="195"/>
        <v>1335</v>
      </c>
      <c r="N987" s="15">
        <f t="shared" si="196"/>
        <v>24682.061998593268</v>
      </c>
      <c r="O987" s="15">
        <f t="shared" si="197"/>
        <v>41340.569041013296</v>
      </c>
      <c r="P987" s="16">
        <f>SUM($H$3:H987)</f>
        <v>473615810</v>
      </c>
      <c r="Q987" s="2">
        <f>SUM($I$3:I987)</f>
        <v>14899</v>
      </c>
    </row>
    <row r="988" spans="1:17" x14ac:dyDescent="0.3">
      <c r="A988" s="7">
        <f t="shared" si="192"/>
        <v>986</v>
      </c>
      <c r="B988" s="2">
        <f t="shared" si="192"/>
        <v>1336</v>
      </c>
      <c r="C988" s="14">
        <f t="shared" si="190"/>
        <v>24724.255708830398</v>
      </c>
      <c r="D988" s="14">
        <f t="shared" si="191"/>
        <v>41417.930004256777</v>
      </c>
      <c r="E988" s="2">
        <v>1</v>
      </c>
      <c r="F988" s="2">
        <f t="shared" si="198"/>
        <v>9.1999999999999993</v>
      </c>
      <c r="G988" s="17">
        <f t="shared" si="189"/>
        <v>0.39393333333333336</v>
      </c>
      <c r="H988" s="8">
        <f t="shared" si="193"/>
        <v>2257090</v>
      </c>
      <c r="I988" s="9">
        <v>25</v>
      </c>
      <c r="L988" s="2">
        <f t="shared" si="194"/>
        <v>2257090</v>
      </c>
      <c r="M988" s="2">
        <f t="shared" si="195"/>
        <v>1336</v>
      </c>
      <c r="N988" s="15">
        <f t="shared" si="196"/>
        <v>24724.255708830398</v>
      </c>
      <c r="O988" s="15">
        <f t="shared" si="197"/>
        <v>41417.930004256777</v>
      </c>
      <c r="P988" s="16">
        <f>SUM($H$3:H988)</f>
        <v>475872900</v>
      </c>
      <c r="Q988" s="2">
        <f>SUM($I$3:I988)</f>
        <v>14924</v>
      </c>
    </row>
    <row r="989" spans="1:17" x14ac:dyDescent="0.3">
      <c r="A989" s="7">
        <f t="shared" si="192"/>
        <v>987</v>
      </c>
      <c r="B989" s="2">
        <f t="shared" si="192"/>
        <v>1337</v>
      </c>
      <c r="C989" s="14">
        <f t="shared" si="190"/>
        <v>24766.461722238088</v>
      </c>
      <c r="D989" s="14">
        <f t="shared" si="191"/>
        <v>41495.33608910015</v>
      </c>
      <c r="E989" s="2">
        <v>1</v>
      </c>
      <c r="F989" s="2">
        <f t="shared" si="198"/>
        <v>9.1999999999999993</v>
      </c>
      <c r="G989" s="17">
        <f t="shared" si="189"/>
        <v>0.3943666666666667</v>
      </c>
      <c r="H989" s="8">
        <f t="shared" si="193"/>
        <v>2269160</v>
      </c>
      <c r="I989" s="9">
        <v>25</v>
      </c>
      <c r="L989" s="2">
        <f t="shared" si="194"/>
        <v>2269160</v>
      </c>
      <c r="M989" s="2">
        <f t="shared" si="195"/>
        <v>1337</v>
      </c>
      <c r="N989" s="15">
        <f t="shared" si="196"/>
        <v>24766.461722238088</v>
      </c>
      <c r="O989" s="15">
        <f t="shared" si="197"/>
        <v>41495.33608910015</v>
      </c>
      <c r="P989" s="16">
        <f>SUM($H$3:H989)</f>
        <v>478142060</v>
      </c>
      <c r="Q989" s="2">
        <f>SUM($I$3:I989)</f>
        <v>14949</v>
      </c>
    </row>
    <row r="990" spans="1:17" x14ac:dyDescent="0.3">
      <c r="A990" s="7">
        <f t="shared" si="192"/>
        <v>988</v>
      </c>
      <c r="B990" s="2">
        <f t="shared" si="192"/>
        <v>1338</v>
      </c>
      <c r="C990" s="14">
        <f t="shared" si="190"/>
        <v>24808.680024487381</v>
      </c>
      <c r="D990" s="14">
        <f t="shared" si="191"/>
        <v>41572.787256124393</v>
      </c>
      <c r="E990" s="2">
        <v>1</v>
      </c>
      <c r="F990" s="2">
        <f t="shared" si="198"/>
        <v>9.1999999999999993</v>
      </c>
      <c r="G990" s="17">
        <f t="shared" si="189"/>
        <v>0.39479999999999998</v>
      </c>
      <c r="H990" s="8">
        <f t="shared" si="193"/>
        <v>2281230</v>
      </c>
      <c r="I990" s="9">
        <v>25</v>
      </c>
      <c r="L990" s="2">
        <f t="shared" si="194"/>
        <v>2281230</v>
      </c>
      <c r="M990" s="2">
        <f t="shared" si="195"/>
        <v>1338</v>
      </c>
      <c r="N990" s="15">
        <f t="shared" si="196"/>
        <v>24808.680024487381</v>
      </c>
      <c r="O990" s="15">
        <f t="shared" si="197"/>
        <v>41572.787256124393</v>
      </c>
      <c r="P990" s="16">
        <f>SUM($H$3:H990)</f>
        <v>480423290</v>
      </c>
      <c r="Q990" s="2">
        <f>SUM($I$3:I990)</f>
        <v>14974</v>
      </c>
    </row>
    <row r="991" spans="1:17" x14ac:dyDescent="0.3">
      <c r="A991" s="7">
        <f t="shared" si="192"/>
        <v>989</v>
      </c>
      <c r="B991" s="2">
        <f t="shared" si="192"/>
        <v>1339</v>
      </c>
      <c r="C991" s="14">
        <f t="shared" si="190"/>
        <v>24850.910601286872</v>
      </c>
      <c r="D991" s="14">
        <f t="shared" si="191"/>
        <v>41650.28346600222</v>
      </c>
      <c r="E991" s="2">
        <v>1</v>
      </c>
      <c r="F991" s="2">
        <f t="shared" si="198"/>
        <v>9.1999999999999993</v>
      </c>
      <c r="G991" s="17">
        <f t="shared" si="189"/>
        <v>0.39523333333333338</v>
      </c>
      <c r="H991" s="8">
        <f t="shared" si="193"/>
        <v>2293300</v>
      </c>
      <c r="I991" s="9">
        <v>25</v>
      </c>
      <c r="L991" s="2">
        <f t="shared" si="194"/>
        <v>2293300</v>
      </c>
      <c r="M991" s="2">
        <f t="shared" si="195"/>
        <v>1339</v>
      </c>
      <c r="N991" s="15">
        <f t="shared" si="196"/>
        <v>24850.910601286872</v>
      </c>
      <c r="O991" s="15">
        <f t="shared" si="197"/>
        <v>41650.28346600222</v>
      </c>
      <c r="P991" s="16">
        <f>SUM($H$3:H991)</f>
        <v>482716590</v>
      </c>
      <c r="Q991" s="2">
        <f>SUM($I$3:I991)</f>
        <v>14999</v>
      </c>
    </row>
    <row r="992" spans="1:17" x14ac:dyDescent="0.3">
      <c r="A992" s="7">
        <f t="shared" si="192"/>
        <v>990</v>
      </c>
      <c r="B992" s="2">
        <f t="shared" si="192"/>
        <v>1340</v>
      </c>
      <c r="C992" s="14">
        <f t="shared" si="190"/>
        <v>24893.153438382396</v>
      </c>
      <c r="D992" s="14">
        <f t="shared" si="191"/>
        <v>41727.824679497535</v>
      </c>
      <c r="E992" s="2">
        <v>1</v>
      </c>
      <c r="F992" s="2">
        <f t="shared" si="198"/>
        <v>9.1999999999999993</v>
      </c>
      <c r="G992" s="17">
        <f t="shared" si="189"/>
        <v>0.39566666666666672</v>
      </c>
      <c r="H992" s="8">
        <f t="shared" si="193"/>
        <v>2305370</v>
      </c>
      <c r="I992" s="9">
        <v>25</v>
      </c>
      <c r="L992" s="2">
        <f t="shared" si="194"/>
        <v>2305370</v>
      </c>
      <c r="M992" s="2">
        <f t="shared" si="195"/>
        <v>1340</v>
      </c>
      <c r="N992" s="15">
        <f t="shared" si="196"/>
        <v>24893.153438382396</v>
      </c>
      <c r="O992" s="15">
        <f t="shared" si="197"/>
        <v>41727.824679497535</v>
      </c>
      <c r="P992" s="16">
        <f>SUM($H$3:H992)</f>
        <v>485021960</v>
      </c>
      <c r="Q992" s="2">
        <f>SUM($I$3:I992)</f>
        <v>15024</v>
      </c>
    </row>
    <row r="993" spans="1:17" x14ac:dyDescent="0.3">
      <c r="A993" s="7">
        <f t="shared" si="192"/>
        <v>991</v>
      </c>
      <c r="B993" s="2">
        <f t="shared" si="192"/>
        <v>1341</v>
      </c>
      <c r="C993" s="14">
        <f t="shared" si="190"/>
        <v>24935.408521557161</v>
      </c>
      <c r="D993" s="14">
        <f t="shared" si="191"/>
        <v>41805.410857465562</v>
      </c>
      <c r="E993" s="2">
        <v>1</v>
      </c>
      <c r="F993" s="2">
        <f t="shared" si="198"/>
        <v>9.1999999999999993</v>
      </c>
      <c r="G993" s="17">
        <f t="shared" si="189"/>
        <v>0.39610000000000001</v>
      </c>
      <c r="H993" s="8">
        <f t="shared" si="193"/>
        <v>2317440</v>
      </c>
      <c r="I993" s="9">
        <v>25</v>
      </c>
      <c r="L993" s="2">
        <f t="shared" si="194"/>
        <v>2317440</v>
      </c>
      <c r="M993" s="2">
        <f t="shared" si="195"/>
        <v>1341</v>
      </c>
      <c r="N993" s="15">
        <f t="shared" si="196"/>
        <v>24935.408521557161</v>
      </c>
      <c r="O993" s="15">
        <f t="shared" si="197"/>
        <v>41805.410857465562</v>
      </c>
      <c r="P993" s="16">
        <f>SUM($H$3:H993)</f>
        <v>487339400</v>
      </c>
      <c r="Q993" s="2">
        <f>SUM($I$3:I993)</f>
        <v>15049</v>
      </c>
    </row>
    <row r="994" spans="1:17" x14ac:dyDescent="0.3">
      <c r="A994" s="7">
        <f t="shared" si="192"/>
        <v>992</v>
      </c>
      <c r="B994" s="2">
        <f t="shared" si="192"/>
        <v>1342</v>
      </c>
      <c r="C994" s="14">
        <f t="shared" si="190"/>
        <v>24977.675836631173</v>
      </c>
      <c r="D994" s="14">
        <f t="shared" si="191"/>
        <v>41883.04196085182</v>
      </c>
      <c r="E994" s="2">
        <v>1</v>
      </c>
      <c r="F994" s="2">
        <f t="shared" si="198"/>
        <v>9.1999999999999993</v>
      </c>
      <c r="G994" s="17">
        <f t="shared" si="189"/>
        <v>0.39653333333333335</v>
      </c>
      <c r="H994" s="8">
        <f t="shared" si="193"/>
        <v>2329510</v>
      </c>
      <c r="I994" s="9">
        <v>25</v>
      </c>
      <c r="L994" s="2">
        <f t="shared" si="194"/>
        <v>2329510</v>
      </c>
      <c r="M994" s="2">
        <f t="shared" si="195"/>
        <v>1342</v>
      </c>
      <c r="N994" s="15">
        <f t="shared" si="196"/>
        <v>24977.675836631173</v>
      </c>
      <c r="O994" s="15">
        <f t="shared" si="197"/>
        <v>41883.04196085182</v>
      </c>
      <c r="P994" s="16">
        <f>SUM($H$3:H994)</f>
        <v>489668910</v>
      </c>
      <c r="Q994" s="2">
        <f>SUM($I$3:I994)</f>
        <v>15074</v>
      </c>
    </row>
    <row r="995" spans="1:17" x14ac:dyDescent="0.3">
      <c r="A995" s="7">
        <f t="shared" si="192"/>
        <v>993</v>
      </c>
      <c r="B995" s="2">
        <f t="shared" si="192"/>
        <v>1343</v>
      </c>
      <c r="C995" s="14">
        <f t="shared" si="190"/>
        <v>25019.955369461553</v>
      </c>
      <c r="D995" s="14">
        <f t="shared" si="191"/>
        <v>41960.717950692502</v>
      </c>
      <c r="E995" s="2">
        <v>1</v>
      </c>
      <c r="F995" s="2">
        <f t="shared" si="198"/>
        <v>9.1999999999999993</v>
      </c>
      <c r="G995" s="17">
        <f t="shared" si="189"/>
        <v>0.39696666666666675</v>
      </c>
      <c r="H995" s="8">
        <f t="shared" si="193"/>
        <v>2341580</v>
      </c>
      <c r="I995" s="9">
        <v>25</v>
      </c>
      <c r="L995" s="2">
        <f t="shared" si="194"/>
        <v>2341580</v>
      </c>
      <c r="M995" s="2">
        <f t="shared" si="195"/>
        <v>1343</v>
      </c>
      <c r="N995" s="15">
        <f t="shared" si="196"/>
        <v>25019.955369461553</v>
      </c>
      <c r="O995" s="15">
        <f t="shared" si="197"/>
        <v>41960.717950692502</v>
      </c>
      <c r="P995" s="16">
        <f>SUM($H$3:H995)</f>
        <v>492010490</v>
      </c>
      <c r="Q995" s="2">
        <f>SUM($I$3:I995)</f>
        <v>15099</v>
      </c>
    </row>
    <row r="996" spans="1:17" x14ac:dyDescent="0.3">
      <c r="A996" s="7">
        <f t="shared" si="192"/>
        <v>994</v>
      </c>
      <c r="B996" s="2">
        <f t="shared" si="192"/>
        <v>1344</v>
      </c>
      <c r="C996" s="14">
        <f t="shared" si="190"/>
        <v>25062.24710594201</v>
      </c>
      <c r="D996" s="14">
        <f t="shared" si="191"/>
        <v>42038.438788113606</v>
      </c>
      <c r="E996" s="2">
        <v>1</v>
      </c>
      <c r="F996" s="2">
        <f t="shared" si="198"/>
        <v>9.1999999999999993</v>
      </c>
      <c r="G996" s="17">
        <f t="shared" si="189"/>
        <v>0.39740000000000003</v>
      </c>
      <c r="H996" s="8">
        <f t="shared" si="193"/>
        <v>2353650</v>
      </c>
      <c r="I996" s="9">
        <v>25</v>
      </c>
      <c r="L996" s="2">
        <f t="shared" si="194"/>
        <v>2353650</v>
      </c>
      <c r="M996" s="2">
        <f t="shared" si="195"/>
        <v>1344</v>
      </c>
      <c r="N996" s="15">
        <f t="shared" si="196"/>
        <v>25062.24710594201</v>
      </c>
      <c r="O996" s="15">
        <f t="shared" si="197"/>
        <v>42038.438788113606</v>
      </c>
      <c r="P996" s="16">
        <f>SUM($H$3:H996)</f>
        <v>494364140</v>
      </c>
      <c r="Q996" s="2">
        <f>SUM($I$3:I996)</f>
        <v>15124</v>
      </c>
    </row>
    <row r="997" spans="1:17" x14ac:dyDescent="0.3">
      <c r="A997" s="7">
        <f t="shared" si="192"/>
        <v>995</v>
      </c>
      <c r="B997" s="2">
        <f t="shared" si="192"/>
        <v>1345</v>
      </c>
      <c r="C997" s="14">
        <f t="shared" si="190"/>
        <v>25104.551032002899</v>
      </c>
      <c r="D997" s="14">
        <f t="shared" si="191"/>
        <v>42116.204434330801</v>
      </c>
      <c r="E997" s="2">
        <v>1</v>
      </c>
      <c r="F997" s="2">
        <f t="shared" si="198"/>
        <v>9.1999999999999993</v>
      </c>
      <c r="G997" s="17">
        <f t="shared" si="189"/>
        <v>0.39783333333333337</v>
      </c>
      <c r="H997" s="8">
        <f t="shared" si="193"/>
        <v>2365720</v>
      </c>
      <c r="I997" s="9">
        <v>25</v>
      </c>
      <c r="L997" s="2">
        <f t="shared" si="194"/>
        <v>2365720</v>
      </c>
      <c r="M997" s="2">
        <f t="shared" si="195"/>
        <v>1345</v>
      </c>
      <c r="N997" s="15">
        <f t="shared" si="196"/>
        <v>25104.551032002899</v>
      </c>
      <c r="O997" s="15">
        <f t="shared" si="197"/>
        <v>42116.204434330801</v>
      </c>
      <c r="P997" s="16">
        <f>SUM($H$3:H997)</f>
        <v>496729860</v>
      </c>
      <c r="Q997" s="2">
        <f>SUM($I$3:I997)</f>
        <v>15149</v>
      </c>
    </row>
    <row r="998" spans="1:17" x14ac:dyDescent="0.3">
      <c r="A998" s="7">
        <f t="shared" si="192"/>
        <v>996</v>
      </c>
      <c r="B998" s="2">
        <f t="shared" si="192"/>
        <v>1346</v>
      </c>
      <c r="C998" s="14">
        <f t="shared" si="190"/>
        <v>25146.867133611056</v>
      </c>
      <c r="D998" s="14">
        <f t="shared" si="191"/>
        <v>42194.014850649008</v>
      </c>
      <c r="E998" s="2">
        <v>1</v>
      </c>
      <c r="F998" s="2">
        <f t="shared" si="198"/>
        <v>9.1999999999999993</v>
      </c>
      <c r="G998" s="17">
        <f t="shared" si="189"/>
        <v>0.39826666666666666</v>
      </c>
      <c r="H998" s="8">
        <f t="shared" si="193"/>
        <v>2377790</v>
      </c>
      <c r="I998" s="9">
        <v>25</v>
      </c>
      <c r="L998" s="2">
        <f t="shared" si="194"/>
        <v>2377790</v>
      </c>
      <c r="M998" s="2">
        <f t="shared" si="195"/>
        <v>1346</v>
      </c>
      <c r="N998" s="15">
        <f t="shared" si="196"/>
        <v>25146.867133611056</v>
      </c>
      <c r="O998" s="15">
        <f t="shared" si="197"/>
        <v>42194.014850649008</v>
      </c>
      <c r="P998" s="16">
        <f>SUM($H$3:H998)</f>
        <v>499107650</v>
      </c>
      <c r="Q998" s="2">
        <f>SUM($I$3:I998)</f>
        <v>15174</v>
      </c>
    </row>
    <row r="999" spans="1:17" x14ac:dyDescent="0.3">
      <c r="A999" s="7">
        <f t="shared" si="192"/>
        <v>997</v>
      </c>
      <c r="B999" s="2">
        <f t="shared" si="192"/>
        <v>1347</v>
      </c>
      <c r="C999" s="14">
        <f t="shared" si="190"/>
        <v>25189.195396769548</v>
      </c>
      <c r="D999" s="14">
        <f t="shared" si="191"/>
        <v>42271.869998462258</v>
      </c>
      <c r="E999" s="2">
        <v>1</v>
      </c>
      <c r="F999" s="2">
        <f t="shared" si="198"/>
        <v>9.1999999999999993</v>
      </c>
      <c r="G999" s="17">
        <f t="shared" ref="G999:G1002" si="199">0.01 + (A999-100)*(0.4-0.01)/(1000-100)</f>
        <v>0.3987</v>
      </c>
      <c r="H999" s="8">
        <f t="shared" si="193"/>
        <v>2389860</v>
      </c>
      <c r="I999" s="9">
        <v>25</v>
      </c>
      <c r="L999" s="2">
        <f t="shared" si="194"/>
        <v>2389860</v>
      </c>
      <c r="M999" s="2">
        <f t="shared" si="195"/>
        <v>1347</v>
      </c>
      <c r="N999" s="15">
        <f t="shared" si="196"/>
        <v>25189.195396769548</v>
      </c>
      <c r="O999" s="15">
        <f t="shared" si="197"/>
        <v>42271.869998462258</v>
      </c>
      <c r="P999" s="16">
        <f>SUM($H$3:H999)</f>
        <v>501497510</v>
      </c>
      <c r="Q999" s="2">
        <f>SUM($I$3:I999)</f>
        <v>15199</v>
      </c>
    </row>
    <row r="1000" spans="1:17" x14ac:dyDescent="0.3">
      <c r="A1000" s="7">
        <f t="shared" si="192"/>
        <v>998</v>
      </c>
      <c r="B1000" s="2">
        <f t="shared" si="192"/>
        <v>1348</v>
      </c>
      <c r="C1000" s="14">
        <f t="shared" si="190"/>
        <v>25231.535807517641</v>
      </c>
      <c r="D1000" s="14">
        <f t="shared" si="191"/>
        <v>42349.769839253189</v>
      </c>
      <c r="E1000" s="2">
        <v>1</v>
      </c>
      <c r="F1000" s="2">
        <f t="shared" si="198"/>
        <v>9.1999999999999993</v>
      </c>
      <c r="G1000" s="17">
        <f t="shared" si="199"/>
        <v>0.3991333333333334</v>
      </c>
      <c r="H1000" s="8">
        <f t="shared" si="193"/>
        <v>2401930</v>
      </c>
      <c r="I1000" s="9">
        <v>25</v>
      </c>
      <c r="L1000" s="2">
        <f t="shared" si="194"/>
        <v>2401930</v>
      </c>
      <c r="M1000" s="2">
        <f t="shared" si="195"/>
        <v>1348</v>
      </c>
      <c r="N1000" s="15">
        <f t="shared" si="196"/>
        <v>25231.535807517641</v>
      </c>
      <c r="O1000" s="15">
        <f t="shared" si="197"/>
        <v>42349.769839253189</v>
      </c>
      <c r="P1000" s="16">
        <f>SUM($H$3:H1000)</f>
        <v>503899440</v>
      </c>
      <c r="Q1000" s="2">
        <f>SUM($I$3:I1000)</f>
        <v>15224</v>
      </c>
    </row>
    <row r="1001" spans="1:17" x14ac:dyDescent="0.3">
      <c r="A1001" s="7">
        <f t="shared" si="192"/>
        <v>999</v>
      </c>
      <c r="B1001" s="2">
        <f t="shared" si="192"/>
        <v>1349</v>
      </c>
      <c r="C1001" s="14">
        <f t="shared" si="190"/>
        <v>25273.888351930589</v>
      </c>
      <c r="D1001" s="14">
        <f t="shared" si="191"/>
        <v>42427.714334592667</v>
      </c>
      <c r="E1001" s="2">
        <v>1</v>
      </c>
      <c r="F1001" s="2">
        <f t="shared" si="198"/>
        <v>9.1999999999999993</v>
      </c>
      <c r="G1001" s="17">
        <f t="shared" si="199"/>
        <v>0.39956666666666668</v>
      </c>
      <c r="H1001" s="8">
        <f t="shared" si="193"/>
        <v>2414000</v>
      </c>
      <c r="I1001" s="9">
        <v>25</v>
      </c>
      <c r="L1001" s="2">
        <f t="shared" si="194"/>
        <v>2414000</v>
      </c>
      <c r="M1001" s="2">
        <f t="shared" si="195"/>
        <v>1349</v>
      </c>
      <c r="N1001" s="15">
        <f t="shared" si="196"/>
        <v>25273.888351930589</v>
      </c>
      <c r="O1001" s="15">
        <f t="shared" si="197"/>
        <v>42427.714334592667</v>
      </c>
      <c r="P1001" s="16">
        <f>SUM($H$3:H1001)</f>
        <v>506313440</v>
      </c>
      <c r="Q1001" s="2">
        <f>SUM($I$3:I1001)</f>
        <v>15249</v>
      </c>
    </row>
    <row r="1002" spans="1:17" x14ac:dyDescent="0.3">
      <c r="A1002" s="7">
        <f t="shared" si="192"/>
        <v>1000</v>
      </c>
      <c r="B1002" s="2">
        <f t="shared" si="192"/>
        <v>1350</v>
      </c>
      <c r="C1002" s="2">
        <v>25500</v>
      </c>
      <c r="D1002" s="2">
        <v>43000</v>
      </c>
      <c r="E1002" s="2">
        <v>1</v>
      </c>
      <c r="F1002" s="2">
        <f t="shared" si="198"/>
        <v>9.3999999999999986</v>
      </c>
      <c r="G1002" s="17">
        <f t="shared" si="199"/>
        <v>0.4</v>
      </c>
      <c r="H1002" s="8">
        <f t="shared" si="193"/>
        <v>2426070</v>
      </c>
      <c r="I1002" s="9">
        <v>25</v>
      </c>
      <c r="L1002" s="2">
        <f t="shared" si="194"/>
        <v>2426070</v>
      </c>
      <c r="M1002" s="2">
        <f t="shared" si="195"/>
        <v>1350</v>
      </c>
      <c r="N1002" s="15">
        <f t="shared" si="196"/>
        <v>25500</v>
      </c>
      <c r="O1002" s="15">
        <f t="shared" si="197"/>
        <v>43000</v>
      </c>
      <c r="P1002" s="16">
        <f>SUM($H$3:H1002)</f>
        <v>508739510</v>
      </c>
      <c r="Q1002" s="2">
        <f>SUM($I$3:I1002)</f>
        <v>15274</v>
      </c>
    </row>
    <row r="1003" spans="1:17" x14ac:dyDescent="0.3">
      <c r="A1003" s="7">
        <v>1001</v>
      </c>
      <c r="B1003" s="2">
        <v>-1</v>
      </c>
      <c r="C1003" s="2">
        <v>-1</v>
      </c>
      <c r="D1003" s="2">
        <v>-1</v>
      </c>
      <c r="E1003" s="2">
        <v>0</v>
      </c>
      <c r="F1003" s="2">
        <v>0</v>
      </c>
      <c r="G1003" s="2">
        <v>0</v>
      </c>
      <c r="H1003" s="8">
        <v>-1</v>
      </c>
      <c r="I1003" s="9">
        <v>-1</v>
      </c>
      <c r="L1003" s="2">
        <f t="shared" si="194"/>
        <v>-1</v>
      </c>
      <c r="N1003" s="15"/>
      <c r="O1003" s="15"/>
    </row>
    <row r="1004" spans="1:17" x14ac:dyDescent="0.3">
      <c r="A1004" s="7"/>
      <c r="B1004" s="2"/>
      <c r="C1004" s="2"/>
      <c r="D1004" s="2"/>
      <c r="E1004" s="2"/>
      <c r="H1004" s="8"/>
      <c r="I1004" s="9"/>
      <c r="N1004" s="15"/>
      <c r="O1004" s="15"/>
    </row>
    <row r="1005" spans="1:17" x14ac:dyDescent="0.3">
      <c r="A1005" s="7"/>
      <c r="B1005" s="2"/>
      <c r="C1005" s="2"/>
      <c r="D1005" s="2"/>
      <c r="E1005" s="2"/>
      <c r="H1005" s="8"/>
      <c r="I1005" s="9"/>
      <c r="N1005" s="15"/>
      <c r="O1005" s="15"/>
    </row>
    <row r="1006" spans="1:17" x14ac:dyDescent="0.3">
      <c r="A1006" s="7"/>
      <c r="B1006" s="2"/>
      <c r="C1006" s="2"/>
      <c r="D1006" s="2"/>
      <c r="E1006" s="2"/>
      <c r="H1006" s="8"/>
      <c r="I1006" s="9"/>
    </row>
    <row r="1007" spans="1:17" x14ac:dyDescent="0.3">
      <c r="A1007" s="7"/>
      <c r="B1007" s="2"/>
      <c r="C1007" s="2"/>
      <c r="D1007" s="2"/>
      <c r="E1007" s="2"/>
      <c r="H1007" s="8"/>
      <c r="I1007" s="9"/>
    </row>
    <row r="1008" spans="1:17" x14ac:dyDescent="0.3">
      <c r="A1008" s="7"/>
      <c r="B1008" s="2"/>
      <c r="C1008" s="2"/>
      <c r="D1008" s="2"/>
      <c r="E1008" s="2"/>
      <c r="H1008" s="8"/>
      <c r="I1008" s="9"/>
    </row>
    <row r="1009" spans="1:9" x14ac:dyDescent="0.3">
      <c r="A1009" s="7"/>
      <c r="B1009" s="2"/>
      <c r="C1009" s="2"/>
      <c r="D1009" s="2"/>
      <c r="E1009" s="2"/>
      <c r="H1009" s="8"/>
      <c r="I1009" s="9"/>
    </row>
    <row r="1010" spans="1:9" x14ac:dyDescent="0.3">
      <c r="A1010" s="7"/>
      <c r="B1010" s="2"/>
      <c r="C1010" s="2"/>
      <c r="D1010" s="2"/>
      <c r="E1010" s="2"/>
      <c r="H1010" s="8"/>
      <c r="I1010" s="9"/>
    </row>
    <row r="1011" spans="1:9" x14ac:dyDescent="0.3">
      <c r="A1011" s="7"/>
      <c r="B1011" s="2"/>
      <c r="C1011" s="2"/>
      <c r="D1011" s="2"/>
      <c r="E1011" s="2"/>
      <c r="H1011" s="8"/>
      <c r="I1011" s="9"/>
    </row>
    <row r="1012" spans="1:9" x14ac:dyDescent="0.3">
      <c r="A1012" s="7"/>
      <c r="B1012" s="2"/>
      <c r="C1012" s="2"/>
      <c r="D1012" s="2"/>
      <c r="E1012" s="2"/>
      <c r="H1012" s="8"/>
      <c r="I1012" s="9"/>
    </row>
    <row r="1013" spans="1:9" x14ac:dyDescent="0.3">
      <c r="A1013" s="7"/>
      <c r="B1013" s="2"/>
      <c r="C1013" s="2"/>
      <c r="D1013" s="2"/>
      <c r="E1013" s="2"/>
      <c r="H1013" s="8"/>
      <c r="I1013" s="9"/>
    </row>
    <row r="1014" spans="1:9" x14ac:dyDescent="0.3">
      <c r="A1014" s="7"/>
      <c r="B1014" s="2"/>
      <c r="C1014" s="2"/>
      <c r="D1014" s="2"/>
      <c r="E1014" s="2"/>
      <c r="H1014" s="8"/>
      <c r="I1014" s="9"/>
    </row>
    <row r="1015" spans="1:9" x14ac:dyDescent="0.3">
      <c r="A1015" s="7"/>
      <c r="B1015" s="2"/>
      <c r="C1015" s="2"/>
      <c r="D1015" s="2"/>
      <c r="E1015" s="2"/>
      <c r="H1015" s="8"/>
      <c r="I1015" s="9"/>
    </row>
    <row r="1016" spans="1:9" x14ac:dyDescent="0.3">
      <c r="A1016" s="7"/>
      <c r="B1016" s="2"/>
      <c r="C1016" s="2"/>
      <c r="D1016" s="2"/>
      <c r="E1016" s="2"/>
      <c r="H1016" s="8"/>
      <c r="I1016" s="9"/>
    </row>
    <row r="1017" spans="1:9" x14ac:dyDescent="0.3">
      <c r="A1017" s="7"/>
      <c r="B1017" s="2"/>
      <c r="C1017" s="2"/>
      <c r="D1017" s="2"/>
      <c r="E1017" s="2"/>
      <c r="H1017" s="8"/>
      <c r="I1017" s="9"/>
    </row>
    <row r="1018" spans="1:9" x14ac:dyDescent="0.3">
      <c r="A1018" s="7"/>
      <c r="B1018" s="2"/>
      <c r="C1018" s="2"/>
      <c r="D1018" s="2"/>
      <c r="E1018" s="2"/>
      <c r="H1018" s="8"/>
      <c r="I1018" s="9"/>
    </row>
    <row r="1019" spans="1:9" x14ac:dyDescent="0.3">
      <c r="A1019" s="7"/>
      <c r="B1019" s="2"/>
      <c r="C1019" s="2"/>
      <c r="D1019" s="2"/>
      <c r="E1019" s="2"/>
      <c r="H1019" s="8"/>
      <c r="I1019" s="9"/>
    </row>
    <row r="1020" spans="1:9" x14ac:dyDescent="0.3">
      <c r="A1020" s="7"/>
      <c r="B1020" s="2"/>
      <c r="C1020" s="2"/>
      <c r="D1020" s="2"/>
      <c r="E1020" s="2"/>
      <c r="H1020" s="8"/>
      <c r="I1020" s="9"/>
    </row>
    <row r="1021" spans="1:9" x14ac:dyDescent="0.3">
      <c r="A1021" s="7"/>
      <c r="B1021" s="2"/>
      <c r="C1021" s="2"/>
      <c r="D1021" s="2"/>
      <c r="E1021" s="2"/>
      <c r="H1021" s="8"/>
      <c r="I1021" s="9"/>
    </row>
    <row r="1022" spans="1:9" x14ac:dyDescent="0.3">
      <c r="A1022" s="7"/>
      <c r="B1022" s="2"/>
      <c r="C1022" s="2"/>
      <c r="D1022" s="2"/>
      <c r="E1022" s="2"/>
      <c r="H1022" s="8"/>
      <c r="I1022" s="9"/>
    </row>
    <row r="1023" spans="1:9" x14ac:dyDescent="0.3">
      <c r="A1023" s="7"/>
      <c r="B1023" s="2"/>
      <c r="C1023" s="2"/>
      <c r="D1023" s="2"/>
      <c r="E1023" s="2"/>
      <c r="H1023" s="8"/>
      <c r="I1023" s="9"/>
    </row>
    <row r="1024" spans="1:9" x14ac:dyDescent="0.3">
      <c r="A1024" s="7"/>
      <c r="B1024" s="2"/>
      <c r="C1024" s="2"/>
      <c r="D1024" s="2"/>
      <c r="E1024" s="2"/>
      <c r="H1024" s="8"/>
      <c r="I1024" s="9"/>
    </row>
    <row r="1025" spans="1:9" x14ac:dyDescent="0.3">
      <c r="A1025" s="7"/>
      <c r="B1025" s="2"/>
      <c r="C1025" s="2"/>
      <c r="D1025" s="2"/>
      <c r="E1025" s="2"/>
      <c r="H1025" s="8"/>
      <c r="I1025" s="9"/>
    </row>
    <row r="1026" spans="1:9" x14ac:dyDescent="0.3">
      <c r="A1026" s="7"/>
      <c r="B1026" s="2"/>
      <c r="C1026" s="2"/>
      <c r="D1026" s="2"/>
      <c r="E1026" s="2"/>
      <c r="H1026" s="8"/>
      <c r="I1026" s="9"/>
    </row>
    <row r="1027" spans="1:9" x14ac:dyDescent="0.3">
      <c r="A1027" s="7"/>
      <c r="B1027" s="2"/>
      <c r="C1027" s="2"/>
      <c r="D1027" s="2"/>
      <c r="E1027" s="2"/>
      <c r="H1027" s="8"/>
      <c r="I1027" s="9"/>
    </row>
    <row r="1028" spans="1:9" x14ac:dyDescent="0.3">
      <c r="A1028" s="7"/>
      <c r="B1028" s="2"/>
      <c r="C1028" s="2"/>
      <c r="D1028" s="2"/>
      <c r="E1028" s="2"/>
      <c r="H1028" s="8"/>
      <c r="I1028" s="9"/>
    </row>
    <row r="1029" spans="1:9" x14ac:dyDescent="0.3">
      <c r="A1029" s="7"/>
      <c r="B1029" s="2"/>
      <c r="C1029" s="2"/>
      <c r="D1029" s="2"/>
      <c r="E1029" s="2"/>
      <c r="H1029" s="8"/>
      <c r="I1029" s="9"/>
    </row>
    <row r="1030" spans="1:9" x14ac:dyDescent="0.3">
      <c r="A1030" s="7"/>
      <c r="B1030" s="2"/>
      <c r="C1030" s="2"/>
      <c r="D1030" s="2"/>
      <c r="E1030" s="2"/>
      <c r="H1030" s="8"/>
      <c r="I1030" s="9"/>
    </row>
    <row r="1031" spans="1:9" x14ac:dyDescent="0.3">
      <c r="A1031" s="7"/>
      <c r="B1031" s="2"/>
      <c r="C1031" s="2"/>
      <c r="D1031" s="2"/>
      <c r="E1031" s="2"/>
      <c r="H1031" s="8"/>
      <c r="I1031" s="9"/>
    </row>
    <row r="1032" spans="1:9" x14ac:dyDescent="0.3">
      <c r="A1032" s="7"/>
      <c r="B1032" s="2"/>
      <c r="C1032" s="2"/>
      <c r="D1032" s="2"/>
      <c r="E1032" s="2"/>
      <c r="H1032" s="8"/>
      <c r="I1032" s="9"/>
    </row>
    <row r="1033" spans="1:9" x14ac:dyDescent="0.3">
      <c r="A1033" s="7"/>
      <c r="B1033" s="2"/>
      <c r="C1033" s="2"/>
      <c r="D1033" s="2"/>
      <c r="E1033" s="2"/>
      <c r="H1033" s="8"/>
      <c r="I1033" s="9"/>
    </row>
    <row r="1034" spans="1:9" x14ac:dyDescent="0.3">
      <c r="A1034" s="7"/>
      <c r="B1034" s="2"/>
      <c r="C1034" s="2"/>
      <c r="D1034" s="2"/>
      <c r="E1034" s="2"/>
      <c r="H1034" s="8"/>
      <c r="I1034" s="9"/>
    </row>
    <row r="1035" spans="1:9" x14ac:dyDescent="0.3">
      <c r="A1035" s="7"/>
      <c r="B1035" s="2"/>
      <c r="C1035" s="2"/>
      <c r="D1035" s="2"/>
      <c r="E1035" s="2"/>
      <c r="H1035" s="8"/>
      <c r="I1035" s="9"/>
    </row>
    <row r="1036" spans="1:9" x14ac:dyDescent="0.3">
      <c r="A1036" s="7"/>
      <c r="B1036" s="2"/>
      <c r="C1036" s="2"/>
      <c r="D1036" s="2"/>
      <c r="E1036" s="2"/>
      <c r="H1036" s="8"/>
      <c r="I1036" s="9"/>
    </row>
    <row r="1037" spans="1:9" x14ac:dyDescent="0.3">
      <c r="A1037" s="7"/>
      <c r="B1037" s="2"/>
      <c r="C1037" s="2"/>
      <c r="D1037" s="2"/>
      <c r="E1037" s="2"/>
      <c r="H1037" s="8"/>
      <c r="I1037" s="9"/>
    </row>
    <row r="1038" spans="1:9" x14ac:dyDescent="0.3">
      <c r="A1038" s="7"/>
      <c r="B1038" s="2"/>
      <c r="C1038" s="2"/>
      <c r="D1038" s="2"/>
      <c r="E1038" s="2"/>
      <c r="H1038" s="8"/>
      <c r="I1038" s="9"/>
    </row>
    <row r="1039" spans="1:9" x14ac:dyDescent="0.3">
      <c r="A1039" s="7"/>
      <c r="B1039" s="2"/>
      <c r="C1039" s="2"/>
      <c r="D1039" s="2"/>
      <c r="E1039" s="2"/>
      <c r="H1039" s="8"/>
      <c r="I1039" s="9"/>
    </row>
    <row r="1040" spans="1:9" x14ac:dyDescent="0.3">
      <c r="A1040" s="7"/>
      <c r="B1040" s="2"/>
      <c r="C1040" s="2"/>
      <c r="D1040" s="2"/>
      <c r="E1040" s="2"/>
      <c r="H1040" s="8"/>
      <c r="I1040" s="9"/>
    </row>
    <row r="1041" spans="1:9" x14ac:dyDescent="0.3">
      <c r="A1041" s="7"/>
      <c r="B1041" s="2"/>
      <c r="C1041" s="2"/>
      <c r="D1041" s="2"/>
      <c r="E1041" s="2"/>
      <c r="H1041" s="8"/>
      <c r="I1041" s="9"/>
    </row>
    <row r="1042" spans="1:9" x14ac:dyDescent="0.3">
      <c r="A1042" s="7"/>
      <c r="B1042" s="2"/>
      <c r="C1042" s="2"/>
      <c r="D1042" s="2"/>
      <c r="E1042" s="2"/>
      <c r="H1042" s="8"/>
      <c r="I1042" s="9"/>
    </row>
    <row r="1043" spans="1:9" x14ac:dyDescent="0.3">
      <c r="A1043" s="7"/>
      <c r="B1043" s="2"/>
      <c r="C1043" s="2"/>
      <c r="D1043" s="2"/>
      <c r="E1043" s="2"/>
      <c r="H1043" s="8"/>
      <c r="I1043" s="9"/>
    </row>
    <row r="1044" spans="1:9" x14ac:dyDescent="0.3">
      <c r="A1044" s="7"/>
      <c r="B1044" s="2"/>
      <c r="C1044" s="2"/>
      <c r="D1044" s="2"/>
      <c r="E1044" s="2"/>
      <c r="H1044" s="8"/>
      <c r="I1044" s="9"/>
    </row>
    <row r="1045" spans="1:9" x14ac:dyDescent="0.3">
      <c r="A1045" s="7"/>
      <c r="B1045" s="2"/>
      <c r="C1045" s="2"/>
      <c r="D1045" s="2"/>
      <c r="E1045" s="2"/>
      <c r="H1045" s="8"/>
      <c r="I1045" s="9"/>
    </row>
    <row r="1046" spans="1:9" x14ac:dyDescent="0.3">
      <c r="A1046" s="7"/>
      <c r="B1046" s="2"/>
      <c r="C1046" s="2"/>
      <c r="D1046" s="2"/>
      <c r="E1046" s="2"/>
      <c r="H1046" s="8"/>
      <c r="I1046" s="9"/>
    </row>
    <row r="1047" spans="1:9" x14ac:dyDescent="0.3">
      <c r="A1047" s="7"/>
      <c r="B1047" s="2"/>
      <c r="C1047" s="2"/>
      <c r="D1047" s="2"/>
      <c r="E1047" s="2"/>
      <c r="H1047" s="8"/>
      <c r="I1047" s="9"/>
    </row>
    <row r="1048" spans="1:9" x14ac:dyDescent="0.3">
      <c r="A1048" s="7"/>
      <c r="B1048" s="2"/>
      <c r="C1048" s="2"/>
      <c r="D1048" s="2"/>
      <c r="E1048" s="2"/>
      <c r="H1048" s="8"/>
      <c r="I1048" s="9"/>
    </row>
    <row r="1049" spans="1:9" x14ac:dyDescent="0.3">
      <c r="A1049" s="7"/>
      <c r="B1049" s="2"/>
      <c r="C1049" s="2"/>
      <c r="D1049" s="2"/>
      <c r="E1049" s="2"/>
      <c r="H1049" s="8"/>
      <c r="I1049" s="9"/>
    </row>
    <row r="1050" spans="1:9" x14ac:dyDescent="0.3">
      <c r="A1050" s="7"/>
      <c r="B1050" s="2"/>
      <c r="C1050" s="2"/>
      <c r="D1050" s="2"/>
      <c r="E1050" s="2"/>
      <c r="H1050" s="8"/>
      <c r="I1050" s="9"/>
    </row>
    <row r="1051" spans="1:9" x14ac:dyDescent="0.3">
      <c r="A1051" s="7"/>
      <c r="B1051" s="2"/>
      <c r="C1051" s="2"/>
      <c r="D1051" s="2"/>
      <c r="E1051" s="2"/>
      <c r="H1051" s="8"/>
      <c r="I1051" s="9"/>
    </row>
    <row r="1052" spans="1:9" x14ac:dyDescent="0.3">
      <c r="A1052" s="7"/>
      <c r="B1052" s="2"/>
      <c r="C1052" s="2"/>
      <c r="D1052" s="2"/>
      <c r="E1052" s="2"/>
      <c r="H1052" s="8"/>
      <c r="I1052" s="9"/>
    </row>
    <row r="1053" spans="1:9" x14ac:dyDescent="0.3">
      <c r="A1053" s="7"/>
      <c r="B1053" s="2"/>
      <c r="C1053" s="2"/>
      <c r="D1053" s="2"/>
      <c r="E1053" s="2"/>
      <c r="H1053" s="8"/>
      <c r="I1053" s="9"/>
    </row>
    <row r="1054" spans="1:9" x14ac:dyDescent="0.3">
      <c r="A1054" s="7"/>
      <c r="B1054" s="2"/>
      <c r="C1054" s="2"/>
      <c r="D1054" s="2"/>
      <c r="E1054" s="2"/>
      <c r="H1054" s="8"/>
      <c r="I1054" s="9"/>
    </row>
    <row r="1055" spans="1:9" x14ac:dyDescent="0.3">
      <c r="A1055" s="7"/>
      <c r="B1055" s="2"/>
      <c r="C1055" s="2"/>
      <c r="D1055" s="2"/>
      <c r="E1055" s="2"/>
      <c r="H1055" s="8"/>
      <c r="I1055" s="9"/>
    </row>
    <row r="1056" spans="1:9" x14ac:dyDescent="0.3">
      <c r="A1056" s="7"/>
      <c r="B1056" s="2"/>
      <c r="C1056" s="2"/>
      <c r="D1056" s="2"/>
      <c r="E1056" s="2"/>
      <c r="H1056" s="8"/>
      <c r="I1056" s="9"/>
    </row>
    <row r="1057" spans="1:9" x14ac:dyDescent="0.3">
      <c r="A1057" s="7"/>
      <c r="B1057" s="2"/>
      <c r="C1057" s="2"/>
      <c r="D1057" s="2"/>
      <c r="E1057" s="2"/>
      <c r="H1057" s="8"/>
      <c r="I1057" s="9"/>
    </row>
    <row r="1058" spans="1:9" x14ac:dyDescent="0.3">
      <c r="A1058" s="7"/>
      <c r="B1058" s="2"/>
      <c r="C1058" s="2"/>
      <c r="D1058" s="2"/>
      <c r="E1058" s="2"/>
      <c r="H1058" s="8"/>
      <c r="I1058" s="9"/>
    </row>
    <row r="1059" spans="1:9" x14ac:dyDescent="0.3">
      <c r="A1059" s="7"/>
      <c r="B1059" s="2"/>
      <c r="C1059" s="2"/>
      <c r="D1059" s="2"/>
      <c r="E1059" s="2"/>
      <c r="H1059" s="8"/>
      <c r="I1059" s="9"/>
    </row>
    <row r="1060" spans="1:9" x14ac:dyDescent="0.3">
      <c r="A1060" s="7"/>
      <c r="B1060" s="2"/>
      <c r="C1060" s="2"/>
      <c r="D1060" s="2"/>
      <c r="E1060" s="2"/>
      <c r="H1060" s="8"/>
      <c r="I1060" s="9"/>
    </row>
    <row r="1061" spans="1:9" x14ac:dyDescent="0.3">
      <c r="A1061" s="7"/>
      <c r="B1061" s="2"/>
      <c r="C1061" s="2"/>
      <c r="D1061" s="2"/>
      <c r="E1061" s="2"/>
      <c r="H1061" s="8"/>
      <c r="I1061" s="9"/>
    </row>
    <row r="1062" spans="1:9" x14ac:dyDescent="0.3">
      <c r="A1062" s="7"/>
      <c r="B1062" s="2"/>
      <c r="C1062" s="2"/>
      <c r="D1062" s="2"/>
      <c r="E1062" s="2"/>
      <c r="H1062" s="8"/>
      <c r="I1062" s="9"/>
    </row>
    <row r="1063" spans="1:9" x14ac:dyDescent="0.3">
      <c r="A1063" s="7"/>
      <c r="B1063" s="2"/>
      <c r="C1063" s="2"/>
      <c r="D1063" s="2"/>
      <c r="E1063" s="2"/>
      <c r="H1063" s="8"/>
      <c r="I1063" s="9"/>
    </row>
    <row r="1064" spans="1:9" x14ac:dyDescent="0.3">
      <c r="A1064" s="7"/>
      <c r="B1064" s="2"/>
      <c r="C1064" s="2"/>
      <c r="D1064" s="2"/>
      <c r="E1064" s="2"/>
      <c r="H1064" s="8"/>
      <c r="I1064" s="9"/>
    </row>
    <row r="1065" spans="1:9" x14ac:dyDescent="0.3">
      <c r="A1065" s="7"/>
      <c r="B1065" s="2"/>
      <c r="C1065" s="2"/>
      <c r="D1065" s="2"/>
      <c r="E1065" s="2"/>
      <c r="H1065" s="8"/>
      <c r="I1065" s="9"/>
    </row>
    <row r="1066" spans="1:9" x14ac:dyDescent="0.3">
      <c r="A1066" s="7"/>
      <c r="B1066" s="2"/>
      <c r="C1066" s="2"/>
      <c r="D1066" s="2"/>
      <c r="E1066" s="2"/>
      <c r="H1066" s="8"/>
      <c r="I1066" s="9"/>
    </row>
    <row r="1067" spans="1:9" x14ac:dyDescent="0.3">
      <c r="A1067" s="7"/>
      <c r="B1067" s="2"/>
      <c r="C1067" s="2"/>
      <c r="D1067" s="2"/>
      <c r="E1067" s="2"/>
      <c r="H1067" s="8"/>
      <c r="I1067" s="9"/>
    </row>
    <row r="1068" spans="1:9" x14ac:dyDescent="0.3">
      <c r="A1068" s="7"/>
      <c r="B1068" s="2"/>
      <c r="C1068" s="2"/>
      <c r="D1068" s="2"/>
      <c r="E1068" s="2"/>
      <c r="H1068" s="8"/>
      <c r="I1068" s="9"/>
    </row>
    <row r="1069" spans="1:9" x14ac:dyDescent="0.3">
      <c r="A1069" s="7"/>
      <c r="B1069" s="2"/>
      <c r="C1069" s="2"/>
      <c r="D1069" s="2"/>
      <c r="E1069" s="2"/>
      <c r="H1069" s="8"/>
      <c r="I1069" s="9"/>
    </row>
    <row r="1070" spans="1:9" x14ac:dyDescent="0.3">
      <c r="A1070" s="7"/>
      <c r="B1070" s="2"/>
      <c r="C1070" s="2"/>
      <c r="D1070" s="2"/>
      <c r="E1070" s="2"/>
      <c r="H1070" s="8"/>
      <c r="I1070" s="9"/>
    </row>
    <row r="1071" spans="1:9" x14ac:dyDescent="0.3">
      <c r="A1071" s="7"/>
      <c r="B1071" s="2"/>
      <c r="C1071" s="2"/>
      <c r="D1071" s="2"/>
      <c r="E1071" s="2"/>
      <c r="H1071" s="8"/>
      <c r="I1071" s="9"/>
    </row>
    <row r="1072" spans="1:9" x14ac:dyDescent="0.3">
      <c r="A1072" s="7"/>
      <c r="B1072" s="2"/>
      <c r="C1072" s="2"/>
      <c r="D1072" s="2"/>
      <c r="E1072" s="2"/>
      <c r="H1072" s="8"/>
      <c r="I1072" s="9"/>
    </row>
    <row r="1073" spans="1:9" x14ac:dyDescent="0.3">
      <c r="A1073" s="7"/>
      <c r="B1073" s="2"/>
      <c r="C1073" s="2"/>
      <c r="D1073" s="2"/>
      <c r="E1073" s="2"/>
      <c r="H1073" s="8"/>
      <c r="I1073" s="9"/>
    </row>
    <row r="1074" spans="1:9" x14ac:dyDescent="0.3">
      <c r="A1074" s="7"/>
      <c r="B1074" s="2"/>
      <c r="C1074" s="2"/>
      <c r="D1074" s="2"/>
      <c r="E1074" s="2"/>
      <c r="H1074" s="8"/>
      <c r="I1074" s="9"/>
    </row>
    <row r="1075" spans="1:9" x14ac:dyDescent="0.3">
      <c r="A1075" s="7"/>
      <c r="B1075" s="2"/>
      <c r="C1075" s="2"/>
      <c r="D1075" s="2"/>
      <c r="E1075" s="2"/>
      <c r="H1075" s="8"/>
      <c r="I1075" s="9"/>
    </row>
    <row r="1076" spans="1:9" x14ac:dyDescent="0.3">
      <c r="A1076" s="7"/>
      <c r="B1076" s="2"/>
      <c r="C1076" s="2"/>
      <c r="D1076" s="2"/>
      <c r="E1076" s="2"/>
      <c r="H1076" s="8"/>
      <c r="I1076" s="9"/>
    </row>
    <row r="1077" spans="1:9" x14ac:dyDescent="0.3">
      <c r="A1077" s="7"/>
      <c r="B1077" s="2"/>
      <c r="C1077" s="2"/>
      <c r="D1077" s="2"/>
      <c r="E1077" s="2"/>
      <c r="H1077" s="8"/>
      <c r="I1077" s="9"/>
    </row>
    <row r="1078" spans="1:9" x14ac:dyDescent="0.3">
      <c r="A1078" s="7"/>
      <c r="B1078" s="2"/>
      <c r="C1078" s="2"/>
      <c r="D1078" s="2"/>
      <c r="E1078" s="2"/>
      <c r="H1078" s="8"/>
      <c r="I1078" s="9"/>
    </row>
    <row r="1079" spans="1:9" x14ac:dyDescent="0.3">
      <c r="A1079" s="7"/>
      <c r="B1079" s="2"/>
      <c r="C1079" s="2"/>
      <c r="D1079" s="2"/>
      <c r="E1079" s="2"/>
      <c r="H1079" s="8"/>
      <c r="I1079" s="9"/>
    </row>
    <row r="1080" spans="1:9" x14ac:dyDescent="0.3">
      <c r="A1080" s="7"/>
      <c r="B1080" s="2"/>
      <c r="C1080" s="2"/>
      <c r="D1080" s="2"/>
      <c r="E1080" s="2"/>
      <c r="H1080" s="8"/>
      <c r="I1080" s="9"/>
    </row>
    <row r="1081" spans="1:9" x14ac:dyDescent="0.3">
      <c r="A1081" s="7"/>
      <c r="B1081" s="2"/>
      <c r="C1081" s="2"/>
      <c r="D1081" s="2"/>
      <c r="E1081" s="2"/>
      <c r="H1081" s="8"/>
      <c r="I1081" s="9"/>
    </row>
    <row r="1082" spans="1:9" x14ac:dyDescent="0.3">
      <c r="A1082" s="7"/>
      <c r="B1082" s="2"/>
      <c r="C1082" s="2"/>
      <c r="D1082" s="2"/>
      <c r="E1082" s="2"/>
      <c r="H1082" s="8"/>
      <c r="I1082" s="9"/>
    </row>
    <row r="1083" spans="1:9" x14ac:dyDescent="0.3">
      <c r="A1083" s="7"/>
      <c r="B1083" s="2"/>
      <c r="C1083" s="2"/>
      <c r="D1083" s="2"/>
      <c r="E1083" s="2"/>
      <c r="H1083" s="8"/>
      <c r="I1083" s="9"/>
    </row>
    <row r="1084" spans="1:9" x14ac:dyDescent="0.3">
      <c r="A1084" s="7"/>
      <c r="B1084" s="2"/>
      <c r="C1084" s="2"/>
      <c r="D1084" s="2"/>
      <c r="E1084" s="2"/>
      <c r="H1084" s="8"/>
      <c r="I1084" s="9"/>
    </row>
    <row r="1085" spans="1:9" x14ac:dyDescent="0.3">
      <c r="A1085" s="7"/>
      <c r="B1085" s="2"/>
      <c r="C1085" s="2"/>
      <c r="D1085" s="2"/>
      <c r="E1085" s="2"/>
      <c r="H1085" s="8"/>
      <c r="I1085" s="9"/>
    </row>
    <row r="1086" spans="1:9" x14ac:dyDescent="0.3">
      <c r="A1086" s="7"/>
      <c r="B1086" s="2"/>
      <c r="C1086" s="2"/>
      <c r="D1086" s="2"/>
      <c r="E1086" s="2"/>
      <c r="H1086" s="8"/>
      <c r="I1086" s="9"/>
    </row>
    <row r="1087" spans="1:9" x14ac:dyDescent="0.3">
      <c r="A1087" s="7"/>
      <c r="B1087" s="2"/>
      <c r="C1087" s="2"/>
      <c r="D1087" s="2"/>
      <c r="E1087" s="2"/>
      <c r="H1087" s="8"/>
      <c r="I1087" s="9"/>
    </row>
    <row r="1088" spans="1:9" x14ac:dyDescent="0.3">
      <c r="A1088" s="7"/>
      <c r="B1088" s="2"/>
      <c r="C1088" s="2"/>
      <c r="D1088" s="2"/>
      <c r="E1088" s="2"/>
      <c r="H1088" s="8"/>
      <c r="I1088" s="9"/>
    </row>
    <row r="1089" spans="1:9" x14ac:dyDescent="0.3">
      <c r="A1089" s="7"/>
      <c r="B1089" s="2"/>
      <c r="C1089" s="2"/>
      <c r="D1089" s="2"/>
      <c r="E1089" s="2"/>
      <c r="H1089" s="8"/>
      <c r="I1089" s="9"/>
    </row>
    <row r="1090" spans="1:9" x14ac:dyDescent="0.3">
      <c r="A1090" s="7"/>
      <c r="B1090" s="2"/>
      <c r="C1090" s="2"/>
      <c r="D1090" s="2"/>
      <c r="E1090" s="2"/>
      <c r="H1090" s="8"/>
      <c r="I1090" s="9"/>
    </row>
    <row r="1091" spans="1:9" x14ac:dyDescent="0.3">
      <c r="A1091" s="7"/>
      <c r="B1091" s="2"/>
      <c r="C1091" s="2"/>
      <c r="D1091" s="2"/>
      <c r="E1091" s="2"/>
      <c r="H1091" s="8"/>
      <c r="I1091" s="9"/>
    </row>
    <row r="1092" spans="1:9" x14ac:dyDescent="0.3">
      <c r="A1092" s="7"/>
      <c r="B1092" s="2"/>
      <c r="C1092" s="2"/>
      <c r="D1092" s="2"/>
      <c r="E1092" s="2"/>
      <c r="H1092" s="8"/>
      <c r="I1092" s="9"/>
    </row>
    <row r="1093" spans="1:9" x14ac:dyDescent="0.3">
      <c r="A1093" s="7"/>
      <c r="B1093" s="2"/>
      <c r="C1093" s="2"/>
      <c r="D1093" s="2"/>
      <c r="E1093" s="2"/>
      <c r="H1093" s="8"/>
      <c r="I1093" s="9"/>
    </row>
    <row r="1094" spans="1:9" x14ac:dyDescent="0.3">
      <c r="A1094" s="7"/>
      <c r="B1094" s="2"/>
      <c r="C1094" s="2"/>
      <c r="D1094" s="2"/>
      <c r="E1094" s="2"/>
      <c r="H1094" s="8"/>
      <c r="I1094" s="9"/>
    </row>
    <row r="1095" spans="1:9" x14ac:dyDescent="0.3">
      <c r="A1095" s="7"/>
      <c r="B1095" s="2"/>
      <c r="C1095" s="2"/>
      <c r="D1095" s="2"/>
      <c r="E1095" s="2"/>
      <c r="H1095" s="8"/>
      <c r="I1095" s="9"/>
    </row>
    <row r="1096" spans="1:9" x14ac:dyDescent="0.3">
      <c r="A1096" s="7"/>
      <c r="B1096" s="2"/>
      <c r="C1096" s="2"/>
      <c r="D1096" s="2"/>
      <c r="E1096" s="2"/>
      <c r="H1096" s="8"/>
      <c r="I1096" s="9"/>
    </row>
    <row r="1097" spans="1:9" x14ac:dyDescent="0.3">
      <c r="A1097" s="7"/>
      <c r="B1097" s="2"/>
      <c r="C1097" s="2"/>
      <c r="D1097" s="2"/>
      <c r="E1097" s="2"/>
      <c r="H1097" s="8"/>
      <c r="I1097" s="9"/>
    </row>
    <row r="1098" spans="1:9" x14ac:dyDescent="0.3">
      <c r="A1098" s="7"/>
      <c r="B1098" s="2"/>
      <c r="C1098" s="2"/>
      <c r="D1098" s="2"/>
      <c r="E1098" s="2"/>
      <c r="H1098" s="8"/>
      <c r="I1098" s="9"/>
    </row>
    <row r="1099" spans="1:9" x14ac:dyDescent="0.3">
      <c r="A1099" s="7"/>
      <c r="B1099" s="2"/>
      <c r="C1099" s="2"/>
      <c r="D1099" s="2"/>
      <c r="E1099" s="2"/>
      <c r="H1099" s="8"/>
      <c r="I1099" s="9"/>
    </row>
    <row r="1100" spans="1:9" x14ac:dyDescent="0.3">
      <c r="A1100" s="7"/>
      <c r="B1100" s="2"/>
      <c r="C1100" s="2"/>
      <c r="D1100" s="2"/>
      <c r="E1100" s="2"/>
      <c r="H1100" s="8"/>
      <c r="I1100" s="9"/>
    </row>
    <row r="1101" spans="1:9" x14ac:dyDescent="0.3">
      <c r="A1101" s="7"/>
      <c r="B1101" s="2"/>
      <c r="C1101" s="2"/>
      <c r="D1101" s="2"/>
      <c r="E1101" s="2"/>
      <c r="H1101" s="8"/>
      <c r="I1101" s="9"/>
    </row>
    <row r="1102" spans="1:9" x14ac:dyDescent="0.3">
      <c r="A1102" s="7"/>
      <c r="B1102" s="2"/>
      <c r="C1102" s="2"/>
      <c r="D1102" s="2"/>
      <c r="E1102" s="2"/>
      <c r="H1102" s="8"/>
      <c r="I1102" s="9"/>
    </row>
    <row r="1103" spans="1:9" x14ac:dyDescent="0.3">
      <c r="A1103" s="7"/>
      <c r="B1103" s="2"/>
      <c r="C1103" s="2"/>
      <c r="D1103" s="2"/>
      <c r="E1103" s="2"/>
      <c r="H1103" s="8"/>
      <c r="I1103" s="9"/>
    </row>
    <row r="1104" spans="1:9" x14ac:dyDescent="0.3">
      <c r="A1104" s="7"/>
      <c r="B1104" s="2"/>
      <c r="C1104" s="2"/>
      <c r="D1104" s="2"/>
      <c r="E1104" s="2"/>
      <c r="H1104" s="8"/>
      <c r="I1104" s="9"/>
    </row>
    <row r="1105" spans="1:9" x14ac:dyDescent="0.3">
      <c r="A1105" s="7"/>
      <c r="B1105" s="2"/>
      <c r="C1105" s="2"/>
      <c r="D1105" s="2"/>
      <c r="E1105" s="2"/>
      <c r="H1105" s="8"/>
      <c r="I1105" s="9"/>
    </row>
    <row r="1106" spans="1:9" x14ac:dyDescent="0.3">
      <c r="A1106" s="7"/>
      <c r="B1106" s="2"/>
      <c r="C1106" s="2"/>
      <c r="D1106" s="2"/>
      <c r="E1106" s="2"/>
      <c r="H1106" s="8"/>
      <c r="I1106" s="9"/>
    </row>
    <row r="1107" spans="1:9" x14ac:dyDescent="0.3">
      <c r="A1107" s="7"/>
      <c r="B1107" s="2"/>
      <c r="C1107" s="2"/>
      <c r="D1107" s="2"/>
      <c r="E1107" s="2"/>
      <c r="H1107" s="8"/>
      <c r="I1107" s="9"/>
    </row>
    <row r="1108" spans="1:9" x14ac:dyDescent="0.3">
      <c r="A1108" s="7"/>
      <c r="B1108" s="2"/>
      <c r="C1108" s="2"/>
      <c r="D1108" s="2"/>
      <c r="E1108" s="2"/>
      <c r="H1108" s="8"/>
      <c r="I1108" s="9"/>
    </row>
    <row r="1109" spans="1:9" x14ac:dyDescent="0.3">
      <c r="A1109" s="7"/>
      <c r="B1109" s="2"/>
      <c r="C1109" s="2"/>
      <c r="D1109" s="2"/>
      <c r="E1109" s="2"/>
      <c r="H1109" s="8"/>
      <c r="I1109" s="9"/>
    </row>
    <row r="1110" spans="1:9" x14ac:dyDescent="0.3">
      <c r="A1110" s="7"/>
      <c r="B1110" s="2"/>
      <c r="C1110" s="2"/>
      <c r="D1110" s="2"/>
      <c r="E1110" s="2"/>
      <c r="H1110" s="8"/>
      <c r="I1110" s="9"/>
    </row>
    <row r="1111" spans="1:9" x14ac:dyDescent="0.3">
      <c r="A1111" s="7"/>
      <c r="B1111" s="2"/>
      <c r="C1111" s="2"/>
      <c r="D1111" s="2"/>
      <c r="E1111" s="2"/>
      <c r="H1111" s="8"/>
      <c r="I1111" s="9"/>
    </row>
    <row r="1112" spans="1:9" x14ac:dyDescent="0.3">
      <c r="A1112" s="7"/>
      <c r="B1112" s="2"/>
      <c r="C1112" s="2"/>
      <c r="D1112" s="2"/>
      <c r="E1112" s="2"/>
      <c r="H1112" s="8"/>
      <c r="I1112" s="9"/>
    </row>
    <row r="1113" spans="1:9" x14ac:dyDescent="0.3">
      <c r="A1113" s="7"/>
      <c r="B1113" s="2"/>
      <c r="C1113" s="2"/>
      <c r="D1113" s="2"/>
      <c r="E1113" s="2"/>
      <c r="H1113" s="8"/>
      <c r="I1113" s="9"/>
    </row>
    <row r="1114" spans="1:9" x14ac:dyDescent="0.3">
      <c r="A1114" s="7"/>
      <c r="B1114" s="2"/>
      <c r="C1114" s="2"/>
      <c r="D1114" s="2"/>
      <c r="E1114" s="2"/>
      <c r="H1114" s="8"/>
      <c r="I1114" s="9"/>
    </row>
    <row r="1115" spans="1:9" x14ac:dyDescent="0.3">
      <c r="A1115" s="7"/>
      <c r="B1115" s="2"/>
      <c r="C1115" s="2"/>
      <c r="D1115" s="2"/>
      <c r="E1115" s="2"/>
      <c r="H1115" s="8"/>
      <c r="I1115" s="9"/>
    </row>
    <row r="1116" spans="1:9" x14ac:dyDescent="0.3">
      <c r="A1116" s="7"/>
      <c r="B1116" s="2"/>
      <c r="C1116" s="2"/>
      <c r="D1116" s="2"/>
      <c r="E1116" s="2"/>
      <c r="H1116" s="8"/>
      <c r="I1116" s="9"/>
    </row>
    <row r="1117" spans="1:9" x14ac:dyDescent="0.3">
      <c r="A1117" s="7"/>
      <c r="B1117" s="2"/>
      <c r="C1117" s="2"/>
      <c r="D1117" s="2"/>
      <c r="E1117" s="2"/>
      <c r="H1117" s="8"/>
      <c r="I1117" s="9"/>
    </row>
    <row r="1118" spans="1:9" x14ac:dyDescent="0.3">
      <c r="A1118" s="7"/>
      <c r="B1118" s="2"/>
      <c r="C1118" s="2"/>
      <c r="D1118" s="2"/>
      <c r="E1118" s="2"/>
      <c r="H1118" s="8"/>
      <c r="I1118" s="9"/>
    </row>
    <row r="1119" spans="1:9" x14ac:dyDescent="0.3">
      <c r="A1119" s="7"/>
      <c r="B1119" s="2"/>
      <c r="C1119" s="2"/>
      <c r="D1119" s="2"/>
      <c r="E1119" s="2"/>
      <c r="H1119" s="8"/>
      <c r="I1119" s="9"/>
    </row>
    <row r="1120" spans="1:9" x14ac:dyDescent="0.3">
      <c r="A1120" s="7"/>
      <c r="B1120" s="2"/>
      <c r="C1120" s="2"/>
      <c r="D1120" s="2"/>
      <c r="E1120" s="2"/>
      <c r="H1120" s="8"/>
      <c r="I1120" s="9"/>
    </row>
    <row r="1121" spans="1:9" x14ac:dyDescent="0.3">
      <c r="A1121" s="7"/>
      <c r="B1121" s="2"/>
      <c r="C1121" s="2"/>
      <c r="D1121" s="2"/>
      <c r="E1121" s="2"/>
      <c r="H1121" s="8"/>
      <c r="I1121" s="9"/>
    </row>
    <row r="1122" spans="1:9" x14ac:dyDescent="0.3">
      <c r="A1122" s="7"/>
      <c r="B1122" s="2"/>
      <c r="C1122" s="2"/>
      <c r="D1122" s="2"/>
      <c r="E1122" s="2"/>
      <c r="H1122" s="8"/>
      <c r="I1122" s="9"/>
    </row>
    <row r="1123" spans="1:9" x14ac:dyDescent="0.3">
      <c r="A1123" s="7"/>
      <c r="B1123" s="2"/>
      <c r="C1123" s="2"/>
      <c r="D1123" s="2"/>
      <c r="E1123" s="2"/>
      <c r="H1123" s="8"/>
      <c r="I1123" s="9"/>
    </row>
    <row r="1124" spans="1:9" x14ac:dyDescent="0.3">
      <c r="A1124" s="7"/>
      <c r="B1124" s="2"/>
      <c r="C1124" s="2"/>
      <c r="D1124" s="2"/>
      <c r="E1124" s="2"/>
      <c r="H1124" s="8"/>
      <c r="I1124" s="9"/>
    </row>
    <row r="1125" spans="1:9" x14ac:dyDescent="0.3">
      <c r="A1125" s="7"/>
      <c r="B1125" s="2"/>
      <c r="C1125" s="2"/>
      <c r="D1125" s="2"/>
      <c r="E1125" s="2"/>
      <c r="H1125" s="8"/>
      <c r="I1125" s="9"/>
    </row>
    <row r="1126" spans="1:9" x14ac:dyDescent="0.3">
      <c r="A1126" s="7"/>
      <c r="B1126" s="2"/>
      <c r="C1126" s="2"/>
      <c r="D1126" s="2"/>
      <c r="E1126" s="2"/>
      <c r="H1126" s="8"/>
      <c r="I1126" s="9"/>
    </row>
    <row r="1127" spans="1:9" x14ac:dyDescent="0.3">
      <c r="A1127" s="7"/>
      <c r="B1127" s="2"/>
      <c r="C1127" s="2"/>
      <c r="D1127" s="2"/>
      <c r="E1127" s="2"/>
      <c r="H1127" s="8"/>
      <c r="I1127" s="9"/>
    </row>
    <row r="1128" spans="1:9" x14ac:dyDescent="0.3">
      <c r="A1128" s="7"/>
      <c r="B1128" s="2"/>
      <c r="C1128" s="2"/>
      <c r="D1128" s="2"/>
      <c r="E1128" s="2"/>
      <c r="H1128" s="8"/>
      <c r="I1128" s="9"/>
    </row>
    <row r="1129" spans="1:9" x14ac:dyDescent="0.3">
      <c r="A1129" s="7"/>
      <c r="B1129" s="2"/>
      <c r="C1129" s="2"/>
      <c r="D1129" s="2"/>
      <c r="E1129" s="2"/>
      <c r="H1129" s="8"/>
      <c r="I1129" s="9"/>
    </row>
    <row r="1130" spans="1:9" x14ac:dyDescent="0.3">
      <c r="A1130" s="7"/>
      <c r="B1130" s="2"/>
      <c r="C1130" s="2"/>
      <c r="D1130" s="2"/>
      <c r="E1130" s="2"/>
      <c r="H1130" s="8"/>
      <c r="I1130" s="9"/>
    </row>
    <row r="1131" spans="1:9" x14ac:dyDescent="0.3">
      <c r="A1131" s="7"/>
      <c r="B1131" s="2"/>
      <c r="C1131" s="2"/>
      <c r="D1131" s="2"/>
      <c r="E1131" s="2"/>
      <c r="H1131" s="8"/>
      <c r="I1131" s="9"/>
    </row>
    <row r="1132" spans="1:9" x14ac:dyDescent="0.3">
      <c r="A1132" s="7"/>
      <c r="B1132" s="2"/>
      <c r="C1132" s="2"/>
      <c r="D1132" s="2"/>
      <c r="E1132" s="2"/>
      <c r="H1132" s="8"/>
      <c r="I1132" s="9"/>
    </row>
    <row r="1133" spans="1:9" x14ac:dyDescent="0.3">
      <c r="A1133" s="7"/>
      <c r="B1133" s="2"/>
      <c r="C1133" s="2"/>
      <c r="D1133" s="2"/>
      <c r="E1133" s="2"/>
      <c r="H1133" s="8"/>
      <c r="I1133" s="9"/>
    </row>
    <row r="1134" spans="1:9" x14ac:dyDescent="0.3">
      <c r="A1134" s="7"/>
      <c r="B1134" s="2"/>
      <c r="C1134" s="2"/>
      <c r="D1134" s="2"/>
      <c r="E1134" s="2"/>
      <c r="H1134" s="8"/>
      <c r="I1134" s="9"/>
    </row>
    <row r="1135" spans="1:9" x14ac:dyDescent="0.3">
      <c r="A1135" s="7"/>
      <c r="B1135" s="2"/>
      <c r="C1135" s="2"/>
      <c r="D1135" s="2"/>
      <c r="E1135" s="2"/>
      <c r="H1135" s="8"/>
      <c r="I1135" s="9"/>
    </row>
    <row r="1136" spans="1:9" x14ac:dyDescent="0.3">
      <c r="A1136" s="7"/>
      <c r="B1136" s="2"/>
      <c r="C1136" s="2"/>
      <c r="D1136" s="2"/>
      <c r="E1136" s="2"/>
      <c r="H1136" s="8"/>
      <c r="I1136" s="9"/>
    </row>
    <row r="1137" spans="1:9" x14ac:dyDescent="0.3">
      <c r="A1137" s="7"/>
      <c r="B1137" s="2"/>
      <c r="C1137" s="2"/>
      <c r="D1137" s="2"/>
      <c r="E1137" s="2"/>
      <c r="H1137" s="8"/>
      <c r="I1137" s="9"/>
    </row>
    <row r="1138" spans="1:9" x14ac:dyDescent="0.3">
      <c r="A1138" s="7"/>
      <c r="B1138" s="2"/>
      <c r="C1138" s="2"/>
      <c r="D1138" s="2"/>
      <c r="E1138" s="2"/>
      <c r="H1138" s="8"/>
      <c r="I1138" s="9"/>
    </row>
    <row r="1139" spans="1:9" x14ac:dyDescent="0.3">
      <c r="A1139" s="7"/>
      <c r="B1139" s="2"/>
      <c r="C1139" s="2"/>
      <c r="D1139" s="2"/>
      <c r="E1139" s="2"/>
      <c r="H1139" s="8"/>
      <c r="I1139" s="9"/>
    </row>
    <row r="1140" spans="1:9" x14ac:dyDescent="0.3">
      <c r="A1140" s="7"/>
      <c r="B1140" s="2"/>
      <c r="C1140" s="2"/>
      <c r="D1140" s="2"/>
      <c r="E1140" s="2"/>
      <c r="H1140" s="8"/>
      <c r="I1140" s="9"/>
    </row>
    <row r="1141" spans="1:9" x14ac:dyDescent="0.3">
      <c r="A1141" s="7"/>
      <c r="B1141" s="2"/>
      <c r="C1141" s="2"/>
      <c r="D1141" s="2"/>
      <c r="E1141" s="2"/>
      <c r="H1141" s="8"/>
      <c r="I1141" s="9"/>
    </row>
    <row r="1142" spans="1:9" x14ac:dyDescent="0.3">
      <c r="A1142" s="7"/>
      <c r="B1142" s="2"/>
      <c r="C1142" s="2"/>
      <c r="D1142" s="2"/>
      <c r="E1142" s="2"/>
      <c r="H1142" s="8"/>
      <c r="I1142" s="9"/>
    </row>
    <row r="1143" spans="1:9" x14ac:dyDescent="0.3">
      <c r="A1143" s="7"/>
      <c r="B1143" s="2"/>
      <c r="C1143" s="2"/>
      <c r="D1143" s="2"/>
      <c r="E1143" s="2"/>
      <c r="H1143" s="8"/>
      <c r="I1143" s="9"/>
    </row>
    <row r="1144" spans="1:9" x14ac:dyDescent="0.3">
      <c r="A1144" s="7"/>
      <c r="B1144" s="2"/>
      <c r="C1144" s="2"/>
      <c r="D1144" s="2"/>
      <c r="E1144" s="2"/>
      <c r="H1144" s="8"/>
      <c r="I1144" s="9"/>
    </row>
    <row r="1145" spans="1:9" x14ac:dyDescent="0.3">
      <c r="A1145" s="7"/>
      <c r="B1145" s="2"/>
      <c r="C1145" s="2"/>
      <c r="D1145" s="2"/>
      <c r="E1145" s="2"/>
      <c r="H1145" s="8"/>
      <c r="I1145" s="9"/>
    </row>
    <row r="1146" spans="1:9" x14ac:dyDescent="0.3">
      <c r="A1146" s="7"/>
      <c r="B1146" s="2"/>
      <c r="C1146" s="2"/>
      <c r="D1146" s="2"/>
      <c r="E1146" s="2"/>
      <c r="H1146" s="8"/>
      <c r="I1146" s="9"/>
    </row>
    <row r="1147" spans="1:9" x14ac:dyDescent="0.3">
      <c r="A1147" s="7"/>
      <c r="B1147" s="2"/>
      <c r="C1147" s="2"/>
      <c r="D1147" s="2"/>
      <c r="E1147" s="2"/>
      <c r="H1147" s="8"/>
      <c r="I1147" s="9"/>
    </row>
    <row r="1148" spans="1:9" x14ac:dyDescent="0.3">
      <c r="A1148" s="7"/>
      <c r="B1148" s="2"/>
      <c r="C1148" s="2"/>
      <c r="D1148" s="2"/>
      <c r="E1148" s="2"/>
      <c r="H1148" s="8"/>
      <c r="I1148" s="9"/>
    </row>
    <row r="1149" spans="1:9" x14ac:dyDescent="0.3">
      <c r="A1149" s="7"/>
      <c r="B1149" s="2"/>
      <c r="C1149" s="2"/>
      <c r="D1149" s="2"/>
      <c r="E1149" s="2"/>
      <c r="H1149" s="8"/>
      <c r="I1149" s="9"/>
    </row>
    <row r="1150" spans="1:9" x14ac:dyDescent="0.3">
      <c r="A1150" s="7"/>
      <c r="B1150" s="2"/>
      <c r="C1150" s="2"/>
      <c r="D1150" s="2"/>
      <c r="E1150" s="2"/>
      <c r="H1150" s="8"/>
      <c r="I1150" s="9"/>
    </row>
    <row r="1151" spans="1:9" x14ac:dyDescent="0.3">
      <c r="A1151" s="7"/>
      <c r="B1151" s="2"/>
      <c r="C1151" s="2"/>
      <c r="D1151" s="2"/>
      <c r="E1151" s="2"/>
      <c r="H1151" s="8"/>
      <c r="I1151" s="9"/>
    </row>
    <row r="1152" spans="1:9" x14ac:dyDescent="0.3">
      <c r="A1152" s="7"/>
      <c r="B1152" s="2"/>
      <c r="C1152" s="2"/>
      <c r="D1152" s="2"/>
      <c r="E1152" s="2"/>
      <c r="H1152" s="8"/>
      <c r="I1152" s="9"/>
    </row>
    <row r="1153" spans="1:9" x14ac:dyDescent="0.3">
      <c r="A1153" s="7"/>
      <c r="B1153" s="2"/>
      <c r="C1153" s="2"/>
      <c r="D1153" s="2"/>
      <c r="E1153" s="2"/>
      <c r="H1153" s="8"/>
      <c r="I1153" s="9"/>
    </row>
    <row r="1154" spans="1:9" x14ac:dyDescent="0.3">
      <c r="A1154" s="7"/>
      <c r="B1154" s="2"/>
      <c r="C1154" s="2"/>
      <c r="D1154" s="2"/>
      <c r="E1154" s="2"/>
      <c r="H1154" s="8"/>
      <c r="I1154" s="9"/>
    </row>
    <row r="1155" spans="1:9" x14ac:dyDescent="0.3">
      <c r="A1155" s="7"/>
      <c r="B1155" s="2"/>
      <c r="C1155" s="2"/>
      <c r="D1155" s="2"/>
      <c r="E1155" s="2"/>
      <c r="H1155" s="8"/>
      <c r="I1155" s="9"/>
    </row>
    <row r="1156" spans="1:9" x14ac:dyDescent="0.3">
      <c r="A1156" s="7"/>
      <c r="B1156" s="2"/>
      <c r="C1156" s="2"/>
      <c r="D1156" s="2"/>
      <c r="E1156" s="2"/>
      <c r="H1156" s="8"/>
      <c r="I1156" s="9"/>
    </row>
    <row r="1157" spans="1:9" x14ac:dyDescent="0.3">
      <c r="A1157" s="7"/>
      <c r="B1157" s="2"/>
      <c r="C1157" s="2"/>
      <c r="D1157" s="2"/>
      <c r="E1157" s="2"/>
      <c r="H1157" s="8"/>
      <c r="I1157" s="9"/>
    </row>
    <row r="1158" spans="1:9" x14ac:dyDescent="0.3">
      <c r="A1158" s="7"/>
      <c r="B1158" s="2"/>
      <c r="C1158" s="2"/>
      <c r="D1158" s="2"/>
      <c r="E1158" s="2"/>
      <c r="H1158" s="8"/>
      <c r="I1158" s="9"/>
    </row>
    <row r="1159" spans="1:9" x14ac:dyDescent="0.3">
      <c r="A1159" s="7"/>
      <c r="B1159" s="2"/>
      <c r="C1159" s="2"/>
      <c r="D1159" s="2"/>
      <c r="E1159" s="2"/>
      <c r="H1159" s="8"/>
      <c r="I1159" s="9"/>
    </row>
    <row r="1160" spans="1:9" x14ac:dyDescent="0.3">
      <c r="A1160" s="7"/>
      <c r="B1160" s="2"/>
      <c r="C1160" s="2"/>
      <c r="D1160" s="2"/>
      <c r="E1160" s="2"/>
      <c r="H1160" s="8"/>
      <c r="I1160" s="9"/>
    </row>
    <row r="1161" spans="1:9" x14ac:dyDescent="0.3">
      <c r="A1161" s="7"/>
      <c r="B1161" s="2"/>
      <c r="C1161" s="2"/>
      <c r="D1161" s="2"/>
      <c r="E1161" s="2"/>
      <c r="H1161" s="8"/>
      <c r="I1161" s="9"/>
    </row>
    <row r="1162" spans="1:9" x14ac:dyDescent="0.3">
      <c r="A1162" s="7"/>
      <c r="B1162" s="2"/>
      <c r="C1162" s="2"/>
      <c r="D1162" s="2"/>
      <c r="E1162" s="2"/>
      <c r="H1162" s="8"/>
      <c r="I1162" s="9"/>
    </row>
    <row r="1163" spans="1:9" x14ac:dyDescent="0.3">
      <c r="A1163" s="7"/>
      <c r="B1163" s="2"/>
      <c r="C1163" s="2"/>
      <c r="D1163" s="2"/>
      <c r="E1163" s="2"/>
      <c r="H1163" s="8"/>
      <c r="I1163" s="9"/>
    </row>
    <row r="1164" spans="1:9" x14ac:dyDescent="0.3">
      <c r="A1164" s="7"/>
      <c r="B1164" s="2"/>
      <c r="C1164" s="2"/>
      <c r="D1164" s="2"/>
      <c r="E1164" s="2"/>
      <c r="H1164" s="8"/>
      <c r="I1164" s="9"/>
    </row>
    <row r="1165" spans="1:9" x14ac:dyDescent="0.3">
      <c r="A1165" s="7"/>
      <c r="B1165" s="2"/>
      <c r="C1165" s="2"/>
      <c r="D1165" s="2"/>
      <c r="E1165" s="2"/>
      <c r="H1165" s="8"/>
      <c r="I1165" s="9"/>
    </row>
    <row r="1166" spans="1:9" x14ac:dyDescent="0.3">
      <c r="A1166" s="7"/>
      <c r="B1166" s="2"/>
      <c r="C1166" s="2"/>
      <c r="D1166" s="2"/>
      <c r="E1166" s="2"/>
      <c r="H1166" s="8"/>
      <c r="I1166" s="9"/>
    </row>
    <row r="1167" spans="1:9" x14ac:dyDescent="0.3">
      <c r="A1167" s="7"/>
      <c r="B1167" s="2"/>
      <c r="C1167" s="2"/>
      <c r="D1167" s="2"/>
      <c r="E1167" s="2"/>
      <c r="H1167" s="8"/>
      <c r="I1167" s="9"/>
    </row>
  </sheetData>
  <phoneticPr fontId="1" type="noConversion"/>
  <conditionalFormatting sqref="L3:L116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{887DD5EC-0C06-48D9-B7F3-5CC34C5CC2A6}</x14:id>
        </ext>
      </extLst>
    </cfRule>
  </conditionalFormatting>
  <conditionalFormatting sqref="M3:M116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{3FF8317D-5369-4E2D-A096-07CFCD8B7D2B}</x14:id>
        </ext>
      </extLst>
    </cfRule>
  </conditionalFormatting>
  <conditionalFormatting sqref="N3:N116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{9392E920-43C3-44EE-A60A-12D206B0FF0A}</x14:id>
        </ext>
      </extLst>
    </cfRule>
  </conditionalFormatting>
  <conditionalFormatting sqref="O3:O116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{3F722BF0-792E-4947-B3EB-AA1917B16DFF}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7DD5EC-0C06-48D9-B7F3-5CC34C5CC2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L3:L1167</xm:sqref>
        </x14:conditionalFormatting>
        <x14:conditionalFormatting xmlns:xm="http://schemas.microsoft.com/office/excel/2006/main">
          <x14:cfRule type="dataBar" id="{3FF8317D-5369-4E2D-A096-07CFCD8B7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M3:M1167</xm:sqref>
        </x14:conditionalFormatting>
        <x14:conditionalFormatting xmlns:xm="http://schemas.microsoft.com/office/excel/2006/main">
          <x14:cfRule type="dataBar" id="{9392E920-43C3-44EE-A60A-12D206B0FF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N3:N1167</xm:sqref>
        </x14:conditionalFormatting>
        <x14:conditionalFormatting xmlns:xm="http://schemas.microsoft.com/office/excel/2006/main">
          <x14:cfRule type="dataBar" id="{3F722BF0-792E-4947-B3EB-AA1917B16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O3:O1167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2026-03-21T18:04:10Z</dcterms:modified>
</cp:coreProperties>
</file>