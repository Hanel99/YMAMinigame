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7477CCA7-14CF-4360-8AAD-B4267011304F}" xr6:coauthVersionLast="47" xr6:coauthVersionMax="47" xr10:uidLastSave="{00000000-0000-0000-0000-000000000000}"/>
  <bookViews>
    <workbookView xWindow="38280" yWindow="1425" windowWidth="38640" windowHeight="2124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2" l="1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" i="2"/>
  <c r="B253" i="2"/>
  <c r="B254" i="2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252" i="2"/>
  <c r="B203" i="2"/>
  <c r="B204" i="2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02" i="2"/>
  <c r="B193" i="2"/>
  <c r="B194" i="2" s="1"/>
  <c r="B195" i="2" s="1"/>
  <c r="B196" i="2" s="1"/>
  <c r="B197" i="2" s="1"/>
  <c r="B198" i="2" s="1"/>
  <c r="B199" i="2" s="1"/>
  <c r="B200" i="2" s="1"/>
  <c r="B201" i="2" s="1"/>
  <c r="B192" i="2"/>
  <c r="B183" i="2"/>
  <c r="B184" i="2"/>
  <c r="B185" i="2" s="1"/>
  <c r="B186" i="2" s="1"/>
  <c r="B187" i="2" s="1"/>
  <c r="B188" i="2" s="1"/>
  <c r="B189" i="2" s="1"/>
  <c r="B190" i="2" s="1"/>
  <c r="B191" i="2" s="1"/>
  <c r="B182" i="2"/>
  <c r="B173" i="2"/>
  <c r="B174" i="2" s="1"/>
  <c r="B175" i="2" s="1"/>
  <c r="B176" i="2" s="1"/>
  <c r="B177" i="2" s="1"/>
  <c r="B178" i="2" s="1"/>
  <c r="B179" i="2" s="1"/>
  <c r="B180" i="2" s="1"/>
  <c r="B181" i="2" s="1"/>
  <c r="B172" i="2"/>
  <c r="B13" i="2"/>
  <c r="B14" i="2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12" i="2"/>
  <c r="B5" i="2"/>
  <c r="B6" i="2"/>
  <c r="B7" i="2" s="1"/>
  <c r="B8" i="2" s="1"/>
  <c r="B9" i="2" s="1"/>
  <c r="B10" i="2" s="1"/>
  <c r="B11" i="2" s="1"/>
  <c r="B4" i="2"/>
  <c r="D253" i="2"/>
  <c r="D254" i="2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252" i="2"/>
  <c r="D203" i="2"/>
  <c r="D204" i="2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02" i="2"/>
  <c r="D153" i="2"/>
  <c r="D154" i="2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C11" i="2"/>
  <c r="M11" i="2" s="1"/>
  <c r="C150" i="2"/>
  <c r="C149" i="2" s="1"/>
  <c r="C148" i="2" s="1"/>
  <c r="C147" i="2" s="1"/>
  <c r="C146" i="2" s="1"/>
  <c r="C145" i="2" s="1"/>
  <c r="C151" i="2"/>
  <c r="N10" i="2"/>
  <c r="N11" i="2"/>
  <c r="M153" i="2"/>
  <c r="M154" i="2"/>
  <c r="M162" i="2"/>
  <c r="M163" i="2"/>
  <c r="M164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L302" i="2"/>
  <c r="M302" i="2"/>
  <c r="N3" i="2"/>
  <c r="L3" i="2"/>
  <c r="D5" i="2"/>
  <c r="D6" i="2" s="1"/>
  <c r="D7" i="2" s="1"/>
  <c r="D8" i="2" s="1"/>
  <c r="D9" i="2" s="1"/>
  <c r="D10" i="2" s="1"/>
  <c r="D11" i="2" s="1"/>
  <c r="D12" i="2" s="1"/>
  <c r="D4" i="2"/>
  <c r="N4" i="2" s="1"/>
  <c r="G308" i="2" l="1"/>
  <c r="C10" i="2"/>
  <c r="C144" i="2"/>
  <c r="M145" i="2"/>
  <c r="M165" i="2"/>
  <c r="M155" i="2"/>
  <c r="M146" i="2"/>
  <c r="N12" i="2"/>
  <c r="D13" i="2"/>
  <c r="N9" i="2"/>
  <c r="N8" i="2"/>
  <c r="N7" i="2"/>
  <c r="N6" i="2"/>
  <c r="N5" i="2"/>
  <c r="M10" i="2" l="1"/>
  <c r="C9" i="2"/>
  <c r="C143" i="2"/>
  <c r="M144" i="2"/>
  <c r="M166" i="2"/>
  <c r="M156" i="2"/>
  <c r="M147" i="2"/>
  <c r="D14" i="2"/>
  <c r="N13" i="2"/>
  <c r="M9" i="2" l="1"/>
  <c r="C8" i="2"/>
  <c r="C142" i="2"/>
  <c r="C141" i="2" s="1"/>
  <c r="C140" i="2" s="1"/>
  <c r="C139" i="2" s="1"/>
  <c r="C138" i="2" s="1"/>
  <c r="C137" i="2" s="1"/>
  <c r="C136" i="2" s="1"/>
  <c r="M143" i="2"/>
  <c r="M167" i="2"/>
  <c r="M157" i="2"/>
  <c r="M148" i="2"/>
  <c r="M137" i="2"/>
  <c r="D15" i="2"/>
  <c r="N14" i="2"/>
  <c r="M8" i="2" l="1"/>
  <c r="C7" i="2"/>
  <c r="C135" i="2"/>
  <c r="M136" i="2"/>
  <c r="M168" i="2"/>
  <c r="M158" i="2"/>
  <c r="M149" i="2"/>
  <c r="M138" i="2"/>
  <c r="D16" i="2"/>
  <c r="N15" i="2"/>
  <c r="C6" i="2" l="1"/>
  <c r="M7" i="2"/>
  <c r="C134" i="2"/>
  <c r="M135" i="2"/>
  <c r="M169" i="2"/>
  <c r="M159" i="2"/>
  <c r="M150" i="2"/>
  <c r="M139" i="2"/>
  <c r="D17" i="2"/>
  <c r="N16" i="2"/>
  <c r="C5" i="2" l="1"/>
  <c r="M6" i="2"/>
  <c r="C133" i="2"/>
  <c r="M134" i="2"/>
  <c r="M170" i="2"/>
  <c r="M160" i="2"/>
  <c r="M161" i="2"/>
  <c r="M151" i="2"/>
  <c r="M152" i="2"/>
  <c r="M140" i="2"/>
  <c r="D18" i="2"/>
  <c r="N17" i="2"/>
  <c r="C4" i="2" l="1"/>
  <c r="M5" i="2"/>
  <c r="C132" i="2"/>
  <c r="C131" i="2" s="1"/>
  <c r="C130" i="2" s="1"/>
  <c r="C129" i="2" s="1"/>
  <c r="C128" i="2" s="1"/>
  <c r="C127" i="2" s="1"/>
  <c r="C126" i="2" s="1"/>
  <c r="C125" i="2" s="1"/>
  <c r="C124" i="2" s="1"/>
  <c r="C123" i="2" s="1"/>
  <c r="C122" i="2" s="1"/>
  <c r="C121" i="2" s="1"/>
  <c r="C120" i="2" s="1"/>
  <c r="M133" i="2"/>
  <c r="M171" i="2"/>
  <c r="M141" i="2"/>
  <c r="M142" i="2"/>
  <c r="M121" i="2"/>
  <c r="D19" i="2"/>
  <c r="N18" i="2"/>
  <c r="C3" i="2" l="1"/>
  <c r="M3" i="2" s="1"/>
  <c r="M4" i="2"/>
  <c r="C119" i="2"/>
  <c r="M120" i="2"/>
  <c r="M172" i="2"/>
  <c r="M122" i="2"/>
  <c r="D20" i="2"/>
  <c r="N19" i="2"/>
  <c r="C118" i="2" l="1"/>
  <c r="M119" i="2"/>
  <c r="M173" i="2"/>
  <c r="M123" i="2"/>
  <c r="D21" i="2"/>
  <c r="N20" i="2"/>
  <c r="C117" i="2" l="1"/>
  <c r="M118" i="2"/>
  <c r="M174" i="2"/>
  <c r="M124" i="2"/>
  <c r="D22" i="2"/>
  <c r="N21" i="2"/>
  <c r="C116" i="2" l="1"/>
  <c r="M117" i="2"/>
  <c r="M175" i="2"/>
  <c r="M125" i="2"/>
  <c r="D23" i="2"/>
  <c r="N22" i="2"/>
  <c r="C115" i="2" l="1"/>
  <c r="M116" i="2"/>
  <c r="M176" i="2"/>
  <c r="M126" i="2"/>
  <c r="D24" i="2"/>
  <c r="N23" i="2"/>
  <c r="C114" i="2" l="1"/>
  <c r="M115" i="2"/>
  <c r="M177" i="2"/>
  <c r="M127" i="2"/>
  <c r="D25" i="2"/>
  <c r="N24" i="2"/>
  <c r="M114" i="2" l="1"/>
  <c r="C113" i="2"/>
  <c r="M178" i="2"/>
  <c r="M128" i="2"/>
  <c r="D26" i="2"/>
  <c r="N25" i="2"/>
  <c r="M113" i="2" l="1"/>
  <c r="C112" i="2"/>
  <c r="M179" i="2"/>
  <c r="M129" i="2"/>
  <c r="D27" i="2"/>
  <c r="N26" i="2"/>
  <c r="C111" i="2" l="1"/>
  <c r="M112" i="2"/>
  <c r="M180" i="2"/>
  <c r="M130" i="2"/>
  <c r="D28" i="2"/>
  <c r="N27" i="2"/>
  <c r="C110" i="2" l="1"/>
  <c r="M111" i="2"/>
  <c r="M181" i="2"/>
  <c r="M182" i="2"/>
  <c r="M131" i="2"/>
  <c r="M132" i="2"/>
  <c r="D29" i="2"/>
  <c r="N28" i="2"/>
  <c r="C109" i="2" l="1"/>
  <c r="M110" i="2"/>
  <c r="D30" i="2"/>
  <c r="N29" i="2"/>
  <c r="C108" i="2" l="1"/>
  <c r="M109" i="2"/>
  <c r="D31" i="2"/>
  <c r="N30" i="2"/>
  <c r="C107" i="2" l="1"/>
  <c r="M108" i="2"/>
  <c r="D32" i="2"/>
  <c r="N31" i="2"/>
  <c r="C106" i="2" l="1"/>
  <c r="M107" i="2"/>
  <c r="D33" i="2"/>
  <c r="N32" i="2"/>
  <c r="C105" i="2" l="1"/>
  <c r="M106" i="2"/>
  <c r="D34" i="2"/>
  <c r="N33" i="2"/>
  <c r="C104" i="2" l="1"/>
  <c r="M105" i="2"/>
  <c r="D35" i="2"/>
  <c r="N34" i="2"/>
  <c r="M104" i="2" l="1"/>
  <c r="C103" i="2"/>
  <c r="D36" i="2"/>
  <c r="N35" i="2"/>
  <c r="M103" i="2" l="1"/>
  <c r="C102" i="2"/>
  <c r="D37" i="2"/>
  <c r="N36" i="2"/>
  <c r="C101" i="2" l="1"/>
  <c r="C100" i="2" s="1"/>
  <c r="C99" i="2" s="1"/>
  <c r="C98" i="2" s="1"/>
  <c r="C97" i="2" s="1"/>
  <c r="C96" i="2" s="1"/>
  <c r="C95" i="2" s="1"/>
  <c r="C94" i="2" s="1"/>
  <c r="C93" i="2" s="1"/>
  <c r="C92" i="2" s="1"/>
  <c r="C91" i="2" s="1"/>
  <c r="C90" i="2" s="1"/>
  <c r="C89" i="2" s="1"/>
  <c r="C88" i="2" s="1"/>
  <c r="C87" i="2" s="1"/>
  <c r="C86" i="2" s="1"/>
  <c r="C85" i="2" s="1"/>
  <c r="C84" i="2" s="1"/>
  <c r="C83" i="2" s="1"/>
  <c r="C82" i="2" s="1"/>
  <c r="C81" i="2" s="1"/>
  <c r="C80" i="2" s="1"/>
  <c r="C79" i="2" s="1"/>
  <c r="C78" i="2" s="1"/>
  <c r="C77" i="2" s="1"/>
  <c r="C76" i="2" s="1"/>
  <c r="C75" i="2" s="1"/>
  <c r="C74" i="2" s="1"/>
  <c r="C73" i="2" s="1"/>
  <c r="C72" i="2" s="1"/>
  <c r="C71" i="2" s="1"/>
  <c r="C70" i="2" s="1"/>
  <c r="C69" i="2" s="1"/>
  <c r="C68" i="2" s="1"/>
  <c r="C67" i="2" s="1"/>
  <c r="C66" i="2" s="1"/>
  <c r="C65" i="2" s="1"/>
  <c r="C64" i="2" s="1"/>
  <c r="C63" i="2" s="1"/>
  <c r="C62" i="2" s="1"/>
  <c r="C61" i="2" s="1"/>
  <c r="C60" i="2" s="1"/>
  <c r="C59" i="2" s="1"/>
  <c r="C58" i="2" s="1"/>
  <c r="C57" i="2" s="1"/>
  <c r="C56" i="2" s="1"/>
  <c r="C55" i="2" s="1"/>
  <c r="C54" i="2" s="1"/>
  <c r="C53" i="2" s="1"/>
  <c r="C52" i="2" s="1"/>
  <c r="C51" i="2" s="1"/>
  <c r="C50" i="2" s="1"/>
  <c r="C49" i="2" s="1"/>
  <c r="C48" i="2" s="1"/>
  <c r="C47" i="2" s="1"/>
  <c r="C46" i="2" s="1"/>
  <c r="C45" i="2" s="1"/>
  <c r="C44" i="2" s="1"/>
  <c r="C43" i="2" s="1"/>
  <c r="C42" i="2" s="1"/>
  <c r="C41" i="2" s="1"/>
  <c r="C40" i="2" s="1"/>
  <c r="C39" i="2" s="1"/>
  <c r="C38" i="2" s="1"/>
  <c r="C37" i="2" s="1"/>
  <c r="C36" i="2" s="1"/>
  <c r="C35" i="2" s="1"/>
  <c r="C34" i="2" s="1"/>
  <c r="C33" i="2" s="1"/>
  <c r="C32" i="2" s="1"/>
  <c r="C31" i="2" s="1"/>
  <c r="C30" i="2" s="1"/>
  <c r="C29" i="2" s="1"/>
  <c r="C28" i="2" s="1"/>
  <c r="C27" i="2" s="1"/>
  <c r="C26" i="2" s="1"/>
  <c r="C25" i="2" s="1"/>
  <c r="C24" i="2" s="1"/>
  <c r="C23" i="2" s="1"/>
  <c r="C22" i="2" s="1"/>
  <c r="C21" i="2" s="1"/>
  <c r="C20" i="2" s="1"/>
  <c r="C19" i="2" s="1"/>
  <c r="C18" i="2" s="1"/>
  <c r="C17" i="2" s="1"/>
  <c r="C16" i="2" s="1"/>
  <c r="C15" i="2" s="1"/>
  <c r="C14" i="2" s="1"/>
  <c r="C13" i="2" s="1"/>
  <c r="C12" i="2" s="1"/>
  <c r="M102" i="2"/>
  <c r="D38" i="2"/>
  <c r="N37" i="2"/>
  <c r="D39" i="2" l="1"/>
  <c r="N38" i="2"/>
  <c r="D40" i="2" l="1"/>
  <c r="N39" i="2"/>
  <c r="D41" i="2" l="1"/>
  <c r="N40" i="2"/>
  <c r="D42" i="2" l="1"/>
  <c r="N41" i="2"/>
  <c r="N42" i="2" l="1"/>
  <c r="D43" i="2"/>
  <c r="D44" i="2" l="1"/>
  <c r="N43" i="2"/>
  <c r="D45" i="2" l="1"/>
  <c r="N44" i="2"/>
  <c r="D46" i="2" l="1"/>
  <c r="N45" i="2"/>
  <c r="D47" i="2" l="1"/>
  <c r="N46" i="2"/>
  <c r="D48" i="2" l="1"/>
  <c r="N47" i="2"/>
  <c r="D49" i="2" l="1"/>
  <c r="N48" i="2"/>
  <c r="D50" i="2" l="1"/>
  <c r="N49" i="2"/>
  <c r="D51" i="2" l="1"/>
  <c r="N50" i="2"/>
  <c r="D52" i="2" l="1"/>
  <c r="N51" i="2"/>
  <c r="D53" i="2" l="1"/>
  <c r="N52" i="2"/>
  <c r="D54" i="2" l="1"/>
  <c r="N53" i="2"/>
  <c r="D55" i="2" l="1"/>
  <c r="N54" i="2"/>
  <c r="D56" i="2" l="1"/>
  <c r="N55" i="2"/>
  <c r="D57" i="2" l="1"/>
  <c r="N56" i="2"/>
  <c r="D58" i="2" l="1"/>
  <c r="N57" i="2"/>
  <c r="D59" i="2" l="1"/>
  <c r="N58" i="2"/>
  <c r="D60" i="2" l="1"/>
  <c r="N59" i="2"/>
  <c r="D61" i="2" l="1"/>
  <c r="N60" i="2"/>
  <c r="N61" i="2" l="1"/>
  <c r="D62" i="2"/>
  <c r="D63" i="2" l="1"/>
  <c r="N62" i="2"/>
  <c r="D64" i="2" l="1"/>
  <c r="N63" i="2"/>
  <c r="D65" i="2" l="1"/>
  <c r="N64" i="2"/>
  <c r="D66" i="2" l="1"/>
  <c r="N65" i="2"/>
  <c r="D67" i="2" l="1"/>
  <c r="N66" i="2"/>
  <c r="D68" i="2" l="1"/>
  <c r="N67" i="2"/>
  <c r="D69" i="2" l="1"/>
  <c r="N68" i="2"/>
  <c r="D70" i="2" l="1"/>
  <c r="N69" i="2"/>
  <c r="D71" i="2" l="1"/>
  <c r="N70" i="2"/>
  <c r="D72" i="2" l="1"/>
  <c r="N71" i="2"/>
  <c r="D73" i="2" l="1"/>
  <c r="N72" i="2"/>
  <c r="D74" i="2" l="1"/>
  <c r="N73" i="2"/>
  <c r="D75" i="2" l="1"/>
  <c r="N74" i="2"/>
  <c r="D76" i="2" l="1"/>
  <c r="N75" i="2"/>
  <c r="D77" i="2" l="1"/>
  <c r="N76" i="2"/>
  <c r="D78" i="2" l="1"/>
  <c r="N77" i="2"/>
  <c r="D79" i="2" l="1"/>
  <c r="N78" i="2"/>
  <c r="D80" i="2" l="1"/>
  <c r="N79" i="2"/>
  <c r="D81" i="2" l="1"/>
  <c r="N80" i="2"/>
  <c r="D82" i="2" l="1"/>
  <c r="N81" i="2"/>
  <c r="D83" i="2" l="1"/>
  <c r="N82" i="2"/>
  <c r="D84" i="2" l="1"/>
  <c r="N83" i="2"/>
  <c r="D85" i="2" l="1"/>
  <c r="N84" i="2"/>
  <c r="D86" i="2" l="1"/>
  <c r="N85" i="2"/>
  <c r="D87" i="2" l="1"/>
  <c r="N86" i="2"/>
  <c r="D88" i="2" l="1"/>
  <c r="N87" i="2"/>
  <c r="D89" i="2" l="1"/>
  <c r="N88" i="2"/>
  <c r="D90" i="2" l="1"/>
  <c r="N89" i="2"/>
  <c r="D91" i="2" l="1"/>
  <c r="N90" i="2"/>
  <c r="D92" i="2" l="1"/>
  <c r="N91" i="2"/>
  <c r="D93" i="2" l="1"/>
  <c r="N92" i="2"/>
  <c r="D94" i="2" l="1"/>
  <c r="N93" i="2"/>
  <c r="D95" i="2" l="1"/>
  <c r="N94" i="2"/>
  <c r="D96" i="2" l="1"/>
  <c r="N95" i="2"/>
  <c r="D97" i="2" l="1"/>
  <c r="N96" i="2"/>
  <c r="D98" i="2" l="1"/>
  <c r="N97" i="2"/>
  <c r="D99" i="2" l="1"/>
  <c r="N98" i="2"/>
  <c r="D100" i="2" l="1"/>
  <c r="N99" i="2"/>
  <c r="D101" i="2" l="1"/>
  <c r="N100" i="2"/>
  <c r="N101" i="2" l="1"/>
  <c r="D102" i="2"/>
  <c r="N102" i="2" l="1"/>
  <c r="D103" i="2"/>
  <c r="D104" i="2" l="1"/>
  <c r="N103" i="2"/>
  <c r="D105" i="2" l="1"/>
  <c r="N104" i="2"/>
  <c r="D106" i="2" l="1"/>
  <c r="N105" i="2"/>
  <c r="D107" i="2" l="1"/>
  <c r="N106" i="2"/>
  <c r="D108" i="2" l="1"/>
  <c r="N107" i="2"/>
  <c r="D109" i="2" l="1"/>
  <c r="N108" i="2"/>
  <c r="D110" i="2" l="1"/>
  <c r="N109" i="2"/>
  <c r="D111" i="2" l="1"/>
  <c r="N110" i="2"/>
  <c r="D112" i="2" l="1"/>
  <c r="N111" i="2"/>
  <c r="D113" i="2" l="1"/>
  <c r="N112" i="2"/>
  <c r="D114" i="2" l="1"/>
  <c r="N113" i="2"/>
  <c r="D115" i="2" l="1"/>
  <c r="N114" i="2"/>
  <c r="D116" i="2" l="1"/>
  <c r="N115" i="2"/>
  <c r="D117" i="2" l="1"/>
  <c r="N116" i="2"/>
  <c r="D118" i="2" l="1"/>
  <c r="N117" i="2"/>
  <c r="D119" i="2" l="1"/>
  <c r="N118" i="2"/>
  <c r="D120" i="2" l="1"/>
  <c r="N119" i="2"/>
  <c r="D121" i="2" l="1"/>
  <c r="N120" i="2"/>
  <c r="D122" i="2" l="1"/>
  <c r="N121" i="2"/>
  <c r="N122" i="2" l="1"/>
  <c r="D123" i="2"/>
  <c r="D124" i="2" l="1"/>
  <c r="N123" i="2"/>
  <c r="D125" i="2" l="1"/>
  <c r="N124" i="2"/>
  <c r="D126" i="2" l="1"/>
  <c r="N125" i="2"/>
  <c r="D127" i="2" l="1"/>
  <c r="N126" i="2"/>
  <c r="D128" i="2" l="1"/>
  <c r="N127" i="2"/>
  <c r="D129" i="2" l="1"/>
  <c r="N128" i="2"/>
  <c r="D130" i="2" l="1"/>
  <c r="N129" i="2"/>
  <c r="D131" i="2" l="1"/>
  <c r="N130" i="2"/>
  <c r="D132" i="2" l="1"/>
  <c r="N131" i="2"/>
  <c r="D133" i="2" l="1"/>
  <c r="N132" i="2"/>
  <c r="D134" i="2" l="1"/>
  <c r="N133" i="2"/>
  <c r="D135" i="2" l="1"/>
  <c r="N134" i="2"/>
  <c r="D136" i="2" l="1"/>
  <c r="N135" i="2"/>
  <c r="D137" i="2" l="1"/>
  <c r="N136" i="2"/>
  <c r="D138" i="2" l="1"/>
  <c r="N137" i="2"/>
  <c r="D139" i="2" l="1"/>
  <c r="N138" i="2"/>
  <c r="D140" i="2" l="1"/>
  <c r="N139" i="2"/>
  <c r="D141" i="2" l="1"/>
  <c r="N140" i="2"/>
  <c r="D142" i="2" l="1"/>
  <c r="N141" i="2"/>
  <c r="D143" i="2" l="1"/>
  <c r="N142" i="2"/>
  <c r="D144" i="2" l="1"/>
  <c r="N143" i="2"/>
  <c r="D145" i="2" l="1"/>
  <c r="N144" i="2"/>
  <c r="D146" i="2" l="1"/>
  <c r="N145" i="2"/>
  <c r="D147" i="2" l="1"/>
  <c r="N146" i="2"/>
  <c r="D148" i="2" l="1"/>
  <c r="N147" i="2"/>
  <c r="D149" i="2" l="1"/>
  <c r="N148" i="2"/>
  <c r="D150" i="2" l="1"/>
  <c r="N149" i="2"/>
  <c r="D151" i="2" l="1"/>
  <c r="N150" i="2"/>
  <c r="D152" i="2" l="1"/>
  <c r="N151" i="2"/>
  <c r="N152" i="2" l="1"/>
  <c r="N153" i="2" l="1"/>
  <c r="N154" i="2" l="1"/>
  <c r="N155" i="2" l="1"/>
  <c r="N156" i="2" l="1"/>
  <c r="N157" i="2" l="1"/>
  <c r="N158" i="2" l="1"/>
  <c r="N159" i="2" l="1"/>
  <c r="N160" i="2" l="1"/>
  <c r="N161" i="2" l="1"/>
  <c r="N162" i="2" l="1"/>
  <c r="N163" i="2" l="1"/>
  <c r="N164" i="2" l="1"/>
  <c r="N165" i="2" l="1"/>
  <c r="N166" i="2" l="1"/>
  <c r="N167" i="2" l="1"/>
  <c r="N168" i="2" l="1"/>
  <c r="N169" i="2" l="1"/>
  <c r="N170" i="2" l="1"/>
  <c r="N171" i="2" l="1"/>
  <c r="N172" i="2" l="1"/>
  <c r="N173" i="2" l="1"/>
  <c r="N174" i="2" l="1"/>
  <c r="N175" i="2" l="1"/>
  <c r="N176" i="2" l="1"/>
  <c r="N177" i="2" l="1"/>
  <c r="N178" i="2" l="1"/>
  <c r="N179" i="2" l="1"/>
  <c r="N180" i="2" l="1"/>
  <c r="N181" i="2" l="1"/>
  <c r="N182" i="2" l="1"/>
  <c r="N183" i="2" l="1"/>
  <c r="N184" i="2" l="1"/>
  <c r="N185" i="2" l="1"/>
  <c r="N186" i="2" l="1"/>
  <c r="N187" i="2" l="1"/>
  <c r="N188" i="2" l="1"/>
  <c r="N189" i="2" l="1"/>
  <c r="N190" i="2" l="1"/>
  <c r="N191" i="2" l="1"/>
  <c r="N192" i="2" l="1"/>
  <c r="N193" i="2" l="1"/>
  <c r="N194" i="2" l="1"/>
  <c r="N195" i="2" l="1"/>
  <c r="N196" i="2" l="1"/>
  <c r="N197" i="2" l="1"/>
  <c r="N198" i="2" l="1"/>
  <c r="N199" i="2" l="1"/>
  <c r="N200" i="2" l="1"/>
  <c r="N202" i="2" l="1"/>
  <c r="N201" i="2"/>
  <c r="L4" i="2" l="1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75" i="2" s="1"/>
  <c r="H185" i="2" s="1"/>
  <c r="H195" i="2" s="1"/>
  <c r="H205" i="2" s="1"/>
  <c r="H215" i="2" s="1"/>
  <c r="H225" i="2" s="1"/>
  <c r="H235" i="2" s="1"/>
  <c r="H245" i="2" s="1"/>
  <c r="H255" i="2" s="1"/>
  <c r="H265" i="2" s="1"/>
  <c r="H275" i="2" s="1"/>
  <c r="H285" i="2" s="1"/>
  <c r="H295" i="2" s="1"/>
  <c r="H166" i="2"/>
  <c r="H176" i="2" s="1"/>
  <c r="H186" i="2" s="1"/>
  <c r="H196" i="2" s="1"/>
  <c r="H206" i="2" s="1"/>
  <c r="H216" i="2" s="1"/>
  <c r="H226" i="2" s="1"/>
  <c r="H236" i="2" s="1"/>
  <c r="H246" i="2" s="1"/>
  <c r="H256" i="2" s="1"/>
  <c r="H266" i="2" s="1"/>
  <c r="H276" i="2" s="1"/>
  <c r="H286" i="2" s="1"/>
  <c r="H296" i="2" s="1"/>
  <c r="H167" i="2"/>
  <c r="H177" i="2" s="1"/>
  <c r="H187" i="2" s="1"/>
  <c r="H197" i="2" s="1"/>
  <c r="H207" i="2" s="1"/>
  <c r="H217" i="2" s="1"/>
  <c r="H227" i="2" s="1"/>
  <c r="H237" i="2" s="1"/>
  <c r="H247" i="2" s="1"/>
  <c r="H257" i="2" s="1"/>
  <c r="H267" i="2" s="1"/>
  <c r="H277" i="2" s="1"/>
  <c r="H287" i="2" s="1"/>
  <c r="H297" i="2" s="1"/>
  <c r="H168" i="2"/>
  <c r="H178" i="2" s="1"/>
  <c r="H188" i="2" s="1"/>
  <c r="H198" i="2" s="1"/>
  <c r="H208" i="2" s="1"/>
  <c r="H218" i="2" s="1"/>
  <c r="H228" i="2" s="1"/>
  <c r="H238" i="2" s="1"/>
  <c r="H248" i="2" s="1"/>
  <c r="H258" i="2" s="1"/>
  <c r="H268" i="2" s="1"/>
  <c r="H278" i="2" s="1"/>
  <c r="H288" i="2" s="1"/>
  <c r="H298" i="2" s="1"/>
  <c r="H169" i="2"/>
  <c r="H179" i="2" s="1"/>
  <c r="H189" i="2" s="1"/>
  <c r="H199" i="2" s="1"/>
  <c r="H209" i="2" s="1"/>
  <c r="H219" i="2" s="1"/>
  <c r="H229" i="2" s="1"/>
  <c r="H239" i="2" s="1"/>
  <c r="H249" i="2" s="1"/>
  <c r="H259" i="2" s="1"/>
  <c r="H269" i="2" s="1"/>
  <c r="H279" i="2" s="1"/>
  <c r="H289" i="2" s="1"/>
  <c r="H299" i="2" s="1"/>
  <c r="H170" i="2"/>
  <c r="H180" i="2" s="1"/>
  <c r="H190" i="2" s="1"/>
  <c r="H200" i="2" s="1"/>
  <c r="H210" i="2" s="1"/>
  <c r="H220" i="2" s="1"/>
  <c r="H230" i="2" s="1"/>
  <c r="H240" i="2" s="1"/>
  <c r="H250" i="2" s="1"/>
  <c r="H260" i="2" s="1"/>
  <c r="H270" i="2" s="1"/>
  <c r="H280" i="2" s="1"/>
  <c r="H290" i="2" s="1"/>
  <c r="H300" i="2" s="1"/>
  <c r="H171" i="2"/>
  <c r="H181" i="2" s="1"/>
  <c r="H191" i="2" s="1"/>
  <c r="H201" i="2" s="1"/>
  <c r="H211" i="2" s="1"/>
  <c r="H221" i="2" s="1"/>
  <c r="H231" i="2" s="1"/>
  <c r="H241" i="2" s="1"/>
  <c r="H251" i="2" s="1"/>
  <c r="H261" i="2" s="1"/>
  <c r="H271" i="2" s="1"/>
  <c r="H281" i="2" s="1"/>
  <c r="H291" i="2" s="1"/>
  <c r="H301" i="2" s="1"/>
  <c r="H172" i="2"/>
  <c r="H182" i="2" s="1"/>
  <c r="H192" i="2" s="1"/>
  <c r="H202" i="2" s="1"/>
  <c r="H212" i="2" s="1"/>
  <c r="H222" i="2" s="1"/>
  <c r="H232" i="2" s="1"/>
  <c r="H242" i="2" s="1"/>
  <c r="H252" i="2" s="1"/>
  <c r="H262" i="2" s="1"/>
  <c r="H272" i="2" s="1"/>
  <c r="H282" i="2" s="1"/>
  <c r="H292" i="2" s="1"/>
  <c r="H302" i="2" s="1"/>
  <c r="H173" i="2"/>
  <c r="H183" i="2" s="1"/>
  <c r="H193" i="2" s="1"/>
  <c r="H203" i="2" s="1"/>
  <c r="H213" i="2" s="1"/>
  <c r="H223" i="2" s="1"/>
  <c r="H233" i="2" s="1"/>
  <c r="H243" i="2" s="1"/>
  <c r="H253" i="2" s="1"/>
  <c r="H263" i="2" s="1"/>
  <c r="H273" i="2" s="1"/>
  <c r="H283" i="2" s="1"/>
  <c r="H293" i="2" s="1"/>
  <c r="H174" i="2"/>
  <c r="H184" i="2" s="1"/>
  <c r="H194" i="2" s="1"/>
  <c r="H204" i="2" s="1"/>
  <c r="H214" i="2" s="1"/>
  <c r="H224" i="2" s="1"/>
  <c r="H234" i="2" s="1"/>
  <c r="H244" i="2" s="1"/>
  <c r="H254" i="2" s="1"/>
  <c r="H264" i="2" s="1"/>
  <c r="H274" i="2" s="1"/>
  <c r="H284" i="2" s="1"/>
  <c r="H294" i="2" s="1"/>
  <c r="H152" i="2"/>
  <c r="K3" i="2"/>
  <c r="F213" i="2"/>
  <c r="F233" i="2" s="1"/>
  <c r="F253" i="2" s="1"/>
  <c r="F273" i="2" s="1"/>
  <c r="F293" i="2" s="1"/>
  <c r="F215" i="2"/>
  <c r="F235" i="2" s="1"/>
  <c r="F255" i="2" s="1"/>
  <c r="F275" i="2" s="1"/>
  <c r="F295" i="2" s="1"/>
  <c r="F103" i="2"/>
  <c r="F123" i="2" s="1"/>
  <c r="F143" i="2" s="1"/>
  <c r="F163" i="2" s="1"/>
  <c r="F183" i="2" s="1"/>
  <c r="F203" i="2" s="1"/>
  <c r="F223" i="2" s="1"/>
  <c r="F243" i="2" s="1"/>
  <c r="F263" i="2" s="1"/>
  <c r="F283" i="2" s="1"/>
  <c r="F104" i="2"/>
  <c r="F124" i="2" s="1"/>
  <c r="F144" i="2" s="1"/>
  <c r="F164" i="2" s="1"/>
  <c r="F184" i="2" s="1"/>
  <c r="F204" i="2" s="1"/>
  <c r="F224" i="2" s="1"/>
  <c r="F244" i="2" s="1"/>
  <c r="F264" i="2" s="1"/>
  <c r="F284" i="2" s="1"/>
  <c r="F105" i="2"/>
  <c r="F125" i="2" s="1"/>
  <c r="F145" i="2" s="1"/>
  <c r="F165" i="2" s="1"/>
  <c r="F185" i="2" s="1"/>
  <c r="F205" i="2" s="1"/>
  <c r="F225" i="2" s="1"/>
  <c r="F245" i="2" s="1"/>
  <c r="F265" i="2" s="1"/>
  <c r="F285" i="2" s="1"/>
  <c r="F106" i="2"/>
  <c r="F126" i="2" s="1"/>
  <c r="F146" i="2" s="1"/>
  <c r="F166" i="2" s="1"/>
  <c r="F186" i="2" s="1"/>
  <c r="F206" i="2" s="1"/>
  <c r="F226" i="2" s="1"/>
  <c r="F246" i="2" s="1"/>
  <c r="F266" i="2" s="1"/>
  <c r="F286" i="2" s="1"/>
  <c r="F107" i="2"/>
  <c r="F127" i="2" s="1"/>
  <c r="F147" i="2" s="1"/>
  <c r="F167" i="2" s="1"/>
  <c r="F187" i="2" s="1"/>
  <c r="F207" i="2" s="1"/>
  <c r="F227" i="2" s="1"/>
  <c r="F247" i="2" s="1"/>
  <c r="F267" i="2" s="1"/>
  <c r="F287" i="2" s="1"/>
  <c r="F108" i="2"/>
  <c r="F128" i="2" s="1"/>
  <c r="F148" i="2" s="1"/>
  <c r="F168" i="2" s="1"/>
  <c r="F188" i="2" s="1"/>
  <c r="F208" i="2" s="1"/>
  <c r="F228" i="2" s="1"/>
  <c r="F248" i="2" s="1"/>
  <c r="F268" i="2" s="1"/>
  <c r="F288" i="2" s="1"/>
  <c r="F109" i="2"/>
  <c r="F129" i="2" s="1"/>
  <c r="F149" i="2" s="1"/>
  <c r="F169" i="2" s="1"/>
  <c r="F189" i="2" s="1"/>
  <c r="F209" i="2" s="1"/>
  <c r="F229" i="2" s="1"/>
  <c r="F249" i="2" s="1"/>
  <c r="F269" i="2" s="1"/>
  <c r="F289" i="2" s="1"/>
  <c r="F110" i="2"/>
  <c r="F130" i="2" s="1"/>
  <c r="F150" i="2" s="1"/>
  <c r="F170" i="2" s="1"/>
  <c r="F190" i="2" s="1"/>
  <c r="F210" i="2" s="1"/>
  <c r="F230" i="2" s="1"/>
  <c r="F250" i="2" s="1"/>
  <c r="F270" i="2" s="1"/>
  <c r="F290" i="2" s="1"/>
  <c r="F111" i="2"/>
  <c r="F131" i="2" s="1"/>
  <c r="F151" i="2" s="1"/>
  <c r="F171" i="2" s="1"/>
  <c r="F191" i="2" s="1"/>
  <c r="F211" i="2" s="1"/>
  <c r="F231" i="2" s="1"/>
  <c r="F251" i="2" s="1"/>
  <c r="F271" i="2" s="1"/>
  <c r="F291" i="2" s="1"/>
  <c r="F112" i="2"/>
  <c r="F132" i="2" s="1"/>
  <c r="F152" i="2" s="1"/>
  <c r="F172" i="2" s="1"/>
  <c r="F192" i="2" s="1"/>
  <c r="F212" i="2" s="1"/>
  <c r="F232" i="2" s="1"/>
  <c r="F252" i="2" s="1"/>
  <c r="F272" i="2" s="1"/>
  <c r="F292" i="2" s="1"/>
  <c r="F113" i="2"/>
  <c r="F133" i="2" s="1"/>
  <c r="F153" i="2" s="1"/>
  <c r="F173" i="2" s="1"/>
  <c r="F193" i="2" s="1"/>
  <c r="F114" i="2"/>
  <c r="F134" i="2" s="1"/>
  <c r="F154" i="2" s="1"/>
  <c r="F174" i="2" s="1"/>
  <c r="F194" i="2" s="1"/>
  <c r="F214" i="2" s="1"/>
  <c r="F234" i="2" s="1"/>
  <c r="F254" i="2" s="1"/>
  <c r="F274" i="2" s="1"/>
  <c r="F294" i="2" s="1"/>
  <c r="F115" i="2"/>
  <c r="F135" i="2" s="1"/>
  <c r="F155" i="2" s="1"/>
  <c r="F175" i="2" s="1"/>
  <c r="F195" i="2" s="1"/>
  <c r="F116" i="2"/>
  <c r="F136" i="2" s="1"/>
  <c r="F156" i="2" s="1"/>
  <c r="F176" i="2" s="1"/>
  <c r="F196" i="2" s="1"/>
  <c r="F216" i="2" s="1"/>
  <c r="F236" i="2" s="1"/>
  <c r="F256" i="2" s="1"/>
  <c r="F276" i="2" s="1"/>
  <c r="F296" i="2" s="1"/>
  <c r="F117" i="2"/>
  <c r="F137" i="2" s="1"/>
  <c r="F157" i="2" s="1"/>
  <c r="F177" i="2" s="1"/>
  <c r="F197" i="2" s="1"/>
  <c r="F217" i="2" s="1"/>
  <c r="F237" i="2" s="1"/>
  <c r="F257" i="2" s="1"/>
  <c r="F277" i="2" s="1"/>
  <c r="F297" i="2" s="1"/>
  <c r="F118" i="2"/>
  <c r="F138" i="2" s="1"/>
  <c r="F158" i="2" s="1"/>
  <c r="F178" i="2" s="1"/>
  <c r="F198" i="2" s="1"/>
  <c r="F218" i="2" s="1"/>
  <c r="F238" i="2" s="1"/>
  <c r="F258" i="2" s="1"/>
  <c r="F278" i="2" s="1"/>
  <c r="F298" i="2" s="1"/>
  <c r="F119" i="2"/>
  <c r="F139" i="2" s="1"/>
  <c r="F159" i="2" s="1"/>
  <c r="F179" i="2" s="1"/>
  <c r="F199" i="2" s="1"/>
  <c r="F219" i="2" s="1"/>
  <c r="F239" i="2" s="1"/>
  <c r="F259" i="2" s="1"/>
  <c r="F279" i="2" s="1"/>
  <c r="F299" i="2" s="1"/>
  <c r="F120" i="2"/>
  <c r="F140" i="2" s="1"/>
  <c r="F160" i="2" s="1"/>
  <c r="F180" i="2" s="1"/>
  <c r="F200" i="2" s="1"/>
  <c r="F220" i="2" s="1"/>
  <c r="F240" i="2" s="1"/>
  <c r="F260" i="2" s="1"/>
  <c r="F280" i="2" s="1"/>
  <c r="F300" i="2" s="1"/>
  <c r="F121" i="2"/>
  <c r="F141" i="2" s="1"/>
  <c r="F161" i="2" s="1"/>
  <c r="F181" i="2" s="1"/>
  <c r="F201" i="2" s="1"/>
  <c r="F221" i="2" s="1"/>
  <c r="F241" i="2" s="1"/>
  <c r="F261" i="2" s="1"/>
  <c r="F281" i="2" s="1"/>
  <c r="F301" i="2" s="1"/>
  <c r="F102" i="2"/>
  <c r="F122" i="2" s="1"/>
  <c r="F142" i="2" s="1"/>
  <c r="F162" i="2" s="1"/>
  <c r="F182" i="2" s="1"/>
  <c r="F202" i="2" s="1"/>
  <c r="F222" i="2" s="1"/>
  <c r="F242" i="2" s="1"/>
  <c r="F262" i="2" s="1"/>
  <c r="F282" i="2" s="1"/>
  <c r="F302" i="2" s="1"/>
  <c r="E43" i="2"/>
  <c r="E63" i="2" s="1"/>
  <c r="E83" i="2" s="1"/>
  <c r="E103" i="2" s="1"/>
  <c r="E123" i="2" s="1"/>
  <c r="E44" i="2"/>
  <c r="E64" i="2" s="1"/>
  <c r="E84" i="2" s="1"/>
  <c r="E104" i="2" s="1"/>
  <c r="E124" i="2" s="1"/>
  <c r="E45" i="2"/>
  <c r="E65" i="2" s="1"/>
  <c r="E85" i="2" s="1"/>
  <c r="E105" i="2" s="1"/>
  <c r="E125" i="2" s="1"/>
  <c r="E46" i="2"/>
  <c r="E66" i="2" s="1"/>
  <c r="E86" i="2" s="1"/>
  <c r="E106" i="2" s="1"/>
  <c r="E126" i="2" s="1"/>
  <c r="E47" i="2"/>
  <c r="E67" i="2" s="1"/>
  <c r="E87" i="2" s="1"/>
  <c r="E107" i="2" s="1"/>
  <c r="E127" i="2" s="1"/>
  <c r="E48" i="2"/>
  <c r="E68" i="2" s="1"/>
  <c r="E88" i="2" s="1"/>
  <c r="E108" i="2" s="1"/>
  <c r="E128" i="2" s="1"/>
  <c r="E49" i="2"/>
  <c r="E69" i="2" s="1"/>
  <c r="E89" i="2" s="1"/>
  <c r="E109" i="2" s="1"/>
  <c r="E129" i="2" s="1"/>
  <c r="E50" i="2"/>
  <c r="E70" i="2" s="1"/>
  <c r="E90" i="2" s="1"/>
  <c r="E110" i="2" s="1"/>
  <c r="E130" i="2" s="1"/>
  <c r="E51" i="2"/>
  <c r="E71" i="2" s="1"/>
  <c r="E91" i="2" s="1"/>
  <c r="E111" i="2" s="1"/>
  <c r="E131" i="2" s="1"/>
  <c r="E52" i="2"/>
  <c r="E72" i="2" s="1"/>
  <c r="E92" i="2" s="1"/>
  <c r="E112" i="2" s="1"/>
  <c r="E132" i="2" s="1"/>
  <c r="E53" i="2"/>
  <c r="E73" i="2" s="1"/>
  <c r="E93" i="2" s="1"/>
  <c r="E113" i="2" s="1"/>
  <c r="E133" i="2" s="1"/>
  <c r="E54" i="2"/>
  <c r="E74" i="2" s="1"/>
  <c r="E94" i="2" s="1"/>
  <c r="E114" i="2" s="1"/>
  <c r="E134" i="2" s="1"/>
  <c r="E55" i="2"/>
  <c r="E75" i="2" s="1"/>
  <c r="E95" i="2" s="1"/>
  <c r="E115" i="2" s="1"/>
  <c r="E135" i="2" s="1"/>
  <c r="E56" i="2"/>
  <c r="E76" i="2" s="1"/>
  <c r="E96" i="2" s="1"/>
  <c r="E116" i="2" s="1"/>
  <c r="E136" i="2" s="1"/>
  <c r="E57" i="2"/>
  <c r="E77" i="2" s="1"/>
  <c r="E97" i="2" s="1"/>
  <c r="E117" i="2" s="1"/>
  <c r="E137" i="2" s="1"/>
  <c r="E58" i="2"/>
  <c r="E78" i="2" s="1"/>
  <c r="E98" i="2" s="1"/>
  <c r="E118" i="2" s="1"/>
  <c r="E138" i="2" s="1"/>
  <c r="E59" i="2"/>
  <c r="E79" i="2" s="1"/>
  <c r="E99" i="2" s="1"/>
  <c r="E119" i="2" s="1"/>
  <c r="E139" i="2" s="1"/>
  <c r="E60" i="2"/>
  <c r="E80" i="2" s="1"/>
  <c r="E100" i="2" s="1"/>
  <c r="E120" i="2" s="1"/>
  <c r="E140" i="2" s="1"/>
  <c r="E61" i="2"/>
  <c r="E81" i="2" s="1"/>
  <c r="E101" i="2" s="1"/>
  <c r="E121" i="2" s="1"/>
  <c r="E141" i="2" s="1"/>
  <c r="E42" i="2"/>
  <c r="E62" i="2" s="1"/>
  <c r="E82" i="2" s="1"/>
  <c r="E102" i="2" s="1"/>
  <c r="E122" i="2" s="1"/>
  <c r="L5" i="2" l="1"/>
  <c r="N203" i="2"/>
  <c r="M12" i="2"/>
  <c r="A4" i="2"/>
  <c r="A5" i="2" l="1"/>
  <c r="K5" i="2" s="1"/>
  <c r="K4" i="2"/>
  <c r="M13" i="2"/>
  <c r="N204" i="2"/>
  <c r="L6" i="2"/>
  <c r="A6" i="2"/>
  <c r="K6" i="2" s="1"/>
  <c r="L7" i="2" l="1"/>
  <c r="N205" i="2"/>
  <c r="M14" i="2"/>
  <c r="A7" i="2"/>
  <c r="K7" i="2" s="1"/>
  <c r="M15" i="2" l="1"/>
  <c r="N206" i="2"/>
  <c r="L8" i="2"/>
  <c r="A8" i="2"/>
  <c r="K8" i="2" s="1"/>
  <c r="L9" i="2" l="1"/>
  <c r="N207" i="2"/>
  <c r="M16" i="2"/>
  <c r="A9" i="2"/>
  <c r="K9" i="2" s="1"/>
  <c r="M17" i="2" l="1"/>
  <c r="N208" i="2"/>
  <c r="L10" i="2"/>
  <c r="A10" i="2"/>
  <c r="K10" i="2" s="1"/>
  <c r="L11" i="2" l="1"/>
  <c r="N209" i="2"/>
  <c r="M18" i="2"/>
  <c r="A11" i="2"/>
  <c r="K11" i="2" s="1"/>
  <c r="M19" i="2" l="1"/>
  <c r="N210" i="2"/>
  <c r="L12" i="2"/>
  <c r="A12" i="2"/>
  <c r="K12" i="2" s="1"/>
  <c r="L13" i="2" l="1"/>
  <c r="N211" i="2"/>
  <c r="M20" i="2"/>
  <c r="A13" i="2"/>
  <c r="K13" i="2" s="1"/>
  <c r="M21" i="2" l="1"/>
  <c r="N212" i="2"/>
  <c r="L14" i="2"/>
  <c r="A14" i="2"/>
  <c r="K14" i="2" s="1"/>
  <c r="L15" i="2" l="1"/>
  <c r="N213" i="2"/>
  <c r="M22" i="2"/>
  <c r="A15" i="2"/>
  <c r="K15" i="2" s="1"/>
  <c r="M23" i="2" l="1"/>
  <c r="N214" i="2"/>
  <c r="L16" i="2"/>
  <c r="A16" i="2"/>
  <c r="K16" i="2" s="1"/>
  <c r="L17" i="2" l="1"/>
  <c r="N215" i="2"/>
  <c r="M24" i="2"/>
  <c r="A17" i="2"/>
  <c r="K17" i="2" s="1"/>
  <c r="M25" i="2" l="1"/>
  <c r="N216" i="2"/>
  <c r="L18" i="2"/>
  <c r="A18" i="2"/>
  <c r="K18" i="2" s="1"/>
  <c r="L19" i="2" l="1"/>
  <c r="N217" i="2"/>
  <c r="M26" i="2"/>
  <c r="A19" i="2"/>
  <c r="K19" i="2" s="1"/>
  <c r="M27" i="2" l="1"/>
  <c r="N218" i="2"/>
  <c r="L20" i="2"/>
  <c r="A20" i="2"/>
  <c r="K20" i="2" s="1"/>
  <c r="L21" i="2" l="1"/>
  <c r="N219" i="2"/>
  <c r="M28" i="2"/>
  <c r="A21" i="2"/>
  <c r="K21" i="2" s="1"/>
  <c r="M29" i="2" l="1"/>
  <c r="N220" i="2"/>
  <c r="L22" i="2"/>
  <c r="A22" i="2"/>
  <c r="K22" i="2" s="1"/>
  <c r="L23" i="2" l="1"/>
  <c r="N221" i="2"/>
  <c r="M30" i="2"/>
  <c r="A23" i="2"/>
  <c r="K23" i="2" s="1"/>
  <c r="M31" i="2" l="1"/>
  <c r="N222" i="2"/>
  <c r="L24" i="2"/>
  <c r="A24" i="2"/>
  <c r="K24" i="2" s="1"/>
  <c r="L25" i="2" l="1"/>
  <c r="N223" i="2"/>
  <c r="M32" i="2"/>
  <c r="A25" i="2"/>
  <c r="K25" i="2" s="1"/>
  <c r="M33" i="2" l="1"/>
  <c r="N224" i="2"/>
  <c r="L26" i="2"/>
  <c r="A26" i="2"/>
  <c r="K26" i="2" s="1"/>
  <c r="L27" i="2" l="1"/>
  <c r="N225" i="2"/>
  <c r="M34" i="2"/>
  <c r="A27" i="2"/>
  <c r="K27" i="2" s="1"/>
  <c r="M35" i="2" l="1"/>
  <c r="N226" i="2"/>
  <c r="L28" i="2"/>
  <c r="A28" i="2"/>
  <c r="K28" i="2" s="1"/>
  <c r="L29" i="2" l="1"/>
  <c r="N227" i="2"/>
  <c r="M36" i="2"/>
  <c r="A29" i="2"/>
  <c r="K29" i="2" s="1"/>
  <c r="M37" i="2" l="1"/>
  <c r="N228" i="2"/>
  <c r="L30" i="2"/>
  <c r="A30" i="2"/>
  <c r="K30" i="2" s="1"/>
  <c r="L31" i="2" l="1"/>
  <c r="N229" i="2"/>
  <c r="M38" i="2"/>
  <c r="A31" i="2"/>
  <c r="K31" i="2" s="1"/>
  <c r="M39" i="2" l="1"/>
  <c r="N230" i="2"/>
  <c r="L32" i="2"/>
  <c r="A32" i="2"/>
  <c r="K32" i="2" s="1"/>
  <c r="L33" i="2" l="1"/>
  <c r="N231" i="2"/>
  <c r="M40" i="2"/>
  <c r="A33" i="2"/>
  <c r="K33" i="2" s="1"/>
  <c r="M41" i="2" l="1"/>
  <c r="N232" i="2"/>
  <c r="L34" i="2"/>
  <c r="A34" i="2"/>
  <c r="K34" i="2" s="1"/>
  <c r="L35" i="2" l="1"/>
  <c r="N233" i="2"/>
  <c r="M42" i="2"/>
  <c r="A35" i="2"/>
  <c r="K35" i="2" s="1"/>
  <c r="M43" i="2" l="1"/>
  <c r="N234" i="2"/>
  <c r="L36" i="2"/>
  <c r="A36" i="2"/>
  <c r="K36" i="2" s="1"/>
  <c r="L37" i="2" l="1"/>
  <c r="N235" i="2"/>
  <c r="M44" i="2"/>
  <c r="A37" i="2"/>
  <c r="K37" i="2" s="1"/>
  <c r="M45" i="2" l="1"/>
  <c r="N236" i="2"/>
  <c r="L38" i="2"/>
  <c r="A38" i="2"/>
  <c r="K38" i="2" s="1"/>
  <c r="L39" i="2" l="1"/>
  <c r="N237" i="2"/>
  <c r="M46" i="2"/>
  <c r="A39" i="2"/>
  <c r="K39" i="2" s="1"/>
  <c r="M47" i="2" l="1"/>
  <c r="N238" i="2"/>
  <c r="L40" i="2"/>
  <c r="A40" i="2"/>
  <c r="K40" i="2" s="1"/>
  <c r="L41" i="2" l="1"/>
  <c r="B42" i="2"/>
  <c r="N239" i="2"/>
  <c r="M48" i="2"/>
  <c r="A41" i="2"/>
  <c r="K41" i="2" s="1"/>
  <c r="M49" i="2" l="1"/>
  <c r="N240" i="2"/>
  <c r="L42" i="2"/>
  <c r="B43" i="2"/>
  <c r="A42" i="2"/>
  <c r="K42" i="2" s="1"/>
  <c r="B44" i="2" l="1"/>
  <c r="L43" i="2"/>
  <c r="N241" i="2"/>
  <c r="M50" i="2"/>
  <c r="A43" i="2"/>
  <c r="K43" i="2" s="1"/>
  <c r="M51" i="2" l="1"/>
  <c r="N242" i="2"/>
  <c r="B45" i="2"/>
  <c r="L44" i="2"/>
  <c r="A44" i="2"/>
  <c r="K44" i="2" s="1"/>
  <c r="B46" i="2" l="1"/>
  <c r="L45" i="2"/>
  <c r="N243" i="2"/>
  <c r="M52" i="2"/>
  <c r="A45" i="2"/>
  <c r="K45" i="2" s="1"/>
  <c r="M53" i="2" l="1"/>
  <c r="N244" i="2"/>
  <c r="B47" i="2"/>
  <c r="L46" i="2"/>
  <c r="A46" i="2"/>
  <c r="K46" i="2" s="1"/>
  <c r="B48" i="2" l="1"/>
  <c r="L47" i="2"/>
  <c r="N245" i="2"/>
  <c r="M54" i="2"/>
  <c r="A47" i="2"/>
  <c r="K47" i="2" s="1"/>
  <c r="M55" i="2" l="1"/>
  <c r="N246" i="2"/>
  <c r="B49" i="2"/>
  <c r="L48" i="2"/>
  <c r="A48" i="2"/>
  <c r="K48" i="2" s="1"/>
  <c r="B50" i="2" l="1"/>
  <c r="L49" i="2"/>
  <c r="N247" i="2"/>
  <c r="M56" i="2"/>
  <c r="A49" i="2"/>
  <c r="K49" i="2" s="1"/>
  <c r="M57" i="2" l="1"/>
  <c r="N248" i="2"/>
  <c r="B51" i="2"/>
  <c r="L50" i="2"/>
  <c r="A50" i="2"/>
  <c r="K50" i="2" s="1"/>
  <c r="B52" i="2" l="1"/>
  <c r="L51" i="2"/>
  <c r="N249" i="2"/>
  <c r="M58" i="2"/>
  <c r="A51" i="2"/>
  <c r="K51" i="2" s="1"/>
  <c r="M59" i="2" l="1"/>
  <c r="N250" i="2"/>
  <c r="B53" i="2"/>
  <c r="L52" i="2"/>
  <c r="A52" i="2"/>
  <c r="K52" i="2" s="1"/>
  <c r="B54" i="2" l="1"/>
  <c r="L53" i="2"/>
  <c r="N251" i="2"/>
  <c r="M60" i="2"/>
  <c r="A53" i="2"/>
  <c r="K53" i="2" s="1"/>
  <c r="M61" i="2" l="1"/>
  <c r="N252" i="2"/>
  <c r="B55" i="2"/>
  <c r="L54" i="2"/>
  <c r="A54" i="2"/>
  <c r="K54" i="2" s="1"/>
  <c r="B56" i="2" l="1"/>
  <c r="L55" i="2"/>
  <c r="N253" i="2"/>
  <c r="M62" i="2"/>
  <c r="A55" i="2"/>
  <c r="K55" i="2" s="1"/>
  <c r="M63" i="2" l="1"/>
  <c r="N254" i="2"/>
  <c r="B57" i="2"/>
  <c r="L56" i="2"/>
  <c r="A56" i="2"/>
  <c r="K56" i="2" s="1"/>
  <c r="B58" i="2" l="1"/>
  <c r="L57" i="2"/>
  <c r="N255" i="2"/>
  <c r="M64" i="2"/>
  <c r="A57" i="2"/>
  <c r="K57" i="2" s="1"/>
  <c r="M65" i="2" l="1"/>
  <c r="N256" i="2"/>
  <c r="B59" i="2"/>
  <c r="L58" i="2"/>
  <c r="A58" i="2"/>
  <c r="K58" i="2" s="1"/>
  <c r="B60" i="2" l="1"/>
  <c r="L59" i="2"/>
  <c r="N257" i="2"/>
  <c r="M66" i="2"/>
  <c r="A59" i="2"/>
  <c r="K59" i="2" s="1"/>
  <c r="M67" i="2" l="1"/>
  <c r="N258" i="2"/>
  <c r="B61" i="2"/>
  <c r="L60" i="2"/>
  <c r="A60" i="2"/>
  <c r="K60" i="2" s="1"/>
  <c r="B62" i="2" l="1"/>
  <c r="L61" i="2"/>
  <c r="N259" i="2"/>
  <c r="M68" i="2"/>
  <c r="A61" i="2"/>
  <c r="K61" i="2" s="1"/>
  <c r="M69" i="2" l="1"/>
  <c r="N260" i="2"/>
  <c r="B63" i="2"/>
  <c r="L62" i="2"/>
  <c r="A62" i="2"/>
  <c r="K62" i="2" s="1"/>
  <c r="B64" i="2" l="1"/>
  <c r="L63" i="2"/>
  <c r="N261" i="2"/>
  <c r="M70" i="2"/>
  <c r="A63" i="2"/>
  <c r="K63" i="2" s="1"/>
  <c r="M71" i="2" l="1"/>
  <c r="N262" i="2"/>
  <c r="B65" i="2"/>
  <c r="L64" i="2"/>
  <c r="A64" i="2"/>
  <c r="K64" i="2" s="1"/>
  <c r="B66" i="2" l="1"/>
  <c r="L65" i="2"/>
  <c r="N263" i="2"/>
  <c r="M72" i="2"/>
  <c r="A65" i="2"/>
  <c r="K65" i="2" s="1"/>
  <c r="M73" i="2" l="1"/>
  <c r="N264" i="2"/>
  <c r="B67" i="2"/>
  <c r="L66" i="2"/>
  <c r="A66" i="2"/>
  <c r="K66" i="2" s="1"/>
  <c r="B68" i="2" l="1"/>
  <c r="L67" i="2"/>
  <c r="N265" i="2"/>
  <c r="M74" i="2"/>
  <c r="A67" i="2"/>
  <c r="K67" i="2" s="1"/>
  <c r="M75" i="2" l="1"/>
  <c r="N266" i="2"/>
  <c r="B69" i="2"/>
  <c r="L68" i="2"/>
  <c r="A68" i="2"/>
  <c r="K68" i="2" s="1"/>
  <c r="B70" i="2" l="1"/>
  <c r="L69" i="2"/>
  <c r="N267" i="2"/>
  <c r="M76" i="2"/>
  <c r="A69" i="2"/>
  <c r="K69" i="2" s="1"/>
  <c r="M77" i="2" l="1"/>
  <c r="N268" i="2"/>
  <c r="B71" i="2"/>
  <c r="L70" i="2"/>
  <c r="A70" i="2"/>
  <c r="K70" i="2" s="1"/>
  <c r="B72" i="2" l="1"/>
  <c r="L71" i="2"/>
  <c r="N269" i="2"/>
  <c r="M78" i="2"/>
  <c r="A71" i="2"/>
  <c r="K71" i="2" s="1"/>
  <c r="M79" i="2" l="1"/>
  <c r="N270" i="2"/>
  <c r="B73" i="2"/>
  <c r="L72" i="2"/>
  <c r="A72" i="2"/>
  <c r="K72" i="2" s="1"/>
  <c r="B74" i="2" l="1"/>
  <c r="L73" i="2"/>
  <c r="N271" i="2"/>
  <c r="M80" i="2"/>
  <c r="A73" i="2"/>
  <c r="K73" i="2" s="1"/>
  <c r="M81" i="2" l="1"/>
  <c r="N272" i="2"/>
  <c r="B75" i="2"/>
  <c r="L74" i="2"/>
  <c r="A74" i="2"/>
  <c r="K74" i="2" s="1"/>
  <c r="B76" i="2" l="1"/>
  <c r="L75" i="2"/>
  <c r="N273" i="2"/>
  <c r="M82" i="2"/>
  <c r="A75" i="2"/>
  <c r="K75" i="2" s="1"/>
  <c r="M83" i="2" l="1"/>
  <c r="N274" i="2"/>
  <c r="B77" i="2"/>
  <c r="L76" i="2"/>
  <c r="A76" i="2"/>
  <c r="K76" i="2" s="1"/>
  <c r="B78" i="2" l="1"/>
  <c r="L77" i="2"/>
  <c r="N275" i="2"/>
  <c r="M84" i="2"/>
  <c r="A77" i="2"/>
  <c r="K77" i="2" s="1"/>
  <c r="M85" i="2" l="1"/>
  <c r="N276" i="2"/>
  <c r="B79" i="2"/>
  <c r="L78" i="2"/>
  <c r="A78" i="2"/>
  <c r="K78" i="2" s="1"/>
  <c r="B80" i="2" l="1"/>
  <c r="L79" i="2"/>
  <c r="N277" i="2"/>
  <c r="M86" i="2"/>
  <c r="A79" i="2"/>
  <c r="K79" i="2" s="1"/>
  <c r="M87" i="2" l="1"/>
  <c r="N278" i="2"/>
  <c r="B81" i="2"/>
  <c r="L80" i="2"/>
  <c r="A80" i="2"/>
  <c r="K80" i="2" s="1"/>
  <c r="L81" i="2" l="1"/>
  <c r="B82" i="2"/>
  <c r="N279" i="2"/>
  <c r="M88" i="2"/>
  <c r="A81" i="2"/>
  <c r="K81" i="2" s="1"/>
  <c r="M89" i="2" l="1"/>
  <c r="N280" i="2"/>
  <c r="L82" i="2"/>
  <c r="B83" i="2"/>
  <c r="A82" i="2"/>
  <c r="K82" i="2" s="1"/>
  <c r="L83" i="2" l="1"/>
  <c r="B84" i="2"/>
  <c r="N281" i="2"/>
  <c r="M90" i="2"/>
  <c r="A83" i="2"/>
  <c r="K83" i="2" s="1"/>
  <c r="M91" i="2" l="1"/>
  <c r="N282" i="2"/>
  <c r="B85" i="2"/>
  <c r="L84" i="2"/>
  <c r="A84" i="2"/>
  <c r="K84" i="2" s="1"/>
  <c r="B86" i="2" l="1"/>
  <c r="L85" i="2"/>
  <c r="N283" i="2"/>
  <c r="M92" i="2"/>
  <c r="A85" i="2"/>
  <c r="K85" i="2" s="1"/>
  <c r="M93" i="2" l="1"/>
  <c r="N284" i="2"/>
  <c r="B87" i="2"/>
  <c r="L86" i="2"/>
  <c r="A86" i="2"/>
  <c r="K86" i="2" s="1"/>
  <c r="N285" i="2" l="1"/>
  <c r="B88" i="2"/>
  <c r="L87" i="2"/>
  <c r="M94" i="2"/>
  <c r="A87" i="2"/>
  <c r="K87" i="2" s="1"/>
  <c r="M95" i="2" l="1"/>
  <c r="B89" i="2"/>
  <c r="L88" i="2"/>
  <c r="N286" i="2"/>
  <c r="A88" i="2"/>
  <c r="K88" i="2" s="1"/>
  <c r="M96" i="2" l="1"/>
  <c r="N287" i="2"/>
  <c r="B90" i="2"/>
  <c r="L89" i="2"/>
  <c r="A89" i="2"/>
  <c r="K89" i="2" s="1"/>
  <c r="B91" i="2" l="1"/>
  <c r="L90" i="2"/>
  <c r="N288" i="2"/>
  <c r="M97" i="2"/>
  <c r="A90" i="2"/>
  <c r="K90" i="2" s="1"/>
  <c r="M98" i="2" l="1"/>
  <c r="N289" i="2"/>
  <c r="B92" i="2"/>
  <c r="L91" i="2"/>
  <c r="A91" i="2"/>
  <c r="K91" i="2" s="1"/>
  <c r="B93" i="2" l="1"/>
  <c r="L92" i="2"/>
  <c r="N290" i="2"/>
  <c r="M99" i="2"/>
  <c r="A92" i="2"/>
  <c r="K92" i="2" s="1"/>
  <c r="M101" i="2" l="1"/>
  <c r="M100" i="2"/>
  <c r="N291" i="2"/>
  <c r="B94" i="2"/>
  <c r="L93" i="2"/>
  <c r="A93" i="2"/>
  <c r="K93" i="2" s="1"/>
  <c r="B95" i="2" l="1"/>
  <c r="L94" i="2"/>
  <c r="N292" i="2"/>
  <c r="A94" i="2"/>
  <c r="K94" i="2" s="1"/>
  <c r="N293" i="2" l="1"/>
  <c r="B96" i="2"/>
  <c r="L95" i="2"/>
  <c r="A95" i="2"/>
  <c r="K95" i="2" s="1"/>
  <c r="B97" i="2" l="1"/>
  <c r="L96" i="2"/>
  <c r="N294" i="2"/>
  <c r="A96" i="2"/>
  <c r="K96" i="2" s="1"/>
  <c r="N295" i="2" l="1"/>
  <c r="B98" i="2"/>
  <c r="L97" i="2"/>
  <c r="A97" i="2"/>
  <c r="K97" i="2" s="1"/>
  <c r="B99" i="2" l="1"/>
  <c r="L98" i="2"/>
  <c r="N296" i="2"/>
  <c r="A98" i="2"/>
  <c r="K98" i="2" s="1"/>
  <c r="N297" i="2" l="1"/>
  <c r="B100" i="2"/>
  <c r="L99" i="2"/>
  <c r="A99" i="2"/>
  <c r="K99" i="2" s="1"/>
  <c r="B101" i="2" l="1"/>
  <c r="L100" i="2"/>
  <c r="N298" i="2"/>
  <c r="A100" i="2"/>
  <c r="K100" i="2" s="1"/>
  <c r="L101" i="2" l="1"/>
  <c r="B102" i="2"/>
  <c r="N299" i="2"/>
  <c r="A101" i="2"/>
  <c r="K101" i="2" s="1"/>
  <c r="L102" i="2" l="1"/>
  <c r="B103" i="2"/>
  <c r="N300" i="2"/>
  <c r="A102" i="2"/>
  <c r="B104" i="2" l="1"/>
  <c r="L103" i="2"/>
  <c r="K102" i="2"/>
  <c r="A103" i="2"/>
  <c r="N302" i="2"/>
  <c r="N301" i="2"/>
  <c r="B105" i="2" l="1"/>
  <c r="L104" i="2"/>
  <c r="A104" i="2"/>
  <c r="K103" i="2"/>
  <c r="B106" i="2" l="1"/>
  <c r="L105" i="2"/>
  <c r="A105" i="2"/>
  <c r="K104" i="2"/>
  <c r="B107" i="2" l="1"/>
  <c r="L106" i="2"/>
  <c r="A106" i="2"/>
  <c r="K105" i="2"/>
  <c r="L107" i="2" l="1"/>
  <c r="B108" i="2"/>
  <c r="A107" i="2"/>
  <c r="K106" i="2"/>
  <c r="L108" i="2" l="1"/>
  <c r="B109" i="2"/>
  <c r="A108" i="2"/>
  <c r="K107" i="2"/>
  <c r="L109" i="2" l="1"/>
  <c r="B110" i="2"/>
  <c r="A109" i="2"/>
  <c r="K108" i="2"/>
  <c r="L110" i="2" l="1"/>
  <c r="B111" i="2"/>
  <c r="A110" i="2"/>
  <c r="K109" i="2"/>
  <c r="L111" i="2" l="1"/>
  <c r="B112" i="2"/>
  <c r="A111" i="2"/>
  <c r="K110" i="2"/>
  <c r="L112" i="2" l="1"/>
  <c r="B113" i="2"/>
  <c r="A112" i="2"/>
  <c r="K111" i="2"/>
  <c r="L113" i="2" l="1"/>
  <c r="B114" i="2"/>
  <c r="A113" i="2"/>
  <c r="K112" i="2"/>
  <c r="L114" i="2" l="1"/>
  <c r="B115" i="2"/>
  <c r="A114" i="2"/>
  <c r="K113" i="2"/>
  <c r="B116" i="2" l="1"/>
  <c r="L115" i="2"/>
  <c r="A115" i="2"/>
  <c r="K114" i="2"/>
  <c r="B117" i="2" l="1"/>
  <c r="L116" i="2"/>
  <c r="A116" i="2"/>
  <c r="K115" i="2"/>
  <c r="B118" i="2" l="1"/>
  <c r="L117" i="2"/>
  <c r="A117" i="2"/>
  <c r="K116" i="2"/>
  <c r="B119" i="2" l="1"/>
  <c r="L118" i="2"/>
  <c r="A118" i="2"/>
  <c r="K117" i="2"/>
  <c r="L119" i="2" l="1"/>
  <c r="B120" i="2"/>
  <c r="A119" i="2"/>
  <c r="K118" i="2"/>
  <c r="B121" i="2" l="1"/>
  <c r="L120" i="2"/>
  <c r="A120" i="2"/>
  <c r="K119" i="2"/>
  <c r="B122" i="2" l="1"/>
  <c r="L121" i="2"/>
  <c r="A121" i="2"/>
  <c r="K120" i="2"/>
  <c r="B123" i="2" l="1"/>
  <c r="L122" i="2"/>
  <c r="A122" i="2"/>
  <c r="K121" i="2"/>
  <c r="B124" i="2" l="1"/>
  <c r="L123" i="2"/>
  <c r="A123" i="2"/>
  <c r="K122" i="2"/>
  <c r="L124" i="2" l="1"/>
  <c r="B125" i="2"/>
  <c r="A124" i="2"/>
  <c r="K123" i="2"/>
  <c r="B126" i="2" l="1"/>
  <c r="L125" i="2"/>
  <c r="A125" i="2"/>
  <c r="K124" i="2"/>
  <c r="B127" i="2" l="1"/>
  <c r="L126" i="2"/>
  <c r="A126" i="2"/>
  <c r="K125" i="2"/>
  <c r="L127" i="2" l="1"/>
  <c r="B128" i="2"/>
  <c r="A127" i="2"/>
  <c r="K126" i="2"/>
  <c r="B129" i="2" l="1"/>
  <c r="L128" i="2"/>
  <c r="A128" i="2"/>
  <c r="K127" i="2"/>
  <c r="L129" i="2" l="1"/>
  <c r="B130" i="2"/>
  <c r="A129" i="2"/>
  <c r="K128" i="2"/>
  <c r="B131" i="2" l="1"/>
  <c r="L130" i="2"/>
  <c r="A130" i="2"/>
  <c r="K129" i="2"/>
  <c r="B132" i="2" l="1"/>
  <c r="L131" i="2"/>
  <c r="A131" i="2"/>
  <c r="K130" i="2"/>
  <c r="B133" i="2" l="1"/>
  <c r="L132" i="2"/>
  <c r="A132" i="2"/>
  <c r="K131" i="2"/>
  <c r="B134" i="2" l="1"/>
  <c r="L133" i="2"/>
  <c r="A133" i="2"/>
  <c r="K132" i="2"/>
  <c r="L134" i="2" l="1"/>
  <c r="B135" i="2"/>
  <c r="A134" i="2"/>
  <c r="K133" i="2"/>
  <c r="L135" i="2" l="1"/>
  <c r="B136" i="2"/>
  <c r="A135" i="2"/>
  <c r="K134" i="2"/>
  <c r="L136" i="2" l="1"/>
  <c r="B137" i="2"/>
  <c r="A136" i="2"/>
  <c r="K135" i="2"/>
  <c r="L137" i="2" l="1"/>
  <c r="B138" i="2"/>
  <c r="A137" i="2"/>
  <c r="K136" i="2"/>
  <c r="B139" i="2" l="1"/>
  <c r="L138" i="2"/>
  <c r="A138" i="2"/>
  <c r="K137" i="2"/>
  <c r="L139" i="2" l="1"/>
  <c r="B140" i="2"/>
  <c r="A139" i="2"/>
  <c r="K138" i="2"/>
  <c r="B141" i="2" l="1"/>
  <c r="L140" i="2"/>
  <c r="A140" i="2"/>
  <c r="K139" i="2"/>
  <c r="B142" i="2" l="1"/>
  <c r="L141" i="2"/>
  <c r="A141" i="2"/>
  <c r="K140" i="2"/>
  <c r="B143" i="2" l="1"/>
  <c r="L142" i="2"/>
  <c r="A142" i="2"/>
  <c r="K141" i="2"/>
  <c r="B144" i="2" l="1"/>
  <c r="L143" i="2"/>
  <c r="A143" i="2"/>
  <c r="K142" i="2"/>
  <c r="L144" i="2" l="1"/>
  <c r="B145" i="2"/>
  <c r="A144" i="2"/>
  <c r="K143" i="2"/>
  <c r="L145" i="2" l="1"/>
  <c r="B146" i="2"/>
  <c r="A145" i="2"/>
  <c r="K144" i="2"/>
  <c r="B147" i="2" l="1"/>
  <c r="L146" i="2"/>
  <c r="A146" i="2"/>
  <c r="K145" i="2"/>
  <c r="L147" i="2" l="1"/>
  <c r="B148" i="2"/>
  <c r="A147" i="2"/>
  <c r="K146" i="2"/>
  <c r="L148" i="2" l="1"/>
  <c r="B149" i="2"/>
  <c r="A148" i="2"/>
  <c r="K147" i="2"/>
  <c r="L149" i="2" l="1"/>
  <c r="B150" i="2"/>
  <c r="A149" i="2"/>
  <c r="K148" i="2"/>
  <c r="L150" i="2" l="1"/>
  <c r="B151" i="2"/>
  <c r="A150" i="2"/>
  <c r="K149" i="2"/>
  <c r="B152" i="2" l="1"/>
  <c r="L151" i="2"/>
  <c r="A151" i="2"/>
  <c r="K150" i="2"/>
  <c r="L152" i="2" l="1"/>
  <c r="B153" i="2"/>
  <c r="A152" i="2"/>
  <c r="K151" i="2"/>
  <c r="L153" i="2" l="1"/>
  <c r="B154" i="2"/>
  <c r="A153" i="2"/>
  <c r="K152" i="2"/>
  <c r="B155" i="2" l="1"/>
  <c r="L154" i="2"/>
  <c r="A154" i="2"/>
  <c r="K153" i="2"/>
  <c r="L155" i="2" l="1"/>
  <c r="B156" i="2"/>
  <c r="A155" i="2"/>
  <c r="K154" i="2"/>
  <c r="L156" i="2" l="1"/>
  <c r="B157" i="2"/>
  <c r="A156" i="2"/>
  <c r="K155" i="2"/>
  <c r="L157" i="2" l="1"/>
  <c r="B158" i="2"/>
  <c r="A157" i="2"/>
  <c r="K156" i="2"/>
  <c r="L158" i="2" l="1"/>
  <c r="B159" i="2"/>
  <c r="A158" i="2"/>
  <c r="K157" i="2"/>
  <c r="L159" i="2" l="1"/>
  <c r="B160" i="2"/>
  <c r="A159" i="2"/>
  <c r="K158" i="2"/>
  <c r="B161" i="2" l="1"/>
  <c r="L160" i="2"/>
  <c r="A160" i="2"/>
  <c r="K159" i="2"/>
  <c r="L161" i="2" l="1"/>
  <c r="B162" i="2"/>
  <c r="A161" i="2"/>
  <c r="K160" i="2"/>
  <c r="L162" i="2" l="1"/>
  <c r="B163" i="2"/>
  <c r="A162" i="2"/>
  <c r="K161" i="2"/>
  <c r="L163" i="2" l="1"/>
  <c r="B164" i="2"/>
  <c r="A163" i="2"/>
  <c r="K162" i="2"/>
  <c r="L164" i="2" l="1"/>
  <c r="B165" i="2"/>
  <c r="A164" i="2"/>
  <c r="K163" i="2"/>
  <c r="B166" i="2" l="1"/>
  <c r="L165" i="2"/>
  <c r="A165" i="2"/>
  <c r="K164" i="2"/>
  <c r="L166" i="2" l="1"/>
  <c r="B167" i="2"/>
  <c r="A166" i="2"/>
  <c r="K165" i="2"/>
  <c r="L167" i="2" l="1"/>
  <c r="B168" i="2"/>
  <c r="A167" i="2"/>
  <c r="K166" i="2"/>
  <c r="L168" i="2" l="1"/>
  <c r="B169" i="2"/>
  <c r="A168" i="2"/>
  <c r="K167" i="2"/>
  <c r="B170" i="2" l="1"/>
  <c r="L169" i="2"/>
  <c r="A169" i="2"/>
  <c r="K168" i="2"/>
  <c r="L170" i="2" l="1"/>
  <c r="B171" i="2"/>
  <c r="A170" i="2"/>
  <c r="K169" i="2"/>
  <c r="L171" i="2" l="1"/>
  <c r="A171" i="2"/>
  <c r="K170" i="2"/>
  <c r="L172" i="2" l="1"/>
  <c r="A172" i="2"/>
  <c r="K171" i="2"/>
  <c r="L173" i="2" l="1"/>
  <c r="A173" i="2"/>
  <c r="K172" i="2"/>
  <c r="L174" i="2" l="1"/>
  <c r="A174" i="2"/>
  <c r="K173" i="2"/>
  <c r="L175" i="2" l="1"/>
  <c r="A175" i="2"/>
  <c r="K174" i="2"/>
  <c r="L176" i="2" l="1"/>
  <c r="A176" i="2"/>
  <c r="K175" i="2"/>
  <c r="L177" i="2" l="1"/>
  <c r="A177" i="2"/>
  <c r="K176" i="2"/>
  <c r="L178" i="2" l="1"/>
  <c r="A178" i="2"/>
  <c r="K177" i="2"/>
  <c r="L179" i="2" l="1"/>
  <c r="A179" i="2"/>
  <c r="K178" i="2"/>
  <c r="L180" i="2" l="1"/>
  <c r="A180" i="2"/>
  <c r="K179" i="2"/>
  <c r="L181" i="2" l="1"/>
  <c r="A181" i="2"/>
  <c r="K180" i="2"/>
  <c r="L182" i="2" l="1"/>
  <c r="A182" i="2"/>
  <c r="K181" i="2"/>
  <c r="L183" i="2" l="1"/>
  <c r="A183" i="2"/>
  <c r="K182" i="2"/>
  <c r="L184" i="2" l="1"/>
  <c r="A184" i="2"/>
  <c r="K183" i="2"/>
  <c r="L185" i="2" l="1"/>
  <c r="A185" i="2"/>
  <c r="K184" i="2"/>
  <c r="L186" i="2" l="1"/>
  <c r="A186" i="2"/>
  <c r="K185" i="2"/>
  <c r="L187" i="2" l="1"/>
  <c r="A187" i="2"/>
  <c r="K186" i="2"/>
  <c r="L188" i="2" l="1"/>
  <c r="A188" i="2"/>
  <c r="K187" i="2"/>
  <c r="L189" i="2" l="1"/>
  <c r="A189" i="2"/>
  <c r="K188" i="2"/>
  <c r="L190" i="2" l="1"/>
  <c r="A190" i="2"/>
  <c r="K189" i="2"/>
  <c r="L191" i="2" l="1"/>
  <c r="A191" i="2"/>
  <c r="K190" i="2"/>
  <c r="L192" i="2" l="1"/>
  <c r="A192" i="2"/>
  <c r="K191" i="2"/>
  <c r="L193" i="2" l="1"/>
  <c r="A193" i="2"/>
  <c r="K192" i="2"/>
  <c r="L194" i="2" l="1"/>
  <c r="A194" i="2"/>
  <c r="K193" i="2"/>
  <c r="L195" i="2" l="1"/>
  <c r="A195" i="2"/>
  <c r="K194" i="2"/>
  <c r="L196" i="2" l="1"/>
  <c r="A196" i="2"/>
  <c r="K195" i="2"/>
  <c r="L197" i="2" l="1"/>
  <c r="A197" i="2"/>
  <c r="K196" i="2"/>
  <c r="L198" i="2" l="1"/>
  <c r="A198" i="2"/>
  <c r="K197" i="2"/>
  <c r="L199" i="2" l="1"/>
  <c r="A199" i="2"/>
  <c r="K198" i="2"/>
  <c r="L200" i="2" l="1"/>
  <c r="A200" i="2"/>
  <c r="K199" i="2"/>
  <c r="L201" i="2" l="1"/>
  <c r="A201" i="2"/>
  <c r="K200" i="2"/>
  <c r="L202" i="2" l="1"/>
  <c r="A202" i="2"/>
  <c r="K201" i="2"/>
  <c r="L203" i="2" l="1"/>
  <c r="A203" i="2"/>
  <c r="K202" i="2"/>
  <c r="L204" i="2" l="1"/>
  <c r="A204" i="2"/>
  <c r="K203" i="2"/>
  <c r="L205" i="2" l="1"/>
  <c r="A205" i="2"/>
  <c r="K204" i="2"/>
  <c r="L206" i="2" l="1"/>
  <c r="A206" i="2"/>
  <c r="K205" i="2"/>
  <c r="L207" i="2" l="1"/>
  <c r="A207" i="2"/>
  <c r="K206" i="2"/>
  <c r="L208" i="2" l="1"/>
  <c r="A208" i="2"/>
  <c r="K207" i="2"/>
  <c r="L209" i="2" l="1"/>
  <c r="A209" i="2"/>
  <c r="K208" i="2"/>
  <c r="L210" i="2" l="1"/>
  <c r="A210" i="2"/>
  <c r="K209" i="2"/>
  <c r="L211" i="2" l="1"/>
  <c r="A211" i="2"/>
  <c r="K210" i="2"/>
  <c r="L212" i="2" l="1"/>
  <c r="A212" i="2"/>
  <c r="K211" i="2"/>
  <c r="L213" i="2" l="1"/>
  <c r="A213" i="2"/>
  <c r="K212" i="2"/>
  <c r="L214" i="2" l="1"/>
  <c r="A214" i="2"/>
  <c r="K213" i="2"/>
  <c r="L215" i="2" l="1"/>
  <c r="A215" i="2"/>
  <c r="K214" i="2"/>
  <c r="L216" i="2" l="1"/>
  <c r="A216" i="2"/>
  <c r="K215" i="2"/>
  <c r="L217" i="2" l="1"/>
  <c r="A217" i="2"/>
  <c r="K216" i="2"/>
  <c r="L218" i="2" l="1"/>
  <c r="A218" i="2"/>
  <c r="K217" i="2"/>
  <c r="L219" i="2" l="1"/>
  <c r="A219" i="2"/>
  <c r="K218" i="2"/>
  <c r="L220" i="2" l="1"/>
  <c r="A220" i="2"/>
  <c r="K219" i="2"/>
  <c r="L221" i="2" l="1"/>
  <c r="A221" i="2"/>
  <c r="K220" i="2"/>
  <c r="L222" i="2" l="1"/>
  <c r="A222" i="2"/>
  <c r="K221" i="2"/>
  <c r="L223" i="2" l="1"/>
  <c r="A223" i="2"/>
  <c r="K222" i="2"/>
  <c r="L224" i="2" l="1"/>
  <c r="A224" i="2"/>
  <c r="K223" i="2"/>
  <c r="L225" i="2" l="1"/>
  <c r="A225" i="2"/>
  <c r="K224" i="2"/>
  <c r="L226" i="2" l="1"/>
  <c r="A226" i="2"/>
  <c r="K225" i="2"/>
  <c r="L227" i="2" l="1"/>
  <c r="A227" i="2"/>
  <c r="K226" i="2"/>
  <c r="L228" i="2" l="1"/>
  <c r="A228" i="2"/>
  <c r="K227" i="2"/>
  <c r="L229" i="2" l="1"/>
  <c r="A229" i="2"/>
  <c r="K228" i="2"/>
  <c r="L230" i="2" l="1"/>
  <c r="A230" i="2"/>
  <c r="K229" i="2"/>
  <c r="L231" i="2" l="1"/>
  <c r="A231" i="2"/>
  <c r="K230" i="2"/>
  <c r="L232" i="2" l="1"/>
  <c r="A232" i="2"/>
  <c r="K231" i="2"/>
  <c r="L233" i="2" l="1"/>
  <c r="A233" i="2"/>
  <c r="K232" i="2"/>
  <c r="L234" i="2" l="1"/>
  <c r="A234" i="2"/>
  <c r="K233" i="2"/>
  <c r="L235" i="2" l="1"/>
  <c r="A235" i="2"/>
  <c r="K234" i="2"/>
  <c r="L236" i="2" l="1"/>
  <c r="A236" i="2"/>
  <c r="K235" i="2"/>
  <c r="L237" i="2" l="1"/>
  <c r="A237" i="2"/>
  <c r="K236" i="2"/>
  <c r="L238" i="2" l="1"/>
  <c r="A238" i="2"/>
  <c r="K237" i="2"/>
  <c r="L239" i="2" l="1"/>
  <c r="A239" i="2"/>
  <c r="K238" i="2"/>
  <c r="L240" i="2" l="1"/>
  <c r="A240" i="2"/>
  <c r="K239" i="2"/>
  <c r="L241" i="2" l="1"/>
  <c r="A241" i="2"/>
  <c r="K240" i="2"/>
  <c r="L242" i="2" l="1"/>
  <c r="A242" i="2"/>
  <c r="K241" i="2"/>
  <c r="L243" i="2" l="1"/>
  <c r="A243" i="2"/>
  <c r="K242" i="2"/>
  <c r="L244" i="2" l="1"/>
  <c r="A244" i="2"/>
  <c r="K243" i="2"/>
  <c r="L245" i="2" l="1"/>
  <c r="A245" i="2"/>
  <c r="K244" i="2"/>
  <c r="L246" i="2" l="1"/>
  <c r="A246" i="2"/>
  <c r="K245" i="2"/>
  <c r="L247" i="2" l="1"/>
  <c r="A247" i="2"/>
  <c r="K246" i="2"/>
  <c r="L248" i="2" l="1"/>
  <c r="A248" i="2"/>
  <c r="K247" i="2"/>
  <c r="L249" i="2" l="1"/>
  <c r="A249" i="2"/>
  <c r="K248" i="2"/>
  <c r="L250" i="2" l="1"/>
  <c r="A250" i="2"/>
  <c r="K249" i="2"/>
  <c r="L251" i="2" l="1"/>
  <c r="A251" i="2"/>
  <c r="K250" i="2"/>
  <c r="L252" i="2" l="1"/>
  <c r="A252" i="2"/>
  <c r="K251" i="2"/>
  <c r="L253" i="2" l="1"/>
  <c r="A253" i="2"/>
  <c r="K252" i="2"/>
  <c r="L254" i="2" l="1"/>
  <c r="A254" i="2"/>
  <c r="K253" i="2"/>
  <c r="L255" i="2" l="1"/>
  <c r="A255" i="2"/>
  <c r="K254" i="2"/>
  <c r="L256" i="2" l="1"/>
  <c r="A256" i="2"/>
  <c r="K255" i="2"/>
  <c r="L257" i="2" l="1"/>
  <c r="A257" i="2"/>
  <c r="K256" i="2"/>
  <c r="L258" i="2" l="1"/>
  <c r="A258" i="2"/>
  <c r="K257" i="2"/>
  <c r="L259" i="2" l="1"/>
  <c r="A259" i="2"/>
  <c r="K258" i="2"/>
  <c r="L260" i="2" l="1"/>
  <c r="A260" i="2"/>
  <c r="K259" i="2"/>
  <c r="L261" i="2" l="1"/>
  <c r="A261" i="2"/>
  <c r="K260" i="2"/>
  <c r="L262" i="2" l="1"/>
  <c r="A262" i="2"/>
  <c r="K261" i="2"/>
  <c r="L263" i="2" l="1"/>
  <c r="A263" i="2"/>
  <c r="K262" i="2"/>
  <c r="L264" i="2" l="1"/>
  <c r="A264" i="2"/>
  <c r="K263" i="2"/>
  <c r="L265" i="2" l="1"/>
  <c r="A265" i="2"/>
  <c r="K264" i="2"/>
  <c r="L266" i="2" l="1"/>
  <c r="A266" i="2"/>
  <c r="K265" i="2"/>
  <c r="L267" i="2" l="1"/>
  <c r="A267" i="2"/>
  <c r="K266" i="2"/>
  <c r="L268" i="2" l="1"/>
  <c r="A268" i="2"/>
  <c r="K267" i="2"/>
  <c r="L269" i="2" l="1"/>
  <c r="A269" i="2"/>
  <c r="K268" i="2"/>
  <c r="L270" i="2" l="1"/>
  <c r="A270" i="2"/>
  <c r="K269" i="2"/>
  <c r="L271" i="2" l="1"/>
  <c r="A271" i="2"/>
  <c r="K270" i="2"/>
  <c r="L272" i="2" l="1"/>
  <c r="A272" i="2"/>
  <c r="K271" i="2"/>
  <c r="L273" i="2" l="1"/>
  <c r="A273" i="2"/>
  <c r="K272" i="2"/>
  <c r="L274" i="2" l="1"/>
  <c r="A274" i="2"/>
  <c r="K273" i="2"/>
  <c r="L275" i="2" l="1"/>
  <c r="A275" i="2"/>
  <c r="K274" i="2"/>
  <c r="L276" i="2" l="1"/>
  <c r="A276" i="2"/>
  <c r="K275" i="2"/>
  <c r="L277" i="2" l="1"/>
  <c r="A277" i="2"/>
  <c r="K276" i="2"/>
  <c r="L278" i="2" l="1"/>
  <c r="A278" i="2"/>
  <c r="K277" i="2"/>
  <c r="L279" i="2" l="1"/>
  <c r="A279" i="2"/>
  <c r="K278" i="2"/>
  <c r="L280" i="2" l="1"/>
  <c r="A280" i="2"/>
  <c r="K279" i="2"/>
  <c r="L281" i="2" l="1"/>
  <c r="A281" i="2"/>
  <c r="K280" i="2"/>
  <c r="L282" i="2" l="1"/>
  <c r="A282" i="2"/>
  <c r="K281" i="2"/>
  <c r="L283" i="2" l="1"/>
  <c r="A283" i="2"/>
  <c r="K282" i="2"/>
  <c r="L284" i="2" l="1"/>
  <c r="A284" i="2"/>
  <c r="K283" i="2"/>
  <c r="L285" i="2" l="1"/>
  <c r="A285" i="2"/>
  <c r="K284" i="2"/>
  <c r="L286" i="2" l="1"/>
  <c r="A286" i="2"/>
  <c r="K285" i="2"/>
  <c r="L287" i="2" l="1"/>
  <c r="A287" i="2"/>
  <c r="K286" i="2"/>
  <c r="L288" i="2" l="1"/>
  <c r="A288" i="2"/>
  <c r="K287" i="2"/>
  <c r="L289" i="2" l="1"/>
  <c r="A289" i="2"/>
  <c r="K288" i="2"/>
  <c r="L290" i="2" l="1"/>
  <c r="A290" i="2"/>
  <c r="K289" i="2"/>
  <c r="L291" i="2" l="1"/>
  <c r="A291" i="2"/>
  <c r="K290" i="2"/>
  <c r="L292" i="2" l="1"/>
  <c r="A292" i="2"/>
  <c r="K291" i="2"/>
  <c r="L293" i="2" l="1"/>
  <c r="A293" i="2"/>
  <c r="K292" i="2"/>
  <c r="L294" i="2" l="1"/>
  <c r="A294" i="2"/>
  <c r="K293" i="2"/>
  <c r="L295" i="2" l="1"/>
  <c r="A295" i="2"/>
  <c r="K294" i="2"/>
  <c r="L296" i="2" l="1"/>
  <c r="A296" i="2"/>
  <c r="K295" i="2"/>
  <c r="L297" i="2" l="1"/>
  <c r="A297" i="2"/>
  <c r="K296" i="2"/>
  <c r="L298" i="2" l="1"/>
  <c r="A298" i="2"/>
  <c r="K297" i="2"/>
  <c r="L299" i="2" l="1"/>
  <c r="A299" i="2"/>
  <c r="K298" i="2"/>
  <c r="L301" i="2" l="1"/>
  <c r="L300" i="2"/>
  <c r="A300" i="2"/>
  <c r="K299" i="2"/>
  <c r="K300" i="2" l="1"/>
  <c r="A301" i="2"/>
  <c r="K301" i="2" l="1"/>
  <c r="A302" i="2"/>
  <c r="K302" i="2" s="1"/>
</calcChain>
</file>

<file path=xl/sharedStrings.xml><?xml version="1.0" encoding="utf-8"?>
<sst xmlns="http://schemas.openxmlformats.org/spreadsheetml/2006/main" count="9" uniqueCount="9">
  <si>
    <t>number</t>
    <phoneticPr fontId="1" type="noConversion"/>
  </si>
  <si>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</si>
  <si>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</si>
  <si>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</si>
  <si>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</si>
  <si>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</si>
  <si>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</si>
  <si>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rewardCoin</t>
    <phoneticPr fontId="1" type="noConversion"/>
  </si>
  <si>
    <t>rewardExp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</si>
</sst>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176" fontId="2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XEU308"/>
  <sheetViews>
    <sheetView tabSelected="1" workbookViewId="0">
      <pane ySplit="1" topLeftCell="A2" activePane="bottomLeft" state="frozen"/>
      <selection pane="bottomLeft" activeCell="Q9" sqref="Q9"/>
    </sheetView>
  </sheetViews>
  <sheetFormatPr defaultColWidth="17.625" defaultRowHeight="17.25" x14ac:dyDescent="0.3"/>
  <cols>
    <col min="1" max="1" width="18.875" style="6" customWidth="1"/>
    <col min="2" max="5" width="19" style="8" customWidth="1"/>
    <col min="6" max="6" width="19" style="4" customWidth="1"/>
    <col min="7" max="7" width="18.375" style="4" customWidth="1"/>
    <col min="8" max="8" width="17.625" style="13"/>
    <col min="9" max="9" width="5.125" style="4" bestFit="1" customWidth="1"/>
    <col min="10" max="10" width="7.375" bestFit="1" customWidth="1"/>
    <col min="11" max="14" width="24" style="4" customWidth="1"/>
    <col min="15" max="16374" width="17.625" style="4"/>
    <col min="16375" max="16375" width="8.875" style="4" bestFit="1" customWidth="1"/>
    <col min="16376" max="16384" width="8.875" style="4" customWidth="1"/>
  </cols>
  <sheetData>
    <row r="1" spans="1:15 16375:16375" x14ac:dyDescent="0.3">
      <c r="A1" s="2" t="s">
        <v>1</v>
      </c>
      <c r="B1" s="7" t="s">
        <v>2</v>
      </c>
      <c r="C1" s="7" t="s">
        <v>4</v>
      </c>
      <c r="D1" s="7" t="s">
        <v>5</v>
      </c>
      <c r="E1" s="7" t="s">
        <v>6</v>
      </c>
      <c r="F1" s="7" t="s">
        <v>3</v>
      </c>
      <c r="G1" s="7" t="s">
        <v>7</v>
      </c>
      <c r="H1" s="12" t="s">
        <v>8</v>
      </c>
      <c r="XEU1" s="3" t="s">
        <v>0</v>
      </c>
    </row>
    <row r="2" spans="1:15 16375:16375" x14ac:dyDescent="0.3">
      <c r="A2" s="1">
        <v>0</v>
      </c>
      <c r="B2" s="4">
        <v>0</v>
      </c>
      <c r="C2" s="4">
        <v>0</v>
      </c>
      <c r="D2" s="4">
        <v>0</v>
      </c>
      <c r="E2" s="4">
        <v>0</v>
      </c>
      <c r="F2" s="1">
        <v>0</v>
      </c>
      <c r="G2" s="9">
        <v>0</v>
      </c>
      <c r="H2" s="4">
        <v>0</v>
      </c>
      <c r="J2" s="4"/>
      <c r="XEU2" s="11"/>
    </row>
    <row r="3" spans="1:15 16375:16375" x14ac:dyDescent="0.3">
      <c r="A3" s="1">
        <v>1</v>
      </c>
      <c r="B3" s="4">
        <v>1</v>
      </c>
      <c r="C3" s="8">
        <f t="shared" ref="C3:C11" si="0">C4-1</f>
        <v>1</v>
      </c>
      <c r="D3" s="4">
        <v>10</v>
      </c>
      <c r="E3" s="4">
        <v>0</v>
      </c>
      <c r="F3" s="1">
        <v>0.3</v>
      </c>
      <c r="G3" s="9">
        <f>ROUNDUP(500 + (300000-500) * ((A3-1)/(300-1))^2, -1)</f>
        <v>500</v>
      </c>
      <c r="H3" s="4">
        <v>1</v>
      </c>
      <c r="J3" s="4"/>
      <c r="K3" s="4">
        <f t="shared" ref="K3:K67" si="1">G3</f>
        <v>500</v>
      </c>
      <c r="L3" s="4">
        <f>B3</f>
        <v>1</v>
      </c>
      <c r="M3" s="4">
        <f>C3</f>
        <v>1</v>
      </c>
      <c r="N3" s="4">
        <f>D3</f>
        <v>10</v>
      </c>
      <c r="O3" s="4">
        <f>SUM($G$3:G3)</f>
        <v>500</v>
      </c>
    </row>
    <row r="4" spans="1:15 16375:16375" x14ac:dyDescent="0.3">
      <c r="A4" s="1">
        <f>A3+1</f>
        <v>2</v>
      </c>
      <c r="B4" s="4">
        <f>B3+1</f>
        <v>2</v>
      </c>
      <c r="C4" s="8">
        <f t="shared" si="0"/>
        <v>2</v>
      </c>
      <c r="D4" s="4">
        <f>D3+5</f>
        <v>15</v>
      </c>
      <c r="E4" s="4">
        <v>0</v>
      </c>
      <c r="F4" s="1">
        <v>0.3</v>
      </c>
      <c r="G4" s="9">
        <f t="shared" ref="G4:G67" si="2">ROUNDUP(500 + (300000-500) * ((A4-1)/(300-1))^2, -1)</f>
        <v>510</v>
      </c>
      <c r="H4" s="4">
        <v>1</v>
      </c>
      <c r="J4" s="4"/>
      <c r="K4" s="4">
        <f t="shared" si="1"/>
        <v>510</v>
      </c>
      <c r="L4" s="4">
        <f t="shared" ref="L4:L67" si="3">B4</f>
        <v>2</v>
      </c>
      <c r="M4" s="4">
        <f t="shared" ref="M4:M67" si="4">C4</f>
        <v>2</v>
      </c>
      <c r="N4" s="4">
        <f t="shared" ref="N4:N67" si="5">D4</f>
        <v>15</v>
      </c>
      <c r="O4" s="4">
        <f>SUM($G$3:G4)</f>
        <v>1010</v>
      </c>
    </row>
    <row r="5" spans="1:15 16375:16375" x14ac:dyDescent="0.3">
      <c r="A5" s="1">
        <f t="shared" ref="A5:B68" si="6">A4+1</f>
        <v>3</v>
      </c>
      <c r="B5" s="4">
        <f t="shared" si="6"/>
        <v>3</v>
      </c>
      <c r="C5" s="8">
        <f t="shared" si="0"/>
        <v>3</v>
      </c>
      <c r="D5" s="4">
        <f t="shared" ref="D5:D11" si="7">D4+5</f>
        <v>20</v>
      </c>
      <c r="E5" s="4">
        <v>0</v>
      </c>
      <c r="F5" s="1">
        <v>0.3</v>
      </c>
      <c r="G5" s="9">
        <f t="shared" si="2"/>
        <v>520</v>
      </c>
      <c r="H5" s="4">
        <v>1</v>
      </c>
      <c r="J5" s="4"/>
      <c r="K5" s="4">
        <f t="shared" si="1"/>
        <v>520</v>
      </c>
      <c r="L5" s="4">
        <f t="shared" si="3"/>
        <v>3</v>
      </c>
      <c r="M5" s="4">
        <f t="shared" si="4"/>
        <v>3</v>
      </c>
      <c r="N5" s="4">
        <f t="shared" si="5"/>
        <v>20</v>
      </c>
      <c r="O5" s="4">
        <f>SUM($G$3:G5)</f>
        <v>1530</v>
      </c>
    </row>
    <row r="6" spans="1:15 16375:16375" x14ac:dyDescent="0.3">
      <c r="A6" s="1">
        <f t="shared" si="6"/>
        <v>4</v>
      </c>
      <c r="B6" s="4">
        <f t="shared" si="6"/>
        <v>4</v>
      </c>
      <c r="C6" s="8">
        <f t="shared" si="0"/>
        <v>4</v>
      </c>
      <c r="D6" s="4">
        <f t="shared" si="7"/>
        <v>25</v>
      </c>
      <c r="E6" s="4">
        <v>0</v>
      </c>
      <c r="F6" s="1">
        <v>0.3</v>
      </c>
      <c r="G6" s="9">
        <f t="shared" si="2"/>
        <v>540</v>
      </c>
      <c r="H6" s="4">
        <v>1</v>
      </c>
      <c r="J6" s="4"/>
      <c r="K6" s="4">
        <f t="shared" si="1"/>
        <v>540</v>
      </c>
      <c r="L6" s="4">
        <f t="shared" si="3"/>
        <v>4</v>
      </c>
      <c r="M6" s="4">
        <f t="shared" si="4"/>
        <v>4</v>
      </c>
      <c r="N6" s="4">
        <f t="shared" si="5"/>
        <v>25</v>
      </c>
      <c r="O6" s="4">
        <f>SUM($G$3:G6)</f>
        <v>2070</v>
      </c>
    </row>
    <row r="7" spans="1:15 16375:16375" x14ac:dyDescent="0.3">
      <c r="A7" s="1">
        <f t="shared" si="6"/>
        <v>5</v>
      </c>
      <c r="B7" s="4">
        <f t="shared" si="6"/>
        <v>5</v>
      </c>
      <c r="C7" s="8">
        <f t="shared" si="0"/>
        <v>5</v>
      </c>
      <c r="D7" s="4">
        <f t="shared" si="7"/>
        <v>30</v>
      </c>
      <c r="E7" s="4">
        <v>0</v>
      </c>
      <c r="F7" s="1">
        <v>0.3</v>
      </c>
      <c r="G7" s="9">
        <f t="shared" si="2"/>
        <v>560</v>
      </c>
      <c r="H7" s="4">
        <v>1</v>
      </c>
      <c r="J7" s="4"/>
      <c r="K7" s="4">
        <f t="shared" si="1"/>
        <v>560</v>
      </c>
      <c r="L7" s="4">
        <f t="shared" si="3"/>
        <v>5</v>
      </c>
      <c r="M7" s="4">
        <f t="shared" si="4"/>
        <v>5</v>
      </c>
      <c r="N7" s="4">
        <f t="shared" si="5"/>
        <v>30</v>
      </c>
      <c r="O7" s="4">
        <f>SUM($G$3:G7)</f>
        <v>2630</v>
      </c>
    </row>
    <row r="8" spans="1:15 16375:16375" x14ac:dyDescent="0.3">
      <c r="A8" s="1">
        <f t="shared" si="6"/>
        <v>6</v>
      </c>
      <c r="B8" s="4">
        <f t="shared" si="6"/>
        <v>6</v>
      </c>
      <c r="C8" s="8">
        <f t="shared" si="0"/>
        <v>6</v>
      </c>
      <c r="D8" s="4">
        <f t="shared" si="7"/>
        <v>35</v>
      </c>
      <c r="E8" s="4">
        <v>0</v>
      </c>
      <c r="F8" s="1">
        <v>0.3</v>
      </c>
      <c r="G8" s="9">
        <f t="shared" si="2"/>
        <v>590</v>
      </c>
      <c r="H8" s="4">
        <v>1</v>
      </c>
      <c r="J8" s="4"/>
      <c r="K8" s="4">
        <f t="shared" si="1"/>
        <v>590</v>
      </c>
      <c r="L8" s="4">
        <f t="shared" si="3"/>
        <v>6</v>
      </c>
      <c r="M8" s="4">
        <f t="shared" si="4"/>
        <v>6</v>
      </c>
      <c r="N8" s="4">
        <f t="shared" si="5"/>
        <v>35</v>
      </c>
      <c r="O8" s="4">
        <f>SUM($G$3:G8)</f>
        <v>3220</v>
      </c>
    </row>
    <row r="9" spans="1:15 16375:16375" x14ac:dyDescent="0.3">
      <c r="A9" s="1">
        <f t="shared" si="6"/>
        <v>7</v>
      </c>
      <c r="B9" s="4">
        <f t="shared" si="6"/>
        <v>7</v>
      </c>
      <c r="C9" s="8">
        <f t="shared" si="0"/>
        <v>7</v>
      </c>
      <c r="D9" s="4">
        <f t="shared" si="7"/>
        <v>40</v>
      </c>
      <c r="E9" s="4">
        <v>0</v>
      </c>
      <c r="F9" s="1">
        <v>0.3</v>
      </c>
      <c r="G9" s="9">
        <f t="shared" si="2"/>
        <v>630</v>
      </c>
      <c r="H9" s="4">
        <v>1</v>
      </c>
      <c r="J9" s="4"/>
      <c r="K9" s="4">
        <f t="shared" si="1"/>
        <v>630</v>
      </c>
      <c r="L9" s="4">
        <f t="shared" si="3"/>
        <v>7</v>
      </c>
      <c r="M9" s="4">
        <f t="shared" si="4"/>
        <v>7</v>
      </c>
      <c r="N9" s="4">
        <f t="shared" si="5"/>
        <v>40</v>
      </c>
      <c r="O9" s="4">
        <f>SUM($G$3:G9)</f>
        <v>3850</v>
      </c>
    </row>
    <row r="10" spans="1:15 16375:16375" x14ac:dyDescent="0.3">
      <c r="A10" s="1">
        <f t="shared" si="6"/>
        <v>8</v>
      </c>
      <c r="B10" s="4">
        <f t="shared" si="6"/>
        <v>8</v>
      </c>
      <c r="C10" s="8">
        <f t="shared" si="0"/>
        <v>8</v>
      </c>
      <c r="D10" s="4">
        <f t="shared" si="7"/>
        <v>45</v>
      </c>
      <c r="E10" s="4">
        <v>0</v>
      </c>
      <c r="F10" s="1">
        <v>0.3</v>
      </c>
      <c r="G10" s="9">
        <f t="shared" si="2"/>
        <v>670</v>
      </c>
      <c r="H10" s="4">
        <v>1</v>
      </c>
      <c r="J10" s="4"/>
      <c r="K10" s="4">
        <f t="shared" si="1"/>
        <v>670</v>
      </c>
      <c r="L10" s="4">
        <f t="shared" si="3"/>
        <v>8</v>
      </c>
      <c r="M10" s="4">
        <f t="shared" si="4"/>
        <v>8</v>
      </c>
      <c r="N10" s="4">
        <f t="shared" si="5"/>
        <v>45</v>
      </c>
      <c r="O10" s="4">
        <f>SUM($G$3:G10)</f>
        <v>4520</v>
      </c>
    </row>
    <row r="11" spans="1:15 16375:16375" x14ac:dyDescent="0.3">
      <c r="A11" s="1">
        <f t="shared" si="6"/>
        <v>9</v>
      </c>
      <c r="B11" s="4">
        <f t="shared" si="6"/>
        <v>9</v>
      </c>
      <c r="C11" s="8">
        <f t="shared" si="0"/>
        <v>9</v>
      </c>
      <c r="D11" s="4">
        <f t="shared" si="7"/>
        <v>50</v>
      </c>
      <c r="E11" s="4">
        <v>0</v>
      </c>
      <c r="F11" s="1">
        <v>0.3</v>
      </c>
      <c r="G11" s="9">
        <f t="shared" si="2"/>
        <v>720</v>
      </c>
      <c r="H11" s="4">
        <v>1</v>
      </c>
      <c r="J11" s="4"/>
      <c r="K11" s="4">
        <f t="shared" si="1"/>
        <v>720</v>
      </c>
      <c r="L11" s="4">
        <f t="shared" si="3"/>
        <v>9</v>
      </c>
      <c r="M11" s="4">
        <f t="shared" si="4"/>
        <v>9</v>
      </c>
      <c r="N11" s="4">
        <f t="shared" si="5"/>
        <v>50</v>
      </c>
      <c r="O11" s="4">
        <f>SUM($G$3:G11)</f>
        <v>5240</v>
      </c>
    </row>
    <row r="12" spans="1:15 16375:16375" x14ac:dyDescent="0.3">
      <c r="A12" s="1">
        <f t="shared" si="6"/>
        <v>10</v>
      </c>
      <c r="B12" s="4">
        <f>B11+1</f>
        <v>10</v>
      </c>
      <c r="C12" s="8">
        <f t="shared" ref="C12:C75" si="8">C13-1</f>
        <v>10</v>
      </c>
      <c r="D12" s="4">
        <f>D11+4</f>
        <v>54</v>
      </c>
      <c r="E12" s="4">
        <v>0</v>
      </c>
      <c r="F12" s="1">
        <v>0.3</v>
      </c>
      <c r="G12" s="9">
        <f t="shared" si="2"/>
        <v>780</v>
      </c>
      <c r="H12" s="4">
        <v>1</v>
      </c>
      <c r="J12" s="4"/>
      <c r="K12" s="4">
        <f t="shared" si="1"/>
        <v>780</v>
      </c>
      <c r="L12" s="4">
        <f t="shared" si="3"/>
        <v>10</v>
      </c>
      <c r="M12" s="4">
        <f t="shared" si="4"/>
        <v>10</v>
      </c>
      <c r="N12" s="4">
        <f t="shared" si="5"/>
        <v>54</v>
      </c>
      <c r="O12" s="4">
        <f>SUM($G$3:G12)</f>
        <v>6020</v>
      </c>
    </row>
    <row r="13" spans="1:15 16375:16375" x14ac:dyDescent="0.3">
      <c r="A13" s="1">
        <f t="shared" si="6"/>
        <v>11</v>
      </c>
      <c r="B13" s="4">
        <f t="shared" si="6"/>
        <v>11</v>
      </c>
      <c r="C13" s="8">
        <f t="shared" si="8"/>
        <v>11</v>
      </c>
      <c r="D13" s="4">
        <f t="shared" ref="D13:D22" si="9">D12+4</f>
        <v>58</v>
      </c>
      <c r="E13" s="4">
        <v>0</v>
      </c>
      <c r="F13" s="1">
        <v>0.3</v>
      </c>
      <c r="G13" s="9">
        <f t="shared" si="2"/>
        <v>840</v>
      </c>
      <c r="H13" s="4">
        <v>1</v>
      </c>
      <c r="J13" s="4"/>
      <c r="K13" s="4">
        <f t="shared" si="1"/>
        <v>840</v>
      </c>
      <c r="L13" s="4">
        <f t="shared" si="3"/>
        <v>11</v>
      </c>
      <c r="M13" s="4">
        <f t="shared" si="4"/>
        <v>11</v>
      </c>
      <c r="N13" s="4">
        <f t="shared" si="5"/>
        <v>58</v>
      </c>
      <c r="O13" s="4">
        <f>SUM($G$3:G13)</f>
        <v>6860</v>
      </c>
    </row>
    <row r="14" spans="1:15 16375:16375" x14ac:dyDescent="0.3">
      <c r="A14" s="1">
        <f t="shared" si="6"/>
        <v>12</v>
      </c>
      <c r="B14" s="4">
        <f t="shared" si="6"/>
        <v>12</v>
      </c>
      <c r="C14" s="8">
        <f t="shared" si="8"/>
        <v>12</v>
      </c>
      <c r="D14" s="4">
        <f t="shared" si="9"/>
        <v>62</v>
      </c>
      <c r="E14" s="4">
        <v>0</v>
      </c>
      <c r="F14" s="1">
        <v>0.3</v>
      </c>
      <c r="G14" s="9">
        <f t="shared" si="2"/>
        <v>910</v>
      </c>
      <c r="H14" s="4">
        <v>1</v>
      </c>
      <c r="J14" s="4"/>
      <c r="K14" s="4">
        <f t="shared" si="1"/>
        <v>910</v>
      </c>
      <c r="L14" s="4">
        <f t="shared" si="3"/>
        <v>12</v>
      </c>
      <c r="M14" s="4">
        <f t="shared" si="4"/>
        <v>12</v>
      </c>
      <c r="N14" s="4">
        <f t="shared" si="5"/>
        <v>62</v>
      </c>
      <c r="O14" s="4">
        <f>SUM($G$3:G14)</f>
        <v>7770</v>
      </c>
    </row>
    <row r="15" spans="1:15 16375:16375" x14ac:dyDescent="0.3">
      <c r="A15" s="1">
        <f t="shared" si="6"/>
        <v>13</v>
      </c>
      <c r="B15" s="4">
        <f t="shared" si="6"/>
        <v>13</v>
      </c>
      <c r="C15" s="8">
        <f t="shared" si="8"/>
        <v>13</v>
      </c>
      <c r="D15" s="4">
        <f t="shared" si="9"/>
        <v>66</v>
      </c>
      <c r="E15" s="4">
        <v>0</v>
      </c>
      <c r="F15" s="1">
        <v>0.3</v>
      </c>
      <c r="G15" s="9">
        <f t="shared" si="2"/>
        <v>990</v>
      </c>
      <c r="H15" s="4">
        <v>1</v>
      </c>
      <c r="J15" s="4"/>
      <c r="K15" s="4">
        <f t="shared" si="1"/>
        <v>990</v>
      </c>
      <c r="L15" s="4">
        <f t="shared" si="3"/>
        <v>13</v>
      </c>
      <c r="M15" s="4">
        <f t="shared" si="4"/>
        <v>13</v>
      </c>
      <c r="N15" s="4">
        <f t="shared" si="5"/>
        <v>66</v>
      </c>
      <c r="O15" s="4">
        <f>SUM($G$3:G15)</f>
        <v>8760</v>
      </c>
    </row>
    <row r="16" spans="1:15 16375:16375" x14ac:dyDescent="0.3">
      <c r="A16" s="1">
        <f t="shared" si="6"/>
        <v>14</v>
      </c>
      <c r="B16" s="4">
        <f t="shared" si="6"/>
        <v>14</v>
      </c>
      <c r="C16" s="8">
        <f t="shared" si="8"/>
        <v>14</v>
      </c>
      <c r="D16" s="4">
        <f t="shared" si="9"/>
        <v>70</v>
      </c>
      <c r="E16" s="4">
        <v>0</v>
      </c>
      <c r="F16" s="1">
        <v>0.3</v>
      </c>
      <c r="G16" s="9">
        <f t="shared" si="2"/>
        <v>1070</v>
      </c>
      <c r="H16" s="4">
        <v>1</v>
      </c>
      <c r="J16" s="4"/>
      <c r="K16" s="4">
        <f t="shared" si="1"/>
        <v>1070</v>
      </c>
      <c r="L16" s="4">
        <f t="shared" si="3"/>
        <v>14</v>
      </c>
      <c r="M16" s="4">
        <f t="shared" si="4"/>
        <v>14</v>
      </c>
      <c r="N16" s="4">
        <f t="shared" si="5"/>
        <v>70</v>
      </c>
      <c r="O16" s="4">
        <f>SUM($G$3:G16)</f>
        <v>9830</v>
      </c>
    </row>
    <row r="17" spans="1:15" x14ac:dyDescent="0.3">
      <c r="A17" s="1">
        <f t="shared" si="6"/>
        <v>15</v>
      </c>
      <c r="B17" s="4">
        <f t="shared" si="6"/>
        <v>15</v>
      </c>
      <c r="C17" s="8">
        <f t="shared" si="8"/>
        <v>15</v>
      </c>
      <c r="D17" s="4">
        <f t="shared" si="9"/>
        <v>74</v>
      </c>
      <c r="E17" s="4">
        <v>0</v>
      </c>
      <c r="F17" s="1">
        <v>0.3</v>
      </c>
      <c r="G17" s="9">
        <f t="shared" si="2"/>
        <v>1160</v>
      </c>
      <c r="H17" s="4">
        <v>1</v>
      </c>
      <c r="J17" s="4"/>
      <c r="K17" s="4">
        <f t="shared" si="1"/>
        <v>1160</v>
      </c>
      <c r="L17" s="4">
        <f t="shared" si="3"/>
        <v>15</v>
      </c>
      <c r="M17" s="4">
        <f t="shared" si="4"/>
        <v>15</v>
      </c>
      <c r="N17" s="4">
        <f t="shared" si="5"/>
        <v>74</v>
      </c>
      <c r="O17" s="4">
        <f>SUM($G$3:G17)</f>
        <v>10990</v>
      </c>
    </row>
    <row r="18" spans="1:15" x14ac:dyDescent="0.3">
      <c r="A18" s="1">
        <f t="shared" si="6"/>
        <v>16</v>
      </c>
      <c r="B18" s="4">
        <f t="shared" si="6"/>
        <v>16</v>
      </c>
      <c r="C18" s="8">
        <f t="shared" si="8"/>
        <v>16</v>
      </c>
      <c r="D18" s="4">
        <f t="shared" si="9"/>
        <v>78</v>
      </c>
      <c r="E18" s="4">
        <v>0</v>
      </c>
      <c r="F18" s="1">
        <v>0.3</v>
      </c>
      <c r="G18" s="9">
        <f t="shared" si="2"/>
        <v>1260</v>
      </c>
      <c r="H18" s="4">
        <v>1</v>
      </c>
      <c r="J18" s="4"/>
      <c r="K18" s="4">
        <f t="shared" si="1"/>
        <v>1260</v>
      </c>
      <c r="L18" s="4">
        <f t="shared" si="3"/>
        <v>16</v>
      </c>
      <c r="M18" s="4">
        <f t="shared" si="4"/>
        <v>16</v>
      </c>
      <c r="N18" s="4">
        <f t="shared" si="5"/>
        <v>78</v>
      </c>
      <c r="O18" s="4">
        <f>SUM($G$3:G18)</f>
        <v>12250</v>
      </c>
    </row>
    <row r="19" spans="1:15" x14ac:dyDescent="0.3">
      <c r="A19" s="1">
        <f t="shared" si="6"/>
        <v>17</v>
      </c>
      <c r="B19" s="4">
        <f t="shared" si="6"/>
        <v>17</v>
      </c>
      <c r="C19" s="8">
        <f t="shared" si="8"/>
        <v>17</v>
      </c>
      <c r="D19" s="4">
        <f t="shared" si="9"/>
        <v>82</v>
      </c>
      <c r="E19" s="4">
        <v>0</v>
      </c>
      <c r="F19" s="1">
        <v>0.3</v>
      </c>
      <c r="G19" s="9">
        <f t="shared" si="2"/>
        <v>1360</v>
      </c>
      <c r="H19" s="4">
        <v>1</v>
      </c>
      <c r="J19" s="4"/>
      <c r="K19" s="4">
        <f t="shared" si="1"/>
        <v>1360</v>
      </c>
      <c r="L19" s="4">
        <f t="shared" si="3"/>
        <v>17</v>
      </c>
      <c r="M19" s="4">
        <f t="shared" si="4"/>
        <v>17</v>
      </c>
      <c r="N19" s="4">
        <f t="shared" si="5"/>
        <v>82</v>
      </c>
      <c r="O19" s="4">
        <f>SUM($G$3:G19)</f>
        <v>13610</v>
      </c>
    </row>
    <row r="20" spans="1:15" x14ac:dyDescent="0.3">
      <c r="A20" s="1">
        <f t="shared" si="6"/>
        <v>18</v>
      </c>
      <c r="B20" s="4">
        <f t="shared" si="6"/>
        <v>18</v>
      </c>
      <c r="C20" s="8">
        <f t="shared" si="8"/>
        <v>18</v>
      </c>
      <c r="D20" s="4">
        <f t="shared" si="9"/>
        <v>86</v>
      </c>
      <c r="E20" s="4">
        <v>0</v>
      </c>
      <c r="F20" s="1">
        <v>0.3</v>
      </c>
      <c r="G20" s="9">
        <f t="shared" si="2"/>
        <v>1470</v>
      </c>
      <c r="H20" s="4">
        <v>1</v>
      </c>
      <c r="J20" s="4"/>
      <c r="K20" s="4">
        <f t="shared" si="1"/>
        <v>1470</v>
      </c>
      <c r="L20" s="4">
        <f t="shared" si="3"/>
        <v>18</v>
      </c>
      <c r="M20" s="4">
        <f t="shared" si="4"/>
        <v>18</v>
      </c>
      <c r="N20" s="4">
        <f t="shared" si="5"/>
        <v>86</v>
      </c>
      <c r="O20" s="4">
        <f>SUM($G$3:G20)</f>
        <v>15080</v>
      </c>
    </row>
    <row r="21" spans="1:15" x14ac:dyDescent="0.3">
      <c r="A21" s="1">
        <f t="shared" si="6"/>
        <v>19</v>
      </c>
      <c r="B21" s="4">
        <f t="shared" si="6"/>
        <v>19</v>
      </c>
      <c r="C21" s="8">
        <f t="shared" si="8"/>
        <v>19</v>
      </c>
      <c r="D21" s="4">
        <f t="shared" si="9"/>
        <v>90</v>
      </c>
      <c r="E21" s="4">
        <v>0</v>
      </c>
      <c r="F21" s="1">
        <v>0.3</v>
      </c>
      <c r="G21" s="9">
        <f t="shared" si="2"/>
        <v>1590</v>
      </c>
      <c r="H21" s="4">
        <v>1</v>
      </c>
      <c r="J21" s="4"/>
      <c r="K21" s="4">
        <f t="shared" si="1"/>
        <v>1590</v>
      </c>
      <c r="L21" s="4">
        <f t="shared" si="3"/>
        <v>19</v>
      </c>
      <c r="M21" s="4">
        <f t="shared" si="4"/>
        <v>19</v>
      </c>
      <c r="N21" s="4">
        <f t="shared" si="5"/>
        <v>90</v>
      </c>
      <c r="O21" s="4">
        <f>SUM($G$3:G21)</f>
        <v>16670</v>
      </c>
    </row>
    <row r="22" spans="1:15" x14ac:dyDescent="0.3">
      <c r="A22" s="1">
        <f t="shared" si="6"/>
        <v>20</v>
      </c>
      <c r="B22" s="4">
        <f t="shared" si="6"/>
        <v>20</v>
      </c>
      <c r="C22" s="8">
        <f t="shared" si="8"/>
        <v>20</v>
      </c>
      <c r="D22" s="4">
        <f t="shared" si="9"/>
        <v>94</v>
      </c>
      <c r="E22" s="4">
        <v>0.1</v>
      </c>
      <c r="F22" s="10">
        <v>0.4</v>
      </c>
      <c r="G22" s="9">
        <f t="shared" si="2"/>
        <v>1710</v>
      </c>
      <c r="H22" s="4">
        <v>1</v>
      </c>
      <c r="J22" s="4"/>
      <c r="K22" s="4">
        <f t="shared" si="1"/>
        <v>1710</v>
      </c>
      <c r="L22" s="4">
        <f t="shared" si="3"/>
        <v>20</v>
      </c>
      <c r="M22" s="4">
        <f t="shared" si="4"/>
        <v>20</v>
      </c>
      <c r="N22" s="4">
        <f t="shared" si="5"/>
        <v>94</v>
      </c>
      <c r="O22" s="4">
        <f>SUM($G$3:G22)</f>
        <v>18380</v>
      </c>
    </row>
    <row r="23" spans="1:15" x14ac:dyDescent="0.3">
      <c r="A23" s="1">
        <f t="shared" si="6"/>
        <v>21</v>
      </c>
      <c r="B23" s="4">
        <f t="shared" si="6"/>
        <v>21</v>
      </c>
      <c r="C23" s="8">
        <f t="shared" si="8"/>
        <v>21</v>
      </c>
      <c r="D23" s="4">
        <f>D22+3</f>
        <v>97</v>
      </c>
      <c r="E23" s="4">
        <v>0.1</v>
      </c>
      <c r="F23" s="10">
        <v>0.4</v>
      </c>
      <c r="G23" s="9">
        <f t="shared" si="2"/>
        <v>1850</v>
      </c>
      <c r="H23" s="4">
        <v>1</v>
      </c>
      <c r="J23" s="4"/>
      <c r="K23" s="4">
        <f t="shared" si="1"/>
        <v>1850</v>
      </c>
      <c r="L23" s="4">
        <f t="shared" si="3"/>
        <v>21</v>
      </c>
      <c r="M23" s="4">
        <f t="shared" si="4"/>
        <v>21</v>
      </c>
      <c r="N23" s="4">
        <f t="shared" si="5"/>
        <v>97</v>
      </c>
      <c r="O23" s="4">
        <f>SUM($G$3:G23)</f>
        <v>20230</v>
      </c>
    </row>
    <row r="24" spans="1:15" x14ac:dyDescent="0.3">
      <c r="A24" s="1">
        <f t="shared" si="6"/>
        <v>22</v>
      </c>
      <c r="B24" s="4">
        <f t="shared" si="6"/>
        <v>22</v>
      </c>
      <c r="C24" s="8">
        <f t="shared" si="8"/>
        <v>22</v>
      </c>
      <c r="D24" s="4">
        <f t="shared" ref="D24:D41" si="10">D23+3</f>
        <v>100</v>
      </c>
      <c r="E24" s="4">
        <v>0.1</v>
      </c>
      <c r="F24" s="10">
        <v>0.4</v>
      </c>
      <c r="G24" s="9">
        <f t="shared" si="2"/>
        <v>1980</v>
      </c>
      <c r="H24" s="4">
        <v>1</v>
      </c>
      <c r="J24" s="4"/>
      <c r="K24" s="4">
        <f t="shared" si="1"/>
        <v>1980</v>
      </c>
      <c r="L24" s="4">
        <f t="shared" si="3"/>
        <v>22</v>
      </c>
      <c r="M24" s="4">
        <f t="shared" si="4"/>
        <v>22</v>
      </c>
      <c r="N24" s="4">
        <f t="shared" si="5"/>
        <v>100</v>
      </c>
      <c r="O24" s="4">
        <f>SUM($G$3:G24)</f>
        <v>22210</v>
      </c>
    </row>
    <row r="25" spans="1:15" x14ac:dyDescent="0.3">
      <c r="A25" s="1">
        <f t="shared" si="6"/>
        <v>23</v>
      </c>
      <c r="B25" s="4">
        <f t="shared" si="6"/>
        <v>23</v>
      </c>
      <c r="C25" s="8">
        <f t="shared" si="8"/>
        <v>23</v>
      </c>
      <c r="D25" s="4">
        <f t="shared" si="10"/>
        <v>103</v>
      </c>
      <c r="E25" s="4">
        <v>0.1</v>
      </c>
      <c r="F25" s="10">
        <v>0.4</v>
      </c>
      <c r="G25" s="9">
        <f t="shared" si="2"/>
        <v>2130</v>
      </c>
      <c r="H25" s="4">
        <v>1</v>
      </c>
      <c r="J25" s="4"/>
      <c r="K25" s="4">
        <f t="shared" si="1"/>
        <v>2130</v>
      </c>
      <c r="L25" s="4">
        <f t="shared" si="3"/>
        <v>23</v>
      </c>
      <c r="M25" s="4">
        <f t="shared" si="4"/>
        <v>23</v>
      </c>
      <c r="N25" s="4">
        <f t="shared" si="5"/>
        <v>103</v>
      </c>
      <c r="O25" s="4">
        <f>SUM($G$3:G25)</f>
        <v>24340</v>
      </c>
    </row>
    <row r="26" spans="1:15" x14ac:dyDescent="0.3">
      <c r="A26" s="1">
        <f t="shared" si="6"/>
        <v>24</v>
      </c>
      <c r="B26" s="4">
        <f t="shared" si="6"/>
        <v>24</v>
      </c>
      <c r="C26" s="8">
        <f t="shared" si="8"/>
        <v>24</v>
      </c>
      <c r="D26" s="4">
        <f t="shared" si="10"/>
        <v>106</v>
      </c>
      <c r="E26" s="4">
        <v>0.1</v>
      </c>
      <c r="F26" s="10">
        <v>0.4</v>
      </c>
      <c r="G26" s="9">
        <f t="shared" si="2"/>
        <v>2280</v>
      </c>
      <c r="H26" s="4">
        <v>1</v>
      </c>
      <c r="J26" s="4"/>
      <c r="K26" s="4">
        <f t="shared" si="1"/>
        <v>2280</v>
      </c>
      <c r="L26" s="4">
        <f t="shared" si="3"/>
        <v>24</v>
      </c>
      <c r="M26" s="4">
        <f t="shared" si="4"/>
        <v>24</v>
      </c>
      <c r="N26" s="4">
        <f t="shared" si="5"/>
        <v>106</v>
      </c>
      <c r="O26" s="4">
        <f>SUM($G$3:G26)</f>
        <v>26620</v>
      </c>
    </row>
    <row r="27" spans="1:15" x14ac:dyDescent="0.3">
      <c r="A27" s="1">
        <f t="shared" si="6"/>
        <v>25</v>
      </c>
      <c r="B27" s="4">
        <f t="shared" si="6"/>
        <v>25</v>
      </c>
      <c r="C27" s="8">
        <f t="shared" si="8"/>
        <v>25</v>
      </c>
      <c r="D27" s="4">
        <f t="shared" si="10"/>
        <v>109</v>
      </c>
      <c r="E27" s="4">
        <v>0.1</v>
      </c>
      <c r="F27" s="10">
        <v>0.4</v>
      </c>
      <c r="G27" s="9">
        <f t="shared" si="2"/>
        <v>2430</v>
      </c>
      <c r="H27" s="4">
        <v>1</v>
      </c>
      <c r="J27" s="4"/>
      <c r="K27" s="4">
        <f t="shared" si="1"/>
        <v>2430</v>
      </c>
      <c r="L27" s="4">
        <f t="shared" si="3"/>
        <v>25</v>
      </c>
      <c r="M27" s="4">
        <f t="shared" si="4"/>
        <v>25</v>
      </c>
      <c r="N27" s="4">
        <f t="shared" si="5"/>
        <v>109</v>
      </c>
      <c r="O27" s="4">
        <f>SUM($G$3:G27)</f>
        <v>29050</v>
      </c>
    </row>
    <row r="28" spans="1:15" x14ac:dyDescent="0.3">
      <c r="A28" s="1">
        <f t="shared" si="6"/>
        <v>26</v>
      </c>
      <c r="B28" s="4">
        <f t="shared" si="6"/>
        <v>26</v>
      </c>
      <c r="C28" s="8">
        <f t="shared" si="8"/>
        <v>26</v>
      </c>
      <c r="D28" s="4">
        <f t="shared" si="10"/>
        <v>112</v>
      </c>
      <c r="E28" s="4">
        <v>0.1</v>
      </c>
      <c r="F28" s="10">
        <v>0.4</v>
      </c>
      <c r="G28" s="9">
        <f t="shared" si="2"/>
        <v>2600</v>
      </c>
      <c r="H28" s="4">
        <v>1</v>
      </c>
      <c r="J28" s="4"/>
      <c r="K28" s="4">
        <f t="shared" si="1"/>
        <v>2600</v>
      </c>
      <c r="L28" s="4">
        <f t="shared" si="3"/>
        <v>26</v>
      </c>
      <c r="M28" s="4">
        <f t="shared" si="4"/>
        <v>26</v>
      </c>
      <c r="N28" s="4">
        <f t="shared" si="5"/>
        <v>112</v>
      </c>
      <c r="O28" s="4">
        <f>SUM($G$3:G28)</f>
        <v>31650</v>
      </c>
    </row>
    <row r="29" spans="1:15" x14ac:dyDescent="0.3">
      <c r="A29" s="1">
        <f t="shared" si="6"/>
        <v>27</v>
      </c>
      <c r="B29" s="4">
        <f t="shared" si="6"/>
        <v>27</v>
      </c>
      <c r="C29" s="8">
        <f t="shared" si="8"/>
        <v>27</v>
      </c>
      <c r="D29" s="4">
        <f t="shared" si="10"/>
        <v>115</v>
      </c>
      <c r="E29" s="4">
        <v>0.1</v>
      </c>
      <c r="F29" s="10">
        <v>0.4</v>
      </c>
      <c r="G29" s="9">
        <f t="shared" si="2"/>
        <v>2770</v>
      </c>
      <c r="H29" s="4">
        <v>1</v>
      </c>
      <c r="J29" s="4"/>
      <c r="K29" s="4">
        <f t="shared" si="1"/>
        <v>2770</v>
      </c>
      <c r="L29" s="4">
        <f t="shared" si="3"/>
        <v>27</v>
      </c>
      <c r="M29" s="4">
        <f t="shared" si="4"/>
        <v>27</v>
      </c>
      <c r="N29" s="4">
        <f t="shared" si="5"/>
        <v>115</v>
      </c>
      <c r="O29" s="4">
        <f>SUM($G$3:G29)</f>
        <v>34420</v>
      </c>
    </row>
    <row r="30" spans="1:15" x14ac:dyDescent="0.3">
      <c r="A30" s="1">
        <f t="shared" si="6"/>
        <v>28</v>
      </c>
      <c r="B30" s="4">
        <f t="shared" si="6"/>
        <v>28</v>
      </c>
      <c r="C30" s="8">
        <f t="shared" si="8"/>
        <v>28</v>
      </c>
      <c r="D30" s="4">
        <f t="shared" si="10"/>
        <v>118</v>
      </c>
      <c r="E30" s="4">
        <v>0.1</v>
      </c>
      <c r="F30" s="10">
        <v>0.4</v>
      </c>
      <c r="G30" s="9">
        <f t="shared" si="2"/>
        <v>2950</v>
      </c>
      <c r="H30" s="4">
        <v>1</v>
      </c>
      <c r="J30" s="4"/>
      <c r="K30" s="4">
        <f t="shared" si="1"/>
        <v>2950</v>
      </c>
      <c r="L30" s="4">
        <f t="shared" si="3"/>
        <v>28</v>
      </c>
      <c r="M30" s="4">
        <f t="shared" si="4"/>
        <v>28</v>
      </c>
      <c r="N30" s="4">
        <f t="shared" si="5"/>
        <v>118</v>
      </c>
      <c r="O30" s="4">
        <f>SUM($G$3:G30)</f>
        <v>37370</v>
      </c>
    </row>
    <row r="31" spans="1:15" x14ac:dyDescent="0.3">
      <c r="A31" s="1">
        <f t="shared" si="6"/>
        <v>29</v>
      </c>
      <c r="B31" s="4">
        <f t="shared" si="6"/>
        <v>29</v>
      </c>
      <c r="C31" s="8">
        <f t="shared" si="8"/>
        <v>29</v>
      </c>
      <c r="D31" s="4">
        <f t="shared" si="10"/>
        <v>121</v>
      </c>
      <c r="E31" s="4">
        <v>0.1</v>
      </c>
      <c r="F31" s="10">
        <v>0.4</v>
      </c>
      <c r="G31" s="9">
        <f t="shared" si="2"/>
        <v>3130</v>
      </c>
      <c r="H31" s="4">
        <v>1</v>
      </c>
      <c r="J31" s="4"/>
      <c r="K31" s="4">
        <f t="shared" si="1"/>
        <v>3130</v>
      </c>
      <c r="L31" s="4">
        <f t="shared" si="3"/>
        <v>29</v>
      </c>
      <c r="M31" s="4">
        <f t="shared" si="4"/>
        <v>29</v>
      </c>
      <c r="N31" s="4">
        <f t="shared" si="5"/>
        <v>121</v>
      </c>
      <c r="O31" s="4">
        <f>SUM($G$3:G31)</f>
        <v>40500</v>
      </c>
    </row>
    <row r="32" spans="1:15" x14ac:dyDescent="0.3">
      <c r="A32" s="1">
        <f t="shared" si="6"/>
        <v>30</v>
      </c>
      <c r="B32" s="4">
        <f t="shared" si="6"/>
        <v>30</v>
      </c>
      <c r="C32" s="8">
        <f t="shared" si="8"/>
        <v>30</v>
      </c>
      <c r="D32" s="4">
        <f t="shared" si="10"/>
        <v>124</v>
      </c>
      <c r="E32" s="4">
        <v>0.1</v>
      </c>
      <c r="F32" s="10">
        <v>0.4</v>
      </c>
      <c r="G32" s="9">
        <f t="shared" si="2"/>
        <v>3320</v>
      </c>
      <c r="H32" s="4">
        <v>1</v>
      </c>
      <c r="J32" s="4"/>
      <c r="K32" s="4">
        <f t="shared" si="1"/>
        <v>3320</v>
      </c>
      <c r="L32" s="4">
        <f t="shared" si="3"/>
        <v>30</v>
      </c>
      <c r="M32" s="4">
        <f t="shared" si="4"/>
        <v>30</v>
      </c>
      <c r="N32" s="4">
        <f t="shared" si="5"/>
        <v>124</v>
      </c>
      <c r="O32" s="4">
        <f>SUM($G$3:G32)</f>
        <v>43820</v>
      </c>
    </row>
    <row r="33" spans="1:15" x14ac:dyDescent="0.3">
      <c r="A33" s="1">
        <f t="shared" si="6"/>
        <v>31</v>
      </c>
      <c r="B33" s="4">
        <f t="shared" si="6"/>
        <v>31</v>
      </c>
      <c r="C33" s="8">
        <f t="shared" si="8"/>
        <v>31</v>
      </c>
      <c r="D33" s="4">
        <f t="shared" si="10"/>
        <v>127</v>
      </c>
      <c r="E33" s="4">
        <v>0.1</v>
      </c>
      <c r="F33" s="10">
        <v>0.4</v>
      </c>
      <c r="G33" s="9">
        <f t="shared" si="2"/>
        <v>3520</v>
      </c>
      <c r="H33" s="4">
        <v>1</v>
      </c>
      <c r="J33" s="4"/>
      <c r="K33" s="4">
        <f t="shared" si="1"/>
        <v>3520</v>
      </c>
      <c r="L33" s="4">
        <f t="shared" si="3"/>
        <v>31</v>
      </c>
      <c r="M33" s="4">
        <f t="shared" si="4"/>
        <v>31</v>
      </c>
      <c r="N33" s="4">
        <f t="shared" si="5"/>
        <v>127</v>
      </c>
      <c r="O33" s="4">
        <f>SUM($G$3:G33)</f>
        <v>47340</v>
      </c>
    </row>
    <row r="34" spans="1:15" x14ac:dyDescent="0.3">
      <c r="A34" s="1">
        <f t="shared" si="6"/>
        <v>32</v>
      </c>
      <c r="B34" s="4">
        <f t="shared" si="6"/>
        <v>32</v>
      </c>
      <c r="C34" s="8">
        <f t="shared" si="8"/>
        <v>32</v>
      </c>
      <c r="D34" s="4">
        <f t="shared" si="10"/>
        <v>130</v>
      </c>
      <c r="E34" s="4">
        <v>0.1</v>
      </c>
      <c r="F34" s="10">
        <v>0.4</v>
      </c>
      <c r="G34" s="9">
        <f t="shared" si="2"/>
        <v>3720</v>
      </c>
      <c r="H34" s="4">
        <v>1</v>
      </c>
      <c r="J34" s="4"/>
      <c r="K34" s="4">
        <f t="shared" si="1"/>
        <v>3720</v>
      </c>
      <c r="L34" s="4">
        <f t="shared" si="3"/>
        <v>32</v>
      </c>
      <c r="M34" s="4">
        <f t="shared" si="4"/>
        <v>32</v>
      </c>
      <c r="N34" s="4">
        <f t="shared" si="5"/>
        <v>130</v>
      </c>
      <c r="O34" s="4">
        <f>SUM($G$3:G34)</f>
        <v>51060</v>
      </c>
    </row>
    <row r="35" spans="1:15" x14ac:dyDescent="0.3">
      <c r="A35" s="1">
        <f t="shared" si="6"/>
        <v>33</v>
      </c>
      <c r="B35" s="4">
        <f t="shared" si="6"/>
        <v>33</v>
      </c>
      <c r="C35" s="8">
        <f t="shared" si="8"/>
        <v>33</v>
      </c>
      <c r="D35" s="4">
        <f t="shared" si="10"/>
        <v>133</v>
      </c>
      <c r="E35" s="4">
        <v>0.1</v>
      </c>
      <c r="F35" s="10">
        <v>0.4</v>
      </c>
      <c r="G35" s="9">
        <f t="shared" si="2"/>
        <v>3940</v>
      </c>
      <c r="H35" s="4">
        <v>1</v>
      </c>
      <c r="J35" s="4"/>
      <c r="K35" s="4">
        <f t="shared" si="1"/>
        <v>3940</v>
      </c>
      <c r="L35" s="4">
        <f t="shared" si="3"/>
        <v>33</v>
      </c>
      <c r="M35" s="4">
        <f t="shared" si="4"/>
        <v>33</v>
      </c>
      <c r="N35" s="4">
        <f t="shared" si="5"/>
        <v>133</v>
      </c>
      <c r="O35" s="4">
        <f>SUM($G$3:G35)</f>
        <v>55000</v>
      </c>
    </row>
    <row r="36" spans="1:15" x14ac:dyDescent="0.3">
      <c r="A36" s="1">
        <f t="shared" si="6"/>
        <v>34</v>
      </c>
      <c r="B36" s="4">
        <f t="shared" si="6"/>
        <v>34</v>
      </c>
      <c r="C36" s="8">
        <f t="shared" si="8"/>
        <v>34</v>
      </c>
      <c r="D36" s="4">
        <f t="shared" si="10"/>
        <v>136</v>
      </c>
      <c r="E36" s="4">
        <v>0.1</v>
      </c>
      <c r="F36" s="10">
        <v>0.4</v>
      </c>
      <c r="G36" s="9">
        <f t="shared" si="2"/>
        <v>4150</v>
      </c>
      <c r="H36" s="4">
        <v>1</v>
      </c>
      <c r="J36" s="4"/>
      <c r="K36" s="4">
        <f t="shared" si="1"/>
        <v>4150</v>
      </c>
      <c r="L36" s="4">
        <f t="shared" si="3"/>
        <v>34</v>
      </c>
      <c r="M36" s="4">
        <f t="shared" si="4"/>
        <v>34</v>
      </c>
      <c r="N36" s="4">
        <f t="shared" si="5"/>
        <v>136</v>
      </c>
      <c r="O36" s="4">
        <f>SUM($G$3:G36)</f>
        <v>59150</v>
      </c>
    </row>
    <row r="37" spans="1:15" x14ac:dyDescent="0.3">
      <c r="A37" s="1">
        <f t="shared" si="6"/>
        <v>35</v>
      </c>
      <c r="B37" s="4">
        <f t="shared" si="6"/>
        <v>35</v>
      </c>
      <c r="C37" s="8">
        <f t="shared" si="8"/>
        <v>35</v>
      </c>
      <c r="D37" s="4">
        <f t="shared" si="10"/>
        <v>139</v>
      </c>
      <c r="E37" s="4">
        <v>0.1</v>
      </c>
      <c r="F37" s="10">
        <v>0.4</v>
      </c>
      <c r="G37" s="9">
        <f t="shared" si="2"/>
        <v>4380</v>
      </c>
      <c r="H37" s="4">
        <v>1</v>
      </c>
      <c r="J37" s="4"/>
      <c r="K37" s="4">
        <f t="shared" si="1"/>
        <v>4380</v>
      </c>
      <c r="L37" s="4">
        <f t="shared" si="3"/>
        <v>35</v>
      </c>
      <c r="M37" s="4">
        <f t="shared" si="4"/>
        <v>35</v>
      </c>
      <c r="N37" s="4">
        <f t="shared" si="5"/>
        <v>139</v>
      </c>
      <c r="O37" s="4">
        <f>SUM($G$3:G37)</f>
        <v>63530</v>
      </c>
    </row>
    <row r="38" spans="1:15" x14ac:dyDescent="0.3">
      <c r="A38" s="1">
        <f t="shared" si="6"/>
        <v>36</v>
      </c>
      <c r="B38" s="4">
        <f t="shared" si="6"/>
        <v>36</v>
      </c>
      <c r="C38" s="8">
        <f t="shared" si="8"/>
        <v>36</v>
      </c>
      <c r="D38" s="4">
        <f t="shared" si="10"/>
        <v>142</v>
      </c>
      <c r="E38" s="4">
        <v>0.1</v>
      </c>
      <c r="F38" s="10">
        <v>0.4</v>
      </c>
      <c r="G38" s="9">
        <f t="shared" si="2"/>
        <v>4610</v>
      </c>
      <c r="H38" s="4">
        <v>1</v>
      </c>
      <c r="J38" s="4"/>
      <c r="K38" s="4">
        <f t="shared" si="1"/>
        <v>4610</v>
      </c>
      <c r="L38" s="4">
        <f t="shared" si="3"/>
        <v>36</v>
      </c>
      <c r="M38" s="4">
        <f t="shared" si="4"/>
        <v>36</v>
      </c>
      <c r="N38" s="4">
        <f t="shared" si="5"/>
        <v>142</v>
      </c>
      <c r="O38" s="4">
        <f>SUM($G$3:G38)</f>
        <v>68140</v>
      </c>
    </row>
    <row r="39" spans="1:15" x14ac:dyDescent="0.3">
      <c r="A39" s="1">
        <f t="shared" si="6"/>
        <v>37</v>
      </c>
      <c r="B39" s="4">
        <f t="shared" si="6"/>
        <v>37</v>
      </c>
      <c r="C39" s="8">
        <f t="shared" si="8"/>
        <v>37</v>
      </c>
      <c r="D39" s="4">
        <f t="shared" si="10"/>
        <v>145</v>
      </c>
      <c r="E39" s="4">
        <v>0.1</v>
      </c>
      <c r="F39" s="10">
        <v>0.4</v>
      </c>
      <c r="G39" s="9">
        <f t="shared" si="2"/>
        <v>4850</v>
      </c>
      <c r="H39" s="4">
        <v>1</v>
      </c>
      <c r="J39" s="4"/>
      <c r="K39" s="4">
        <f t="shared" si="1"/>
        <v>4850</v>
      </c>
      <c r="L39" s="4">
        <f t="shared" si="3"/>
        <v>37</v>
      </c>
      <c r="M39" s="4">
        <f t="shared" si="4"/>
        <v>37</v>
      </c>
      <c r="N39" s="4">
        <f t="shared" si="5"/>
        <v>145</v>
      </c>
      <c r="O39" s="4">
        <f>SUM($G$3:G39)</f>
        <v>72990</v>
      </c>
    </row>
    <row r="40" spans="1:15" x14ac:dyDescent="0.3">
      <c r="A40" s="1">
        <f t="shared" si="6"/>
        <v>38</v>
      </c>
      <c r="B40" s="4">
        <f t="shared" si="6"/>
        <v>38</v>
      </c>
      <c r="C40" s="8">
        <f t="shared" si="8"/>
        <v>38</v>
      </c>
      <c r="D40" s="4">
        <f t="shared" si="10"/>
        <v>148</v>
      </c>
      <c r="E40" s="4">
        <v>0.1</v>
      </c>
      <c r="F40" s="10">
        <v>0.4</v>
      </c>
      <c r="G40" s="9">
        <f t="shared" si="2"/>
        <v>5090</v>
      </c>
      <c r="H40" s="4">
        <v>1</v>
      </c>
      <c r="J40" s="4"/>
      <c r="K40" s="4">
        <f t="shared" si="1"/>
        <v>5090</v>
      </c>
      <c r="L40" s="4">
        <f t="shared" si="3"/>
        <v>38</v>
      </c>
      <c r="M40" s="4">
        <f t="shared" si="4"/>
        <v>38</v>
      </c>
      <c r="N40" s="4">
        <f t="shared" si="5"/>
        <v>148</v>
      </c>
      <c r="O40" s="4">
        <f>SUM($G$3:G40)</f>
        <v>78080</v>
      </c>
    </row>
    <row r="41" spans="1:15" x14ac:dyDescent="0.3">
      <c r="A41" s="1">
        <f t="shared" si="6"/>
        <v>39</v>
      </c>
      <c r="B41" s="4">
        <f t="shared" si="6"/>
        <v>39</v>
      </c>
      <c r="C41" s="8">
        <f t="shared" si="8"/>
        <v>39</v>
      </c>
      <c r="D41" s="4">
        <f t="shared" si="10"/>
        <v>151</v>
      </c>
      <c r="E41" s="4">
        <v>0.1</v>
      </c>
      <c r="F41" s="10">
        <v>0.4</v>
      </c>
      <c r="G41" s="9">
        <f t="shared" si="2"/>
        <v>5340</v>
      </c>
      <c r="H41" s="4">
        <v>1</v>
      </c>
      <c r="J41" s="4"/>
      <c r="K41" s="4">
        <f t="shared" si="1"/>
        <v>5340</v>
      </c>
      <c r="L41" s="4">
        <f t="shared" si="3"/>
        <v>39</v>
      </c>
      <c r="M41" s="4">
        <f t="shared" si="4"/>
        <v>39</v>
      </c>
      <c r="N41" s="4">
        <f t="shared" si="5"/>
        <v>151</v>
      </c>
      <c r="O41" s="4">
        <f>SUM($G$3:G41)</f>
        <v>83420</v>
      </c>
    </row>
    <row r="42" spans="1:15" x14ac:dyDescent="0.3">
      <c r="A42" s="1">
        <f t="shared" si="6"/>
        <v>40</v>
      </c>
      <c r="B42" s="4">
        <f>B41+2</f>
        <v>41</v>
      </c>
      <c r="C42" s="8">
        <f t="shared" si="8"/>
        <v>40</v>
      </c>
      <c r="D42" s="4">
        <f>D41+2</f>
        <v>153</v>
      </c>
      <c r="E42" s="4">
        <f>E22+0.1</f>
        <v>0.2</v>
      </c>
      <c r="F42" s="10">
        <v>0.5</v>
      </c>
      <c r="G42" s="9">
        <f t="shared" si="2"/>
        <v>5600</v>
      </c>
      <c r="H42" s="4">
        <v>1</v>
      </c>
      <c r="J42" s="4"/>
      <c r="K42" s="4">
        <f t="shared" si="1"/>
        <v>5600</v>
      </c>
      <c r="L42" s="4">
        <f t="shared" si="3"/>
        <v>41</v>
      </c>
      <c r="M42" s="4">
        <f t="shared" si="4"/>
        <v>40</v>
      </c>
      <c r="N42" s="4">
        <f t="shared" si="5"/>
        <v>153</v>
      </c>
      <c r="O42" s="4">
        <f>SUM($G$3:G42)</f>
        <v>89020</v>
      </c>
    </row>
    <row r="43" spans="1:15" x14ac:dyDescent="0.3">
      <c r="A43" s="1">
        <f t="shared" si="6"/>
        <v>41</v>
      </c>
      <c r="B43" s="4">
        <f t="shared" ref="B43:B81" si="11">B42+2</f>
        <v>43</v>
      </c>
      <c r="C43" s="8">
        <f t="shared" si="8"/>
        <v>41</v>
      </c>
      <c r="D43" s="4">
        <f t="shared" ref="D43:D61" si="12">D42+2</f>
        <v>155</v>
      </c>
      <c r="E43" s="4">
        <f t="shared" ref="E43:F106" si="13">E23+0.1</f>
        <v>0.2</v>
      </c>
      <c r="F43" s="10">
        <v>0.5</v>
      </c>
      <c r="G43" s="9">
        <f t="shared" si="2"/>
        <v>5870</v>
      </c>
      <c r="H43" s="4">
        <v>1</v>
      </c>
      <c r="J43" s="4"/>
      <c r="K43" s="4">
        <f t="shared" si="1"/>
        <v>5870</v>
      </c>
      <c r="L43" s="4">
        <f t="shared" si="3"/>
        <v>43</v>
      </c>
      <c r="M43" s="4">
        <f t="shared" si="4"/>
        <v>41</v>
      </c>
      <c r="N43" s="4">
        <f t="shared" si="5"/>
        <v>155</v>
      </c>
      <c r="O43" s="4">
        <f>SUM($G$3:G43)</f>
        <v>94890</v>
      </c>
    </row>
    <row r="44" spans="1:15" x14ac:dyDescent="0.3">
      <c r="A44" s="1">
        <f t="shared" si="6"/>
        <v>42</v>
      </c>
      <c r="B44" s="4">
        <f t="shared" si="11"/>
        <v>45</v>
      </c>
      <c r="C44" s="8">
        <f t="shared" si="8"/>
        <v>42</v>
      </c>
      <c r="D44" s="4">
        <f t="shared" si="12"/>
        <v>157</v>
      </c>
      <c r="E44" s="4">
        <f t="shared" si="13"/>
        <v>0.2</v>
      </c>
      <c r="F44" s="10">
        <v>0.5</v>
      </c>
      <c r="G44" s="9">
        <f t="shared" si="2"/>
        <v>6140</v>
      </c>
      <c r="H44" s="4">
        <v>1</v>
      </c>
      <c r="J44" s="4"/>
      <c r="K44" s="4">
        <f t="shared" si="1"/>
        <v>6140</v>
      </c>
      <c r="L44" s="4">
        <f t="shared" si="3"/>
        <v>45</v>
      </c>
      <c r="M44" s="4">
        <f t="shared" si="4"/>
        <v>42</v>
      </c>
      <c r="N44" s="4">
        <f t="shared" si="5"/>
        <v>157</v>
      </c>
      <c r="O44" s="4">
        <f>SUM($G$3:G44)</f>
        <v>101030</v>
      </c>
    </row>
    <row r="45" spans="1:15" x14ac:dyDescent="0.3">
      <c r="A45" s="1">
        <f t="shared" si="6"/>
        <v>43</v>
      </c>
      <c r="B45" s="4">
        <f t="shared" si="11"/>
        <v>47</v>
      </c>
      <c r="C45" s="8">
        <f t="shared" si="8"/>
        <v>43</v>
      </c>
      <c r="D45" s="4">
        <f t="shared" si="12"/>
        <v>159</v>
      </c>
      <c r="E45" s="4">
        <f t="shared" si="13"/>
        <v>0.2</v>
      </c>
      <c r="F45" s="10">
        <v>0.5</v>
      </c>
      <c r="G45" s="9">
        <f t="shared" si="2"/>
        <v>6410</v>
      </c>
      <c r="H45" s="4">
        <v>1</v>
      </c>
      <c r="J45" s="4"/>
      <c r="K45" s="4">
        <f t="shared" si="1"/>
        <v>6410</v>
      </c>
      <c r="L45" s="4">
        <f t="shared" si="3"/>
        <v>47</v>
      </c>
      <c r="M45" s="4">
        <f t="shared" si="4"/>
        <v>43</v>
      </c>
      <c r="N45" s="4">
        <f t="shared" si="5"/>
        <v>159</v>
      </c>
      <c r="O45" s="4">
        <f>SUM($G$3:G45)</f>
        <v>107440</v>
      </c>
    </row>
    <row r="46" spans="1:15" x14ac:dyDescent="0.3">
      <c r="A46" s="1">
        <f t="shared" si="6"/>
        <v>44</v>
      </c>
      <c r="B46" s="4">
        <f t="shared" si="11"/>
        <v>49</v>
      </c>
      <c r="C46" s="8">
        <f t="shared" si="8"/>
        <v>44</v>
      </c>
      <c r="D46" s="4">
        <f t="shared" si="12"/>
        <v>161</v>
      </c>
      <c r="E46" s="4">
        <f t="shared" si="13"/>
        <v>0.2</v>
      </c>
      <c r="F46" s="10">
        <v>0.5</v>
      </c>
      <c r="G46" s="9">
        <f t="shared" si="2"/>
        <v>6700</v>
      </c>
      <c r="H46" s="4">
        <v>1</v>
      </c>
      <c r="J46" s="4"/>
      <c r="K46" s="4">
        <f t="shared" si="1"/>
        <v>6700</v>
      </c>
      <c r="L46" s="4">
        <f t="shared" si="3"/>
        <v>49</v>
      </c>
      <c r="M46" s="4">
        <f t="shared" si="4"/>
        <v>44</v>
      </c>
      <c r="N46" s="4">
        <f t="shared" si="5"/>
        <v>161</v>
      </c>
      <c r="O46" s="4">
        <f>SUM($G$3:G46)</f>
        <v>114140</v>
      </c>
    </row>
    <row r="47" spans="1:15" x14ac:dyDescent="0.3">
      <c r="A47" s="1">
        <f t="shared" si="6"/>
        <v>45</v>
      </c>
      <c r="B47" s="4">
        <f t="shared" si="11"/>
        <v>51</v>
      </c>
      <c r="C47" s="8">
        <f t="shared" si="8"/>
        <v>45</v>
      </c>
      <c r="D47" s="4">
        <f t="shared" si="12"/>
        <v>163</v>
      </c>
      <c r="E47" s="4">
        <f t="shared" si="13"/>
        <v>0.2</v>
      </c>
      <c r="F47" s="10">
        <v>0.5</v>
      </c>
      <c r="G47" s="9">
        <f t="shared" si="2"/>
        <v>6990</v>
      </c>
      <c r="H47" s="4">
        <v>1</v>
      </c>
      <c r="J47" s="4"/>
      <c r="K47" s="4">
        <f t="shared" si="1"/>
        <v>6990</v>
      </c>
      <c r="L47" s="4">
        <f t="shared" si="3"/>
        <v>51</v>
      </c>
      <c r="M47" s="4">
        <f t="shared" si="4"/>
        <v>45</v>
      </c>
      <c r="N47" s="4">
        <f t="shared" si="5"/>
        <v>163</v>
      </c>
      <c r="O47" s="4">
        <f>SUM($G$3:G47)</f>
        <v>121130</v>
      </c>
    </row>
    <row r="48" spans="1:15" x14ac:dyDescent="0.3">
      <c r="A48" s="1">
        <f t="shared" si="6"/>
        <v>46</v>
      </c>
      <c r="B48" s="4">
        <f t="shared" si="11"/>
        <v>53</v>
      </c>
      <c r="C48" s="8">
        <f t="shared" si="8"/>
        <v>46</v>
      </c>
      <c r="D48" s="4">
        <f t="shared" si="12"/>
        <v>165</v>
      </c>
      <c r="E48" s="4">
        <f t="shared" si="13"/>
        <v>0.2</v>
      </c>
      <c r="F48" s="10">
        <v>0.5</v>
      </c>
      <c r="G48" s="9">
        <f t="shared" si="2"/>
        <v>7290</v>
      </c>
      <c r="H48" s="4">
        <v>1</v>
      </c>
      <c r="J48" s="4"/>
      <c r="K48" s="4">
        <f t="shared" si="1"/>
        <v>7290</v>
      </c>
      <c r="L48" s="4">
        <f t="shared" si="3"/>
        <v>53</v>
      </c>
      <c r="M48" s="4">
        <f t="shared" si="4"/>
        <v>46</v>
      </c>
      <c r="N48" s="4">
        <f t="shared" si="5"/>
        <v>165</v>
      </c>
      <c r="O48" s="4">
        <f>SUM($G$3:G48)</f>
        <v>128420</v>
      </c>
    </row>
    <row r="49" spans="1:15" x14ac:dyDescent="0.3">
      <c r="A49" s="1">
        <f t="shared" si="6"/>
        <v>47</v>
      </c>
      <c r="B49" s="4">
        <f t="shared" si="11"/>
        <v>55</v>
      </c>
      <c r="C49" s="8">
        <f t="shared" si="8"/>
        <v>47</v>
      </c>
      <c r="D49" s="4">
        <f t="shared" si="12"/>
        <v>167</v>
      </c>
      <c r="E49" s="4">
        <f t="shared" si="13"/>
        <v>0.2</v>
      </c>
      <c r="F49" s="10">
        <v>0.5</v>
      </c>
      <c r="G49" s="9">
        <f t="shared" si="2"/>
        <v>7590</v>
      </c>
      <c r="H49" s="4">
        <v>1</v>
      </c>
      <c r="J49" s="4"/>
      <c r="K49" s="4">
        <f t="shared" si="1"/>
        <v>7590</v>
      </c>
      <c r="L49" s="4">
        <f t="shared" si="3"/>
        <v>55</v>
      </c>
      <c r="M49" s="4">
        <f t="shared" si="4"/>
        <v>47</v>
      </c>
      <c r="N49" s="4">
        <f t="shared" si="5"/>
        <v>167</v>
      </c>
      <c r="O49" s="4">
        <f>SUM($G$3:G49)</f>
        <v>136010</v>
      </c>
    </row>
    <row r="50" spans="1:15" x14ac:dyDescent="0.3">
      <c r="A50" s="1">
        <f t="shared" si="6"/>
        <v>48</v>
      </c>
      <c r="B50" s="4">
        <f t="shared" si="11"/>
        <v>57</v>
      </c>
      <c r="C50" s="8">
        <f t="shared" si="8"/>
        <v>48</v>
      </c>
      <c r="D50" s="4">
        <f t="shared" si="12"/>
        <v>169</v>
      </c>
      <c r="E50" s="4">
        <f t="shared" si="13"/>
        <v>0.2</v>
      </c>
      <c r="F50" s="10">
        <v>0.5</v>
      </c>
      <c r="G50" s="9">
        <f t="shared" si="2"/>
        <v>7910</v>
      </c>
      <c r="H50" s="4">
        <v>1</v>
      </c>
      <c r="J50" s="4"/>
      <c r="K50" s="4">
        <f t="shared" si="1"/>
        <v>7910</v>
      </c>
      <c r="L50" s="4">
        <f t="shared" si="3"/>
        <v>57</v>
      </c>
      <c r="M50" s="4">
        <f t="shared" si="4"/>
        <v>48</v>
      </c>
      <c r="N50" s="4">
        <f t="shared" si="5"/>
        <v>169</v>
      </c>
      <c r="O50" s="4">
        <f>SUM($G$3:G50)</f>
        <v>143920</v>
      </c>
    </row>
    <row r="51" spans="1:15" x14ac:dyDescent="0.3">
      <c r="A51" s="1">
        <f t="shared" si="6"/>
        <v>49</v>
      </c>
      <c r="B51" s="4">
        <f t="shared" si="11"/>
        <v>59</v>
      </c>
      <c r="C51" s="8">
        <f t="shared" si="8"/>
        <v>49</v>
      </c>
      <c r="D51" s="4">
        <f t="shared" si="12"/>
        <v>171</v>
      </c>
      <c r="E51" s="4">
        <f t="shared" si="13"/>
        <v>0.2</v>
      </c>
      <c r="F51" s="10">
        <v>0.5</v>
      </c>
      <c r="G51" s="9">
        <f t="shared" si="2"/>
        <v>8220</v>
      </c>
      <c r="H51" s="10">
        <v>1</v>
      </c>
      <c r="J51" s="4"/>
      <c r="K51" s="4">
        <f t="shared" si="1"/>
        <v>8220</v>
      </c>
      <c r="L51" s="4">
        <f t="shared" si="3"/>
        <v>59</v>
      </c>
      <c r="M51" s="4">
        <f t="shared" si="4"/>
        <v>49</v>
      </c>
      <c r="N51" s="4">
        <f t="shared" si="5"/>
        <v>171</v>
      </c>
      <c r="O51" s="4">
        <f>SUM($G$3:G51)</f>
        <v>152140</v>
      </c>
    </row>
    <row r="52" spans="1:15" x14ac:dyDescent="0.3">
      <c r="A52" s="1">
        <f t="shared" si="6"/>
        <v>50</v>
      </c>
      <c r="B52" s="4">
        <f t="shared" si="11"/>
        <v>61</v>
      </c>
      <c r="C52" s="8">
        <f t="shared" si="8"/>
        <v>50</v>
      </c>
      <c r="D52" s="4">
        <f t="shared" si="12"/>
        <v>173</v>
      </c>
      <c r="E52" s="4">
        <f t="shared" si="13"/>
        <v>0.2</v>
      </c>
      <c r="F52" s="10">
        <v>0.5</v>
      </c>
      <c r="G52" s="9">
        <f t="shared" si="2"/>
        <v>8550</v>
      </c>
      <c r="H52" s="10">
        <v>2</v>
      </c>
      <c r="J52" s="4"/>
      <c r="K52" s="4">
        <f t="shared" si="1"/>
        <v>8550</v>
      </c>
      <c r="L52" s="4">
        <f t="shared" si="3"/>
        <v>61</v>
      </c>
      <c r="M52" s="4">
        <f t="shared" si="4"/>
        <v>50</v>
      </c>
      <c r="N52" s="4">
        <f t="shared" si="5"/>
        <v>173</v>
      </c>
      <c r="O52" s="4">
        <f>SUM($G$3:G52)</f>
        <v>160690</v>
      </c>
    </row>
    <row r="53" spans="1:15" x14ac:dyDescent="0.3">
      <c r="A53" s="1">
        <f t="shared" si="6"/>
        <v>51</v>
      </c>
      <c r="B53" s="4">
        <f t="shared" si="11"/>
        <v>63</v>
      </c>
      <c r="C53" s="8">
        <f t="shared" si="8"/>
        <v>51</v>
      </c>
      <c r="D53" s="4">
        <f t="shared" si="12"/>
        <v>175</v>
      </c>
      <c r="E53" s="4">
        <f t="shared" si="13"/>
        <v>0.2</v>
      </c>
      <c r="F53" s="10">
        <v>0.5</v>
      </c>
      <c r="G53" s="9">
        <f t="shared" si="2"/>
        <v>8880</v>
      </c>
      <c r="H53" s="10">
        <v>2</v>
      </c>
      <c r="J53" s="4"/>
      <c r="K53" s="4">
        <f t="shared" si="1"/>
        <v>8880</v>
      </c>
      <c r="L53" s="4">
        <f t="shared" si="3"/>
        <v>63</v>
      </c>
      <c r="M53" s="4">
        <f t="shared" si="4"/>
        <v>51</v>
      </c>
      <c r="N53" s="4">
        <f t="shared" si="5"/>
        <v>175</v>
      </c>
      <c r="O53" s="4">
        <f>SUM($G$3:G53)</f>
        <v>169570</v>
      </c>
    </row>
    <row r="54" spans="1:15" x14ac:dyDescent="0.3">
      <c r="A54" s="1">
        <f t="shared" si="6"/>
        <v>52</v>
      </c>
      <c r="B54" s="4">
        <f t="shared" si="11"/>
        <v>65</v>
      </c>
      <c r="C54" s="8">
        <f t="shared" si="8"/>
        <v>52</v>
      </c>
      <c r="D54" s="4">
        <f t="shared" si="12"/>
        <v>177</v>
      </c>
      <c r="E54" s="4">
        <f t="shared" si="13"/>
        <v>0.2</v>
      </c>
      <c r="F54" s="10">
        <v>0.5</v>
      </c>
      <c r="G54" s="9">
        <f t="shared" si="2"/>
        <v>9220</v>
      </c>
      <c r="H54" s="10">
        <v>2</v>
      </c>
      <c r="J54" s="4"/>
      <c r="K54" s="4">
        <f t="shared" si="1"/>
        <v>9220</v>
      </c>
      <c r="L54" s="4">
        <f t="shared" si="3"/>
        <v>65</v>
      </c>
      <c r="M54" s="4">
        <f t="shared" si="4"/>
        <v>52</v>
      </c>
      <c r="N54" s="4">
        <f t="shared" si="5"/>
        <v>177</v>
      </c>
      <c r="O54" s="4">
        <f>SUM($G$3:G54)</f>
        <v>178790</v>
      </c>
    </row>
    <row r="55" spans="1:15" x14ac:dyDescent="0.3">
      <c r="A55" s="1">
        <f t="shared" si="6"/>
        <v>53</v>
      </c>
      <c r="B55" s="4">
        <f t="shared" si="11"/>
        <v>67</v>
      </c>
      <c r="C55" s="8">
        <f t="shared" si="8"/>
        <v>53</v>
      </c>
      <c r="D55" s="4">
        <f t="shared" si="12"/>
        <v>179</v>
      </c>
      <c r="E55" s="4">
        <f t="shared" si="13"/>
        <v>0.2</v>
      </c>
      <c r="F55" s="10">
        <v>0.5</v>
      </c>
      <c r="G55" s="9">
        <f t="shared" si="2"/>
        <v>9560</v>
      </c>
      <c r="H55" s="10">
        <v>2</v>
      </c>
      <c r="J55" s="4"/>
      <c r="K55" s="4">
        <f t="shared" si="1"/>
        <v>9560</v>
      </c>
      <c r="L55" s="4">
        <f t="shared" si="3"/>
        <v>67</v>
      </c>
      <c r="M55" s="4">
        <f t="shared" si="4"/>
        <v>53</v>
      </c>
      <c r="N55" s="4">
        <f t="shared" si="5"/>
        <v>179</v>
      </c>
      <c r="O55" s="4">
        <f>SUM($G$3:G55)</f>
        <v>188350</v>
      </c>
    </row>
    <row r="56" spans="1:15" x14ac:dyDescent="0.3">
      <c r="A56" s="1">
        <f t="shared" si="6"/>
        <v>54</v>
      </c>
      <c r="B56" s="4">
        <f t="shared" si="11"/>
        <v>69</v>
      </c>
      <c r="C56" s="8">
        <f t="shared" si="8"/>
        <v>54</v>
      </c>
      <c r="D56" s="4">
        <f t="shared" si="12"/>
        <v>181</v>
      </c>
      <c r="E56" s="4">
        <f t="shared" si="13"/>
        <v>0.2</v>
      </c>
      <c r="F56" s="10">
        <v>0.5</v>
      </c>
      <c r="G56" s="9">
        <f t="shared" si="2"/>
        <v>9920</v>
      </c>
      <c r="H56" s="10">
        <v>2</v>
      </c>
      <c r="J56" s="4"/>
      <c r="K56" s="4">
        <f t="shared" si="1"/>
        <v>9920</v>
      </c>
      <c r="L56" s="4">
        <f t="shared" si="3"/>
        <v>69</v>
      </c>
      <c r="M56" s="4">
        <f t="shared" si="4"/>
        <v>54</v>
      </c>
      <c r="N56" s="4">
        <f t="shared" si="5"/>
        <v>181</v>
      </c>
      <c r="O56" s="4">
        <f>SUM($G$3:G56)</f>
        <v>198270</v>
      </c>
    </row>
    <row r="57" spans="1:15" x14ac:dyDescent="0.3">
      <c r="A57" s="1">
        <f t="shared" si="6"/>
        <v>55</v>
      </c>
      <c r="B57" s="4">
        <f t="shared" si="11"/>
        <v>71</v>
      </c>
      <c r="C57" s="8">
        <f t="shared" si="8"/>
        <v>55</v>
      </c>
      <c r="D57" s="4">
        <f t="shared" si="12"/>
        <v>183</v>
      </c>
      <c r="E57" s="4">
        <f t="shared" si="13"/>
        <v>0.2</v>
      </c>
      <c r="F57" s="10">
        <v>0.5</v>
      </c>
      <c r="G57" s="9">
        <f t="shared" si="2"/>
        <v>10270</v>
      </c>
      <c r="H57" s="10">
        <v>2</v>
      </c>
      <c r="J57" s="4"/>
      <c r="K57" s="4">
        <f t="shared" si="1"/>
        <v>10270</v>
      </c>
      <c r="L57" s="4">
        <f t="shared" si="3"/>
        <v>71</v>
      </c>
      <c r="M57" s="4">
        <f t="shared" si="4"/>
        <v>55</v>
      </c>
      <c r="N57" s="4">
        <f t="shared" si="5"/>
        <v>183</v>
      </c>
      <c r="O57" s="4">
        <f>SUM($G$3:G57)</f>
        <v>208540</v>
      </c>
    </row>
    <row r="58" spans="1:15" x14ac:dyDescent="0.3">
      <c r="A58" s="1">
        <f t="shared" si="6"/>
        <v>56</v>
      </c>
      <c r="B58" s="4">
        <f t="shared" si="11"/>
        <v>73</v>
      </c>
      <c r="C58" s="8">
        <f t="shared" si="8"/>
        <v>56</v>
      </c>
      <c r="D58" s="4">
        <f t="shared" si="12"/>
        <v>185</v>
      </c>
      <c r="E58" s="4">
        <f t="shared" si="13"/>
        <v>0.2</v>
      </c>
      <c r="F58" s="10">
        <v>0.5</v>
      </c>
      <c r="G58" s="9">
        <f t="shared" si="2"/>
        <v>10640</v>
      </c>
      <c r="H58" s="10">
        <v>2</v>
      </c>
      <c r="J58" s="4"/>
      <c r="K58" s="4">
        <f t="shared" si="1"/>
        <v>10640</v>
      </c>
      <c r="L58" s="4">
        <f t="shared" si="3"/>
        <v>73</v>
      </c>
      <c r="M58" s="4">
        <f t="shared" si="4"/>
        <v>56</v>
      </c>
      <c r="N58" s="4">
        <f t="shared" si="5"/>
        <v>185</v>
      </c>
      <c r="O58" s="4">
        <f>SUM($G$3:G58)</f>
        <v>219180</v>
      </c>
    </row>
    <row r="59" spans="1:15" x14ac:dyDescent="0.3">
      <c r="A59" s="1">
        <f t="shared" si="6"/>
        <v>57</v>
      </c>
      <c r="B59" s="4">
        <f t="shared" si="11"/>
        <v>75</v>
      </c>
      <c r="C59" s="8">
        <f t="shared" si="8"/>
        <v>57</v>
      </c>
      <c r="D59" s="4">
        <f t="shared" si="12"/>
        <v>187</v>
      </c>
      <c r="E59" s="4">
        <f t="shared" si="13"/>
        <v>0.2</v>
      </c>
      <c r="F59" s="10">
        <v>0.5</v>
      </c>
      <c r="G59" s="9">
        <f t="shared" si="2"/>
        <v>11010</v>
      </c>
      <c r="H59" s="10">
        <v>2</v>
      </c>
      <c r="J59" s="4"/>
      <c r="K59" s="4">
        <f t="shared" si="1"/>
        <v>11010</v>
      </c>
      <c r="L59" s="4">
        <f t="shared" si="3"/>
        <v>75</v>
      </c>
      <c r="M59" s="4">
        <f t="shared" si="4"/>
        <v>57</v>
      </c>
      <c r="N59" s="4">
        <f t="shared" si="5"/>
        <v>187</v>
      </c>
      <c r="O59" s="4">
        <f>SUM($G$3:G59)</f>
        <v>230190</v>
      </c>
    </row>
    <row r="60" spans="1:15" x14ac:dyDescent="0.3">
      <c r="A60" s="1">
        <f t="shared" si="6"/>
        <v>58</v>
      </c>
      <c r="B60" s="4">
        <f t="shared" si="11"/>
        <v>77</v>
      </c>
      <c r="C60" s="8">
        <f t="shared" si="8"/>
        <v>58</v>
      </c>
      <c r="D60" s="4">
        <f t="shared" si="12"/>
        <v>189</v>
      </c>
      <c r="E60" s="4">
        <f t="shared" si="13"/>
        <v>0.2</v>
      </c>
      <c r="F60" s="10">
        <v>0.5</v>
      </c>
      <c r="G60" s="9">
        <f t="shared" si="2"/>
        <v>11390</v>
      </c>
      <c r="H60" s="10">
        <v>2</v>
      </c>
      <c r="J60" s="4"/>
      <c r="K60" s="4">
        <f t="shared" si="1"/>
        <v>11390</v>
      </c>
      <c r="L60" s="4">
        <f t="shared" si="3"/>
        <v>77</v>
      </c>
      <c r="M60" s="4">
        <f t="shared" si="4"/>
        <v>58</v>
      </c>
      <c r="N60" s="4">
        <f t="shared" si="5"/>
        <v>189</v>
      </c>
      <c r="O60" s="4">
        <f>SUM($G$3:G60)</f>
        <v>241580</v>
      </c>
    </row>
    <row r="61" spans="1:15" x14ac:dyDescent="0.3">
      <c r="A61" s="1">
        <f t="shared" si="6"/>
        <v>59</v>
      </c>
      <c r="B61" s="4">
        <f t="shared" si="11"/>
        <v>79</v>
      </c>
      <c r="C61" s="8">
        <f t="shared" si="8"/>
        <v>59</v>
      </c>
      <c r="D61" s="4">
        <f t="shared" si="12"/>
        <v>191</v>
      </c>
      <c r="E61" s="4">
        <f t="shared" si="13"/>
        <v>0.2</v>
      </c>
      <c r="F61" s="10">
        <v>0.5</v>
      </c>
      <c r="G61" s="9">
        <f t="shared" si="2"/>
        <v>11770</v>
      </c>
      <c r="H61" s="10">
        <v>2</v>
      </c>
      <c r="J61" s="4"/>
      <c r="K61" s="4">
        <f t="shared" si="1"/>
        <v>11770</v>
      </c>
      <c r="L61" s="4">
        <f t="shared" si="3"/>
        <v>79</v>
      </c>
      <c r="M61" s="4">
        <f t="shared" si="4"/>
        <v>59</v>
      </c>
      <c r="N61" s="4">
        <f t="shared" si="5"/>
        <v>191</v>
      </c>
      <c r="O61" s="4">
        <f>SUM($G$3:G61)</f>
        <v>253350</v>
      </c>
    </row>
    <row r="62" spans="1:15" x14ac:dyDescent="0.3">
      <c r="A62" s="1">
        <f t="shared" si="6"/>
        <v>60</v>
      </c>
      <c r="B62" s="4">
        <f t="shared" si="11"/>
        <v>81</v>
      </c>
      <c r="C62" s="8">
        <f t="shared" si="8"/>
        <v>60</v>
      </c>
      <c r="D62" s="4">
        <f>D61+5</f>
        <v>196</v>
      </c>
      <c r="E62" s="4">
        <f t="shared" si="13"/>
        <v>0.30000000000000004</v>
      </c>
      <c r="F62" s="10">
        <v>0.5</v>
      </c>
      <c r="G62" s="9">
        <f t="shared" si="2"/>
        <v>12170</v>
      </c>
      <c r="H62" s="10">
        <v>2</v>
      </c>
      <c r="J62" s="4"/>
      <c r="K62" s="4">
        <f t="shared" si="1"/>
        <v>12170</v>
      </c>
      <c r="L62" s="4">
        <f t="shared" si="3"/>
        <v>81</v>
      </c>
      <c r="M62" s="4">
        <f t="shared" si="4"/>
        <v>60</v>
      </c>
      <c r="N62" s="4">
        <f t="shared" si="5"/>
        <v>196</v>
      </c>
      <c r="O62" s="4">
        <f>SUM($G$3:G62)</f>
        <v>265520</v>
      </c>
    </row>
    <row r="63" spans="1:15" x14ac:dyDescent="0.3">
      <c r="A63" s="1">
        <f t="shared" si="6"/>
        <v>61</v>
      </c>
      <c r="B63" s="4">
        <f t="shared" si="11"/>
        <v>83</v>
      </c>
      <c r="C63" s="8">
        <f t="shared" si="8"/>
        <v>61</v>
      </c>
      <c r="D63" s="4">
        <f t="shared" ref="D63:D81" si="14">D62+5</f>
        <v>201</v>
      </c>
      <c r="E63" s="4">
        <f t="shared" si="13"/>
        <v>0.30000000000000004</v>
      </c>
      <c r="F63" s="10">
        <v>0.6</v>
      </c>
      <c r="G63" s="9">
        <f t="shared" si="2"/>
        <v>12570</v>
      </c>
      <c r="H63" s="10">
        <v>2</v>
      </c>
      <c r="J63" s="4"/>
      <c r="K63" s="4">
        <f t="shared" si="1"/>
        <v>12570</v>
      </c>
      <c r="L63" s="4">
        <f t="shared" si="3"/>
        <v>83</v>
      </c>
      <c r="M63" s="4">
        <f t="shared" si="4"/>
        <v>61</v>
      </c>
      <c r="N63" s="4">
        <f t="shared" si="5"/>
        <v>201</v>
      </c>
      <c r="O63" s="4">
        <f>SUM($G$3:G63)</f>
        <v>278090</v>
      </c>
    </row>
    <row r="64" spans="1:15" x14ac:dyDescent="0.3">
      <c r="A64" s="1">
        <f t="shared" si="6"/>
        <v>62</v>
      </c>
      <c r="B64" s="4">
        <f t="shared" si="11"/>
        <v>85</v>
      </c>
      <c r="C64" s="8">
        <f t="shared" si="8"/>
        <v>62</v>
      </c>
      <c r="D64" s="4">
        <f t="shared" si="14"/>
        <v>206</v>
      </c>
      <c r="E64" s="4">
        <f t="shared" si="13"/>
        <v>0.30000000000000004</v>
      </c>
      <c r="F64" s="10">
        <v>0.6</v>
      </c>
      <c r="G64" s="9">
        <f t="shared" si="2"/>
        <v>12970</v>
      </c>
      <c r="H64" s="10">
        <v>2</v>
      </c>
      <c r="J64" s="4"/>
      <c r="K64" s="4">
        <f t="shared" si="1"/>
        <v>12970</v>
      </c>
      <c r="L64" s="4">
        <f t="shared" si="3"/>
        <v>85</v>
      </c>
      <c r="M64" s="4">
        <f t="shared" si="4"/>
        <v>62</v>
      </c>
      <c r="N64" s="4">
        <f t="shared" si="5"/>
        <v>206</v>
      </c>
      <c r="O64" s="4">
        <f>SUM($G$3:G64)</f>
        <v>291060</v>
      </c>
    </row>
    <row r="65" spans="1:15" x14ac:dyDescent="0.3">
      <c r="A65" s="1">
        <f t="shared" si="6"/>
        <v>63</v>
      </c>
      <c r="B65" s="4">
        <f t="shared" si="11"/>
        <v>87</v>
      </c>
      <c r="C65" s="8">
        <f t="shared" si="8"/>
        <v>63</v>
      </c>
      <c r="D65" s="4">
        <f t="shared" si="14"/>
        <v>211</v>
      </c>
      <c r="E65" s="4">
        <f t="shared" si="13"/>
        <v>0.30000000000000004</v>
      </c>
      <c r="F65" s="10">
        <v>0.6</v>
      </c>
      <c r="G65" s="9">
        <f t="shared" si="2"/>
        <v>13380</v>
      </c>
      <c r="H65" s="10">
        <v>2</v>
      </c>
      <c r="J65" s="4"/>
      <c r="K65" s="4">
        <f t="shared" si="1"/>
        <v>13380</v>
      </c>
      <c r="L65" s="4">
        <f t="shared" si="3"/>
        <v>87</v>
      </c>
      <c r="M65" s="4">
        <f t="shared" si="4"/>
        <v>63</v>
      </c>
      <c r="N65" s="4">
        <f t="shared" si="5"/>
        <v>211</v>
      </c>
      <c r="O65" s="4">
        <f>SUM($G$3:G65)</f>
        <v>304440</v>
      </c>
    </row>
    <row r="66" spans="1:15" x14ac:dyDescent="0.3">
      <c r="A66" s="1">
        <f t="shared" si="6"/>
        <v>64</v>
      </c>
      <c r="B66" s="4">
        <f t="shared" si="11"/>
        <v>89</v>
      </c>
      <c r="C66" s="8">
        <f t="shared" si="8"/>
        <v>64</v>
      </c>
      <c r="D66" s="4">
        <f t="shared" si="14"/>
        <v>216</v>
      </c>
      <c r="E66" s="4">
        <f t="shared" si="13"/>
        <v>0.30000000000000004</v>
      </c>
      <c r="F66" s="10">
        <v>0.6</v>
      </c>
      <c r="G66" s="9">
        <f t="shared" si="2"/>
        <v>13800</v>
      </c>
      <c r="H66" s="10">
        <v>2</v>
      </c>
      <c r="J66" s="4"/>
      <c r="K66" s="4">
        <f t="shared" si="1"/>
        <v>13800</v>
      </c>
      <c r="L66" s="4">
        <f t="shared" si="3"/>
        <v>89</v>
      </c>
      <c r="M66" s="4">
        <f t="shared" si="4"/>
        <v>64</v>
      </c>
      <c r="N66" s="4">
        <f t="shared" si="5"/>
        <v>216</v>
      </c>
      <c r="O66" s="4">
        <f>SUM($G$3:G66)</f>
        <v>318240</v>
      </c>
    </row>
    <row r="67" spans="1:15" x14ac:dyDescent="0.3">
      <c r="A67" s="1">
        <f t="shared" si="6"/>
        <v>65</v>
      </c>
      <c r="B67" s="4">
        <f t="shared" si="11"/>
        <v>91</v>
      </c>
      <c r="C67" s="8">
        <f t="shared" si="8"/>
        <v>65</v>
      </c>
      <c r="D67" s="4">
        <f t="shared" si="14"/>
        <v>221</v>
      </c>
      <c r="E67" s="4">
        <f t="shared" si="13"/>
        <v>0.30000000000000004</v>
      </c>
      <c r="F67" s="10">
        <v>0.6</v>
      </c>
      <c r="G67" s="9">
        <f t="shared" si="2"/>
        <v>14230</v>
      </c>
      <c r="H67" s="10">
        <v>2</v>
      </c>
      <c r="J67" s="4"/>
      <c r="K67" s="4">
        <f t="shared" si="1"/>
        <v>14230</v>
      </c>
      <c r="L67" s="4">
        <f t="shared" si="3"/>
        <v>91</v>
      </c>
      <c r="M67" s="4">
        <f t="shared" si="4"/>
        <v>65</v>
      </c>
      <c r="N67" s="4">
        <f t="shared" si="5"/>
        <v>221</v>
      </c>
      <c r="O67" s="4">
        <f>SUM($G$3:G67)</f>
        <v>332470</v>
      </c>
    </row>
    <row r="68" spans="1:15" x14ac:dyDescent="0.3">
      <c r="A68" s="1">
        <f t="shared" si="6"/>
        <v>66</v>
      </c>
      <c r="B68" s="4">
        <f t="shared" si="11"/>
        <v>93</v>
      </c>
      <c r="C68" s="8">
        <f t="shared" si="8"/>
        <v>66</v>
      </c>
      <c r="D68" s="4">
        <f t="shared" si="14"/>
        <v>226</v>
      </c>
      <c r="E68" s="4">
        <f t="shared" si="13"/>
        <v>0.30000000000000004</v>
      </c>
      <c r="F68" s="10">
        <v>0.6</v>
      </c>
      <c r="G68" s="9">
        <f t="shared" ref="G68:G131" si="15">ROUNDUP(500 + (300000-500) * ((A68-1)/(300-1))^2, -1)</f>
        <v>14660</v>
      </c>
      <c r="H68" s="10">
        <v>2</v>
      </c>
      <c r="J68" s="4"/>
      <c r="K68" s="4">
        <f t="shared" ref="K68:K131" si="16">G68</f>
        <v>14660</v>
      </c>
      <c r="L68" s="4">
        <f t="shared" ref="L68:L131" si="17">B68</f>
        <v>93</v>
      </c>
      <c r="M68" s="4">
        <f t="shared" ref="M68:M131" si="18">C68</f>
        <v>66</v>
      </c>
      <c r="N68" s="4">
        <f t="shared" ref="N68:N131" si="19">D68</f>
        <v>226</v>
      </c>
      <c r="O68" s="4">
        <f>SUM($G$3:G68)</f>
        <v>347130</v>
      </c>
    </row>
    <row r="69" spans="1:15" x14ac:dyDescent="0.3">
      <c r="A69" s="1">
        <f t="shared" ref="A69:A132" si="20">A68+1</f>
        <v>67</v>
      </c>
      <c r="B69" s="4">
        <f t="shared" si="11"/>
        <v>95</v>
      </c>
      <c r="C69" s="8">
        <f t="shared" si="8"/>
        <v>67</v>
      </c>
      <c r="D69" s="4">
        <f t="shared" si="14"/>
        <v>231</v>
      </c>
      <c r="E69" s="4">
        <f t="shared" si="13"/>
        <v>0.30000000000000004</v>
      </c>
      <c r="F69" s="10">
        <v>0.6</v>
      </c>
      <c r="G69" s="9">
        <f t="shared" si="15"/>
        <v>15100</v>
      </c>
      <c r="H69" s="10">
        <v>2</v>
      </c>
      <c r="J69" s="4"/>
      <c r="K69" s="4">
        <f t="shared" si="16"/>
        <v>15100</v>
      </c>
      <c r="L69" s="4">
        <f t="shared" si="17"/>
        <v>95</v>
      </c>
      <c r="M69" s="4">
        <f t="shared" si="18"/>
        <v>67</v>
      </c>
      <c r="N69" s="4">
        <f t="shared" si="19"/>
        <v>231</v>
      </c>
      <c r="O69" s="4">
        <f>SUM($G$3:G69)</f>
        <v>362230</v>
      </c>
    </row>
    <row r="70" spans="1:15" x14ac:dyDescent="0.3">
      <c r="A70" s="1">
        <f t="shared" si="20"/>
        <v>68</v>
      </c>
      <c r="B70" s="4">
        <f t="shared" si="11"/>
        <v>97</v>
      </c>
      <c r="C70" s="8">
        <f t="shared" si="8"/>
        <v>68</v>
      </c>
      <c r="D70" s="4">
        <f t="shared" si="14"/>
        <v>236</v>
      </c>
      <c r="E70" s="4">
        <f t="shared" si="13"/>
        <v>0.30000000000000004</v>
      </c>
      <c r="F70" s="10">
        <v>0.6</v>
      </c>
      <c r="G70" s="9">
        <f t="shared" si="15"/>
        <v>15540</v>
      </c>
      <c r="H70" s="10">
        <v>2</v>
      </c>
      <c r="J70" s="4"/>
      <c r="K70" s="4">
        <f t="shared" si="16"/>
        <v>15540</v>
      </c>
      <c r="L70" s="4">
        <f t="shared" si="17"/>
        <v>97</v>
      </c>
      <c r="M70" s="4">
        <f t="shared" si="18"/>
        <v>68</v>
      </c>
      <c r="N70" s="4">
        <f t="shared" si="19"/>
        <v>236</v>
      </c>
      <c r="O70" s="4">
        <f>SUM($G$3:G70)</f>
        <v>377770</v>
      </c>
    </row>
    <row r="71" spans="1:15" x14ac:dyDescent="0.3">
      <c r="A71" s="1">
        <f t="shared" si="20"/>
        <v>69</v>
      </c>
      <c r="B71" s="4">
        <f t="shared" si="11"/>
        <v>99</v>
      </c>
      <c r="C71" s="8">
        <f t="shared" si="8"/>
        <v>69</v>
      </c>
      <c r="D71" s="4">
        <f t="shared" si="14"/>
        <v>241</v>
      </c>
      <c r="E71" s="4">
        <f t="shared" si="13"/>
        <v>0.30000000000000004</v>
      </c>
      <c r="F71" s="10">
        <v>0.6</v>
      </c>
      <c r="G71" s="9">
        <f t="shared" si="15"/>
        <v>16000</v>
      </c>
      <c r="H71" s="10">
        <v>2</v>
      </c>
      <c r="J71" s="4"/>
      <c r="K71" s="4">
        <f t="shared" si="16"/>
        <v>16000</v>
      </c>
      <c r="L71" s="4">
        <f t="shared" si="17"/>
        <v>99</v>
      </c>
      <c r="M71" s="4">
        <f t="shared" si="18"/>
        <v>69</v>
      </c>
      <c r="N71" s="4">
        <f t="shared" si="19"/>
        <v>241</v>
      </c>
      <c r="O71" s="4">
        <f>SUM($G$3:G71)</f>
        <v>393770</v>
      </c>
    </row>
    <row r="72" spans="1:15" x14ac:dyDescent="0.3">
      <c r="A72" s="1">
        <f t="shared" si="20"/>
        <v>70</v>
      </c>
      <c r="B72" s="4">
        <f t="shared" si="11"/>
        <v>101</v>
      </c>
      <c r="C72" s="8">
        <f t="shared" si="8"/>
        <v>70</v>
      </c>
      <c r="D72" s="4">
        <f t="shared" si="14"/>
        <v>246</v>
      </c>
      <c r="E72" s="4">
        <f t="shared" si="13"/>
        <v>0.30000000000000004</v>
      </c>
      <c r="F72" s="10">
        <v>0.6</v>
      </c>
      <c r="G72" s="9">
        <f t="shared" si="15"/>
        <v>16450</v>
      </c>
      <c r="H72" s="10">
        <v>2</v>
      </c>
      <c r="J72" s="4"/>
      <c r="K72" s="4">
        <f t="shared" si="16"/>
        <v>16450</v>
      </c>
      <c r="L72" s="4">
        <f t="shared" si="17"/>
        <v>101</v>
      </c>
      <c r="M72" s="4">
        <f t="shared" si="18"/>
        <v>70</v>
      </c>
      <c r="N72" s="4">
        <f t="shared" si="19"/>
        <v>246</v>
      </c>
      <c r="O72" s="4">
        <f>SUM($G$3:G72)</f>
        <v>410220</v>
      </c>
    </row>
    <row r="73" spans="1:15" x14ac:dyDescent="0.3">
      <c r="A73" s="1">
        <f t="shared" si="20"/>
        <v>71</v>
      </c>
      <c r="B73" s="4">
        <f t="shared" si="11"/>
        <v>103</v>
      </c>
      <c r="C73" s="8">
        <f t="shared" si="8"/>
        <v>71</v>
      </c>
      <c r="D73" s="4">
        <f t="shared" si="14"/>
        <v>251</v>
      </c>
      <c r="E73" s="4">
        <f t="shared" si="13"/>
        <v>0.30000000000000004</v>
      </c>
      <c r="F73" s="10">
        <v>0.6</v>
      </c>
      <c r="G73" s="9">
        <f t="shared" si="15"/>
        <v>16920</v>
      </c>
      <c r="H73" s="10">
        <v>2</v>
      </c>
      <c r="J73" s="4"/>
      <c r="K73" s="4">
        <f t="shared" si="16"/>
        <v>16920</v>
      </c>
      <c r="L73" s="4">
        <f t="shared" si="17"/>
        <v>103</v>
      </c>
      <c r="M73" s="4">
        <f t="shared" si="18"/>
        <v>71</v>
      </c>
      <c r="N73" s="4">
        <f t="shared" si="19"/>
        <v>251</v>
      </c>
      <c r="O73" s="4">
        <f>SUM($G$3:G73)</f>
        <v>427140</v>
      </c>
    </row>
    <row r="74" spans="1:15" x14ac:dyDescent="0.3">
      <c r="A74" s="1">
        <f t="shared" si="20"/>
        <v>72</v>
      </c>
      <c r="B74" s="4">
        <f t="shared" si="11"/>
        <v>105</v>
      </c>
      <c r="C74" s="8">
        <f t="shared" si="8"/>
        <v>72</v>
      </c>
      <c r="D74" s="4">
        <f t="shared" si="14"/>
        <v>256</v>
      </c>
      <c r="E74" s="4">
        <f t="shared" si="13"/>
        <v>0.30000000000000004</v>
      </c>
      <c r="F74" s="10">
        <v>0.6</v>
      </c>
      <c r="G74" s="9">
        <f t="shared" si="15"/>
        <v>17390</v>
      </c>
      <c r="H74" s="10">
        <v>2</v>
      </c>
      <c r="J74" s="4"/>
      <c r="K74" s="4">
        <f t="shared" si="16"/>
        <v>17390</v>
      </c>
      <c r="L74" s="4">
        <f t="shared" si="17"/>
        <v>105</v>
      </c>
      <c r="M74" s="4">
        <f t="shared" si="18"/>
        <v>72</v>
      </c>
      <c r="N74" s="4">
        <f t="shared" si="19"/>
        <v>256</v>
      </c>
      <c r="O74" s="4">
        <f>SUM($G$3:G74)</f>
        <v>444530</v>
      </c>
    </row>
    <row r="75" spans="1:15" x14ac:dyDescent="0.3">
      <c r="A75" s="1">
        <f t="shared" si="20"/>
        <v>73</v>
      </c>
      <c r="B75" s="4">
        <f t="shared" si="11"/>
        <v>107</v>
      </c>
      <c r="C75" s="8">
        <f t="shared" si="8"/>
        <v>73</v>
      </c>
      <c r="D75" s="4">
        <f t="shared" si="14"/>
        <v>261</v>
      </c>
      <c r="E75" s="4">
        <f t="shared" si="13"/>
        <v>0.30000000000000004</v>
      </c>
      <c r="F75" s="10">
        <v>0.6</v>
      </c>
      <c r="G75" s="9">
        <f t="shared" si="15"/>
        <v>17870</v>
      </c>
      <c r="H75" s="10">
        <v>2</v>
      </c>
      <c r="J75" s="4"/>
      <c r="K75" s="4">
        <f t="shared" si="16"/>
        <v>17870</v>
      </c>
      <c r="L75" s="4">
        <f t="shared" si="17"/>
        <v>107</v>
      </c>
      <c r="M75" s="4">
        <f t="shared" si="18"/>
        <v>73</v>
      </c>
      <c r="N75" s="4">
        <f t="shared" si="19"/>
        <v>261</v>
      </c>
      <c r="O75" s="4">
        <f>SUM($G$3:G75)</f>
        <v>462400</v>
      </c>
    </row>
    <row r="76" spans="1:15" x14ac:dyDescent="0.3">
      <c r="A76" s="1">
        <f t="shared" si="20"/>
        <v>74</v>
      </c>
      <c r="B76" s="4">
        <f t="shared" si="11"/>
        <v>109</v>
      </c>
      <c r="C76" s="8">
        <f t="shared" ref="C76:C139" si="21">C77-1</f>
        <v>74</v>
      </c>
      <c r="D76" s="4">
        <f t="shared" si="14"/>
        <v>266</v>
      </c>
      <c r="E76" s="4">
        <f t="shared" si="13"/>
        <v>0.30000000000000004</v>
      </c>
      <c r="F76" s="10">
        <v>0.6</v>
      </c>
      <c r="G76" s="9">
        <f t="shared" si="15"/>
        <v>18360</v>
      </c>
      <c r="H76" s="10">
        <v>2</v>
      </c>
      <c r="J76" s="4"/>
      <c r="K76" s="4">
        <f t="shared" si="16"/>
        <v>18360</v>
      </c>
      <c r="L76" s="4">
        <f t="shared" si="17"/>
        <v>109</v>
      </c>
      <c r="M76" s="4">
        <f t="shared" si="18"/>
        <v>74</v>
      </c>
      <c r="N76" s="4">
        <f t="shared" si="19"/>
        <v>266</v>
      </c>
      <c r="O76" s="4">
        <f>SUM($G$3:G76)</f>
        <v>480760</v>
      </c>
    </row>
    <row r="77" spans="1:15" x14ac:dyDescent="0.3">
      <c r="A77" s="1">
        <f t="shared" si="20"/>
        <v>75</v>
      </c>
      <c r="B77" s="4">
        <f t="shared" si="11"/>
        <v>111</v>
      </c>
      <c r="C77" s="8">
        <f t="shared" si="21"/>
        <v>75</v>
      </c>
      <c r="D77" s="4">
        <f t="shared" si="14"/>
        <v>271</v>
      </c>
      <c r="E77" s="4">
        <f t="shared" si="13"/>
        <v>0.30000000000000004</v>
      </c>
      <c r="F77" s="10">
        <v>0.6</v>
      </c>
      <c r="G77" s="9">
        <f t="shared" si="15"/>
        <v>18850</v>
      </c>
      <c r="H77" s="10">
        <v>2</v>
      </c>
      <c r="J77" s="4"/>
      <c r="K77" s="4">
        <f t="shared" si="16"/>
        <v>18850</v>
      </c>
      <c r="L77" s="4">
        <f t="shared" si="17"/>
        <v>111</v>
      </c>
      <c r="M77" s="4">
        <f t="shared" si="18"/>
        <v>75</v>
      </c>
      <c r="N77" s="4">
        <f t="shared" si="19"/>
        <v>271</v>
      </c>
      <c r="O77" s="4">
        <f>SUM($G$3:G77)</f>
        <v>499610</v>
      </c>
    </row>
    <row r="78" spans="1:15" x14ac:dyDescent="0.3">
      <c r="A78" s="1">
        <f t="shared" si="20"/>
        <v>76</v>
      </c>
      <c r="B78" s="4">
        <f t="shared" si="11"/>
        <v>113</v>
      </c>
      <c r="C78" s="8">
        <f t="shared" si="21"/>
        <v>76</v>
      </c>
      <c r="D78" s="4">
        <f t="shared" si="14"/>
        <v>276</v>
      </c>
      <c r="E78" s="4">
        <f t="shared" si="13"/>
        <v>0.30000000000000004</v>
      </c>
      <c r="F78" s="10">
        <v>0.6</v>
      </c>
      <c r="G78" s="9">
        <f t="shared" si="15"/>
        <v>19350</v>
      </c>
      <c r="H78" s="10">
        <v>2</v>
      </c>
      <c r="J78" s="4"/>
      <c r="K78" s="4">
        <f t="shared" si="16"/>
        <v>19350</v>
      </c>
      <c r="L78" s="4">
        <f t="shared" si="17"/>
        <v>113</v>
      </c>
      <c r="M78" s="4">
        <f t="shared" si="18"/>
        <v>76</v>
      </c>
      <c r="N78" s="4">
        <f t="shared" si="19"/>
        <v>276</v>
      </c>
      <c r="O78" s="4">
        <f>SUM($G$3:G78)</f>
        <v>518960</v>
      </c>
    </row>
    <row r="79" spans="1:15" x14ac:dyDescent="0.3">
      <c r="A79" s="1">
        <f t="shared" si="20"/>
        <v>77</v>
      </c>
      <c r="B79" s="4">
        <f t="shared" si="11"/>
        <v>115</v>
      </c>
      <c r="C79" s="8">
        <f t="shared" si="21"/>
        <v>77</v>
      </c>
      <c r="D79" s="4">
        <f t="shared" si="14"/>
        <v>281</v>
      </c>
      <c r="E79" s="4">
        <f t="shared" si="13"/>
        <v>0.30000000000000004</v>
      </c>
      <c r="F79" s="10">
        <v>0.6</v>
      </c>
      <c r="G79" s="9">
        <f t="shared" si="15"/>
        <v>19860</v>
      </c>
      <c r="H79" s="10">
        <v>2</v>
      </c>
      <c r="J79" s="4"/>
      <c r="K79" s="4">
        <f t="shared" si="16"/>
        <v>19860</v>
      </c>
      <c r="L79" s="4">
        <f t="shared" si="17"/>
        <v>115</v>
      </c>
      <c r="M79" s="4">
        <f t="shared" si="18"/>
        <v>77</v>
      </c>
      <c r="N79" s="4">
        <f t="shared" si="19"/>
        <v>281</v>
      </c>
      <c r="O79" s="4">
        <f>SUM($G$3:G79)</f>
        <v>538820</v>
      </c>
    </row>
    <row r="80" spans="1:15" x14ac:dyDescent="0.3">
      <c r="A80" s="1">
        <f t="shared" si="20"/>
        <v>78</v>
      </c>
      <c r="B80" s="4">
        <f t="shared" si="11"/>
        <v>117</v>
      </c>
      <c r="C80" s="8">
        <f t="shared" si="21"/>
        <v>78</v>
      </c>
      <c r="D80" s="4">
        <f t="shared" si="14"/>
        <v>286</v>
      </c>
      <c r="E80" s="4">
        <f t="shared" si="13"/>
        <v>0.30000000000000004</v>
      </c>
      <c r="F80" s="10">
        <v>0.6</v>
      </c>
      <c r="G80" s="9">
        <f t="shared" si="15"/>
        <v>20370</v>
      </c>
      <c r="H80" s="10">
        <v>2</v>
      </c>
      <c r="J80" s="4"/>
      <c r="K80" s="4">
        <f t="shared" si="16"/>
        <v>20370</v>
      </c>
      <c r="L80" s="4">
        <f t="shared" si="17"/>
        <v>117</v>
      </c>
      <c r="M80" s="4">
        <f t="shared" si="18"/>
        <v>78</v>
      </c>
      <c r="N80" s="4">
        <f t="shared" si="19"/>
        <v>286</v>
      </c>
      <c r="O80" s="4">
        <f>SUM($G$3:G80)</f>
        <v>559190</v>
      </c>
    </row>
    <row r="81" spans="1:15" x14ac:dyDescent="0.3">
      <c r="A81" s="1">
        <f t="shared" si="20"/>
        <v>79</v>
      </c>
      <c r="B81" s="4">
        <f t="shared" si="11"/>
        <v>119</v>
      </c>
      <c r="C81" s="8">
        <f t="shared" si="21"/>
        <v>79</v>
      </c>
      <c r="D81" s="4">
        <f t="shared" si="14"/>
        <v>291</v>
      </c>
      <c r="E81" s="4">
        <f t="shared" si="13"/>
        <v>0.30000000000000004</v>
      </c>
      <c r="F81" s="10">
        <v>0.6</v>
      </c>
      <c r="G81" s="9">
        <f t="shared" si="15"/>
        <v>20890</v>
      </c>
      <c r="H81" s="10">
        <v>2</v>
      </c>
      <c r="J81" s="4"/>
      <c r="K81" s="4">
        <f t="shared" si="16"/>
        <v>20890</v>
      </c>
      <c r="L81" s="4">
        <f t="shared" si="17"/>
        <v>119</v>
      </c>
      <c r="M81" s="4">
        <f t="shared" si="18"/>
        <v>79</v>
      </c>
      <c r="N81" s="4">
        <f t="shared" si="19"/>
        <v>291</v>
      </c>
      <c r="O81" s="4">
        <f>SUM($G$3:G81)</f>
        <v>580080</v>
      </c>
    </row>
    <row r="82" spans="1:15" x14ac:dyDescent="0.3">
      <c r="A82" s="1">
        <f t="shared" si="20"/>
        <v>80</v>
      </c>
      <c r="B82" s="4">
        <f>B81+3</f>
        <v>122</v>
      </c>
      <c r="C82" s="8">
        <f t="shared" si="21"/>
        <v>80</v>
      </c>
      <c r="D82" s="4">
        <f>D81+4</f>
        <v>295</v>
      </c>
      <c r="E82" s="4">
        <f t="shared" si="13"/>
        <v>0.4</v>
      </c>
      <c r="F82" s="10">
        <v>0.7</v>
      </c>
      <c r="G82" s="9">
        <f t="shared" si="15"/>
        <v>21410</v>
      </c>
      <c r="H82" s="10">
        <v>2</v>
      </c>
      <c r="J82" s="4"/>
      <c r="K82" s="4">
        <f t="shared" si="16"/>
        <v>21410</v>
      </c>
      <c r="L82" s="4">
        <f t="shared" si="17"/>
        <v>122</v>
      </c>
      <c r="M82" s="4">
        <f t="shared" si="18"/>
        <v>80</v>
      </c>
      <c r="N82" s="4">
        <f t="shared" si="19"/>
        <v>295</v>
      </c>
      <c r="O82" s="4">
        <f>SUM($G$3:G82)</f>
        <v>601490</v>
      </c>
    </row>
    <row r="83" spans="1:15" x14ac:dyDescent="0.3">
      <c r="A83" s="1">
        <f t="shared" si="20"/>
        <v>81</v>
      </c>
      <c r="B83" s="4">
        <f t="shared" ref="B83:B101" si="22">B82+3</f>
        <v>125</v>
      </c>
      <c r="C83" s="8">
        <f t="shared" si="21"/>
        <v>81</v>
      </c>
      <c r="D83" s="4">
        <f t="shared" ref="D83:D101" si="23">D82+4</f>
        <v>299</v>
      </c>
      <c r="E83" s="4">
        <f t="shared" si="13"/>
        <v>0.4</v>
      </c>
      <c r="F83" s="10">
        <v>0.7</v>
      </c>
      <c r="G83" s="9">
        <f t="shared" si="15"/>
        <v>21950</v>
      </c>
      <c r="H83" s="10">
        <v>2</v>
      </c>
      <c r="J83" s="4"/>
      <c r="K83" s="4">
        <f t="shared" si="16"/>
        <v>21950</v>
      </c>
      <c r="L83" s="4">
        <f t="shared" si="17"/>
        <v>125</v>
      </c>
      <c r="M83" s="4">
        <f t="shared" si="18"/>
        <v>81</v>
      </c>
      <c r="N83" s="4">
        <f t="shared" si="19"/>
        <v>299</v>
      </c>
      <c r="O83" s="4">
        <f>SUM($G$3:G83)</f>
        <v>623440</v>
      </c>
    </row>
    <row r="84" spans="1:15" x14ac:dyDescent="0.3">
      <c r="A84" s="1">
        <f t="shared" si="20"/>
        <v>82</v>
      </c>
      <c r="B84" s="4">
        <f t="shared" si="22"/>
        <v>128</v>
      </c>
      <c r="C84" s="8">
        <f t="shared" si="21"/>
        <v>82</v>
      </c>
      <c r="D84" s="4">
        <f t="shared" si="23"/>
        <v>303</v>
      </c>
      <c r="E84" s="4">
        <f t="shared" si="13"/>
        <v>0.4</v>
      </c>
      <c r="F84" s="10">
        <v>0.7</v>
      </c>
      <c r="G84" s="9">
        <f t="shared" si="15"/>
        <v>22480</v>
      </c>
      <c r="H84" s="10">
        <v>2</v>
      </c>
      <c r="J84" s="4"/>
      <c r="K84" s="4">
        <f t="shared" si="16"/>
        <v>22480</v>
      </c>
      <c r="L84" s="4">
        <f t="shared" si="17"/>
        <v>128</v>
      </c>
      <c r="M84" s="4">
        <f t="shared" si="18"/>
        <v>82</v>
      </c>
      <c r="N84" s="4">
        <f t="shared" si="19"/>
        <v>303</v>
      </c>
      <c r="O84" s="4">
        <f>SUM($G$3:G84)</f>
        <v>645920</v>
      </c>
    </row>
    <row r="85" spans="1:15" x14ac:dyDescent="0.3">
      <c r="A85" s="1">
        <f t="shared" si="20"/>
        <v>83</v>
      </c>
      <c r="B85" s="4">
        <f t="shared" si="22"/>
        <v>131</v>
      </c>
      <c r="C85" s="8">
        <f t="shared" si="21"/>
        <v>83</v>
      </c>
      <c r="D85" s="4">
        <f t="shared" si="23"/>
        <v>307</v>
      </c>
      <c r="E85" s="4">
        <f t="shared" si="13"/>
        <v>0.4</v>
      </c>
      <c r="F85" s="10">
        <v>0.7</v>
      </c>
      <c r="G85" s="9">
        <f t="shared" si="15"/>
        <v>23030</v>
      </c>
      <c r="H85" s="10">
        <v>2</v>
      </c>
      <c r="J85" s="4"/>
      <c r="K85" s="4">
        <f t="shared" si="16"/>
        <v>23030</v>
      </c>
      <c r="L85" s="4">
        <f t="shared" si="17"/>
        <v>131</v>
      </c>
      <c r="M85" s="4">
        <f t="shared" si="18"/>
        <v>83</v>
      </c>
      <c r="N85" s="4">
        <f t="shared" si="19"/>
        <v>307</v>
      </c>
      <c r="O85" s="4">
        <f>SUM($G$3:G85)</f>
        <v>668950</v>
      </c>
    </row>
    <row r="86" spans="1:15" x14ac:dyDescent="0.3">
      <c r="A86" s="1">
        <f t="shared" si="20"/>
        <v>84</v>
      </c>
      <c r="B86" s="4">
        <f t="shared" si="22"/>
        <v>134</v>
      </c>
      <c r="C86" s="8">
        <f t="shared" si="21"/>
        <v>84</v>
      </c>
      <c r="D86" s="4">
        <f t="shared" si="23"/>
        <v>311</v>
      </c>
      <c r="E86" s="4">
        <f t="shared" si="13"/>
        <v>0.4</v>
      </c>
      <c r="F86" s="10">
        <v>0.7</v>
      </c>
      <c r="G86" s="9">
        <f t="shared" si="15"/>
        <v>23580</v>
      </c>
      <c r="H86" s="10">
        <v>2</v>
      </c>
      <c r="J86" s="4"/>
      <c r="K86" s="4">
        <f t="shared" si="16"/>
        <v>23580</v>
      </c>
      <c r="L86" s="4">
        <f t="shared" si="17"/>
        <v>134</v>
      </c>
      <c r="M86" s="4">
        <f t="shared" si="18"/>
        <v>84</v>
      </c>
      <c r="N86" s="4">
        <f t="shared" si="19"/>
        <v>311</v>
      </c>
      <c r="O86" s="4">
        <f>SUM($G$3:G86)</f>
        <v>692530</v>
      </c>
    </row>
    <row r="87" spans="1:15" x14ac:dyDescent="0.3">
      <c r="A87" s="1">
        <f t="shared" si="20"/>
        <v>85</v>
      </c>
      <c r="B87" s="4">
        <f t="shared" si="22"/>
        <v>137</v>
      </c>
      <c r="C87" s="8">
        <f t="shared" si="21"/>
        <v>85</v>
      </c>
      <c r="D87" s="4">
        <f t="shared" si="23"/>
        <v>315</v>
      </c>
      <c r="E87" s="4">
        <f t="shared" si="13"/>
        <v>0.4</v>
      </c>
      <c r="F87" s="10">
        <v>0.7</v>
      </c>
      <c r="G87" s="9">
        <f t="shared" si="15"/>
        <v>24140</v>
      </c>
      <c r="H87" s="10">
        <v>2</v>
      </c>
      <c r="J87" s="4"/>
      <c r="K87" s="4">
        <f t="shared" si="16"/>
        <v>24140</v>
      </c>
      <c r="L87" s="4">
        <f t="shared" si="17"/>
        <v>137</v>
      </c>
      <c r="M87" s="4">
        <f t="shared" si="18"/>
        <v>85</v>
      </c>
      <c r="N87" s="4">
        <f t="shared" si="19"/>
        <v>315</v>
      </c>
      <c r="O87" s="4">
        <f>SUM($G$3:G87)</f>
        <v>716670</v>
      </c>
    </row>
    <row r="88" spans="1:15" x14ac:dyDescent="0.3">
      <c r="A88" s="1">
        <f t="shared" si="20"/>
        <v>86</v>
      </c>
      <c r="B88" s="4">
        <f t="shared" si="22"/>
        <v>140</v>
      </c>
      <c r="C88" s="8">
        <f t="shared" si="21"/>
        <v>86</v>
      </c>
      <c r="D88" s="4">
        <f t="shared" si="23"/>
        <v>319</v>
      </c>
      <c r="E88" s="4">
        <f t="shared" si="13"/>
        <v>0.4</v>
      </c>
      <c r="F88" s="10">
        <v>0.7</v>
      </c>
      <c r="G88" s="9">
        <f t="shared" si="15"/>
        <v>24710</v>
      </c>
      <c r="H88" s="10">
        <v>2</v>
      </c>
      <c r="J88" s="4"/>
      <c r="K88" s="4">
        <f t="shared" si="16"/>
        <v>24710</v>
      </c>
      <c r="L88" s="4">
        <f t="shared" si="17"/>
        <v>140</v>
      </c>
      <c r="M88" s="4">
        <f t="shared" si="18"/>
        <v>86</v>
      </c>
      <c r="N88" s="4">
        <f t="shared" si="19"/>
        <v>319</v>
      </c>
      <c r="O88" s="4">
        <f>SUM($G$3:G88)</f>
        <v>741380</v>
      </c>
    </row>
    <row r="89" spans="1:15" x14ac:dyDescent="0.3">
      <c r="A89" s="1">
        <f t="shared" si="20"/>
        <v>87</v>
      </c>
      <c r="B89" s="4">
        <f t="shared" si="22"/>
        <v>143</v>
      </c>
      <c r="C89" s="8">
        <f t="shared" si="21"/>
        <v>87</v>
      </c>
      <c r="D89" s="4">
        <f t="shared" si="23"/>
        <v>323</v>
      </c>
      <c r="E89" s="4">
        <f t="shared" si="13"/>
        <v>0.4</v>
      </c>
      <c r="F89" s="10">
        <v>0.7</v>
      </c>
      <c r="G89" s="9">
        <f t="shared" si="15"/>
        <v>25280</v>
      </c>
      <c r="H89" s="10">
        <v>2</v>
      </c>
      <c r="J89" s="4"/>
      <c r="K89" s="4">
        <f t="shared" si="16"/>
        <v>25280</v>
      </c>
      <c r="L89" s="4">
        <f t="shared" si="17"/>
        <v>143</v>
      </c>
      <c r="M89" s="4">
        <f t="shared" si="18"/>
        <v>87</v>
      </c>
      <c r="N89" s="4">
        <f t="shared" si="19"/>
        <v>323</v>
      </c>
      <c r="O89" s="4">
        <f>SUM($G$3:G89)</f>
        <v>766660</v>
      </c>
    </row>
    <row r="90" spans="1:15" x14ac:dyDescent="0.3">
      <c r="A90" s="1">
        <f t="shared" si="20"/>
        <v>88</v>
      </c>
      <c r="B90" s="4">
        <f t="shared" si="22"/>
        <v>146</v>
      </c>
      <c r="C90" s="8">
        <f t="shared" si="21"/>
        <v>88</v>
      </c>
      <c r="D90" s="4">
        <f t="shared" si="23"/>
        <v>327</v>
      </c>
      <c r="E90" s="4">
        <f t="shared" si="13"/>
        <v>0.4</v>
      </c>
      <c r="F90" s="10">
        <v>0.7</v>
      </c>
      <c r="G90" s="9">
        <f t="shared" si="15"/>
        <v>25860</v>
      </c>
      <c r="H90" s="10">
        <v>2</v>
      </c>
      <c r="J90" s="4"/>
      <c r="K90" s="4">
        <f t="shared" si="16"/>
        <v>25860</v>
      </c>
      <c r="L90" s="4">
        <f t="shared" si="17"/>
        <v>146</v>
      </c>
      <c r="M90" s="4">
        <f t="shared" si="18"/>
        <v>88</v>
      </c>
      <c r="N90" s="4">
        <f t="shared" si="19"/>
        <v>327</v>
      </c>
      <c r="O90" s="4">
        <f>SUM($G$3:G90)</f>
        <v>792520</v>
      </c>
    </row>
    <row r="91" spans="1:15" x14ac:dyDescent="0.3">
      <c r="A91" s="1">
        <f t="shared" si="20"/>
        <v>89</v>
      </c>
      <c r="B91" s="4">
        <f t="shared" si="22"/>
        <v>149</v>
      </c>
      <c r="C91" s="8">
        <f t="shared" si="21"/>
        <v>89</v>
      </c>
      <c r="D91" s="4">
        <f t="shared" si="23"/>
        <v>331</v>
      </c>
      <c r="E91" s="4">
        <f t="shared" si="13"/>
        <v>0.4</v>
      </c>
      <c r="F91" s="10">
        <v>0.7</v>
      </c>
      <c r="G91" s="9">
        <f t="shared" si="15"/>
        <v>26450</v>
      </c>
      <c r="H91" s="10">
        <v>2</v>
      </c>
      <c r="J91" s="4"/>
      <c r="K91" s="4">
        <f t="shared" si="16"/>
        <v>26450</v>
      </c>
      <c r="L91" s="4">
        <f t="shared" si="17"/>
        <v>149</v>
      </c>
      <c r="M91" s="4">
        <f t="shared" si="18"/>
        <v>89</v>
      </c>
      <c r="N91" s="4">
        <f t="shared" si="19"/>
        <v>331</v>
      </c>
      <c r="O91" s="4">
        <f>SUM($G$3:G91)</f>
        <v>818970</v>
      </c>
    </row>
    <row r="92" spans="1:15" x14ac:dyDescent="0.3">
      <c r="A92" s="1">
        <f t="shared" si="20"/>
        <v>90</v>
      </c>
      <c r="B92" s="4">
        <f t="shared" si="22"/>
        <v>152</v>
      </c>
      <c r="C92" s="8">
        <f t="shared" si="21"/>
        <v>90</v>
      </c>
      <c r="D92" s="4">
        <f t="shared" si="23"/>
        <v>335</v>
      </c>
      <c r="E92" s="4">
        <f t="shared" si="13"/>
        <v>0.4</v>
      </c>
      <c r="F92" s="10">
        <v>0.7</v>
      </c>
      <c r="G92" s="9">
        <f t="shared" si="15"/>
        <v>27040</v>
      </c>
      <c r="H92" s="10">
        <v>2</v>
      </c>
      <c r="J92" s="4"/>
      <c r="K92" s="4">
        <f t="shared" si="16"/>
        <v>27040</v>
      </c>
      <c r="L92" s="4">
        <f t="shared" si="17"/>
        <v>152</v>
      </c>
      <c r="M92" s="4">
        <f t="shared" si="18"/>
        <v>90</v>
      </c>
      <c r="N92" s="4">
        <f t="shared" si="19"/>
        <v>335</v>
      </c>
      <c r="O92" s="4">
        <f>SUM($G$3:G92)</f>
        <v>846010</v>
      </c>
    </row>
    <row r="93" spans="1:15" x14ac:dyDescent="0.3">
      <c r="A93" s="1">
        <f t="shared" si="20"/>
        <v>91</v>
      </c>
      <c r="B93" s="4">
        <f t="shared" si="22"/>
        <v>155</v>
      </c>
      <c r="C93" s="8">
        <f t="shared" si="21"/>
        <v>91</v>
      </c>
      <c r="D93" s="4">
        <f t="shared" si="23"/>
        <v>339</v>
      </c>
      <c r="E93" s="4">
        <f t="shared" si="13"/>
        <v>0.4</v>
      </c>
      <c r="F93" s="10">
        <v>0.7</v>
      </c>
      <c r="G93" s="9">
        <f t="shared" si="15"/>
        <v>27640</v>
      </c>
      <c r="H93" s="10">
        <v>2</v>
      </c>
      <c r="J93" s="4"/>
      <c r="K93" s="4">
        <f t="shared" si="16"/>
        <v>27640</v>
      </c>
      <c r="L93" s="4">
        <f t="shared" si="17"/>
        <v>155</v>
      </c>
      <c r="M93" s="4">
        <f t="shared" si="18"/>
        <v>91</v>
      </c>
      <c r="N93" s="4">
        <f t="shared" si="19"/>
        <v>339</v>
      </c>
      <c r="O93" s="4">
        <f>SUM($G$3:G93)</f>
        <v>873650</v>
      </c>
    </row>
    <row r="94" spans="1:15" x14ac:dyDescent="0.3">
      <c r="A94" s="1">
        <f t="shared" si="20"/>
        <v>92</v>
      </c>
      <c r="B94" s="4">
        <f t="shared" si="22"/>
        <v>158</v>
      </c>
      <c r="C94" s="8">
        <f t="shared" si="21"/>
        <v>92</v>
      </c>
      <c r="D94" s="4">
        <f t="shared" si="23"/>
        <v>343</v>
      </c>
      <c r="E94" s="4">
        <f t="shared" si="13"/>
        <v>0.4</v>
      </c>
      <c r="F94" s="10">
        <v>0.7</v>
      </c>
      <c r="G94" s="9">
        <f t="shared" si="15"/>
        <v>28250</v>
      </c>
      <c r="H94" s="10">
        <v>2</v>
      </c>
      <c r="J94" s="4"/>
      <c r="K94" s="4">
        <f t="shared" si="16"/>
        <v>28250</v>
      </c>
      <c r="L94" s="4">
        <f t="shared" si="17"/>
        <v>158</v>
      </c>
      <c r="M94" s="4">
        <f t="shared" si="18"/>
        <v>92</v>
      </c>
      <c r="N94" s="4">
        <f t="shared" si="19"/>
        <v>343</v>
      </c>
      <c r="O94" s="4">
        <f>SUM($G$3:G94)</f>
        <v>901900</v>
      </c>
    </row>
    <row r="95" spans="1:15" x14ac:dyDescent="0.3">
      <c r="A95" s="1">
        <f t="shared" si="20"/>
        <v>93</v>
      </c>
      <c r="B95" s="4">
        <f t="shared" si="22"/>
        <v>161</v>
      </c>
      <c r="C95" s="8">
        <f t="shared" si="21"/>
        <v>93</v>
      </c>
      <c r="D95" s="4">
        <f t="shared" si="23"/>
        <v>347</v>
      </c>
      <c r="E95" s="4">
        <f t="shared" si="13"/>
        <v>0.4</v>
      </c>
      <c r="F95" s="10">
        <v>0.7</v>
      </c>
      <c r="G95" s="9">
        <f t="shared" si="15"/>
        <v>28860</v>
      </c>
      <c r="H95" s="10">
        <v>2</v>
      </c>
      <c r="J95" s="4"/>
      <c r="K95" s="4">
        <f t="shared" si="16"/>
        <v>28860</v>
      </c>
      <c r="L95" s="4">
        <f t="shared" si="17"/>
        <v>161</v>
      </c>
      <c r="M95" s="4">
        <f t="shared" si="18"/>
        <v>93</v>
      </c>
      <c r="N95" s="4">
        <f t="shared" si="19"/>
        <v>347</v>
      </c>
      <c r="O95" s="4">
        <f>SUM($G$3:G95)</f>
        <v>930760</v>
      </c>
    </row>
    <row r="96" spans="1:15" x14ac:dyDescent="0.3">
      <c r="A96" s="1">
        <f t="shared" si="20"/>
        <v>94</v>
      </c>
      <c r="B96" s="4">
        <f t="shared" si="22"/>
        <v>164</v>
      </c>
      <c r="C96" s="8">
        <f t="shared" si="21"/>
        <v>94</v>
      </c>
      <c r="D96" s="4">
        <f t="shared" si="23"/>
        <v>351</v>
      </c>
      <c r="E96" s="4">
        <f t="shared" si="13"/>
        <v>0.4</v>
      </c>
      <c r="F96" s="10">
        <v>0.7</v>
      </c>
      <c r="G96" s="9">
        <f t="shared" si="15"/>
        <v>29480</v>
      </c>
      <c r="H96" s="10">
        <v>2</v>
      </c>
      <c r="J96" s="4"/>
      <c r="K96" s="4">
        <f t="shared" si="16"/>
        <v>29480</v>
      </c>
      <c r="L96" s="4">
        <f t="shared" si="17"/>
        <v>164</v>
      </c>
      <c r="M96" s="4">
        <f t="shared" si="18"/>
        <v>94</v>
      </c>
      <c r="N96" s="4">
        <f t="shared" si="19"/>
        <v>351</v>
      </c>
      <c r="O96" s="4">
        <f>SUM($G$3:G96)</f>
        <v>960240</v>
      </c>
    </row>
    <row r="97" spans="1:15" x14ac:dyDescent="0.3">
      <c r="A97" s="1">
        <f t="shared" si="20"/>
        <v>95</v>
      </c>
      <c r="B97" s="4">
        <f t="shared" si="22"/>
        <v>167</v>
      </c>
      <c r="C97" s="8">
        <f t="shared" si="21"/>
        <v>95</v>
      </c>
      <c r="D97" s="4">
        <f t="shared" si="23"/>
        <v>355</v>
      </c>
      <c r="E97" s="4">
        <f t="shared" si="13"/>
        <v>0.4</v>
      </c>
      <c r="F97" s="10">
        <v>0.7</v>
      </c>
      <c r="G97" s="9">
        <f t="shared" si="15"/>
        <v>30110</v>
      </c>
      <c r="H97" s="10">
        <v>2</v>
      </c>
      <c r="J97" s="4"/>
      <c r="K97" s="4">
        <f t="shared" si="16"/>
        <v>30110</v>
      </c>
      <c r="L97" s="4">
        <f t="shared" si="17"/>
        <v>167</v>
      </c>
      <c r="M97" s="4">
        <f t="shared" si="18"/>
        <v>95</v>
      </c>
      <c r="N97" s="4">
        <f t="shared" si="19"/>
        <v>355</v>
      </c>
      <c r="O97" s="4">
        <f>SUM($G$3:G97)</f>
        <v>990350</v>
      </c>
    </row>
    <row r="98" spans="1:15" x14ac:dyDescent="0.3">
      <c r="A98" s="1">
        <f t="shared" si="20"/>
        <v>96</v>
      </c>
      <c r="B98" s="4">
        <f t="shared" si="22"/>
        <v>170</v>
      </c>
      <c r="C98" s="8">
        <f t="shared" si="21"/>
        <v>96</v>
      </c>
      <c r="D98" s="4">
        <f t="shared" si="23"/>
        <v>359</v>
      </c>
      <c r="E98" s="4">
        <f t="shared" si="13"/>
        <v>0.4</v>
      </c>
      <c r="F98" s="10">
        <v>0.7</v>
      </c>
      <c r="G98" s="9">
        <f t="shared" si="15"/>
        <v>30740</v>
      </c>
      <c r="H98" s="10">
        <v>2</v>
      </c>
      <c r="J98" s="4"/>
      <c r="K98" s="4">
        <f t="shared" si="16"/>
        <v>30740</v>
      </c>
      <c r="L98" s="4">
        <f t="shared" si="17"/>
        <v>170</v>
      </c>
      <c r="M98" s="4">
        <f t="shared" si="18"/>
        <v>96</v>
      </c>
      <c r="N98" s="4">
        <f t="shared" si="19"/>
        <v>359</v>
      </c>
      <c r="O98" s="4">
        <f>SUM($G$3:G98)</f>
        <v>1021090</v>
      </c>
    </row>
    <row r="99" spans="1:15" x14ac:dyDescent="0.3">
      <c r="A99" s="1">
        <f t="shared" si="20"/>
        <v>97</v>
      </c>
      <c r="B99" s="4">
        <f t="shared" si="22"/>
        <v>173</v>
      </c>
      <c r="C99" s="8">
        <f t="shared" si="21"/>
        <v>97</v>
      </c>
      <c r="D99" s="4">
        <f t="shared" si="23"/>
        <v>363</v>
      </c>
      <c r="E99" s="4">
        <f t="shared" si="13"/>
        <v>0.4</v>
      </c>
      <c r="F99" s="10">
        <v>0.7</v>
      </c>
      <c r="G99" s="9">
        <f t="shared" si="15"/>
        <v>31380</v>
      </c>
      <c r="H99" s="10">
        <v>2</v>
      </c>
      <c r="J99" s="4"/>
      <c r="K99" s="4">
        <f t="shared" si="16"/>
        <v>31380</v>
      </c>
      <c r="L99" s="4">
        <f t="shared" si="17"/>
        <v>173</v>
      </c>
      <c r="M99" s="4">
        <f t="shared" si="18"/>
        <v>97</v>
      </c>
      <c r="N99" s="4">
        <f t="shared" si="19"/>
        <v>363</v>
      </c>
      <c r="O99" s="4">
        <f>SUM($G$3:G99)</f>
        <v>1052470</v>
      </c>
    </row>
    <row r="100" spans="1:15" x14ac:dyDescent="0.3">
      <c r="A100" s="1">
        <f t="shared" si="20"/>
        <v>98</v>
      </c>
      <c r="B100" s="4">
        <f t="shared" si="22"/>
        <v>176</v>
      </c>
      <c r="C100" s="8">
        <f t="shared" si="21"/>
        <v>98</v>
      </c>
      <c r="D100" s="4">
        <f t="shared" si="23"/>
        <v>367</v>
      </c>
      <c r="E100" s="4">
        <f t="shared" si="13"/>
        <v>0.4</v>
      </c>
      <c r="F100" s="10">
        <v>0.7</v>
      </c>
      <c r="G100" s="9">
        <f t="shared" si="15"/>
        <v>32030</v>
      </c>
      <c r="H100" s="10">
        <v>2</v>
      </c>
      <c r="J100" s="4"/>
      <c r="K100" s="4">
        <f t="shared" si="16"/>
        <v>32030</v>
      </c>
      <c r="L100" s="4">
        <f t="shared" si="17"/>
        <v>176</v>
      </c>
      <c r="M100" s="4">
        <f t="shared" si="18"/>
        <v>98</v>
      </c>
      <c r="N100" s="4">
        <f t="shared" si="19"/>
        <v>367</v>
      </c>
      <c r="O100" s="4">
        <f>SUM($G$3:G100)</f>
        <v>1084500</v>
      </c>
    </row>
    <row r="101" spans="1:15" x14ac:dyDescent="0.3">
      <c r="A101" s="1">
        <f t="shared" si="20"/>
        <v>99</v>
      </c>
      <c r="B101" s="4">
        <f t="shared" si="22"/>
        <v>179</v>
      </c>
      <c r="C101" s="8">
        <f t="shared" si="21"/>
        <v>99</v>
      </c>
      <c r="D101" s="4">
        <f t="shared" si="23"/>
        <v>371</v>
      </c>
      <c r="E101" s="4">
        <f t="shared" si="13"/>
        <v>0.4</v>
      </c>
      <c r="F101" s="10">
        <v>0.7</v>
      </c>
      <c r="G101" s="9">
        <f t="shared" si="15"/>
        <v>32680</v>
      </c>
      <c r="H101" s="10">
        <v>2</v>
      </c>
      <c r="J101" s="4"/>
      <c r="K101" s="4">
        <f t="shared" si="16"/>
        <v>32680</v>
      </c>
      <c r="L101" s="4">
        <f t="shared" si="17"/>
        <v>179</v>
      </c>
      <c r="M101" s="4">
        <f t="shared" si="18"/>
        <v>99</v>
      </c>
      <c r="N101" s="4">
        <f t="shared" si="19"/>
        <v>371</v>
      </c>
      <c r="O101" s="4">
        <f>SUM($G$3:G101)</f>
        <v>1117180</v>
      </c>
    </row>
    <row r="102" spans="1:15" x14ac:dyDescent="0.3">
      <c r="A102" s="5">
        <f t="shared" si="20"/>
        <v>100</v>
      </c>
      <c r="B102" s="4">
        <f>B101+5</f>
        <v>184</v>
      </c>
      <c r="C102" s="8">
        <f t="shared" si="21"/>
        <v>100</v>
      </c>
      <c r="D102" s="4">
        <f>D101+3</f>
        <v>374</v>
      </c>
      <c r="E102" s="4">
        <f t="shared" si="13"/>
        <v>0.5</v>
      </c>
      <c r="F102" s="4">
        <f>F82+0.1</f>
        <v>0.79999999999999993</v>
      </c>
      <c r="G102" s="9">
        <f t="shared" si="15"/>
        <v>33340</v>
      </c>
      <c r="H102" s="10">
        <v>3</v>
      </c>
      <c r="J102" s="4"/>
      <c r="K102" s="4">
        <f t="shared" si="16"/>
        <v>33340</v>
      </c>
      <c r="L102" s="4">
        <f t="shared" si="17"/>
        <v>184</v>
      </c>
      <c r="M102" s="4">
        <f t="shared" si="18"/>
        <v>100</v>
      </c>
      <c r="N102" s="4">
        <f t="shared" si="19"/>
        <v>374</v>
      </c>
      <c r="O102" s="4">
        <f>SUM($G$3:G102)</f>
        <v>1150520</v>
      </c>
    </row>
    <row r="103" spans="1:15" x14ac:dyDescent="0.3">
      <c r="A103" s="5">
        <f t="shared" si="20"/>
        <v>101</v>
      </c>
      <c r="B103" s="4">
        <f t="shared" ref="B103:B112" si="24">B102+5</f>
        <v>189</v>
      </c>
      <c r="C103" s="8">
        <f t="shared" si="21"/>
        <v>101</v>
      </c>
      <c r="D103" s="4">
        <f t="shared" ref="D103:D121" si="25">D102+3</f>
        <v>377</v>
      </c>
      <c r="E103" s="4">
        <f t="shared" si="13"/>
        <v>0.5</v>
      </c>
      <c r="F103" s="4">
        <f t="shared" si="13"/>
        <v>0.79999999999999993</v>
      </c>
      <c r="G103" s="9">
        <f t="shared" si="15"/>
        <v>34010</v>
      </c>
      <c r="H103" s="10">
        <v>3</v>
      </c>
      <c r="K103" s="4">
        <f t="shared" si="16"/>
        <v>34010</v>
      </c>
      <c r="L103" s="4">
        <f t="shared" si="17"/>
        <v>189</v>
      </c>
      <c r="M103" s="4">
        <f t="shared" si="18"/>
        <v>101</v>
      </c>
      <c r="N103" s="4">
        <f t="shared" si="19"/>
        <v>377</v>
      </c>
      <c r="O103" s="4">
        <f>SUM($G$3:G103)</f>
        <v>1184530</v>
      </c>
    </row>
    <row r="104" spans="1:15" x14ac:dyDescent="0.3">
      <c r="A104" s="5">
        <f t="shared" si="20"/>
        <v>102</v>
      </c>
      <c r="B104" s="4">
        <f t="shared" si="24"/>
        <v>194</v>
      </c>
      <c r="C104" s="8">
        <f t="shared" si="21"/>
        <v>102</v>
      </c>
      <c r="D104" s="4">
        <f t="shared" si="25"/>
        <v>380</v>
      </c>
      <c r="E104" s="4">
        <f t="shared" si="13"/>
        <v>0.5</v>
      </c>
      <c r="F104" s="4">
        <f t="shared" si="13"/>
        <v>0.79999999999999993</v>
      </c>
      <c r="G104" s="9">
        <f t="shared" si="15"/>
        <v>34680</v>
      </c>
      <c r="H104" s="10">
        <v>3</v>
      </c>
      <c r="K104" s="4">
        <f t="shared" si="16"/>
        <v>34680</v>
      </c>
      <c r="L104" s="4">
        <f t="shared" si="17"/>
        <v>194</v>
      </c>
      <c r="M104" s="4">
        <f t="shared" si="18"/>
        <v>102</v>
      </c>
      <c r="N104" s="4">
        <f t="shared" si="19"/>
        <v>380</v>
      </c>
      <c r="O104" s="4">
        <f>SUM($G$3:G104)</f>
        <v>1219210</v>
      </c>
    </row>
    <row r="105" spans="1:15" x14ac:dyDescent="0.3">
      <c r="A105" s="5">
        <f t="shared" si="20"/>
        <v>103</v>
      </c>
      <c r="B105" s="4">
        <f t="shared" si="24"/>
        <v>199</v>
      </c>
      <c r="C105" s="8">
        <f t="shared" si="21"/>
        <v>103</v>
      </c>
      <c r="D105" s="4">
        <f t="shared" si="25"/>
        <v>383</v>
      </c>
      <c r="E105" s="4">
        <f t="shared" si="13"/>
        <v>0.5</v>
      </c>
      <c r="F105" s="4">
        <f t="shared" si="13"/>
        <v>0.79999999999999993</v>
      </c>
      <c r="G105" s="9">
        <f t="shared" si="15"/>
        <v>35360</v>
      </c>
      <c r="H105" s="10">
        <v>3</v>
      </c>
      <c r="K105" s="4">
        <f t="shared" si="16"/>
        <v>35360</v>
      </c>
      <c r="L105" s="4">
        <f t="shared" si="17"/>
        <v>199</v>
      </c>
      <c r="M105" s="4">
        <f t="shared" si="18"/>
        <v>103</v>
      </c>
      <c r="N105" s="4">
        <f t="shared" si="19"/>
        <v>383</v>
      </c>
      <c r="O105" s="4">
        <f>SUM($G$3:G105)</f>
        <v>1254570</v>
      </c>
    </row>
    <row r="106" spans="1:15" x14ac:dyDescent="0.3">
      <c r="A106" s="5">
        <f t="shared" si="20"/>
        <v>104</v>
      </c>
      <c r="B106" s="4">
        <f t="shared" si="24"/>
        <v>204</v>
      </c>
      <c r="C106" s="8">
        <f t="shared" si="21"/>
        <v>104</v>
      </c>
      <c r="D106" s="4">
        <f t="shared" si="25"/>
        <v>386</v>
      </c>
      <c r="E106" s="4">
        <f t="shared" si="13"/>
        <v>0.5</v>
      </c>
      <c r="F106" s="4">
        <f t="shared" si="13"/>
        <v>0.79999999999999993</v>
      </c>
      <c r="G106" s="9">
        <f t="shared" si="15"/>
        <v>36050</v>
      </c>
      <c r="H106" s="10">
        <v>3</v>
      </c>
      <c r="K106" s="4">
        <f t="shared" si="16"/>
        <v>36050</v>
      </c>
      <c r="L106" s="4">
        <f t="shared" si="17"/>
        <v>204</v>
      </c>
      <c r="M106" s="4">
        <f t="shared" si="18"/>
        <v>104</v>
      </c>
      <c r="N106" s="4">
        <f t="shared" si="19"/>
        <v>386</v>
      </c>
      <c r="O106" s="4">
        <f>SUM($G$3:G106)</f>
        <v>1290620</v>
      </c>
    </row>
    <row r="107" spans="1:15" x14ac:dyDescent="0.3">
      <c r="A107" s="5">
        <f t="shared" si="20"/>
        <v>105</v>
      </c>
      <c r="B107" s="4">
        <f t="shared" si="24"/>
        <v>209</v>
      </c>
      <c r="C107" s="8">
        <f t="shared" si="21"/>
        <v>105</v>
      </c>
      <c r="D107" s="4">
        <f t="shared" si="25"/>
        <v>389</v>
      </c>
      <c r="E107" s="4">
        <f t="shared" ref="E107:F141" si="26">E87+0.1</f>
        <v>0.5</v>
      </c>
      <c r="F107" s="4">
        <f t="shared" si="26"/>
        <v>0.79999999999999993</v>
      </c>
      <c r="G107" s="9">
        <f t="shared" si="15"/>
        <v>36740</v>
      </c>
      <c r="H107" s="10">
        <v>3</v>
      </c>
      <c r="K107" s="4">
        <f t="shared" si="16"/>
        <v>36740</v>
      </c>
      <c r="L107" s="4">
        <f t="shared" si="17"/>
        <v>209</v>
      </c>
      <c r="M107" s="4">
        <f t="shared" si="18"/>
        <v>105</v>
      </c>
      <c r="N107" s="4">
        <f t="shared" si="19"/>
        <v>389</v>
      </c>
      <c r="O107" s="4">
        <f>SUM($G$3:G107)</f>
        <v>1327360</v>
      </c>
    </row>
    <row r="108" spans="1:15" x14ac:dyDescent="0.3">
      <c r="A108" s="5">
        <f t="shared" si="20"/>
        <v>106</v>
      </c>
      <c r="B108" s="4">
        <f t="shared" si="24"/>
        <v>214</v>
      </c>
      <c r="C108" s="8">
        <f t="shared" si="21"/>
        <v>106</v>
      </c>
      <c r="D108" s="4">
        <f t="shared" si="25"/>
        <v>392</v>
      </c>
      <c r="E108" s="4">
        <f t="shared" si="26"/>
        <v>0.5</v>
      </c>
      <c r="F108" s="4">
        <f t="shared" si="26"/>
        <v>0.79999999999999993</v>
      </c>
      <c r="G108" s="9">
        <f t="shared" si="15"/>
        <v>37440</v>
      </c>
      <c r="H108" s="10">
        <v>3</v>
      </c>
      <c r="K108" s="4">
        <f t="shared" si="16"/>
        <v>37440</v>
      </c>
      <c r="L108" s="4">
        <f t="shared" si="17"/>
        <v>214</v>
      </c>
      <c r="M108" s="4">
        <f t="shared" si="18"/>
        <v>106</v>
      </c>
      <c r="N108" s="4">
        <f t="shared" si="19"/>
        <v>392</v>
      </c>
      <c r="O108" s="4">
        <f>SUM($G$3:G108)</f>
        <v>1364800</v>
      </c>
    </row>
    <row r="109" spans="1:15" x14ac:dyDescent="0.3">
      <c r="A109" s="5">
        <f t="shared" si="20"/>
        <v>107</v>
      </c>
      <c r="B109" s="4">
        <f t="shared" si="24"/>
        <v>219</v>
      </c>
      <c r="C109" s="8">
        <f t="shared" si="21"/>
        <v>107</v>
      </c>
      <c r="D109" s="4">
        <f t="shared" si="25"/>
        <v>395</v>
      </c>
      <c r="E109" s="4">
        <f t="shared" si="26"/>
        <v>0.5</v>
      </c>
      <c r="F109" s="4">
        <f t="shared" si="26"/>
        <v>0.79999999999999993</v>
      </c>
      <c r="G109" s="9">
        <f t="shared" si="15"/>
        <v>38150</v>
      </c>
      <c r="H109" s="10">
        <v>3</v>
      </c>
      <c r="K109" s="4">
        <f t="shared" si="16"/>
        <v>38150</v>
      </c>
      <c r="L109" s="4">
        <f t="shared" si="17"/>
        <v>219</v>
      </c>
      <c r="M109" s="4">
        <f t="shared" si="18"/>
        <v>107</v>
      </c>
      <c r="N109" s="4">
        <f t="shared" si="19"/>
        <v>395</v>
      </c>
      <c r="O109" s="4">
        <f>SUM($G$3:G109)</f>
        <v>1402950</v>
      </c>
    </row>
    <row r="110" spans="1:15" x14ac:dyDescent="0.3">
      <c r="A110" s="5">
        <f t="shared" si="20"/>
        <v>108</v>
      </c>
      <c r="B110" s="4">
        <f t="shared" si="24"/>
        <v>224</v>
      </c>
      <c r="C110" s="8">
        <f t="shared" si="21"/>
        <v>108</v>
      </c>
      <c r="D110" s="4">
        <f t="shared" si="25"/>
        <v>398</v>
      </c>
      <c r="E110" s="4">
        <f t="shared" si="26"/>
        <v>0.5</v>
      </c>
      <c r="F110" s="4">
        <f t="shared" si="26"/>
        <v>0.79999999999999993</v>
      </c>
      <c r="G110" s="9">
        <f t="shared" si="15"/>
        <v>38860</v>
      </c>
      <c r="H110" s="10">
        <v>3</v>
      </c>
      <c r="K110" s="4">
        <f t="shared" si="16"/>
        <v>38860</v>
      </c>
      <c r="L110" s="4">
        <f t="shared" si="17"/>
        <v>224</v>
      </c>
      <c r="M110" s="4">
        <f t="shared" si="18"/>
        <v>108</v>
      </c>
      <c r="N110" s="4">
        <f t="shared" si="19"/>
        <v>398</v>
      </c>
      <c r="O110" s="4">
        <f>SUM($G$3:G110)</f>
        <v>1441810</v>
      </c>
    </row>
    <row r="111" spans="1:15" x14ac:dyDescent="0.3">
      <c r="A111" s="5">
        <f t="shared" si="20"/>
        <v>109</v>
      </c>
      <c r="B111" s="4">
        <f t="shared" si="24"/>
        <v>229</v>
      </c>
      <c r="C111" s="8">
        <f t="shared" si="21"/>
        <v>109</v>
      </c>
      <c r="D111" s="4">
        <f t="shared" si="25"/>
        <v>401</v>
      </c>
      <c r="E111" s="4">
        <f t="shared" si="26"/>
        <v>0.5</v>
      </c>
      <c r="F111" s="4">
        <f t="shared" si="26"/>
        <v>0.79999999999999993</v>
      </c>
      <c r="G111" s="9">
        <f t="shared" si="15"/>
        <v>39580</v>
      </c>
      <c r="H111" s="10">
        <v>3</v>
      </c>
      <c r="K111" s="4">
        <f t="shared" si="16"/>
        <v>39580</v>
      </c>
      <c r="L111" s="4">
        <f t="shared" si="17"/>
        <v>229</v>
      </c>
      <c r="M111" s="4">
        <f t="shared" si="18"/>
        <v>109</v>
      </c>
      <c r="N111" s="4">
        <f t="shared" si="19"/>
        <v>401</v>
      </c>
      <c r="O111" s="4">
        <f>SUM($G$3:G111)</f>
        <v>1481390</v>
      </c>
    </row>
    <row r="112" spans="1:15" x14ac:dyDescent="0.3">
      <c r="A112" s="5">
        <f t="shared" si="20"/>
        <v>110</v>
      </c>
      <c r="B112" s="4">
        <f t="shared" si="24"/>
        <v>234</v>
      </c>
      <c r="C112" s="8">
        <f t="shared" si="21"/>
        <v>110</v>
      </c>
      <c r="D112" s="4">
        <f t="shared" si="25"/>
        <v>404</v>
      </c>
      <c r="E112" s="4">
        <f t="shared" si="26"/>
        <v>0.5</v>
      </c>
      <c r="F112" s="4">
        <f t="shared" si="26"/>
        <v>0.79999999999999993</v>
      </c>
      <c r="G112" s="9">
        <f t="shared" si="15"/>
        <v>40310</v>
      </c>
      <c r="H112" s="10">
        <v>3</v>
      </c>
      <c r="K112" s="4">
        <f t="shared" si="16"/>
        <v>40310</v>
      </c>
      <c r="L112" s="4">
        <f t="shared" si="17"/>
        <v>234</v>
      </c>
      <c r="M112" s="4">
        <f t="shared" si="18"/>
        <v>110</v>
      </c>
      <c r="N112" s="4">
        <f t="shared" si="19"/>
        <v>404</v>
      </c>
      <c r="O112" s="4">
        <f>SUM($G$3:G112)</f>
        <v>1521700</v>
      </c>
    </row>
    <row r="113" spans="1:15" x14ac:dyDescent="0.3">
      <c r="A113" s="5">
        <f t="shared" si="20"/>
        <v>111</v>
      </c>
      <c r="B113" s="4">
        <f>B112+4</f>
        <v>238</v>
      </c>
      <c r="C113" s="8">
        <f t="shared" si="21"/>
        <v>111</v>
      </c>
      <c r="D113" s="4">
        <f t="shared" si="25"/>
        <v>407</v>
      </c>
      <c r="E113" s="4">
        <f t="shared" si="26"/>
        <v>0.5</v>
      </c>
      <c r="F113" s="4">
        <f t="shared" si="26"/>
        <v>0.79999999999999993</v>
      </c>
      <c r="G113" s="9">
        <f t="shared" si="15"/>
        <v>41040</v>
      </c>
      <c r="H113" s="10">
        <v>3</v>
      </c>
      <c r="K113" s="4">
        <f t="shared" si="16"/>
        <v>41040</v>
      </c>
      <c r="L113" s="4">
        <f t="shared" si="17"/>
        <v>238</v>
      </c>
      <c r="M113" s="4">
        <f t="shared" si="18"/>
        <v>111</v>
      </c>
      <c r="N113" s="4">
        <f t="shared" si="19"/>
        <v>407</v>
      </c>
      <c r="O113" s="4">
        <f>SUM($G$3:G113)</f>
        <v>1562740</v>
      </c>
    </row>
    <row r="114" spans="1:15" x14ac:dyDescent="0.3">
      <c r="A114" s="5">
        <f t="shared" si="20"/>
        <v>112</v>
      </c>
      <c r="B114" s="4">
        <f t="shared" ref="B114:B121" si="27">B113+4</f>
        <v>242</v>
      </c>
      <c r="C114" s="8">
        <f t="shared" si="21"/>
        <v>112</v>
      </c>
      <c r="D114" s="4">
        <f t="shared" si="25"/>
        <v>410</v>
      </c>
      <c r="E114" s="4">
        <f t="shared" si="26"/>
        <v>0.5</v>
      </c>
      <c r="F114" s="4">
        <f t="shared" si="26"/>
        <v>0.79999999999999993</v>
      </c>
      <c r="G114" s="9">
        <f t="shared" si="15"/>
        <v>41780</v>
      </c>
      <c r="H114" s="10">
        <v>3</v>
      </c>
      <c r="K114" s="4">
        <f t="shared" si="16"/>
        <v>41780</v>
      </c>
      <c r="L114" s="4">
        <f t="shared" si="17"/>
        <v>242</v>
      </c>
      <c r="M114" s="4">
        <f t="shared" si="18"/>
        <v>112</v>
      </c>
      <c r="N114" s="4">
        <f t="shared" si="19"/>
        <v>410</v>
      </c>
      <c r="O114" s="4">
        <f>SUM($G$3:G114)</f>
        <v>1604520</v>
      </c>
    </row>
    <row r="115" spans="1:15" x14ac:dyDescent="0.3">
      <c r="A115" s="5">
        <f t="shared" si="20"/>
        <v>113</v>
      </c>
      <c r="B115" s="4">
        <f t="shared" si="27"/>
        <v>246</v>
      </c>
      <c r="C115" s="8">
        <f t="shared" si="21"/>
        <v>113</v>
      </c>
      <c r="D115" s="4">
        <f t="shared" si="25"/>
        <v>413</v>
      </c>
      <c r="E115" s="4">
        <f t="shared" si="26"/>
        <v>0.5</v>
      </c>
      <c r="F115" s="4">
        <f t="shared" si="26"/>
        <v>0.79999999999999993</v>
      </c>
      <c r="G115" s="9">
        <f t="shared" si="15"/>
        <v>42530</v>
      </c>
      <c r="H115" s="10">
        <v>3</v>
      </c>
      <c r="K115" s="4">
        <f t="shared" si="16"/>
        <v>42530</v>
      </c>
      <c r="L115" s="4">
        <f t="shared" si="17"/>
        <v>246</v>
      </c>
      <c r="M115" s="4">
        <f t="shared" si="18"/>
        <v>113</v>
      </c>
      <c r="N115" s="4">
        <f t="shared" si="19"/>
        <v>413</v>
      </c>
      <c r="O115" s="4">
        <f>SUM($G$3:G115)</f>
        <v>1647050</v>
      </c>
    </row>
    <row r="116" spans="1:15" x14ac:dyDescent="0.3">
      <c r="A116" s="5">
        <f t="shared" si="20"/>
        <v>114</v>
      </c>
      <c r="B116" s="4">
        <f t="shared" si="27"/>
        <v>250</v>
      </c>
      <c r="C116" s="8">
        <f t="shared" si="21"/>
        <v>114</v>
      </c>
      <c r="D116" s="4">
        <f t="shared" si="25"/>
        <v>416</v>
      </c>
      <c r="E116" s="4">
        <f t="shared" si="26"/>
        <v>0.5</v>
      </c>
      <c r="F116" s="4">
        <f t="shared" si="26"/>
        <v>0.79999999999999993</v>
      </c>
      <c r="G116" s="9">
        <f t="shared" si="15"/>
        <v>43280</v>
      </c>
      <c r="H116" s="10">
        <v>3</v>
      </c>
      <c r="K116" s="4">
        <f t="shared" si="16"/>
        <v>43280</v>
      </c>
      <c r="L116" s="4">
        <f t="shared" si="17"/>
        <v>250</v>
      </c>
      <c r="M116" s="4">
        <f t="shared" si="18"/>
        <v>114</v>
      </c>
      <c r="N116" s="4">
        <f t="shared" si="19"/>
        <v>416</v>
      </c>
      <c r="O116" s="4">
        <f>SUM($G$3:G116)</f>
        <v>1690330</v>
      </c>
    </row>
    <row r="117" spans="1:15" x14ac:dyDescent="0.3">
      <c r="A117" s="5">
        <f t="shared" si="20"/>
        <v>115</v>
      </c>
      <c r="B117" s="4">
        <f t="shared" si="27"/>
        <v>254</v>
      </c>
      <c r="C117" s="8">
        <f t="shared" si="21"/>
        <v>115</v>
      </c>
      <c r="D117" s="4">
        <f t="shared" si="25"/>
        <v>419</v>
      </c>
      <c r="E117" s="4">
        <f t="shared" si="26"/>
        <v>0.5</v>
      </c>
      <c r="F117" s="4">
        <f t="shared" si="26"/>
        <v>0.79999999999999993</v>
      </c>
      <c r="G117" s="9">
        <f t="shared" si="15"/>
        <v>44040</v>
      </c>
      <c r="H117" s="10">
        <v>3</v>
      </c>
      <c r="K117" s="4">
        <f t="shared" si="16"/>
        <v>44040</v>
      </c>
      <c r="L117" s="4">
        <f t="shared" si="17"/>
        <v>254</v>
      </c>
      <c r="M117" s="4">
        <f t="shared" si="18"/>
        <v>115</v>
      </c>
      <c r="N117" s="4">
        <f t="shared" si="19"/>
        <v>419</v>
      </c>
      <c r="O117" s="4">
        <f>SUM($G$3:G117)</f>
        <v>1734370</v>
      </c>
    </row>
    <row r="118" spans="1:15" x14ac:dyDescent="0.3">
      <c r="A118" s="5">
        <f t="shared" si="20"/>
        <v>116</v>
      </c>
      <c r="B118" s="4">
        <f t="shared" si="27"/>
        <v>258</v>
      </c>
      <c r="C118" s="8">
        <f t="shared" si="21"/>
        <v>116</v>
      </c>
      <c r="D118" s="4">
        <f t="shared" si="25"/>
        <v>422</v>
      </c>
      <c r="E118" s="4">
        <f t="shared" si="26"/>
        <v>0.5</v>
      </c>
      <c r="F118" s="4">
        <f t="shared" si="26"/>
        <v>0.79999999999999993</v>
      </c>
      <c r="G118" s="9">
        <f t="shared" si="15"/>
        <v>44810</v>
      </c>
      <c r="H118" s="10">
        <v>3</v>
      </c>
      <c r="K118" s="4">
        <f t="shared" si="16"/>
        <v>44810</v>
      </c>
      <c r="L118" s="4">
        <f t="shared" si="17"/>
        <v>258</v>
      </c>
      <c r="M118" s="4">
        <f t="shared" si="18"/>
        <v>116</v>
      </c>
      <c r="N118" s="4">
        <f t="shared" si="19"/>
        <v>422</v>
      </c>
      <c r="O118" s="4">
        <f>SUM($G$3:G118)</f>
        <v>1779180</v>
      </c>
    </row>
    <row r="119" spans="1:15" x14ac:dyDescent="0.3">
      <c r="A119" s="5">
        <f t="shared" si="20"/>
        <v>117</v>
      </c>
      <c r="B119" s="4">
        <f t="shared" si="27"/>
        <v>262</v>
      </c>
      <c r="C119" s="8">
        <f t="shared" si="21"/>
        <v>117</v>
      </c>
      <c r="D119" s="4">
        <f t="shared" si="25"/>
        <v>425</v>
      </c>
      <c r="E119" s="4">
        <f t="shared" si="26"/>
        <v>0.5</v>
      </c>
      <c r="F119" s="4">
        <f t="shared" si="26"/>
        <v>0.79999999999999993</v>
      </c>
      <c r="G119" s="9">
        <f t="shared" si="15"/>
        <v>45580</v>
      </c>
      <c r="H119" s="10">
        <v>3</v>
      </c>
      <c r="K119" s="4">
        <f t="shared" si="16"/>
        <v>45580</v>
      </c>
      <c r="L119" s="4">
        <f t="shared" si="17"/>
        <v>262</v>
      </c>
      <c r="M119" s="4">
        <f t="shared" si="18"/>
        <v>117</v>
      </c>
      <c r="N119" s="4">
        <f t="shared" si="19"/>
        <v>425</v>
      </c>
      <c r="O119" s="4">
        <f>SUM($G$3:G119)</f>
        <v>1824760</v>
      </c>
    </row>
    <row r="120" spans="1:15" x14ac:dyDescent="0.3">
      <c r="A120" s="5">
        <f t="shared" si="20"/>
        <v>118</v>
      </c>
      <c r="B120" s="4">
        <f t="shared" si="27"/>
        <v>266</v>
      </c>
      <c r="C120" s="8">
        <f t="shared" si="21"/>
        <v>118</v>
      </c>
      <c r="D120" s="4">
        <f t="shared" si="25"/>
        <v>428</v>
      </c>
      <c r="E120" s="4">
        <f t="shared" si="26"/>
        <v>0.5</v>
      </c>
      <c r="F120" s="4">
        <f t="shared" si="26"/>
        <v>0.79999999999999993</v>
      </c>
      <c r="G120" s="9">
        <f t="shared" si="15"/>
        <v>46360</v>
      </c>
      <c r="H120" s="10">
        <v>3</v>
      </c>
      <c r="K120" s="4">
        <f t="shared" si="16"/>
        <v>46360</v>
      </c>
      <c r="L120" s="4">
        <f t="shared" si="17"/>
        <v>266</v>
      </c>
      <c r="M120" s="4">
        <f t="shared" si="18"/>
        <v>118</v>
      </c>
      <c r="N120" s="4">
        <f t="shared" si="19"/>
        <v>428</v>
      </c>
      <c r="O120" s="4">
        <f>SUM($G$3:G120)</f>
        <v>1871120</v>
      </c>
    </row>
    <row r="121" spans="1:15" x14ac:dyDescent="0.3">
      <c r="A121" s="5">
        <f t="shared" si="20"/>
        <v>119</v>
      </c>
      <c r="B121" s="4">
        <f t="shared" si="27"/>
        <v>270</v>
      </c>
      <c r="C121" s="8">
        <f t="shared" si="21"/>
        <v>119</v>
      </c>
      <c r="D121" s="4">
        <f t="shared" si="25"/>
        <v>431</v>
      </c>
      <c r="E121" s="4">
        <f t="shared" si="26"/>
        <v>0.5</v>
      </c>
      <c r="F121" s="4">
        <f t="shared" si="26"/>
        <v>0.79999999999999993</v>
      </c>
      <c r="G121" s="9">
        <f t="shared" si="15"/>
        <v>47150</v>
      </c>
      <c r="H121" s="10">
        <v>3</v>
      </c>
      <c r="K121" s="4">
        <f t="shared" si="16"/>
        <v>47150</v>
      </c>
      <c r="L121" s="4">
        <f t="shared" si="17"/>
        <v>270</v>
      </c>
      <c r="M121" s="4">
        <f t="shared" si="18"/>
        <v>119</v>
      </c>
      <c r="N121" s="4">
        <f t="shared" si="19"/>
        <v>431</v>
      </c>
      <c r="O121" s="4">
        <f>SUM($G$3:G121)</f>
        <v>1918270</v>
      </c>
    </row>
    <row r="122" spans="1:15" x14ac:dyDescent="0.3">
      <c r="A122" s="5">
        <f t="shared" si="20"/>
        <v>120</v>
      </c>
      <c r="B122" s="4">
        <f>B121+3</f>
        <v>273</v>
      </c>
      <c r="C122" s="8">
        <f t="shared" si="21"/>
        <v>120</v>
      </c>
      <c r="D122" s="4">
        <f>D121+2</f>
        <v>433</v>
      </c>
      <c r="E122" s="4">
        <f t="shared" si="26"/>
        <v>0.6</v>
      </c>
      <c r="F122" s="4">
        <f t="shared" si="26"/>
        <v>0.89999999999999991</v>
      </c>
      <c r="G122" s="9">
        <f t="shared" si="15"/>
        <v>47950</v>
      </c>
      <c r="H122" s="10">
        <v>3</v>
      </c>
      <c r="K122" s="4">
        <f t="shared" si="16"/>
        <v>47950</v>
      </c>
      <c r="L122" s="4">
        <f t="shared" si="17"/>
        <v>273</v>
      </c>
      <c r="M122" s="4">
        <f t="shared" si="18"/>
        <v>120</v>
      </c>
      <c r="N122" s="4">
        <f t="shared" si="19"/>
        <v>433</v>
      </c>
      <c r="O122" s="4">
        <f>SUM($G$3:G122)</f>
        <v>1966220</v>
      </c>
    </row>
    <row r="123" spans="1:15" x14ac:dyDescent="0.3">
      <c r="A123" s="5">
        <f t="shared" si="20"/>
        <v>121</v>
      </c>
      <c r="B123" s="4">
        <f t="shared" ref="B123:B131" si="28">B122+3</f>
        <v>276</v>
      </c>
      <c r="C123" s="8">
        <f t="shared" si="21"/>
        <v>121</v>
      </c>
      <c r="D123" s="4">
        <f t="shared" ref="D123:D146" si="29">D122+2</f>
        <v>435</v>
      </c>
      <c r="E123" s="4">
        <f t="shared" si="26"/>
        <v>0.6</v>
      </c>
      <c r="F123" s="4">
        <f t="shared" si="26"/>
        <v>0.89999999999999991</v>
      </c>
      <c r="G123" s="9">
        <f t="shared" si="15"/>
        <v>48750</v>
      </c>
      <c r="H123" s="10">
        <v>3</v>
      </c>
      <c r="K123" s="4">
        <f t="shared" si="16"/>
        <v>48750</v>
      </c>
      <c r="L123" s="4">
        <f t="shared" si="17"/>
        <v>276</v>
      </c>
      <c r="M123" s="4">
        <f t="shared" si="18"/>
        <v>121</v>
      </c>
      <c r="N123" s="4">
        <f t="shared" si="19"/>
        <v>435</v>
      </c>
      <c r="O123" s="4">
        <f>SUM($G$3:G123)</f>
        <v>2014970</v>
      </c>
    </row>
    <row r="124" spans="1:15" x14ac:dyDescent="0.3">
      <c r="A124" s="5">
        <f t="shared" si="20"/>
        <v>122</v>
      </c>
      <c r="B124" s="4">
        <f t="shared" si="28"/>
        <v>279</v>
      </c>
      <c r="C124" s="8">
        <f t="shared" si="21"/>
        <v>122</v>
      </c>
      <c r="D124" s="4">
        <f t="shared" si="29"/>
        <v>437</v>
      </c>
      <c r="E124" s="4">
        <f t="shared" si="26"/>
        <v>0.6</v>
      </c>
      <c r="F124" s="4">
        <f t="shared" si="26"/>
        <v>0.89999999999999991</v>
      </c>
      <c r="G124" s="9">
        <f t="shared" si="15"/>
        <v>49550</v>
      </c>
      <c r="H124" s="10">
        <v>3</v>
      </c>
      <c r="K124" s="4">
        <f t="shared" si="16"/>
        <v>49550</v>
      </c>
      <c r="L124" s="4">
        <f t="shared" si="17"/>
        <v>279</v>
      </c>
      <c r="M124" s="4">
        <f t="shared" si="18"/>
        <v>122</v>
      </c>
      <c r="N124" s="4">
        <f t="shared" si="19"/>
        <v>437</v>
      </c>
      <c r="O124" s="4">
        <f>SUM($G$3:G124)</f>
        <v>2064520</v>
      </c>
    </row>
    <row r="125" spans="1:15" x14ac:dyDescent="0.3">
      <c r="A125" s="5">
        <f t="shared" si="20"/>
        <v>123</v>
      </c>
      <c r="B125" s="4">
        <f t="shared" si="28"/>
        <v>282</v>
      </c>
      <c r="C125" s="8">
        <f t="shared" si="21"/>
        <v>123</v>
      </c>
      <c r="D125" s="4">
        <f t="shared" si="29"/>
        <v>439</v>
      </c>
      <c r="E125" s="4">
        <f t="shared" si="26"/>
        <v>0.6</v>
      </c>
      <c r="F125" s="4">
        <f t="shared" si="26"/>
        <v>0.89999999999999991</v>
      </c>
      <c r="G125" s="9">
        <f t="shared" si="15"/>
        <v>50370</v>
      </c>
      <c r="H125" s="10">
        <v>3</v>
      </c>
      <c r="K125" s="4">
        <f t="shared" si="16"/>
        <v>50370</v>
      </c>
      <c r="L125" s="4">
        <f t="shared" si="17"/>
        <v>282</v>
      </c>
      <c r="M125" s="4">
        <f t="shared" si="18"/>
        <v>123</v>
      </c>
      <c r="N125" s="4">
        <f t="shared" si="19"/>
        <v>439</v>
      </c>
      <c r="O125" s="4">
        <f>SUM($G$3:G125)</f>
        <v>2114890</v>
      </c>
    </row>
    <row r="126" spans="1:15" x14ac:dyDescent="0.3">
      <c r="A126" s="5">
        <f t="shared" si="20"/>
        <v>124</v>
      </c>
      <c r="B126" s="4">
        <f t="shared" si="28"/>
        <v>285</v>
      </c>
      <c r="C126" s="8">
        <f t="shared" si="21"/>
        <v>124</v>
      </c>
      <c r="D126" s="4">
        <f t="shared" si="29"/>
        <v>441</v>
      </c>
      <c r="E126" s="4">
        <f t="shared" si="26"/>
        <v>0.6</v>
      </c>
      <c r="F126" s="4">
        <f t="shared" si="26"/>
        <v>0.89999999999999991</v>
      </c>
      <c r="G126" s="9">
        <f t="shared" si="15"/>
        <v>51190</v>
      </c>
      <c r="H126" s="10">
        <v>3</v>
      </c>
      <c r="K126" s="4">
        <f t="shared" si="16"/>
        <v>51190</v>
      </c>
      <c r="L126" s="4">
        <f t="shared" si="17"/>
        <v>285</v>
      </c>
      <c r="M126" s="4">
        <f t="shared" si="18"/>
        <v>124</v>
      </c>
      <c r="N126" s="4">
        <f t="shared" si="19"/>
        <v>441</v>
      </c>
      <c r="O126" s="4">
        <f>SUM($G$3:G126)</f>
        <v>2166080</v>
      </c>
    </row>
    <row r="127" spans="1:15" x14ac:dyDescent="0.3">
      <c r="A127" s="5">
        <f t="shared" si="20"/>
        <v>125</v>
      </c>
      <c r="B127" s="4">
        <f t="shared" si="28"/>
        <v>288</v>
      </c>
      <c r="C127" s="8">
        <f t="shared" si="21"/>
        <v>125</v>
      </c>
      <c r="D127" s="4">
        <f t="shared" si="29"/>
        <v>443</v>
      </c>
      <c r="E127" s="4">
        <f t="shared" si="26"/>
        <v>0.6</v>
      </c>
      <c r="F127" s="4">
        <f t="shared" si="26"/>
        <v>0.89999999999999991</v>
      </c>
      <c r="G127" s="9">
        <f t="shared" si="15"/>
        <v>52020</v>
      </c>
      <c r="H127" s="10">
        <v>3</v>
      </c>
      <c r="K127" s="4">
        <f t="shared" si="16"/>
        <v>52020</v>
      </c>
      <c r="L127" s="4">
        <f t="shared" si="17"/>
        <v>288</v>
      </c>
      <c r="M127" s="4">
        <f t="shared" si="18"/>
        <v>125</v>
      </c>
      <c r="N127" s="4">
        <f t="shared" si="19"/>
        <v>443</v>
      </c>
      <c r="O127" s="4">
        <f>SUM($G$3:G127)</f>
        <v>2218100</v>
      </c>
    </row>
    <row r="128" spans="1:15" x14ac:dyDescent="0.3">
      <c r="A128" s="5">
        <f t="shared" si="20"/>
        <v>126</v>
      </c>
      <c r="B128" s="4">
        <f t="shared" si="28"/>
        <v>291</v>
      </c>
      <c r="C128" s="8">
        <f t="shared" si="21"/>
        <v>126</v>
      </c>
      <c r="D128" s="4">
        <f t="shared" si="29"/>
        <v>445</v>
      </c>
      <c r="E128" s="4">
        <f t="shared" si="26"/>
        <v>0.6</v>
      </c>
      <c r="F128" s="4">
        <f t="shared" si="26"/>
        <v>0.89999999999999991</v>
      </c>
      <c r="G128" s="9">
        <f t="shared" si="15"/>
        <v>52850</v>
      </c>
      <c r="H128" s="10">
        <v>3</v>
      </c>
      <c r="K128" s="4">
        <f t="shared" si="16"/>
        <v>52850</v>
      </c>
      <c r="L128" s="4">
        <f t="shared" si="17"/>
        <v>291</v>
      </c>
      <c r="M128" s="4">
        <f t="shared" si="18"/>
        <v>126</v>
      </c>
      <c r="N128" s="4">
        <f t="shared" si="19"/>
        <v>445</v>
      </c>
      <c r="O128" s="4">
        <f>SUM($G$3:G128)</f>
        <v>2270950</v>
      </c>
    </row>
    <row r="129" spans="1:15" x14ac:dyDescent="0.3">
      <c r="A129" s="5">
        <f t="shared" si="20"/>
        <v>127</v>
      </c>
      <c r="B129" s="4">
        <f t="shared" si="28"/>
        <v>294</v>
      </c>
      <c r="C129" s="8">
        <f t="shared" si="21"/>
        <v>127</v>
      </c>
      <c r="D129" s="4">
        <f t="shared" si="29"/>
        <v>447</v>
      </c>
      <c r="E129" s="4">
        <f t="shared" si="26"/>
        <v>0.6</v>
      </c>
      <c r="F129" s="4">
        <f t="shared" si="26"/>
        <v>0.89999999999999991</v>
      </c>
      <c r="G129" s="9">
        <f t="shared" si="15"/>
        <v>53690</v>
      </c>
      <c r="H129" s="10">
        <v>3</v>
      </c>
      <c r="K129" s="4">
        <f t="shared" si="16"/>
        <v>53690</v>
      </c>
      <c r="L129" s="4">
        <f t="shared" si="17"/>
        <v>294</v>
      </c>
      <c r="M129" s="4">
        <f t="shared" si="18"/>
        <v>127</v>
      </c>
      <c r="N129" s="4">
        <f t="shared" si="19"/>
        <v>447</v>
      </c>
      <c r="O129" s="4">
        <f>SUM($G$3:G129)</f>
        <v>2324640</v>
      </c>
    </row>
    <row r="130" spans="1:15" x14ac:dyDescent="0.3">
      <c r="A130" s="5">
        <f t="shared" si="20"/>
        <v>128</v>
      </c>
      <c r="B130" s="4">
        <f t="shared" si="28"/>
        <v>297</v>
      </c>
      <c r="C130" s="8">
        <f t="shared" si="21"/>
        <v>128</v>
      </c>
      <c r="D130" s="4">
        <f t="shared" si="29"/>
        <v>449</v>
      </c>
      <c r="E130" s="4">
        <f t="shared" si="26"/>
        <v>0.6</v>
      </c>
      <c r="F130" s="4">
        <f t="shared" si="26"/>
        <v>0.89999999999999991</v>
      </c>
      <c r="G130" s="9">
        <f t="shared" si="15"/>
        <v>54540</v>
      </c>
      <c r="H130" s="10">
        <v>3</v>
      </c>
      <c r="K130" s="4">
        <f t="shared" si="16"/>
        <v>54540</v>
      </c>
      <c r="L130" s="4">
        <f t="shared" si="17"/>
        <v>297</v>
      </c>
      <c r="M130" s="4">
        <f t="shared" si="18"/>
        <v>128</v>
      </c>
      <c r="N130" s="4">
        <f t="shared" si="19"/>
        <v>449</v>
      </c>
      <c r="O130" s="4">
        <f>SUM($G$3:G130)</f>
        <v>2379180</v>
      </c>
    </row>
    <row r="131" spans="1:15" x14ac:dyDescent="0.3">
      <c r="A131" s="5">
        <f t="shared" si="20"/>
        <v>129</v>
      </c>
      <c r="B131" s="4">
        <f t="shared" si="28"/>
        <v>300</v>
      </c>
      <c r="C131" s="8">
        <f t="shared" si="21"/>
        <v>129</v>
      </c>
      <c r="D131" s="4">
        <f t="shared" si="29"/>
        <v>451</v>
      </c>
      <c r="E131" s="4">
        <f t="shared" si="26"/>
        <v>0.6</v>
      </c>
      <c r="F131" s="4">
        <f t="shared" si="26"/>
        <v>0.89999999999999991</v>
      </c>
      <c r="G131" s="9">
        <f t="shared" si="15"/>
        <v>55390</v>
      </c>
      <c r="H131" s="10">
        <v>3</v>
      </c>
      <c r="K131" s="4">
        <f t="shared" si="16"/>
        <v>55390</v>
      </c>
      <c r="L131" s="4">
        <f t="shared" si="17"/>
        <v>300</v>
      </c>
      <c r="M131" s="4">
        <f t="shared" si="18"/>
        <v>129</v>
      </c>
      <c r="N131" s="4">
        <f t="shared" si="19"/>
        <v>451</v>
      </c>
      <c r="O131" s="4">
        <f>SUM($G$3:G131)</f>
        <v>2434570</v>
      </c>
    </row>
    <row r="132" spans="1:15" x14ac:dyDescent="0.3">
      <c r="A132" s="5">
        <f t="shared" si="20"/>
        <v>130</v>
      </c>
      <c r="B132" s="4">
        <f>B131+2</f>
        <v>302</v>
      </c>
      <c r="C132" s="8">
        <f t="shared" si="21"/>
        <v>130</v>
      </c>
      <c r="D132" s="4">
        <f t="shared" si="29"/>
        <v>453</v>
      </c>
      <c r="E132" s="4">
        <f t="shared" si="26"/>
        <v>0.6</v>
      </c>
      <c r="F132" s="4">
        <f t="shared" si="26"/>
        <v>0.89999999999999991</v>
      </c>
      <c r="G132" s="9">
        <f t="shared" ref="G132:G195" si="30">ROUNDUP(500 + (300000-500) * ((A132-1)/(300-1))^2, -1)</f>
        <v>56250</v>
      </c>
      <c r="H132" s="10">
        <v>3</v>
      </c>
      <c r="K132" s="4">
        <f t="shared" ref="K132:K195" si="31">G132</f>
        <v>56250</v>
      </c>
      <c r="L132" s="4">
        <f t="shared" ref="L132:L195" si="32">B132</f>
        <v>302</v>
      </c>
      <c r="M132" s="4">
        <f t="shared" ref="M132:M195" si="33">C132</f>
        <v>130</v>
      </c>
      <c r="N132" s="4">
        <f t="shared" ref="N132:N195" si="34">D132</f>
        <v>453</v>
      </c>
      <c r="O132" s="4">
        <f>SUM($G$3:G132)</f>
        <v>2490820</v>
      </c>
    </row>
    <row r="133" spans="1:15" x14ac:dyDescent="0.3">
      <c r="A133" s="5">
        <f t="shared" ref="A133:B196" si="35">A132+1</f>
        <v>131</v>
      </c>
      <c r="B133" s="4">
        <f t="shared" ref="B133:B141" si="36">B132+2</f>
        <v>304</v>
      </c>
      <c r="C133" s="8">
        <f t="shared" si="21"/>
        <v>131</v>
      </c>
      <c r="D133" s="4">
        <f t="shared" si="29"/>
        <v>455</v>
      </c>
      <c r="E133" s="4">
        <f t="shared" si="26"/>
        <v>0.6</v>
      </c>
      <c r="F133" s="4">
        <f t="shared" si="26"/>
        <v>0.89999999999999991</v>
      </c>
      <c r="G133" s="9">
        <f t="shared" si="30"/>
        <v>57120</v>
      </c>
      <c r="H133" s="10">
        <v>3</v>
      </c>
      <c r="K133" s="4">
        <f t="shared" si="31"/>
        <v>57120</v>
      </c>
      <c r="L133" s="4">
        <f t="shared" si="32"/>
        <v>304</v>
      </c>
      <c r="M133" s="4">
        <f t="shared" si="33"/>
        <v>131</v>
      </c>
      <c r="N133" s="4">
        <f t="shared" si="34"/>
        <v>455</v>
      </c>
      <c r="O133" s="4">
        <f>SUM($G$3:G133)</f>
        <v>2547940</v>
      </c>
    </row>
    <row r="134" spans="1:15" x14ac:dyDescent="0.3">
      <c r="A134" s="5">
        <f t="shared" si="35"/>
        <v>132</v>
      </c>
      <c r="B134" s="4">
        <f t="shared" si="36"/>
        <v>306</v>
      </c>
      <c r="C134" s="8">
        <f t="shared" si="21"/>
        <v>132</v>
      </c>
      <c r="D134" s="4">
        <f t="shared" si="29"/>
        <v>457</v>
      </c>
      <c r="E134" s="4">
        <f t="shared" si="26"/>
        <v>0.6</v>
      </c>
      <c r="F134" s="4">
        <f t="shared" si="26"/>
        <v>0.89999999999999991</v>
      </c>
      <c r="G134" s="9">
        <f t="shared" si="30"/>
        <v>58000</v>
      </c>
      <c r="H134" s="10">
        <v>3</v>
      </c>
      <c r="K134" s="4">
        <f t="shared" si="31"/>
        <v>58000</v>
      </c>
      <c r="L134" s="4">
        <f t="shared" si="32"/>
        <v>306</v>
      </c>
      <c r="M134" s="4">
        <f t="shared" si="33"/>
        <v>132</v>
      </c>
      <c r="N134" s="4">
        <f t="shared" si="34"/>
        <v>457</v>
      </c>
      <c r="O134" s="4">
        <f>SUM($G$3:G134)</f>
        <v>2605940</v>
      </c>
    </row>
    <row r="135" spans="1:15" x14ac:dyDescent="0.3">
      <c r="A135" s="5">
        <f t="shared" si="35"/>
        <v>133</v>
      </c>
      <c r="B135" s="4">
        <f t="shared" si="36"/>
        <v>308</v>
      </c>
      <c r="C135" s="8">
        <f t="shared" si="21"/>
        <v>133</v>
      </c>
      <c r="D135" s="4">
        <f t="shared" si="29"/>
        <v>459</v>
      </c>
      <c r="E135" s="4">
        <f t="shared" si="26"/>
        <v>0.6</v>
      </c>
      <c r="F135" s="4">
        <f t="shared" si="26"/>
        <v>0.89999999999999991</v>
      </c>
      <c r="G135" s="9">
        <f t="shared" si="30"/>
        <v>58880</v>
      </c>
      <c r="H135" s="10">
        <v>3</v>
      </c>
      <c r="K135" s="4">
        <f t="shared" si="31"/>
        <v>58880</v>
      </c>
      <c r="L135" s="4">
        <f t="shared" si="32"/>
        <v>308</v>
      </c>
      <c r="M135" s="4">
        <f t="shared" si="33"/>
        <v>133</v>
      </c>
      <c r="N135" s="4">
        <f t="shared" si="34"/>
        <v>459</v>
      </c>
      <c r="O135" s="4">
        <f>SUM($G$3:G135)</f>
        <v>2664820</v>
      </c>
    </row>
    <row r="136" spans="1:15" x14ac:dyDescent="0.3">
      <c r="A136" s="5">
        <f t="shared" si="35"/>
        <v>134</v>
      </c>
      <c r="B136" s="4">
        <f t="shared" si="36"/>
        <v>310</v>
      </c>
      <c r="C136" s="8">
        <f t="shared" si="21"/>
        <v>134</v>
      </c>
      <c r="D136" s="4">
        <f t="shared" si="29"/>
        <v>461</v>
      </c>
      <c r="E136" s="4">
        <f t="shared" si="26"/>
        <v>0.6</v>
      </c>
      <c r="F136" s="4">
        <f t="shared" si="26"/>
        <v>0.89999999999999991</v>
      </c>
      <c r="G136" s="9">
        <f t="shared" si="30"/>
        <v>59760</v>
      </c>
      <c r="H136" s="10">
        <v>3</v>
      </c>
      <c r="K136" s="4">
        <f t="shared" si="31"/>
        <v>59760</v>
      </c>
      <c r="L136" s="4">
        <f t="shared" si="32"/>
        <v>310</v>
      </c>
      <c r="M136" s="4">
        <f t="shared" si="33"/>
        <v>134</v>
      </c>
      <c r="N136" s="4">
        <f t="shared" si="34"/>
        <v>461</v>
      </c>
      <c r="O136" s="4">
        <f>SUM($G$3:G136)</f>
        <v>2724580</v>
      </c>
    </row>
    <row r="137" spans="1:15" x14ac:dyDescent="0.3">
      <c r="A137" s="5">
        <f t="shared" si="35"/>
        <v>135</v>
      </c>
      <c r="B137" s="4">
        <f t="shared" si="36"/>
        <v>312</v>
      </c>
      <c r="C137" s="8">
        <f t="shared" si="21"/>
        <v>135</v>
      </c>
      <c r="D137" s="4">
        <f t="shared" si="29"/>
        <v>463</v>
      </c>
      <c r="E137" s="4">
        <f t="shared" si="26"/>
        <v>0.6</v>
      </c>
      <c r="F137" s="4">
        <f t="shared" si="26"/>
        <v>0.89999999999999991</v>
      </c>
      <c r="G137" s="9">
        <f t="shared" si="30"/>
        <v>60660</v>
      </c>
      <c r="H137" s="10">
        <v>3</v>
      </c>
      <c r="K137" s="4">
        <f t="shared" si="31"/>
        <v>60660</v>
      </c>
      <c r="L137" s="4">
        <f t="shared" si="32"/>
        <v>312</v>
      </c>
      <c r="M137" s="4">
        <f t="shared" si="33"/>
        <v>135</v>
      </c>
      <c r="N137" s="4">
        <f t="shared" si="34"/>
        <v>463</v>
      </c>
      <c r="O137" s="4">
        <f>SUM($G$3:G137)</f>
        <v>2785240</v>
      </c>
    </row>
    <row r="138" spans="1:15" x14ac:dyDescent="0.3">
      <c r="A138" s="5">
        <f t="shared" si="35"/>
        <v>136</v>
      </c>
      <c r="B138" s="4">
        <f t="shared" si="36"/>
        <v>314</v>
      </c>
      <c r="C138" s="8">
        <f t="shared" si="21"/>
        <v>136</v>
      </c>
      <c r="D138" s="4">
        <f t="shared" si="29"/>
        <v>465</v>
      </c>
      <c r="E138" s="4">
        <f t="shared" si="26"/>
        <v>0.6</v>
      </c>
      <c r="F138" s="4">
        <f t="shared" si="26"/>
        <v>0.89999999999999991</v>
      </c>
      <c r="G138" s="9">
        <f t="shared" si="30"/>
        <v>61560</v>
      </c>
      <c r="H138" s="10">
        <v>3</v>
      </c>
      <c r="K138" s="4">
        <f t="shared" si="31"/>
        <v>61560</v>
      </c>
      <c r="L138" s="4">
        <f t="shared" si="32"/>
        <v>314</v>
      </c>
      <c r="M138" s="4">
        <f t="shared" si="33"/>
        <v>136</v>
      </c>
      <c r="N138" s="4">
        <f t="shared" si="34"/>
        <v>465</v>
      </c>
      <c r="O138" s="4">
        <f>SUM($G$3:G138)</f>
        <v>2846800</v>
      </c>
    </row>
    <row r="139" spans="1:15" x14ac:dyDescent="0.3">
      <c r="A139" s="5">
        <f t="shared" si="35"/>
        <v>137</v>
      </c>
      <c r="B139" s="4">
        <f t="shared" si="36"/>
        <v>316</v>
      </c>
      <c r="C139" s="8">
        <f t="shared" si="21"/>
        <v>137</v>
      </c>
      <c r="D139" s="4">
        <f t="shared" si="29"/>
        <v>467</v>
      </c>
      <c r="E139" s="4">
        <f t="shared" si="26"/>
        <v>0.6</v>
      </c>
      <c r="F139" s="4">
        <f t="shared" si="26"/>
        <v>0.89999999999999991</v>
      </c>
      <c r="G139" s="9">
        <f t="shared" si="30"/>
        <v>62470</v>
      </c>
      <c r="H139" s="10">
        <v>3</v>
      </c>
      <c r="K139" s="4">
        <f t="shared" si="31"/>
        <v>62470</v>
      </c>
      <c r="L139" s="4">
        <f t="shared" si="32"/>
        <v>316</v>
      </c>
      <c r="M139" s="4">
        <f t="shared" si="33"/>
        <v>137</v>
      </c>
      <c r="N139" s="4">
        <f t="shared" si="34"/>
        <v>467</v>
      </c>
      <c r="O139" s="4">
        <f>SUM($G$3:G139)</f>
        <v>2909270</v>
      </c>
    </row>
    <row r="140" spans="1:15" x14ac:dyDescent="0.3">
      <c r="A140" s="5">
        <f t="shared" si="35"/>
        <v>138</v>
      </c>
      <c r="B140" s="4">
        <f t="shared" si="36"/>
        <v>318</v>
      </c>
      <c r="C140" s="8">
        <f t="shared" ref="C140:C150" si="37">C141-1</f>
        <v>138</v>
      </c>
      <c r="D140" s="4">
        <f t="shared" si="29"/>
        <v>469</v>
      </c>
      <c r="E140" s="4">
        <f t="shared" si="26"/>
        <v>0.6</v>
      </c>
      <c r="F140" s="4">
        <f t="shared" si="26"/>
        <v>0.89999999999999991</v>
      </c>
      <c r="G140" s="9">
        <f t="shared" si="30"/>
        <v>63380</v>
      </c>
      <c r="H140" s="10">
        <v>3</v>
      </c>
      <c r="K140" s="4">
        <f t="shared" si="31"/>
        <v>63380</v>
      </c>
      <c r="L140" s="4">
        <f t="shared" si="32"/>
        <v>318</v>
      </c>
      <c r="M140" s="4">
        <f t="shared" si="33"/>
        <v>138</v>
      </c>
      <c r="N140" s="4">
        <f t="shared" si="34"/>
        <v>469</v>
      </c>
      <c r="O140" s="4">
        <f>SUM($G$3:G140)</f>
        <v>2972650</v>
      </c>
    </row>
    <row r="141" spans="1:15" x14ac:dyDescent="0.3">
      <c r="A141" s="5">
        <f t="shared" si="35"/>
        <v>139</v>
      </c>
      <c r="B141" s="4">
        <f t="shared" si="36"/>
        <v>320</v>
      </c>
      <c r="C141" s="8">
        <f t="shared" si="37"/>
        <v>139</v>
      </c>
      <c r="D141" s="4">
        <f t="shared" si="29"/>
        <v>471</v>
      </c>
      <c r="E141" s="4">
        <f t="shared" si="26"/>
        <v>0.6</v>
      </c>
      <c r="F141" s="4">
        <f t="shared" si="26"/>
        <v>0.89999999999999991</v>
      </c>
      <c r="G141" s="9">
        <f t="shared" si="30"/>
        <v>64300</v>
      </c>
      <c r="H141" s="10">
        <v>3</v>
      </c>
      <c r="K141" s="4">
        <f t="shared" si="31"/>
        <v>64300</v>
      </c>
      <c r="L141" s="4">
        <f t="shared" si="32"/>
        <v>320</v>
      </c>
      <c r="M141" s="4">
        <f t="shared" si="33"/>
        <v>139</v>
      </c>
      <c r="N141" s="4">
        <f t="shared" si="34"/>
        <v>471</v>
      </c>
      <c r="O141" s="4">
        <f>SUM($G$3:G141)</f>
        <v>3036950</v>
      </c>
    </row>
    <row r="142" spans="1:15" x14ac:dyDescent="0.3">
      <c r="A142" s="5">
        <f t="shared" si="35"/>
        <v>140</v>
      </c>
      <c r="B142" s="4">
        <f>B141+1</f>
        <v>321</v>
      </c>
      <c r="C142" s="8">
        <f t="shared" si="37"/>
        <v>140</v>
      </c>
      <c r="D142" s="4">
        <f t="shared" si="29"/>
        <v>473</v>
      </c>
      <c r="E142" s="4">
        <v>0.6</v>
      </c>
      <c r="F142" s="4">
        <f t="shared" ref="F142:F201" si="38">F122+0.1</f>
        <v>0.99999999999999989</v>
      </c>
      <c r="G142" s="9">
        <f t="shared" si="30"/>
        <v>65230</v>
      </c>
      <c r="H142" s="10">
        <v>3</v>
      </c>
      <c r="K142" s="4">
        <f t="shared" si="31"/>
        <v>65230</v>
      </c>
      <c r="L142" s="4">
        <f t="shared" si="32"/>
        <v>321</v>
      </c>
      <c r="M142" s="4">
        <f t="shared" si="33"/>
        <v>140</v>
      </c>
      <c r="N142" s="4">
        <f t="shared" si="34"/>
        <v>473</v>
      </c>
      <c r="O142" s="4">
        <f>SUM($G$3:G142)</f>
        <v>3102180</v>
      </c>
    </row>
    <row r="143" spans="1:15" x14ac:dyDescent="0.3">
      <c r="A143" s="5">
        <f t="shared" si="35"/>
        <v>141</v>
      </c>
      <c r="B143" s="4">
        <f t="shared" si="35"/>
        <v>322</v>
      </c>
      <c r="C143" s="8">
        <f t="shared" si="37"/>
        <v>141</v>
      </c>
      <c r="D143" s="4">
        <f t="shared" si="29"/>
        <v>475</v>
      </c>
      <c r="E143" s="4">
        <v>0.6</v>
      </c>
      <c r="F143" s="4">
        <f t="shared" si="38"/>
        <v>0.99999999999999989</v>
      </c>
      <c r="G143" s="9">
        <f t="shared" si="30"/>
        <v>66170</v>
      </c>
      <c r="H143" s="10">
        <v>3</v>
      </c>
      <c r="K143" s="4">
        <f t="shared" si="31"/>
        <v>66170</v>
      </c>
      <c r="L143" s="4">
        <f t="shared" si="32"/>
        <v>322</v>
      </c>
      <c r="M143" s="4">
        <f t="shared" si="33"/>
        <v>141</v>
      </c>
      <c r="N143" s="4">
        <f t="shared" si="34"/>
        <v>475</v>
      </c>
      <c r="O143" s="4">
        <f>SUM($G$3:G143)</f>
        <v>3168350</v>
      </c>
    </row>
    <row r="144" spans="1:15" x14ac:dyDescent="0.3">
      <c r="A144" s="5">
        <f t="shared" si="35"/>
        <v>142</v>
      </c>
      <c r="B144" s="4">
        <f t="shared" si="35"/>
        <v>323</v>
      </c>
      <c r="C144" s="8">
        <f t="shared" si="37"/>
        <v>142</v>
      </c>
      <c r="D144" s="4">
        <f t="shared" si="29"/>
        <v>477</v>
      </c>
      <c r="E144" s="4">
        <v>0.6</v>
      </c>
      <c r="F144" s="4">
        <f t="shared" si="38"/>
        <v>0.99999999999999989</v>
      </c>
      <c r="G144" s="9">
        <f t="shared" si="30"/>
        <v>67110</v>
      </c>
      <c r="H144" s="10">
        <v>3</v>
      </c>
      <c r="K144" s="4">
        <f t="shared" si="31"/>
        <v>67110</v>
      </c>
      <c r="L144" s="4">
        <f t="shared" si="32"/>
        <v>323</v>
      </c>
      <c r="M144" s="4">
        <f t="shared" si="33"/>
        <v>142</v>
      </c>
      <c r="N144" s="4">
        <f t="shared" si="34"/>
        <v>477</v>
      </c>
      <c r="O144" s="4">
        <f>SUM($G$3:G144)</f>
        <v>3235460</v>
      </c>
    </row>
    <row r="145" spans="1:15" x14ac:dyDescent="0.3">
      <c r="A145" s="5">
        <f t="shared" si="35"/>
        <v>143</v>
      </c>
      <c r="B145" s="4">
        <f t="shared" si="35"/>
        <v>324</v>
      </c>
      <c r="C145" s="8">
        <f t="shared" si="37"/>
        <v>143</v>
      </c>
      <c r="D145" s="4">
        <f t="shared" si="29"/>
        <v>479</v>
      </c>
      <c r="E145" s="4">
        <v>0.6</v>
      </c>
      <c r="F145" s="4">
        <f t="shared" si="38"/>
        <v>0.99999999999999989</v>
      </c>
      <c r="G145" s="9">
        <f t="shared" si="30"/>
        <v>68060</v>
      </c>
      <c r="H145" s="10">
        <v>3</v>
      </c>
      <c r="K145" s="4">
        <f t="shared" si="31"/>
        <v>68060</v>
      </c>
      <c r="L145" s="4">
        <f t="shared" si="32"/>
        <v>324</v>
      </c>
      <c r="M145" s="4">
        <f t="shared" si="33"/>
        <v>143</v>
      </c>
      <c r="N145" s="4">
        <f t="shared" si="34"/>
        <v>479</v>
      </c>
      <c r="O145" s="4">
        <f>SUM($G$3:G145)</f>
        <v>3303520</v>
      </c>
    </row>
    <row r="146" spans="1:15" x14ac:dyDescent="0.3">
      <c r="A146" s="5">
        <f t="shared" si="35"/>
        <v>144</v>
      </c>
      <c r="B146" s="4">
        <f t="shared" si="35"/>
        <v>325</v>
      </c>
      <c r="C146" s="8">
        <f t="shared" si="37"/>
        <v>144</v>
      </c>
      <c r="D146" s="4">
        <f t="shared" si="29"/>
        <v>481</v>
      </c>
      <c r="E146" s="4">
        <v>0.6</v>
      </c>
      <c r="F146" s="4">
        <f t="shared" si="38"/>
        <v>0.99999999999999989</v>
      </c>
      <c r="G146" s="9">
        <f t="shared" si="30"/>
        <v>69010</v>
      </c>
      <c r="H146" s="10">
        <v>3</v>
      </c>
      <c r="K146" s="4">
        <f t="shared" si="31"/>
        <v>69010</v>
      </c>
      <c r="L146" s="4">
        <f t="shared" si="32"/>
        <v>325</v>
      </c>
      <c r="M146" s="4">
        <f t="shared" si="33"/>
        <v>144</v>
      </c>
      <c r="N146" s="4">
        <f t="shared" si="34"/>
        <v>481</v>
      </c>
      <c r="O146" s="4">
        <f>SUM($G$3:G146)</f>
        <v>3372530</v>
      </c>
    </row>
    <row r="147" spans="1:15" x14ac:dyDescent="0.3">
      <c r="A147" s="5">
        <f t="shared" si="35"/>
        <v>145</v>
      </c>
      <c r="B147" s="4">
        <f t="shared" si="35"/>
        <v>326</v>
      </c>
      <c r="C147" s="8">
        <f t="shared" si="37"/>
        <v>145</v>
      </c>
      <c r="D147" s="4">
        <f t="shared" ref="D147:D201" si="39">D146+2</f>
        <v>483</v>
      </c>
      <c r="E147" s="4">
        <v>0.6</v>
      </c>
      <c r="F147" s="4">
        <f t="shared" si="38"/>
        <v>0.99999999999999989</v>
      </c>
      <c r="G147" s="9">
        <f t="shared" si="30"/>
        <v>69970</v>
      </c>
      <c r="H147" s="10">
        <v>3</v>
      </c>
      <c r="K147" s="4">
        <f t="shared" si="31"/>
        <v>69970</v>
      </c>
      <c r="L147" s="4">
        <f t="shared" si="32"/>
        <v>326</v>
      </c>
      <c r="M147" s="4">
        <f t="shared" si="33"/>
        <v>145</v>
      </c>
      <c r="N147" s="4">
        <f t="shared" si="34"/>
        <v>483</v>
      </c>
      <c r="O147" s="4">
        <f>SUM($G$3:G147)</f>
        <v>3442500</v>
      </c>
    </row>
    <row r="148" spans="1:15" x14ac:dyDescent="0.3">
      <c r="A148" s="5">
        <f t="shared" si="35"/>
        <v>146</v>
      </c>
      <c r="B148" s="4">
        <f t="shared" si="35"/>
        <v>327</v>
      </c>
      <c r="C148" s="8">
        <f t="shared" si="37"/>
        <v>146</v>
      </c>
      <c r="D148" s="4">
        <f t="shared" si="39"/>
        <v>485</v>
      </c>
      <c r="E148" s="4">
        <v>0.6</v>
      </c>
      <c r="F148" s="4">
        <f t="shared" si="38"/>
        <v>0.99999999999999989</v>
      </c>
      <c r="G148" s="9">
        <f t="shared" si="30"/>
        <v>70940</v>
      </c>
      <c r="H148" s="10">
        <v>3</v>
      </c>
      <c r="K148" s="4">
        <f t="shared" si="31"/>
        <v>70940</v>
      </c>
      <c r="L148" s="4">
        <f t="shared" si="32"/>
        <v>327</v>
      </c>
      <c r="M148" s="4">
        <f t="shared" si="33"/>
        <v>146</v>
      </c>
      <c r="N148" s="4">
        <f t="shared" si="34"/>
        <v>485</v>
      </c>
      <c r="O148" s="4">
        <f>SUM($G$3:G148)</f>
        <v>3513440</v>
      </c>
    </row>
    <row r="149" spans="1:15" x14ac:dyDescent="0.3">
      <c r="A149" s="5">
        <f t="shared" si="35"/>
        <v>147</v>
      </c>
      <c r="B149" s="4">
        <f t="shared" si="35"/>
        <v>328</v>
      </c>
      <c r="C149" s="8">
        <f t="shared" si="37"/>
        <v>147</v>
      </c>
      <c r="D149" s="4">
        <f t="shared" si="39"/>
        <v>487</v>
      </c>
      <c r="E149" s="4">
        <v>0.6</v>
      </c>
      <c r="F149" s="4">
        <f t="shared" si="38"/>
        <v>0.99999999999999989</v>
      </c>
      <c r="G149" s="9">
        <f t="shared" si="30"/>
        <v>71920</v>
      </c>
      <c r="H149" s="10">
        <v>3</v>
      </c>
      <c r="K149" s="4">
        <f t="shared" si="31"/>
        <v>71920</v>
      </c>
      <c r="L149" s="4">
        <f t="shared" si="32"/>
        <v>328</v>
      </c>
      <c r="M149" s="4">
        <f t="shared" si="33"/>
        <v>147</v>
      </c>
      <c r="N149" s="4">
        <f t="shared" si="34"/>
        <v>487</v>
      </c>
      <c r="O149" s="4">
        <f>SUM($G$3:G149)</f>
        <v>3585360</v>
      </c>
    </row>
    <row r="150" spans="1:15" x14ac:dyDescent="0.3">
      <c r="A150" s="5">
        <f t="shared" si="35"/>
        <v>148</v>
      </c>
      <c r="B150" s="4">
        <f t="shared" si="35"/>
        <v>329</v>
      </c>
      <c r="C150" s="8">
        <f t="shared" si="37"/>
        <v>148</v>
      </c>
      <c r="D150" s="4">
        <f t="shared" si="39"/>
        <v>489</v>
      </c>
      <c r="E150" s="4">
        <v>0.6</v>
      </c>
      <c r="F150" s="4">
        <f t="shared" si="38"/>
        <v>0.99999999999999989</v>
      </c>
      <c r="G150" s="9">
        <f t="shared" si="30"/>
        <v>72900</v>
      </c>
      <c r="H150" s="10">
        <v>3</v>
      </c>
      <c r="K150" s="4">
        <f t="shared" si="31"/>
        <v>72900</v>
      </c>
      <c r="L150" s="4">
        <f t="shared" si="32"/>
        <v>329</v>
      </c>
      <c r="M150" s="4">
        <f t="shared" si="33"/>
        <v>148</v>
      </c>
      <c r="N150" s="4">
        <f t="shared" si="34"/>
        <v>489</v>
      </c>
      <c r="O150" s="4">
        <f>SUM($G$3:G150)</f>
        <v>3658260</v>
      </c>
    </row>
    <row r="151" spans="1:15" x14ac:dyDescent="0.3">
      <c r="A151" s="5">
        <f t="shared" si="35"/>
        <v>149</v>
      </c>
      <c r="B151" s="4">
        <f t="shared" si="35"/>
        <v>330</v>
      </c>
      <c r="C151" s="8">
        <f>C152-1</f>
        <v>149</v>
      </c>
      <c r="D151" s="4">
        <f t="shared" si="39"/>
        <v>491</v>
      </c>
      <c r="E151" s="4">
        <v>0.6</v>
      </c>
      <c r="F151" s="4">
        <f t="shared" si="38"/>
        <v>0.99999999999999989</v>
      </c>
      <c r="G151" s="9">
        <f t="shared" si="30"/>
        <v>73890</v>
      </c>
      <c r="H151" s="10">
        <v>3</v>
      </c>
      <c r="K151" s="4">
        <f t="shared" si="31"/>
        <v>73890</v>
      </c>
      <c r="L151" s="4">
        <f t="shared" si="32"/>
        <v>330</v>
      </c>
      <c r="M151" s="4">
        <f t="shared" si="33"/>
        <v>149</v>
      </c>
      <c r="N151" s="4">
        <f t="shared" si="34"/>
        <v>491</v>
      </c>
      <c r="O151" s="4">
        <f>SUM($G$3:G151)</f>
        <v>3732150</v>
      </c>
    </row>
    <row r="152" spans="1:15" x14ac:dyDescent="0.3">
      <c r="A152" s="5">
        <f t="shared" si="35"/>
        <v>150</v>
      </c>
      <c r="B152" s="4">
        <f t="shared" si="35"/>
        <v>331</v>
      </c>
      <c r="C152" s="8">
        <v>150</v>
      </c>
      <c r="D152" s="4">
        <f t="shared" si="39"/>
        <v>493</v>
      </c>
      <c r="E152" s="4">
        <v>0.6</v>
      </c>
      <c r="F152" s="4">
        <f t="shared" si="38"/>
        <v>0.99999999999999989</v>
      </c>
      <c r="G152" s="9">
        <f t="shared" si="30"/>
        <v>74880</v>
      </c>
      <c r="H152" s="10">
        <f>H142+1</f>
        <v>4</v>
      </c>
      <c r="K152" s="4">
        <f t="shared" si="31"/>
        <v>74880</v>
      </c>
      <c r="L152" s="4">
        <f t="shared" si="32"/>
        <v>331</v>
      </c>
      <c r="M152" s="4">
        <f t="shared" si="33"/>
        <v>150</v>
      </c>
      <c r="N152" s="4">
        <f t="shared" si="34"/>
        <v>493</v>
      </c>
      <c r="O152" s="4">
        <f>SUM($G$3:G152)</f>
        <v>3807030</v>
      </c>
    </row>
    <row r="153" spans="1:15" x14ac:dyDescent="0.3">
      <c r="A153" s="5">
        <f t="shared" si="35"/>
        <v>151</v>
      </c>
      <c r="B153" s="4">
        <f t="shared" si="35"/>
        <v>332</v>
      </c>
      <c r="C153" s="8">
        <v>150</v>
      </c>
      <c r="D153" s="4">
        <f t="shared" si="39"/>
        <v>495</v>
      </c>
      <c r="E153" s="4">
        <v>0.6</v>
      </c>
      <c r="F153" s="4">
        <f t="shared" si="38"/>
        <v>0.99999999999999989</v>
      </c>
      <c r="G153" s="9">
        <f t="shared" si="30"/>
        <v>75880</v>
      </c>
      <c r="H153" s="10">
        <f t="shared" ref="H153:H216" si="40">H143+1</f>
        <v>4</v>
      </c>
      <c r="K153" s="4">
        <f t="shared" si="31"/>
        <v>75880</v>
      </c>
      <c r="L153" s="4">
        <f t="shared" si="32"/>
        <v>332</v>
      </c>
      <c r="M153" s="4">
        <f t="shared" si="33"/>
        <v>150</v>
      </c>
      <c r="N153" s="4">
        <f t="shared" si="34"/>
        <v>495</v>
      </c>
      <c r="O153" s="4">
        <f>SUM($G$3:G153)</f>
        <v>3882910</v>
      </c>
    </row>
    <row r="154" spans="1:15" x14ac:dyDescent="0.3">
      <c r="A154" s="5">
        <f t="shared" si="35"/>
        <v>152</v>
      </c>
      <c r="B154" s="4">
        <f t="shared" si="35"/>
        <v>333</v>
      </c>
      <c r="C154" s="8">
        <v>150</v>
      </c>
      <c r="D154" s="4">
        <f t="shared" si="39"/>
        <v>497</v>
      </c>
      <c r="E154" s="4">
        <v>0.6</v>
      </c>
      <c r="F154" s="4">
        <f t="shared" si="38"/>
        <v>0.99999999999999989</v>
      </c>
      <c r="G154" s="9">
        <f t="shared" si="30"/>
        <v>76890</v>
      </c>
      <c r="H154" s="10">
        <f t="shared" si="40"/>
        <v>4</v>
      </c>
      <c r="K154" s="4">
        <f t="shared" si="31"/>
        <v>76890</v>
      </c>
      <c r="L154" s="4">
        <f t="shared" si="32"/>
        <v>333</v>
      </c>
      <c r="M154" s="4">
        <f t="shared" si="33"/>
        <v>150</v>
      </c>
      <c r="N154" s="4">
        <f t="shared" si="34"/>
        <v>497</v>
      </c>
      <c r="O154" s="4">
        <f>SUM($G$3:G154)</f>
        <v>3959800</v>
      </c>
    </row>
    <row r="155" spans="1:15" x14ac:dyDescent="0.3">
      <c r="A155" s="5">
        <f t="shared" si="35"/>
        <v>153</v>
      </c>
      <c r="B155" s="4">
        <f t="shared" si="35"/>
        <v>334</v>
      </c>
      <c r="C155" s="8">
        <v>150</v>
      </c>
      <c r="D155" s="4">
        <f t="shared" si="39"/>
        <v>499</v>
      </c>
      <c r="E155" s="4">
        <v>0.6</v>
      </c>
      <c r="F155" s="4">
        <f t="shared" si="38"/>
        <v>0.99999999999999989</v>
      </c>
      <c r="G155" s="9">
        <f t="shared" si="30"/>
        <v>77910</v>
      </c>
      <c r="H155" s="10">
        <f t="shared" si="40"/>
        <v>4</v>
      </c>
      <c r="K155" s="4">
        <f t="shared" si="31"/>
        <v>77910</v>
      </c>
      <c r="L155" s="4">
        <f t="shared" si="32"/>
        <v>334</v>
      </c>
      <c r="M155" s="4">
        <f t="shared" si="33"/>
        <v>150</v>
      </c>
      <c r="N155" s="4">
        <f t="shared" si="34"/>
        <v>499</v>
      </c>
      <c r="O155" s="4">
        <f>SUM($G$3:G155)</f>
        <v>4037710</v>
      </c>
    </row>
    <row r="156" spans="1:15" x14ac:dyDescent="0.3">
      <c r="A156" s="5">
        <f t="shared" si="35"/>
        <v>154</v>
      </c>
      <c r="B156" s="4">
        <f t="shared" si="35"/>
        <v>335</v>
      </c>
      <c r="C156" s="8">
        <v>150</v>
      </c>
      <c r="D156" s="4">
        <f t="shared" si="39"/>
        <v>501</v>
      </c>
      <c r="E156" s="4">
        <v>0.6</v>
      </c>
      <c r="F156" s="4">
        <f t="shared" si="38"/>
        <v>0.99999999999999989</v>
      </c>
      <c r="G156" s="9">
        <f t="shared" si="30"/>
        <v>78930</v>
      </c>
      <c r="H156" s="10">
        <f t="shared" si="40"/>
        <v>4</v>
      </c>
      <c r="K156" s="4">
        <f t="shared" si="31"/>
        <v>78930</v>
      </c>
      <c r="L156" s="4">
        <f t="shared" si="32"/>
        <v>335</v>
      </c>
      <c r="M156" s="4">
        <f t="shared" si="33"/>
        <v>150</v>
      </c>
      <c r="N156" s="4">
        <f t="shared" si="34"/>
        <v>501</v>
      </c>
      <c r="O156" s="4">
        <f>SUM($G$3:G156)</f>
        <v>4116640</v>
      </c>
    </row>
    <row r="157" spans="1:15" x14ac:dyDescent="0.3">
      <c r="A157" s="5">
        <f t="shared" si="35"/>
        <v>155</v>
      </c>
      <c r="B157" s="4">
        <f t="shared" si="35"/>
        <v>336</v>
      </c>
      <c r="C157" s="8">
        <v>150</v>
      </c>
      <c r="D157" s="4">
        <f t="shared" si="39"/>
        <v>503</v>
      </c>
      <c r="E157" s="4">
        <v>0.6</v>
      </c>
      <c r="F157" s="4">
        <f t="shared" si="38"/>
        <v>0.99999999999999989</v>
      </c>
      <c r="G157" s="9">
        <f t="shared" si="30"/>
        <v>79960</v>
      </c>
      <c r="H157" s="10">
        <f t="shared" si="40"/>
        <v>4</v>
      </c>
      <c r="K157" s="4">
        <f t="shared" si="31"/>
        <v>79960</v>
      </c>
      <c r="L157" s="4">
        <f t="shared" si="32"/>
        <v>336</v>
      </c>
      <c r="M157" s="4">
        <f t="shared" si="33"/>
        <v>150</v>
      </c>
      <c r="N157" s="4">
        <f t="shared" si="34"/>
        <v>503</v>
      </c>
      <c r="O157" s="4">
        <f>SUM($G$3:G157)</f>
        <v>4196600</v>
      </c>
    </row>
    <row r="158" spans="1:15" x14ac:dyDescent="0.3">
      <c r="A158" s="5">
        <f t="shared" si="35"/>
        <v>156</v>
      </c>
      <c r="B158" s="4">
        <f t="shared" si="35"/>
        <v>337</v>
      </c>
      <c r="C158" s="8">
        <v>150</v>
      </c>
      <c r="D158" s="4">
        <f t="shared" si="39"/>
        <v>505</v>
      </c>
      <c r="E158" s="4">
        <v>0.6</v>
      </c>
      <c r="F158" s="4">
        <f t="shared" si="38"/>
        <v>0.99999999999999989</v>
      </c>
      <c r="G158" s="9">
        <f t="shared" si="30"/>
        <v>80990</v>
      </c>
      <c r="H158" s="10">
        <f t="shared" si="40"/>
        <v>4</v>
      </c>
      <c r="K158" s="4">
        <f t="shared" si="31"/>
        <v>80990</v>
      </c>
      <c r="L158" s="4">
        <f t="shared" si="32"/>
        <v>337</v>
      </c>
      <c r="M158" s="4">
        <f t="shared" si="33"/>
        <v>150</v>
      </c>
      <c r="N158" s="4">
        <f t="shared" si="34"/>
        <v>505</v>
      </c>
      <c r="O158" s="4">
        <f>SUM($G$3:G158)</f>
        <v>4277590</v>
      </c>
    </row>
    <row r="159" spans="1:15" x14ac:dyDescent="0.3">
      <c r="A159" s="5">
        <f t="shared" si="35"/>
        <v>157</v>
      </c>
      <c r="B159" s="4">
        <f t="shared" si="35"/>
        <v>338</v>
      </c>
      <c r="C159" s="8">
        <v>150</v>
      </c>
      <c r="D159" s="4">
        <f t="shared" si="39"/>
        <v>507</v>
      </c>
      <c r="E159" s="4">
        <v>0.6</v>
      </c>
      <c r="F159" s="4">
        <f t="shared" si="38"/>
        <v>0.99999999999999989</v>
      </c>
      <c r="G159" s="9">
        <f t="shared" si="30"/>
        <v>82030</v>
      </c>
      <c r="H159" s="10">
        <f t="shared" si="40"/>
        <v>4</v>
      </c>
      <c r="K159" s="4">
        <f t="shared" si="31"/>
        <v>82030</v>
      </c>
      <c r="L159" s="4">
        <f t="shared" si="32"/>
        <v>338</v>
      </c>
      <c r="M159" s="4">
        <f t="shared" si="33"/>
        <v>150</v>
      </c>
      <c r="N159" s="4">
        <f t="shared" si="34"/>
        <v>507</v>
      </c>
      <c r="O159" s="4">
        <f>SUM($G$3:G159)</f>
        <v>4359620</v>
      </c>
    </row>
    <row r="160" spans="1:15" x14ac:dyDescent="0.3">
      <c r="A160" s="5">
        <f t="shared" si="35"/>
        <v>158</v>
      </c>
      <c r="B160" s="4">
        <f t="shared" si="35"/>
        <v>339</v>
      </c>
      <c r="C160" s="8">
        <v>150</v>
      </c>
      <c r="D160" s="4">
        <f t="shared" si="39"/>
        <v>509</v>
      </c>
      <c r="E160" s="4">
        <v>0.6</v>
      </c>
      <c r="F160" s="4">
        <f t="shared" si="38"/>
        <v>0.99999999999999989</v>
      </c>
      <c r="G160" s="9">
        <f t="shared" si="30"/>
        <v>83080</v>
      </c>
      <c r="H160" s="10">
        <f t="shared" si="40"/>
        <v>4</v>
      </c>
      <c r="K160" s="4">
        <f t="shared" si="31"/>
        <v>83080</v>
      </c>
      <c r="L160" s="4">
        <f t="shared" si="32"/>
        <v>339</v>
      </c>
      <c r="M160" s="4">
        <f t="shared" si="33"/>
        <v>150</v>
      </c>
      <c r="N160" s="4">
        <f t="shared" si="34"/>
        <v>509</v>
      </c>
      <c r="O160" s="4">
        <f>SUM($G$3:G160)</f>
        <v>4442700</v>
      </c>
    </row>
    <row r="161" spans="1:15" x14ac:dyDescent="0.3">
      <c r="A161" s="5">
        <f t="shared" si="35"/>
        <v>159</v>
      </c>
      <c r="B161" s="4">
        <f t="shared" si="35"/>
        <v>340</v>
      </c>
      <c r="C161" s="8">
        <v>150</v>
      </c>
      <c r="D161" s="4">
        <f t="shared" si="39"/>
        <v>511</v>
      </c>
      <c r="E161" s="4">
        <v>0.6</v>
      </c>
      <c r="F161" s="4">
        <f t="shared" si="38"/>
        <v>0.99999999999999989</v>
      </c>
      <c r="G161" s="9">
        <f t="shared" si="30"/>
        <v>84140</v>
      </c>
      <c r="H161" s="10">
        <f t="shared" si="40"/>
        <v>4</v>
      </c>
      <c r="K161" s="4">
        <f t="shared" si="31"/>
        <v>84140</v>
      </c>
      <c r="L161" s="4">
        <f t="shared" si="32"/>
        <v>340</v>
      </c>
      <c r="M161" s="4">
        <f t="shared" si="33"/>
        <v>150</v>
      </c>
      <c r="N161" s="4">
        <f t="shared" si="34"/>
        <v>511</v>
      </c>
      <c r="O161" s="4">
        <f>SUM($G$3:G161)</f>
        <v>4526840</v>
      </c>
    </row>
    <row r="162" spans="1:15" x14ac:dyDescent="0.3">
      <c r="A162" s="5">
        <f t="shared" si="35"/>
        <v>160</v>
      </c>
      <c r="B162" s="4">
        <f t="shared" si="35"/>
        <v>341</v>
      </c>
      <c r="C162" s="8">
        <v>150</v>
      </c>
      <c r="D162" s="4">
        <f t="shared" si="39"/>
        <v>513</v>
      </c>
      <c r="E162" s="4">
        <v>0.6</v>
      </c>
      <c r="F162" s="4">
        <f t="shared" si="38"/>
        <v>1.0999999999999999</v>
      </c>
      <c r="G162" s="9">
        <f t="shared" si="30"/>
        <v>85200</v>
      </c>
      <c r="H162" s="10">
        <f t="shared" si="40"/>
        <v>5</v>
      </c>
      <c r="K162" s="4">
        <f t="shared" si="31"/>
        <v>85200</v>
      </c>
      <c r="L162" s="4">
        <f t="shared" si="32"/>
        <v>341</v>
      </c>
      <c r="M162" s="4">
        <f t="shared" si="33"/>
        <v>150</v>
      </c>
      <c r="N162" s="4">
        <f t="shared" si="34"/>
        <v>513</v>
      </c>
      <c r="O162" s="4">
        <f>SUM($G$3:G162)</f>
        <v>4612040</v>
      </c>
    </row>
    <row r="163" spans="1:15" x14ac:dyDescent="0.3">
      <c r="A163" s="5">
        <f t="shared" si="35"/>
        <v>161</v>
      </c>
      <c r="B163" s="4">
        <f>B162+5</f>
        <v>346</v>
      </c>
      <c r="C163" s="8">
        <v>150</v>
      </c>
      <c r="D163" s="4">
        <f t="shared" si="39"/>
        <v>515</v>
      </c>
      <c r="E163" s="4">
        <v>0.6</v>
      </c>
      <c r="F163" s="4">
        <f t="shared" si="38"/>
        <v>1.0999999999999999</v>
      </c>
      <c r="G163" s="9">
        <f t="shared" si="30"/>
        <v>86270</v>
      </c>
      <c r="H163" s="10">
        <f t="shared" si="40"/>
        <v>5</v>
      </c>
      <c r="K163" s="4">
        <f t="shared" si="31"/>
        <v>86270</v>
      </c>
      <c r="L163" s="4">
        <f t="shared" si="32"/>
        <v>346</v>
      </c>
      <c r="M163" s="4">
        <f t="shared" si="33"/>
        <v>150</v>
      </c>
      <c r="N163" s="4">
        <f t="shared" si="34"/>
        <v>515</v>
      </c>
      <c r="O163" s="4">
        <f>SUM($G$3:G163)</f>
        <v>4698310</v>
      </c>
    </row>
    <row r="164" spans="1:15" x14ac:dyDescent="0.3">
      <c r="A164" s="5">
        <f t="shared" si="35"/>
        <v>162</v>
      </c>
      <c r="B164" s="4">
        <f t="shared" ref="B164:B171" si="41">B163+5</f>
        <v>351</v>
      </c>
      <c r="C164" s="8">
        <v>150</v>
      </c>
      <c r="D164" s="4">
        <f t="shared" si="39"/>
        <v>517</v>
      </c>
      <c r="E164" s="4">
        <v>0.6</v>
      </c>
      <c r="F164" s="4">
        <f t="shared" si="38"/>
        <v>1.0999999999999999</v>
      </c>
      <c r="G164" s="9">
        <f t="shared" si="30"/>
        <v>87340</v>
      </c>
      <c r="H164" s="10">
        <f t="shared" si="40"/>
        <v>5</v>
      </c>
      <c r="K164" s="4">
        <f t="shared" si="31"/>
        <v>87340</v>
      </c>
      <c r="L164" s="4">
        <f t="shared" si="32"/>
        <v>351</v>
      </c>
      <c r="M164" s="4">
        <f t="shared" si="33"/>
        <v>150</v>
      </c>
      <c r="N164" s="4">
        <f t="shared" si="34"/>
        <v>517</v>
      </c>
      <c r="O164" s="4">
        <f>SUM($G$3:G164)</f>
        <v>4785650</v>
      </c>
    </row>
    <row r="165" spans="1:15" x14ac:dyDescent="0.3">
      <c r="A165" s="5">
        <f t="shared" si="35"/>
        <v>163</v>
      </c>
      <c r="B165" s="4">
        <f t="shared" si="41"/>
        <v>356</v>
      </c>
      <c r="C165" s="8">
        <v>150</v>
      </c>
      <c r="D165" s="4">
        <f t="shared" si="39"/>
        <v>519</v>
      </c>
      <c r="E165" s="4">
        <v>0.6</v>
      </c>
      <c r="F165" s="4">
        <f t="shared" si="38"/>
        <v>1.0999999999999999</v>
      </c>
      <c r="G165" s="9">
        <f t="shared" si="30"/>
        <v>88420</v>
      </c>
      <c r="H165" s="10">
        <f t="shared" si="40"/>
        <v>5</v>
      </c>
      <c r="K165" s="4">
        <f t="shared" si="31"/>
        <v>88420</v>
      </c>
      <c r="L165" s="4">
        <f t="shared" si="32"/>
        <v>356</v>
      </c>
      <c r="M165" s="4">
        <f t="shared" si="33"/>
        <v>150</v>
      </c>
      <c r="N165" s="4">
        <f t="shared" si="34"/>
        <v>519</v>
      </c>
      <c r="O165" s="4">
        <f>SUM($G$3:G165)</f>
        <v>4874070</v>
      </c>
    </row>
    <row r="166" spans="1:15" x14ac:dyDescent="0.3">
      <c r="A166" s="5">
        <f t="shared" si="35"/>
        <v>164</v>
      </c>
      <c r="B166" s="4">
        <f t="shared" si="41"/>
        <v>361</v>
      </c>
      <c r="C166" s="8">
        <v>150</v>
      </c>
      <c r="D166" s="4">
        <f t="shared" si="39"/>
        <v>521</v>
      </c>
      <c r="E166" s="4">
        <v>0.6</v>
      </c>
      <c r="F166" s="4">
        <f t="shared" si="38"/>
        <v>1.0999999999999999</v>
      </c>
      <c r="G166" s="9">
        <f t="shared" si="30"/>
        <v>89510</v>
      </c>
      <c r="H166" s="10">
        <f t="shared" si="40"/>
        <v>5</v>
      </c>
      <c r="K166" s="4">
        <f t="shared" si="31"/>
        <v>89510</v>
      </c>
      <c r="L166" s="4">
        <f t="shared" si="32"/>
        <v>361</v>
      </c>
      <c r="M166" s="4">
        <f t="shared" si="33"/>
        <v>150</v>
      </c>
      <c r="N166" s="4">
        <f t="shared" si="34"/>
        <v>521</v>
      </c>
      <c r="O166" s="4">
        <f>SUM($G$3:G166)</f>
        <v>4963580</v>
      </c>
    </row>
    <row r="167" spans="1:15" x14ac:dyDescent="0.3">
      <c r="A167" s="5">
        <f t="shared" si="35"/>
        <v>165</v>
      </c>
      <c r="B167" s="4">
        <f t="shared" si="41"/>
        <v>366</v>
      </c>
      <c r="C167" s="8">
        <v>150</v>
      </c>
      <c r="D167" s="4">
        <f t="shared" si="39"/>
        <v>523</v>
      </c>
      <c r="E167" s="4">
        <v>0.6</v>
      </c>
      <c r="F167" s="4">
        <f t="shared" si="38"/>
        <v>1.0999999999999999</v>
      </c>
      <c r="G167" s="9">
        <f t="shared" si="30"/>
        <v>90610</v>
      </c>
      <c r="H167" s="10">
        <f t="shared" si="40"/>
        <v>5</v>
      </c>
      <c r="K167" s="4">
        <f t="shared" si="31"/>
        <v>90610</v>
      </c>
      <c r="L167" s="4">
        <f t="shared" si="32"/>
        <v>366</v>
      </c>
      <c r="M167" s="4">
        <f t="shared" si="33"/>
        <v>150</v>
      </c>
      <c r="N167" s="4">
        <f t="shared" si="34"/>
        <v>523</v>
      </c>
      <c r="O167" s="4">
        <f>SUM($G$3:G167)</f>
        <v>5054190</v>
      </c>
    </row>
    <row r="168" spans="1:15" x14ac:dyDescent="0.3">
      <c r="A168" s="5">
        <f t="shared" si="35"/>
        <v>166</v>
      </c>
      <c r="B168" s="4">
        <f t="shared" si="41"/>
        <v>371</v>
      </c>
      <c r="C168" s="8">
        <v>150</v>
      </c>
      <c r="D168" s="4">
        <f t="shared" si="39"/>
        <v>525</v>
      </c>
      <c r="E168" s="4">
        <v>0.6</v>
      </c>
      <c r="F168" s="4">
        <f t="shared" si="38"/>
        <v>1.0999999999999999</v>
      </c>
      <c r="G168" s="9">
        <f t="shared" si="30"/>
        <v>91710</v>
      </c>
      <c r="H168" s="10">
        <f t="shared" si="40"/>
        <v>5</v>
      </c>
      <c r="K168" s="4">
        <f t="shared" si="31"/>
        <v>91710</v>
      </c>
      <c r="L168" s="4">
        <f t="shared" si="32"/>
        <v>371</v>
      </c>
      <c r="M168" s="4">
        <f t="shared" si="33"/>
        <v>150</v>
      </c>
      <c r="N168" s="4">
        <f t="shared" si="34"/>
        <v>525</v>
      </c>
      <c r="O168" s="4">
        <f>SUM($G$3:G168)</f>
        <v>5145900</v>
      </c>
    </row>
    <row r="169" spans="1:15" x14ac:dyDescent="0.3">
      <c r="A169" s="5">
        <f t="shared" si="35"/>
        <v>167</v>
      </c>
      <c r="B169" s="4">
        <f t="shared" si="41"/>
        <v>376</v>
      </c>
      <c r="C169" s="8">
        <v>150</v>
      </c>
      <c r="D169" s="4">
        <f t="shared" si="39"/>
        <v>527</v>
      </c>
      <c r="E169" s="4">
        <v>0.6</v>
      </c>
      <c r="F169" s="4">
        <f t="shared" si="38"/>
        <v>1.0999999999999999</v>
      </c>
      <c r="G169" s="9">
        <f t="shared" si="30"/>
        <v>92820</v>
      </c>
      <c r="H169" s="10">
        <f t="shared" si="40"/>
        <v>5</v>
      </c>
      <c r="K169" s="4">
        <f t="shared" si="31"/>
        <v>92820</v>
      </c>
      <c r="L169" s="4">
        <f t="shared" si="32"/>
        <v>376</v>
      </c>
      <c r="M169" s="4">
        <f t="shared" si="33"/>
        <v>150</v>
      </c>
      <c r="N169" s="4">
        <f t="shared" si="34"/>
        <v>527</v>
      </c>
      <c r="O169" s="4">
        <f>SUM($G$3:G169)</f>
        <v>5238720</v>
      </c>
    </row>
    <row r="170" spans="1:15" x14ac:dyDescent="0.3">
      <c r="A170" s="5">
        <f t="shared" si="35"/>
        <v>168</v>
      </c>
      <c r="B170" s="4">
        <f t="shared" si="41"/>
        <v>381</v>
      </c>
      <c r="C170" s="8">
        <v>150</v>
      </c>
      <c r="D170" s="4">
        <f t="shared" si="39"/>
        <v>529</v>
      </c>
      <c r="E170" s="4">
        <v>0.6</v>
      </c>
      <c r="F170" s="4">
        <f t="shared" si="38"/>
        <v>1.0999999999999999</v>
      </c>
      <c r="G170" s="9">
        <f t="shared" si="30"/>
        <v>93940</v>
      </c>
      <c r="H170" s="10">
        <f t="shared" si="40"/>
        <v>5</v>
      </c>
      <c r="K170" s="4">
        <f t="shared" si="31"/>
        <v>93940</v>
      </c>
      <c r="L170" s="4">
        <f t="shared" si="32"/>
        <v>381</v>
      </c>
      <c r="M170" s="4">
        <f t="shared" si="33"/>
        <v>150</v>
      </c>
      <c r="N170" s="4">
        <f t="shared" si="34"/>
        <v>529</v>
      </c>
      <c r="O170" s="4">
        <f>SUM($G$3:G170)</f>
        <v>5332660</v>
      </c>
    </row>
    <row r="171" spans="1:15" x14ac:dyDescent="0.3">
      <c r="A171" s="5">
        <f t="shared" si="35"/>
        <v>169</v>
      </c>
      <c r="B171" s="4">
        <f t="shared" si="41"/>
        <v>386</v>
      </c>
      <c r="C171" s="8">
        <v>150</v>
      </c>
      <c r="D171" s="4">
        <f t="shared" si="39"/>
        <v>531</v>
      </c>
      <c r="E171" s="4">
        <v>0.6</v>
      </c>
      <c r="F171" s="4">
        <f t="shared" si="38"/>
        <v>1.0999999999999999</v>
      </c>
      <c r="G171" s="9">
        <f t="shared" si="30"/>
        <v>95060</v>
      </c>
      <c r="H171" s="10">
        <f t="shared" si="40"/>
        <v>5</v>
      </c>
      <c r="K171" s="4">
        <f t="shared" si="31"/>
        <v>95060</v>
      </c>
      <c r="L171" s="4">
        <f t="shared" si="32"/>
        <v>386</v>
      </c>
      <c r="M171" s="4">
        <f t="shared" si="33"/>
        <v>150</v>
      </c>
      <c r="N171" s="4">
        <f t="shared" si="34"/>
        <v>531</v>
      </c>
      <c r="O171" s="4">
        <f>SUM($G$3:G171)</f>
        <v>5427720</v>
      </c>
    </row>
    <row r="172" spans="1:15" x14ac:dyDescent="0.3">
      <c r="A172" s="5">
        <f t="shared" si="35"/>
        <v>170</v>
      </c>
      <c r="B172" s="4">
        <f>B171+4</f>
        <v>390</v>
      </c>
      <c r="C172" s="8">
        <v>150</v>
      </c>
      <c r="D172" s="4">
        <f t="shared" si="39"/>
        <v>533</v>
      </c>
      <c r="E172" s="4">
        <v>0.6</v>
      </c>
      <c r="F172" s="4">
        <f t="shared" si="38"/>
        <v>1.0999999999999999</v>
      </c>
      <c r="G172" s="9">
        <f t="shared" si="30"/>
        <v>96190</v>
      </c>
      <c r="H172" s="10">
        <f t="shared" si="40"/>
        <v>6</v>
      </c>
      <c r="K172" s="4">
        <f t="shared" si="31"/>
        <v>96190</v>
      </c>
      <c r="L172" s="4">
        <f t="shared" si="32"/>
        <v>390</v>
      </c>
      <c r="M172" s="4">
        <f t="shared" si="33"/>
        <v>150</v>
      </c>
      <c r="N172" s="4">
        <f t="shared" si="34"/>
        <v>533</v>
      </c>
      <c r="O172" s="4">
        <f>SUM($G$3:G172)</f>
        <v>5523910</v>
      </c>
    </row>
    <row r="173" spans="1:15" x14ac:dyDescent="0.3">
      <c r="A173" s="5">
        <f t="shared" si="35"/>
        <v>171</v>
      </c>
      <c r="B173" s="4">
        <f t="shared" ref="B173:B181" si="42">B172+4</f>
        <v>394</v>
      </c>
      <c r="C173" s="8">
        <v>150</v>
      </c>
      <c r="D173" s="4">
        <f t="shared" si="39"/>
        <v>535</v>
      </c>
      <c r="E173" s="4">
        <v>0.6</v>
      </c>
      <c r="F173" s="4">
        <f t="shared" si="38"/>
        <v>1.0999999999999999</v>
      </c>
      <c r="G173" s="9">
        <f t="shared" si="30"/>
        <v>97320</v>
      </c>
      <c r="H173" s="10">
        <f t="shared" si="40"/>
        <v>6</v>
      </c>
      <c r="K173" s="4">
        <f t="shared" si="31"/>
        <v>97320</v>
      </c>
      <c r="L173" s="4">
        <f t="shared" si="32"/>
        <v>394</v>
      </c>
      <c r="M173" s="4">
        <f t="shared" si="33"/>
        <v>150</v>
      </c>
      <c r="N173" s="4">
        <f t="shared" si="34"/>
        <v>535</v>
      </c>
      <c r="O173" s="4">
        <f>SUM($G$3:G173)</f>
        <v>5621230</v>
      </c>
    </row>
    <row r="174" spans="1:15" x14ac:dyDescent="0.3">
      <c r="A174" s="5">
        <f t="shared" si="35"/>
        <v>172</v>
      </c>
      <c r="B174" s="4">
        <f t="shared" si="42"/>
        <v>398</v>
      </c>
      <c r="C174" s="8">
        <v>150</v>
      </c>
      <c r="D174" s="4">
        <f t="shared" si="39"/>
        <v>537</v>
      </c>
      <c r="E174" s="4">
        <v>0.6</v>
      </c>
      <c r="F174" s="4">
        <f t="shared" si="38"/>
        <v>1.0999999999999999</v>
      </c>
      <c r="G174" s="9">
        <f t="shared" si="30"/>
        <v>98460</v>
      </c>
      <c r="H174" s="10">
        <f t="shared" si="40"/>
        <v>6</v>
      </c>
      <c r="K174" s="4">
        <f t="shared" si="31"/>
        <v>98460</v>
      </c>
      <c r="L174" s="4">
        <f t="shared" si="32"/>
        <v>398</v>
      </c>
      <c r="M174" s="4">
        <f t="shared" si="33"/>
        <v>150</v>
      </c>
      <c r="N174" s="4">
        <f t="shared" si="34"/>
        <v>537</v>
      </c>
      <c r="O174" s="4">
        <f>SUM($G$3:G174)</f>
        <v>5719690</v>
      </c>
    </row>
    <row r="175" spans="1:15" x14ac:dyDescent="0.3">
      <c r="A175" s="5">
        <f t="shared" si="35"/>
        <v>173</v>
      </c>
      <c r="B175" s="4">
        <f t="shared" si="42"/>
        <v>402</v>
      </c>
      <c r="C175" s="8">
        <v>150</v>
      </c>
      <c r="D175" s="4">
        <f t="shared" si="39"/>
        <v>539</v>
      </c>
      <c r="E175" s="4">
        <v>0.6</v>
      </c>
      <c r="F175" s="4">
        <f t="shared" si="38"/>
        <v>1.0999999999999999</v>
      </c>
      <c r="G175" s="9">
        <f t="shared" si="30"/>
        <v>99610</v>
      </c>
      <c r="H175" s="10">
        <f t="shared" si="40"/>
        <v>6</v>
      </c>
      <c r="K175" s="4">
        <f t="shared" si="31"/>
        <v>99610</v>
      </c>
      <c r="L175" s="4">
        <f t="shared" si="32"/>
        <v>402</v>
      </c>
      <c r="M175" s="4">
        <f t="shared" si="33"/>
        <v>150</v>
      </c>
      <c r="N175" s="4">
        <f t="shared" si="34"/>
        <v>539</v>
      </c>
      <c r="O175" s="4">
        <f>SUM($G$3:G175)</f>
        <v>5819300</v>
      </c>
    </row>
    <row r="176" spans="1:15" x14ac:dyDescent="0.3">
      <c r="A176" s="5">
        <f t="shared" si="35"/>
        <v>174</v>
      </c>
      <c r="B176" s="4">
        <f t="shared" si="42"/>
        <v>406</v>
      </c>
      <c r="C176" s="8">
        <v>150</v>
      </c>
      <c r="D176" s="4">
        <f t="shared" si="39"/>
        <v>541</v>
      </c>
      <c r="E176" s="4">
        <v>0.6</v>
      </c>
      <c r="F176" s="4">
        <f t="shared" si="38"/>
        <v>1.0999999999999999</v>
      </c>
      <c r="G176" s="9">
        <f t="shared" si="30"/>
        <v>100770</v>
      </c>
      <c r="H176" s="10">
        <f t="shared" si="40"/>
        <v>6</v>
      </c>
      <c r="K176" s="4">
        <f t="shared" si="31"/>
        <v>100770</v>
      </c>
      <c r="L176" s="4">
        <f t="shared" si="32"/>
        <v>406</v>
      </c>
      <c r="M176" s="4">
        <f t="shared" si="33"/>
        <v>150</v>
      </c>
      <c r="N176" s="4">
        <f t="shared" si="34"/>
        <v>541</v>
      </c>
      <c r="O176" s="4">
        <f>SUM($G$3:G176)</f>
        <v>5920070</v>
      </c>
    </row>
    <row r="177" spans="1:15" x14ac:dyDescent="0.3">
      <c r="A177" s="5">
        <f t="shared" si="35"/>
        <v>175</v>
      </c>
      <c r="B177" s="4">
        <f t="shared" si="42"/>
        <v>410</v>
      </c>
      <c r="C177" s="8">
        <v>150</v>
      </c>
      <c r="D177" s="4">
        <f t="shared" si="39"/>
        <v>543</v>
      </c>
      <c r="E177" s="4">
        <v>0.6</v>
      </c>
      <c r="F177" s="4">
        <f t="shared" si="38"/>
        <v>1.0999999999999999</v>
      </c>
      <c r="G177" s="9">
        <f t="shared" si="30"/>
        <v>101930</v>
      </c>
      <c r="H177" s="10">
        <f t="shared" si="40"/>
        <v>6</v>
      </c>
      <c r="K177" s="4">
        <f t="shared" si="31"/>
        <v>101930</v>
      </c>
      <c r="L177" s="4">
        <f t="shared" si="32"/>
        <v>410</v>
      </c>
      <c r="M177" s="4">
        <f t="shared" si="33"/>
        <v>150</v>
      </c>
      <c r="N177" s="4">
        <f t="shared" si="34"/>
        <v>543</v>
      </c>
      <c r="O177" s="4">
        <f>SUM($G$3:G177)</f>
        <v>6022000</v>
      </c>
    </row>
    <row r="178" spans="1:15" x14ac:dyDescent="0.3">
      <c r="A178" s="5">
        <f t="shared" si="35"/>
        <v>176</v>
      </c>
      <c r="B178" s="4">
        <f t="shared" si="42"/>
        <v>414</v>
      </c>
      <c r="C178" s="8">
        <v>150</v>
      </c>
      <c r="D178" s="4">
        <f t="shared" si="39"/>
        <v>545</v>
      </c>
      <c r="E178" s="4">
        <v>0.6</v>
      </c>
      <c r="F178" s="4">
        <f t="shared" si="38"/>
        <v>1.0999999999999999</v>
      </c>
      <c r="G178" s="9">
        <f t="shared" si="30"/>
        <v>103100</v>
      </c>
      <c r="H178" s="10">
        <f t="shared" si="40"/>
        <v>6</v>
      </c>
      <c r="K178" s="4">
        <f t="shared" si="31"/>
        <v>103100</v>
      </c>
      <c r="L178" s="4">
        <f t="shared" si="32"/>
        <v>414</v>
      </c>
      <c r="M178" s="4">
        <f t="shared" si="33"/>
        <v>150</v>
      </c>
      <c r="N178" s="4">
        <f t="shared" si="34"/>
        <v>545</v>
      </c>
      <c r="O178" s="4">
        <f>SUM($G$3:G178)</f>
        <v>6125100</v>
      </c>
    </row>
    <row r="179" spans="1:15" x14ac:dyDescent="0.3">
      <c r="A179" s="5">
        <f t="shared" si="35"/>
        <v>177</v>
      </c>
      <c r="B179" s="4">
        <f t="shared" si="42"/>
        <v>418</v>
      </c>
      <c r="C179" s="8">
        <v>150</v>
      </c>
      <c r="D179" s="4">
        <f t="shared" si="39"/>
        <v>547</v>
      </c>
      <c r="E179" s="4">
        <v>0.6</v>
      </c>
      <c r="F179" s="4">
        <f t="shared" si="38"/>
        <v>1.0999999999999999</v>
      </c>
      <c r="G179" s="9">
        <f t="shared" si="30"/>
        <v>104280</v>
      </c>
      <c r="H179" s="10">
        <f t="shared" si="40"/>
        <v>6</v>
      </c>
      <c r="K179" s="4">
        <f t="shared" si="31"/>
        <v>104280</v>
      </c>
      <c r="L179" s="4">
        <f t="shared" si="32"/>
        <v>418</v>
      </c>
      <c r="M179" s="4">
        <f t="shared" si="33"/>
        <v>150</v>
      </c>
      <c r="N179" s="4">
        <f t="shared" si="34"/>
        <v>547</v>
      </c>
      <c r="O179" s="4">
        <f>SUM($G$3:G179)</f>
        <v>6229380</v>
      </c>
    </row>
    <row r="180" spans="1:15" x14ac:dyDescent="0.3">
      <c r="A180" s="5">
        <f t="shared" si="35"/>
        <v>178</v>
      </c>
      <c r="B180" s="4">
        <f t="shared" si="42"/>
        <v>422</v>
      </c>
      <c r="C180" s="8">
        <v>150</v>
      </c>
      <c r="D180" s="4">
        <f t="shared" si="39"/>
        <v>549</v>
      </c>
      <c r="E180" s="4">
        <v>0.6</v>
      </c>
      <c r="F180" s="4">
        <f t="shared" si="38"/>
        <v>1.0999999999999999</v>
      </c>
      <c r="G180" s="9">
        <f t="shared" si="30"/>
        <v>105460</v>
      </c>
      <c r="H180" s="10">
        <f t="shared" si="40"/>
        <v>6</v>
      </c>
      <c r="K180" s="4">
        <f t="shared" si="31"/>
        <v>105460</v>
      </c>
      <c r="L180" s="4">
        <f t="shared" si="32"/>
        <v>422</v>
      </c>
      <c r="M180" s="4">
        <f t="shared" si="33"/>
        <v>150</v>
      </c>
      <c r="N180" s="4">
        <f t="shared" si="34"/>
        <v>549</v>
      </c>
      <c r="O180" s="4">
        <f>SUM($G$3:G180)</f>
        <v>6334840</v>
      </c>
    </row>
    <row r="181" spans="1:15" x14ac:dyDescent="0.3">
      <c r="A181" s="5">
        <f t="shared" si="35"/>
        <v>179</v>
      </c>
      <c r="B181" s="4">
        <f t="shared" si="42"/>
        <v>426</v>
      </c>
      <c r="C181" s="8">
        <v>150</v>
      </c>
      <c r="D181" s="4">
        <f t="shared" si="39"/>
        <v>551</v>
      </c>
      <c r="E181" s="4">
        <v>0.6</v>
      </c>
      <c r="F181" s="4">
        <f t="shared" si="38"/>
        <v>1.0999999999999999</v>
      </c>
      <c r="G181" s="9">
        <f t="shared" si="30"/>
        <v>106650</v>
      </c>
      <c r="H181" s="10">
        <f t="shared" si="40"/>
        <v>6</v>
      </c>
      <c r="K181" s="4">
        <f t="shared" si="31"/>
        <v>106650</v>
      </c>
      <c r="L181" s="4">
        <f t="shared" si="32"/>
        <v>426</v>
      </c>
      <c r="M181" s="4">
        <f t="shared" si="33"/>
        <v>150</v>
      </c>
      <c r="N181" s="4">
        <f t="shared" si="34"/>
        <v>551</v>
      </c>
      <c r="O181" s="4">
        <f>SUM($G$3:G181)</f>
        <v>6441490</v>
      </c>
    </row>
    <row r="182" spans="1:15" x14ac:dyDescent="0.3">
      <c r="A182" s="5">
        <f t="shared" si="35"/>
        <v>180</v>
      </c>
      <c r="B182" s="4">
        <f>B181+3</f>
        <v>429</v>
      </c>
      <c r="C182" s="8">
        <v>150</v>
      </c>
      <c r="D182" s="4">
        <f t="shared" si="39"/>
        <v>553</v>
      </c>
      <c r="E182" s="4">
        <v>0.6</v>
      </c>
      <c r="F182" s="4">
        <f t="shared" si="38"/>
        <v>1.2</v>
      </c>
      <c r="G182" s="9">
        <f t="shared" si="30"/>
        <v>107840</v>
      </c>
      <c r="H182" s="10">
        <f t="shared" si="40"/>
        <v>7</v>
      </c>
      <c r="K182" s="4">
        <f t="shared" si="31"/>
        <v>107840</v>
      </c>
      <c r="L182" s="4">
        <f t="shared" si="32"/>
        <v>429</v>
      </c>
      <c r="M182" s="4">
        <f t="shared" si="33"/>
        <v>150</v>
      </c>
      <c r="N182" s="4">
        <f t="shared" si="34"/>
        <v>553</v>
      </c>
      <c r="O182" s="4">
        <f>SUM($G$3:G182)</f>
        <v>6549330</v>
      </c>
    </row>
    <row r="183" spans="1:15" x14ac:dyDescent="0.3">
      <c r="A183" s="5">
        <f t="shared" si="35"/>
        <v>181</v>
      </c>
      <c r="B183" s="4">
        <f t="shared" ref="B183:B191" si="43">B182+3</f>
        <v>432</v>
      </c>
      <c r="C183" s="8">
        <v>150</v>
      </c>
      <c r="D183" s="4">
        <f t="shared" si="39"/>
        <v>555</v>
      </c>
      <c r="E183" s="4">
        <v>0.6</v>
      </c>
      <c r="F183" s="4">
        <f t="shared" si="38"/>
        <v>1.2</v>
      </c>
      <c r="G183" s="9">
        <f t="shared" si="30"/>
        <v>109050</v>
      </c>
      <c r="H183" s="10">
        <f t="shared" si="40"/>
        <v>7</v>
      </c>
      <c r="K183" s="4">
        <f t="shared" si="31"/>
        <v>109050</v>
      </c>
      <c r="L183" s="4">
        <f t="shared" si="32"/>
        <v>432</v>
      </c>
      <c r="M183" s="4">
        <f t="shared" si="33"/>
        <v>150</v>
      </c>
      <c r="N183" s="4">
        <f t="shared" si="34"/>
        <v>555</v>
      </c>
      <c r="O183" s="4">
        <f>SUM($G$3:G183)</f>
        <v>6658380</v>
      </c>
    </row>
    <row r="184" spans="1:15" x14ac:dyDescent="0.3">
      <c r="A184" s="5">
        <f t="shared" si="35"/>
        <v>182</v>
      </c>
      <c r="B184" s="4">
        <f t="shared" si="43"/>
        <v>435</v>
      </c>
      <c r="C184" s="8">
        <v>150</v>
      </c>
      <c r="D184" s="4">
        <f t="shared" si="39"/>
        <v>557</v>
      </c>
      <c r="E184" s="4">
        <v>0.6</v>
      </c>
      <c r="F184" s="4">
        <f t="shared" si="38"/>
        <v>1.2</v>
      </c>
      <c r="G184" s="9">
        <f t="shared" si="30"/>
        <v>110260</v>
      </c>
      <c r="H184" s="10">
        <f t="shared" si="40"/>
        <v>7</v>
      </c>
      <c r="K184" s="4">
        <f t="shared" si="31"/>
        <v>110260</v>
      </c>
      <c r="L184" s="4">
        <f t="shared" si="32"/>
        <v>435</v>
      </c>
      <c r="M184" s="4">
        <f t="shared" si="33"/>
        <v>150</v>
      </c>
      <c r="N184" s="4">
        <f t="shared" si="34"/>
        <v>557</v>
      </c>
      <c r="O184" s="4">
        <f>SUM($G$3:G184)</f>
        <v>6768640</v>
      </c>
    </row>
    <row r="185" spans="1:15" x14ac:dyDescent="0.3">
      <c r="A185" s="5">
        <f t="shared" si="35"/>
        <v>183</v>
      </c>
      <c r="B185" s="4">
        <f t="shared" si="43"/>
        <v>438</v>
      </c>
      <c r="C185" s="8">
        <v>150</v>
      </c>
      <c r="D185" s="4">
        <f t="shared" si="39"/>
        <v>559</v>
      </c>
      <c r="E185" s="4">
        <v>0.6</v>
      </c>
      <c r="F185" s="4">
        <f t="shared" si="38"/>
        <v>1.2</v>
      </c>
      <c r="G185" s="9">
        <f t="shared" si="30"/>
        <v>111470</v>
      </c>
      <c r="H185" s="10">
        <f t="shared" si="40"/>
        <v>7</v>
      </c>
      <c r="K185" s="4">
        <f t="shared" si="31"/>
        <v>111470</v>
      </c>
      <c r="L185" s="4">
        <f t="shared" si="32"/>
        <v>438</v>
      </c>
      <c r="M185" s="4">
        <f t="shared" si="33"/>
        <v>150</v>
      </c>
      <c r="N185" s="4">
        <f t="shared" si="34"/>
        <v>559</v>
      </c>
      <c r="O185" s="4">
        <f>SUM($G$3:G185)</f>
        <v>6880110</v>
      </c>
    </row>
    <row r="186" spans="1:15" x14ac:dyDescent="0.3">
      <c r="A186" s="5">
        <f t="shared" si="35"/>
        <v>184</v>
      </c>
      <c r="B186" s="4">
        <f t="shared" si="43"/>
        <v>441</v>
      </c>
      <c r="C186" s="8">
        <v>150</v>
      </c>
      <c r="D186" s="4">
        <f t="shared" si="39"/>
        <v>561</v>
      </c>
      <c r="E186" s="4">
        <v>0.6</v>
      </c>
      <c r="F186" s="4">
        <f t="shared" si="38"/>
        <v>1.2</v>
      </c>
      <c r="G186" s="9">
        <f t="shared" si="30"/>
        <v>112700</v>
      </c>
      <c r="H186" s="10">
        <f t="shared" si="40"/>
        <v>7</v>
      </c>
      <c r="K186" s="4">
        <f t="shared" si="31"/>
        <v>112700</v>
      </c>
      <c r="L186" s="4">
        <f t="shared" si="32"/>
        <v>441</v>
      </c>
      <c r="M186" s="4">
        <f t="shared" si="33"/>
        <v>150</v>
      </c>
      <c r="N186" s="4">
        <f t="shared" si="34"/>
        <v>561</v>
      </c>
      <c r="O186" s="4">
        <f>SUM($G$3:G186)</f>
        <v>6992810</v>
      </c>
    </row>
    <row r="187" spans="1:15" x14ac:dyDescent="0.3">
      <c r="A187" s="5">
        <f t="shared" si="35"/>
        <v>185</v>
      </c>
      <c r="B187" s="4">
        <f t="shared" si="43"/>
        <v>444</v>
      </c>
      <c r="C187" s="8">
        <v>150</v>
      </c>
      <c r="D187" s="4">
        <f t="shared" si="39"/>
        <v>563</v>
      </c>
      <c r="E187" s="4">
        <v>0.6</v>
      </c>
      <c r="F187" s="4">
        <f t="shared" si="38"/>
        <v>1.2</v>
      </c>
      <c r="G187" s="9">
        <f t="shared" si="30"/>
        <v>113930</v>
      </c>
      <c r="H187" s="10">
        <f t="shared" si="40"/>
        <v>7</v>
      </c>
      <c r="K187" s="4">
        <f t="shared" si="31"/>
        <v>113930</v>
      </c>
      <c r="L187" s="4">
        <f t="shared" si="32"/>
        <v>444</v>
      </c>
      <c r="M187" s="4">
        <f t="shared" si="33"/>
        <v>150</v>
      </c>
      <c r="N187" s="4">
        <f t="shared" si="34"/>
        <v>563</v>
      </c>
      <c r="O187" s="4">
        <f>SUM($G$3:G187)</f>
        <v>7106740</v>
      </c>
    </row>
    <row r="188" spans="1:15" x14ac:dyDescent="0.3">
      <c r="A188" s="5">
        <f t="shared" si="35"/>
        <v>186</v>
      </c>
      <c r="B188" s="4">
        <f t="shared" si="43"/>
        <v>447</v>
      </c>
      <c r="C188" s="8">
        <v>150</v>
      </c>
      <c r="D188" s="4">
        <f t="shared" si="39"/>
        <v>565</v>
      </c>
      <c r="E188" s="4">
        <v>0.6</v>
      </c>
      <c r="F188" s="4">
        <f t="shared" si="38"/>
        <v>1.2</v>
      </c>
      <c r="G188" s="9">
        <f t="shared" si="30"/>
        <v>115160</v>
      </c>
      <c r="H188" s="10">
        <f t="shared" si="40"/>
        <v>7</v>
      </c>
      <c r="K188" s="4">
        <f t="shared" si="31"/>
        <v>115160</v>
      </c>
      <c r="L188" s="4">
        <f t="shared" si="32"/>
        <v>447</v>
      </c>
      <c r="M188" s="4">
        <f t="shared" si="33"/>
        <v>150</v>
      </c>
      <c r="N188" s="4">
        <f t="shared" si="34"/>
        <v>565</v>
      </c>
      <c r="O188" s="4">
        <f>SUM($G$3:G188)</f>
        <v>7221900</v>
      </c>
    </row>
    <row r="189" spans="1:15" x14ac:dyDescent="0.3">
      <c r="A189" s="5">
        <f t="shared" si="35"/>
        <v>187</v>
      </c>
      <c r="B189" s="4">
        <f t="shared" si="43"/>
        <v>450</v>
      </c>
      <c r="C189" s="8">
        <v>150</v>
      </c>
      <c r="D189" s="4">
        <f t="shared" si="39"/>
        <v>567</v>
      </c>
      <c r="E189" s="4">
        <v>0.6</v>
      </c>
      <c r="F189" s="4">
        <f t="shared" si="38"/>
        <v>1.2</v>
      </c>
      <c r="G189" s="9">
        <f t="shared" si="30"/>
        <v>116400</v>
      </c>
      <c r="H189" s="10">
        <f t="shared" si="40"/>
        <v>7</v>
      </c>
      <c r="K189" s="4">
        <f t="shared" si="31"/>
        <v>116400</v>
      </c>
      <c r="L189" s="4">
        <f t="shared" si="32"/>
        <v>450</v>
      </c>
      <c r="M189" s="4">
        <f t="shared" si="33"/>
        <v>150</v>
      </c>
      <c r="N189" s="4">
        <f t="shared" si="34"/>
        <v>567</v>
      </c>
      <c r="O189" s="4">
        <f>SUM($G$3:G189)</f>
        <v>7338300</v>
      </c>
    </row>
    <row r="190" spans="1:15" x14ac:dyDescent="0.3">
      <c r="A190" s="5">
        <f t="shared" si="35"/>
        <v>188</v>
      </c>
      <c r="B190" s="4">
        <f t="shared" si="43"/>
        <v>453</v>
      </c>
      <c r="C190" s="8">
        <v>150</v>
      </c>
      <c r="D190" s="4">
        <f t="shared" si="39"/>
        <v>569</v>
      </c>
      <c r="E190" s="4">
        <v>0.6</v>
      </c>
      <c r="F190" s="4">
        <f t="shared" si="38"/>
        <v>1.2</v>
      </c>
      <c r="G190" s="9">
        <f t="shared" si="30"/>
        <v>117650</v>
      </c>
      <c r="H190" s="10">
        <f t="shared" si="40"/>
        <v>7</v>
      </c>
      <c r="K190" s="4">
        <f t="shared" si="31"/>
        <v>117650</v>
      </c>
      <c r="L190" s="4">
        <f t="shared" si="32"/>
        <v>453</v>
      </c>
      <c r="M190" s="4">
        <f t="shared" si="33"/>
        <v>150</v>
      </c>
      <c r="N190" s="4">
        <f t="shared" si="34"/>
        <v>569</v>
      </c>
      <c r="O190" s="4">
        <f>SUM($G$3:G190)</f>
        <v>7455950</v>
      </c>
    </row>
    <row r="191" spans="1:15" x14ac:dyDescent="0.3">
      <c r="A191" s="5">
        <f t="shared" si="35"/>
        <v>189</v>
      </c>
      <c r="B191" s="4">
        <f t="shared" si="43"/>
        <v>456</v>
      </c>
      <c r="C191" s="8">
        <v>150</v>
      </c>
      <c r="D191" s="4">
        <f t="shared" si="39"/>
        <v>571</v>
      </c>
      <c r="E191" s="4">
        <v>0.6</v>
      </c>
      <c r="F191" s="4">
        <f t="shared" si="38"/>
        <v>1.2</v>
      </c>
      <c r="G191" s="9">
        <f t="shared" si="30"/>
        <v>118910</v>
      </c>
      <c r="H191" s="10">
        <f t="shared" si="40"/>
        <v>7</v>
      </c>
      <c r="K191" s="4">
        <f t="shared" si="31"/>
        <v>118910</v>
      </c>
      <c r="L191" s="4">
        <f t="shared" si="32"/>
        <v>456</v>
      </c>
      <c r="M191" s="4">
        <f t="shared" si="33"/>
        <v>150</v>
      </c>
      <c r="N191" s="4">
        <f t="shared" si="34"/>
        <v>571</v>
      </c>
      <c r="O191" s="4">
        <f>SUM($G$3:G191)</f>
        <v>7574860</v>
      </c>
    </row>
    <row r="192" spans="1:15" x14ac:dyDescent="0.3">
      <c r="A192" s="5">
        <f t="shared" si="35"/>
        <v>190</v>
      </c>
      <c r="B192" s="4">
        <f>B191+2</f>
        <v>458</v>
      </c>
      <c r="C192" s="8">
        <v>150</v>
      </c>
      <c r="D192" s="4">
        <f t="shared" si="39"/>
        <v>573</v>
      </c>
      <c r="E192" s="4">
        <v>0.6</v>
      </c>
      <c r="F192" s="4">
        <f t="shared" si="38"/>
        <v>1.2</v>
      </c>
      <c r="G192" s="9">
        <f t="shared" si="30"/>
        <v>120170</v>
      </c>
      <c r="H192" s="10">
        <f t="shared" si="40"/>
        <v>8</v>
      </c>
      <c r="K192" s="4">
        <f t="shared" si="31"/>
        <v>120170</v>
      </c>
      <c r="L192" s="4">
        <f t="shared" si="32"/>
        <v>458</v>
      </c>
      <c r="M192" s="4">
        <f t="shared" si="33"/>
        <v>150</v>
      </c>
      <c r="N192" s="4">
        <f t="shared" si="34"/>
        <v>573</v>
      </c>
      <c r="O192" s="4">
        <f>SUM($G$3:G192)</f>
        <v>7695030</v>
      </c>
    </row>
    <row r="193" spans="1:15" x14ac:dyDescent="0.3">
      <c r="A193" s="5">
        <f t="shared" si="35"/>
        <v>191</v>
      </c>
      <c r="B193" s="4">
        <f t="shared" ref="B193:B201" si="44">B192+2</f>
        <v>460</v>
      </c>
      <c r="C193" s="8">
        <v>150</v>
      </c>
      <c r="D193" s="4">
        <f t="shared" si="39"/>
        <v>575</v>
      </c>
      <c r="E193" s="4">
        <v>0.6</v>
      </c>
      <c r="F193" s="4">
        <f t="shared" si="38"/>
        <v>1.2</v>
      </c>
      <c r="G193" s="9">
        <f t="shared" si="30"/>
        <v>121440</v>
      </c>
      <c r="H193" s="10">
        <f t="shared" si="40"/>
        <v>8</v>
      </c>
      <c r="K193" s="4">
        <f t="shared" si="31"/>
        <v>121440</v>
      </c>
      <c r="L193" s="4">
        <f t="shared" si="32"/>
        <v>460</v>
      </c>
      <c r="M193" s="4">
        <f t="shared" si="33"/>
        <v>150</v>
      </c>
      <c r="N193" s="4">
        <f t="shared" si="34"/>
        <v>575</v>
      </c>
      <c r="O193" s="4">
        <f>SUM($G$3:G193)</f>
        <v>7816470</v>
      </c>
    </row>
    <row r="194" spans="1:15" x14ac:dyDescent="0.3">
      <c r="A194" s="5">
        <f t="shared" si="35"/>
        <v>192</v>
      </c>
      <c r="B194" s="4">
        <f t="shared" si="44"/>
        <v>462</v>
      </c>
      <c r="C194" s="8">
        <v>150</v>
      </c>
      <c r="D194" s="4">
        <f t="shared" si="39"/>
        <v>577</v>
      </c>
      <c r="E194" s="4">
        <v>0.6</v>
      </c>
      <c r="F194" s="4">
        <f t="shared" si="38"/>
        <v>1.2</v>
      </c>
      <c r="G194" s="9">
        <f t="shared" si="30"/>
        <v>122720</v>
      </c>
      <c r="H194" s="10">
        <f t="shared" si="40"/>
        <v>8</v>
      </c>
      <c r="K194" s="4">
        <f t="shared" si="31"/>
        <v>122720</v>
      </c>
      <c r="L194" s="4">
        <f t="shared" si="32"/>
        <v>462</v>
      </c>
      <c r="M194" s="4">
        <f t="shared" si="33"/>
        <v>150</v>
      </c>
      <c r="N194" s="4">
        <f t="shared" si="34"/>
        <v>577</v>
      </c>
      <c r="O194" s="4">
        <f>SUM($G$3:G194)</f>
        <v>7939190</v>
      </c>
    </row>
    <row r="195" spans="1:15" x14ac:dyDescent="0.3">
      <c r="A195" s="5">
        <f t="shared" si="35"/>
        <v>193</v>
      </c>
      <c r="B195" s="4">
        <f t="shared" si="44"/>
        <v>464</v>
      </c>
      <c r="C195" s="8">
        <v>150</v>
      </c>
      <c r="D195" s="4">
        <f t="shared" si="39"/>
        <v>579</v>
      </c>
      <c r="E195" s="4">
        <v>0.6</v>
      </c>
      <c r="F195" s="4">
        <f t="shared" si="38"/>
        <v>1.2</v>
      </c>
      <c r="G195" s="9">
        <f t="shared" si="30"/>
        <v>124000</v>
      </c>
      <c r="H195" s="10">
        <f t="shared" si="40"/>
        <v>8</v>
      </c>
      <c r="K195" s="4">
        <f t="shared" si="31"/>
        <v>124000</v>
      </c>
      <c r="L195" s="4">
        <f t="shared" si="32"/>
        <v>464</v>
      </c>
      <c r="M195" s="4">
        <f t="shared" si="33"/>
        <v>150</v>
      </c>
      <c r="N195" s="4">
        <f t="shared" si="34"/>
        <v>579</v>
      </c>
      <c r="O195" s="4">
        <f>SUM($G$3:G195)</f>
        <v>8063190</v>
      </c>
    </row>
    <row r="196" spans="1:15" x14ac:dyDescent="0.3">
      <c r="A196" s="5">
        <f t="shared" si="35"/>
        <v>194</v>
      </c>
      <c r="B196" s="4">
        <f t="shared" si="44"/>
        <v>466</v>
      </c>
      <c r="C196" s="8">
        <v>150</v>
      </c>
      <c r="D196" s="4">
        <f t="shared" si="39"/>
        <v>581</v>
      </c>
      <c r="E196" s="4">
        <v>0.6</v>
      </c>
      <c r="F196" s="4">
        <f t="shared" si="38"/>
        <v>1.2</v>
      </c>
      <c r="G196" s="9">
        <f t="shared" ref="G196:G259" si="45">ROUNDUP(500 + (300000-500) * ((A196-1)/(300-1))^2, -1)</f>
        <v>125290</v>
      </c>
      <c r="H196" s="10">
        <f t="shared" si="40"/>
        <v>8</v>
      </c>
      <c r="K196" s="4">
        <f t="shared" ref="K196:K259" si="46">G196</f>
        <v>125290</v>
      </c>
      <c r="L196" s="4">
        <f t="shared" ref="L196:L259" si="47">B196</f>
        <v>466</v>
      </c>
      <c r="M196" s="4">
        <f t="shared" ref="M196:M259" si="48">C196</f>
        <v>150</v>
      </c>
      <c r="N196" s="4">
        <f t="shared" ref="N196:N259" si="49">D196</f>
        <v>581</v>
      </c>
      <c r="O196" s="4">
        <f>SUM($G$3:G196)</f>
        <v>8188480</v>
      </c>
    </row>
    <row r="197" spans="1:15" x14ac:dyDescent="0.3">
      <c r="A197" s="5">
        <f t="shared" ref="A197:B260" si="50">A196+1</f>
        <v>195</v>
      </c>
      <c r="B197" s="4">
        <f t="shared" si="44"/>
        <v>468</v>
      </c>
      <c r="C197" s="8">
        <v>150</v>
      </c>
      <c r="D197" s="4">
        <f t="shared" si="39"/>
        <v>583</v>
      </c>
      <c r="E197" s="4">
        <v>0.6</v>
      </c>
      <c r="F197" s="4">
        <f t="shared" si="38"/>
        <v>1.2</v>
      </c>
      <c r="G197" s="9">
        <f t="shared" si="45"/>
        <v>126590</v>
      </c>
      <c r="H197" s="10">
        <f t="shared" si="40"/>
        <v>8</v>
      </c>
      <c r="K197" s="4">
        <f t="shared" si="46"/>
        <v>126590</v>
      </c>
      <c r="L197" s="4">
        <f t="shared" si="47"/>
        <v>468</v>
      </c>
      <c r="M197" s="4">
        <f t="shared" si="48"/>
        <v>150</v>
      </c>
      <c r="N197" s="4">
        <f t="shared" si="49"/>
        <v>583</v>
      </c>
      <c r="O197" s="4">
        <f>SUM($G$3:G197)</f>
        <v>8315070</v>
      </c>
    </row>
    <row r="198" spans="1:15" x14ac:dyDescent="0.3">
      <c r="A198" s="5">
        <f t="shared" si="50"/>
        <v>196</v>
      </c>
      <c r="B198" s="4">
        <f t="shared" si="44"/>
        <v>470</v>
      </c>
      <c r="C198" s="8">
        <v>150</v>
      </c>
      <c r="D198" s="4">
        <f t="shared" si="39"/>
        <v>585</v>
      </c>
      <c r="E198" s="4">
        <v>0.6</v>
      </c>
      <c r="F198" s="4">
        <f t="shared" si="38"/>
        <v>1.2</v>
      </c>
      <c r="G198" s="9">
        <f t="shared" si="45"/>
        <v>127890</v>
      </c>
      <c r="H198" s="10">
        <f t="shared" si="40"/>
        <v>8</v>
      </c>
      <c r="K198" s="4">
        <f t="shared" si="46"/>
        <v>127890</v>
      </c>
      <c r="L198" s="4">
        <f t="shared" si="47"/>
        <v>470</v>
      </c>
      <c r="M198" s="4">
        <f t="shared" si="48"/>
        <v>150</v>
      </c>
      <c r="N198" s="4">
        <f t="shared" si="49"/>
        <v>585</v>
      </c>
      <c r="O198" s="4">
        <f>SUM($G$3:G198)</f>
        <v>8442960</v>
      </c>
    </row>
    <row r="199" spans="1:15" x14ac:dyDescent="0.3">
      <c r="A199" s="5">
        <f t="shared" si="50"/>
        <v>197</v>
      </c>
      <c r="B199" s="4">
        <f t="shared" si="44"/>
        <v>472</v>
      </c>
      <c r="C199" s="8">
        <v>150</v>
      </c>
      <c r="D199" s="4">
        <f t="shared" si="39"/>
        <v>587</v>
      </c>
      <c r="E199" s="4">
        <v>0.6</v>
      </c>
      <c r="F199" s="4">
        <f t="shared" si="38"/>
        <v>1.2</v>
      </c>
      <c r="G199" s="9">
        <f t="shared" si="45"/>
        <v>129200</v>
      </c>
      <c r="H199" s="10">
        <f t="shared" si="40"/>
        <v>8</v>
      </c>
      <c r="K199" s="4">
        <f t="shared" si="46"/>
        <v>129200</v>
      </c>
      <c r="L199" s="4">
        <f t="shared" si="47"/>
        <v>472</v>
      </c>
      <c r="M199" s="4">
        <f t="shared" si="48"/>
        <v>150</v>
      </c>
      <c r="N199" s="4">
        <f t="shared" si="49"/>
        <v>587</v>
      </c>
      <c r="O199" s="4">
        <f>SUM($G$3:G199)</f>
        <v>8572160</v>
      </c>
    </row>
    <row r="200" spans="1:15" x14ac:dyDescent="0.3">
      <c r="A200" s="5">
        <f t="shared" si="50"/>
        <v>198</v>
      </c>
      <c r="B200" s="4">
        <f t="shared" si="44"/>
        <v>474</v>
      </c>
      <c r="C200" s="8">
        <v>150</v>
      </c>
      <c r="D200" s="4">
        <f t="shared" si="39"/>
        <v>589</v>
      </c>
      <c r="E200" s="4">
        <v>0.6</v>
      </c>
      <c r="F200" s="4">
        <f t="shared" si="38"/>
        <v>1.2</v>
      </c>
      <c r="G200" s="9">
        <f t="shared" si="45"/>
        <v>130520</v>
      </c>
      <c r="H200" s="10">
        <f t="shared" si="40"/>
        <v>8</v>
      </c>
      <c r="K200" s="4">
        <f t="shared" si="46"/>
        <v>130520</v>
      </c>
      <c r="L200" s="4">
        <f t="shared" si="47"/>
        <v>474</v>
      </c>
      <c r="M200" s="4">
        <f t="shared" si="48"/>
        <v>150</v>
      </c>
      <c r="N200" s="4">
        <f t="shared" si="49"/>
        <v>589</v>
      </c>
      <c r="O200" s="4">
        <f>SUM($G$3:G200)</f>
        <v>8702680</v>
      </c>
    </row>
    <row r="201" spans="1:15" x14ac:dyDescent="0.3">
      <c r="A201" s="5">
        <f t="shared" si="50"/>
        <v>199</v>
      </c>
      <c r="B201" s="4">
        <f t="shared" si="44"/>
        <v>476</v>
      </c>
      <c r="C201" s="8">
        <v>150</v>
      </c>
      <c r="D201" s="4">
        <f t="shared" si="39"/>
        <v>591</v>
      </c>
      <c r="E201" s="4">
        <v>0.6</v>
      </c>
      <c r="F201" s="4">
        <f t="shared" si="38"/>
        <v>1.2</v>
      </c>
      <c r="G201" s="9">
        <f t="shared" si="45"/>
        <v>131840</v>
      </c>
      <c r="H201" s="10">
        <f t="shared" si="40"/>
        <v>8</v>
      </c>
      <c r="K201" s="4">
        <f t="shared" si="46"/>
        <v>131840</v>
      </c>
      <c r="L201" s="4">
        <f t="shared" si="47"/>
        <v>476</v>
      </c>
      <c r="M201" s="4">
        <f t="shared" si="48"/>
        <v>150</v>
      </c>
      <c r="N201" s="4">
        <f t="shared" si="49"/>
        <v>591</v>
      </c>
      <c r="O201" s="4">
        <f>SUM($G$3:G201)</f>
        <v>8834520</v>
      </c>
    </row>
    <row r="202" spans="1:15" x14ac:dyDescent="0.3">
      <c r="A202" s="5">
        <f t="shared" si="50"/>
        <v>200</v>
      </c>
      <c r="B202" s="4">
        <f>B201+1</f>
        <v>477</v>
      </c>
      <c r="C202" s="8">
        <v>200</v>
      </c>
      <c r="D202" s="4">
        <f>D201+3</f>
        <v>594</v>
      </c>
      <c r="E202" s="4">
        <v>0.7</v>
      </c>
      <c r="F202" s="4">
        <f>F182+0.2</f>
        <v>1.4</v>
      </c>
      <c r="G202" s="9">
        <f t="shared" si="45"/>
        <v>133170</v>
      </c>
      <c r="H202" s="10">
        <f t="shared" si="40"/>
        <v>9</v>
      </c>
      <c r="K202" s="4">
        <f t="shared" si="46"/>
        <v>133170</v>
      </c>
      <c r="L202" s="4">
        <f t="shared" si="47"/>
        <v>477</v>
      </c>
      <c r="M202" s="4">
        <f t="shared" si="48"/>
        <v>200</v>
      </c>
      <c r="N202" s="4">
        <f t="shared" si="49"/>
        <v>594</v>
      </c>
      <c r="O202" s="4">
        <f>SUM($G$3:G202)</f>
        <v>8967690</v>
      </c>
    </row>
    <row r="203" spans="1:15" x14ac:dyDescent="0.3">
      <c r="A203" s="5">
        <f t="shared" si="50"/>
        <v>201</v>
      </c>
      <c r="B203" s="4">
        <f t="shared" si="50"/>
        <v>478</v>
      </c>
      <c r="C203" s="8">
        <v>200</v>
      </c>
      <c r="D203" s="4">
        <f t="shared" ref="D203:D251" si="51">D202+3</f>
        <v>597</v>
      </c>
      <c r="E203" s="4">
        <v>0.7</v>
      </c>
      <c r="F203" s="4">
        <f t="shared" ref="F203:F266" si="52">F183+0.2</f>
        <v>1.4</v>
      </c>
      <c r="G203" s="9">
        <f t="shared" si="45"/>
        <v>134510</v>
      </c>
      <c r="H203" s="10">
        <f t="shared" si="40"/>
        <v>9</v>
      </c>
      <c r="K203" s="4">
        <f t="shared" si="46"/>
        <v>134510</v>
      </c>
      <c r="L203" s="4">
        <f t="shared" si="47"/>
        <v>478</v>
      </c>
      <c r="M203" s="4">
        <f t="shared" si="48"/>
        <v>200</v>
      </c>
      <c r="N203" s="4">
        <f t="shared" si="49"/>
        <v>597</v>
      </c>
      <c r="O203" s="4">
        <f>SUM($G$3:G203)</f>
        <v>9102200</v>
      </c>
    </row>
    <row r="204" spans="1:15" x14ac:dyDescent="0.3">
      <c r="A204" s="5">
        <f t="shared" si="50"/>
        <v>202</v>
      </c>
      <c r="B204" s="4">
        <f t="shared" si="50"/>
        <v>479</v>
      </c>
      <c r="C204" s="8">
        <v>200</v>
      </c>
      <c r="D204" s="4">
        <f t="shared" si="51"/>
        <v>600</v>
      </c>
      <c r="E204" s="4">
        <v>0.7</v>
      </c>
      <c r="F204" s="4">
        <f t="shared" si="52"/>
        <v>1.4</v>
      </c>
      <c r="G204" s="9">
        <f t="shared" si="45"/>
        <v>135850</v>
      </c>
      <c r="H204" s="10">
        <f t="shared" si="40"/>
        <v>9</v>
      </c>
      <c r="K204" s="4">
        <f t="shared" si="46"/>
        <v>135850</v>
      </c>
      <c r="L204" s="4">
        <f t="shared" si="47"/>
        <v>479</v>
      </c>
      <c r="M204" s="4">
        <f t="shared" si="48"/>
        <v>200</v>
      </c>
      <c r="N204" s="4">
        <f t="shared" si="49"/>
        <v>600</v>
      </c>
      <c r="O204" s="4">
        <f>SUM($G$3:G204)</f>
        <v>9238050</v>
      </c>
    </row>
    <row r="205" spans="1:15" x14ac:dyDescent="0.3">
      <c r="A205" s="5">
        <f t="shared" si="50"/>
        <v>203</v>
      </c>
      <c r="B205" s="4">
        <f t="shared" si="50"/>
        <v>480</v>
      </c>
      <c r="C205" s="8">
        <v>200</v>
      </c>
      <c r="D205" s="4">
        <f t="shared" si="51"/>
        <v>603</v>
      </c>
      <c r="E205" s="4">
        <v>0.7</v>
      </c>
      <c r="F205" s="4">
        <f t="shared" si="52"/>
        <v>1.4</v>
      </c>
      <c r="G205" s="9">
        <f t="shared" si="45"/>
        <v>137200</v>
      </c>
      <c r="H205" s="10">
        <f t="shared" si="40"/>
        <v>9</v>
      </c>
      <c r="K205" s="4">
        <f t="shared" si="46"/>
        <v>137200</v>
      </c>
      <c r="L205" s="4">
        <f t="shared" si="47"/>
        <v>480</v>
      </c>
      <c r="M205" s="4">
        <f t="shared" si="48"/>
        <v>200</v>
      </c>
      <c r="N205" s="4">
        <f t="shared" si="49"/>
        <v>603</v>
      </c>
      <c r="O205" s="4">
        <f>SUM($G$3:G205)</f>
        <v>9375250</v>
      </c>
    </row>
    <row r="206" spans="1:15" x14ac:dyDescent="0.3">
      <c r="A206" s="5">
        <f t="shared" si="50"/>
        <v>204</v>
      </c>
      <c r="B206" s="4">
        <f t="shared" si="50"/>
        <v>481</v>
      </c>
      <c r="C206" s="8">
        <v>200</v>
      </c>
      <c r="D206" s="4">
        <f t="shared" si="51"/>
        <v>606</v>
      </c>
      <c r="E206" s="4">
        <v>0.7</v>
      </c>
      <c r="F206" s="4">
        <f t="shared" si="52"/>
        <v>1.4</v>
      </c>
      <c r="G206" s="9">
        <f t="shared" si="45"/>
        <v>138560</v>
      </c>
      <c r="H206" s="10">
        <f t="shared" si="40"/>
        <v>9</v>
      </c>
      <c r="K206" s="4">
        <f t="shared" si="46"/>
        <v>138560</v>
      </c>
      <c r="L206" s="4">
        <f t="shared" si="47"/>
        <v>481</v>
      </c>
      <c r="M206" s="4">
        <f t="shared" si="48"/>
        <v>200</v>
      </c>
      <c r="N206" s="4">
        <f t="shared" si="49"/>
        <v>606</v>
      </c>
      <c r="O206" s="4">
        <f>SUM($G$3:G206)</f>
        <v>9513810</v>
      </c>
    </row>
    <row r="207" spans="1:15" x14ac:dyDescent="0.3">
      <c r="A207" s="5">
        <f t="shared" si="50"/>
        <v>205</v>
      </c>
      <c r="B207" s="4">
        <f t="shared" si="50"/>
        <v>482</v>
      </c>
      <c r="C207" s="8">
        <v>200</v>
      </c>
      <c r="D207" s="4">
        <f t="shared" si="51"/>
        <v>609</v>
      </c>
      <c r="E207" s="4">
        <v>0.7</v>
      </c>
      <c r="F207" s="4">
        <f t="shared" si="52"/>
        <v>1.4</v>
      </c>
      <c r="G207" s="9">
        <f t="shared" si="45"/>
        <v>139920</v>
      </c>
      <c r="H207" s="10">
        <f t="shared" si="40"/>
        <v>9</v>
      </c>
      <c r="K207" s="4">
        <f t="shared" si="46"/>
        <v>139920</v>
      </c>
      <c r="L207" s="4">
        <f t="shared" si="47"/>
        <v>482</v>
      </c>
      <c r="M207" s="4">
        <f t="shared" si="48"/>
        <v>200</v>
      </c>
      <c r="N207" s="4">
        <f t="shared" si="49"/>
        <v>609</v>
      </c>
      <c r="O207" s="4">
        <f>SUM($G$3:G207)</f>
        <v>9653730</v>
      </c>
    </row>
    <row r="208" spans="1:15" x14ac:dyDescent="0.3">
      <c r="A208" s="5">
        <f t="shared" si="50"/>
        <v>206</v>
      </c>
      <c r="B208" s="4">
        <f t="shared" si="50"/>
        <v>483</v>
      </c>
      <c r="C208" s="8">
        <v>200</v>
      </c>
      <c r="D208" s="4">
        <f t="shared" si="51"/>
        <v>612</v>
      </c>
      <c r="E208" s="4">
        <v>0.7</v>
      </c>
      <c r="F208" s="4">
        <f t="shared" si="52"/>
        <v>1.4</v>
      </c>
      <c r="G208" s="9">
        <f t="shared" si="45"/>
        <v>141290</v>
      </c>
      <c r="H208" s="10">
        <f t="shared" si="40"/>
        <v>9</v>
      </c>
      <c r="K208" s="4">
        <f t="shared" si="46"/>
        <v>141290</v>
      </c>
      <c r="L208" s="4">
        <f t="shared" si="47"/>
        <v>483</v>
      </c>
      <c r="M208" s="4">
        <f t="shared" si="48"/>
        <v>200</v>
      </c>
      <c r="N208" s="4">
        <f t="shared" si="49"/>
        <v>612</v>
      </c>
      <c r="O208" s="4">
        <f>SUM($G$3:G208)</f>
        <v>9795020</v>
      </c>
    </row>
    <row r="209" spans="1:15" x14ac:dyDescent="0.3">
      <c r="A209" s="5">
        <f t="shared" si="50"/>
        <v>207</v>
      </c>
      <c r="B209" s="4">
        <f t="shared" si="50"/>
        <v>484</v>
      </c>
      <c r="C209" s="8">
        <v>200</v>
      </c>
      <c r="D209" s="4">
        <f t="shared" si="51"/>
        <v>615</v>
      </c>
      <c r="E209" s="4">
        <v>0.7</v>
      </c>
      <c r="F209" s="4">
        <f t="shared" si="52"/>
        <v>1.4</v>
      </c>
      <c r="G209" s="9">
        <f t="shared" si="45"/>
        <v>142670</v>
      </c>
      <c r="H209" s="10">
        <f t="shared" si="40"/>
        <v>9</v>
      </c>
      <c r="K209" s="4">
        <f t="shared" si="46"/>
        <v>142670</v>
      </c>
      <c r="L209" s="4">
        <f t="shared" si="47"/>
        <v>484</v>
      </c>
      <c r="M209" s="4">
        <f t="shared" si="48"/>
        <v>200</v>
      </c>
      <c r="N209" s="4">
        <f t="shared" si="49"/>
        <v>615</v>
      </c>
      <c r="O209" s="4">
        <f>SUM($G$3:G209)</f>
        <v>9937690</v>
      </c>
    </row>
    <row r="210" spans="1:15" x14ac:dyDescent="0.3">
      <c r="A210" s="5">
        <f t="shared" si="50"/>
        <v>208</v>
      </c>
      <c r="B210" s="4">
        <f t="shared" si="50"/>
        <v>485</v>
      </c>
      <c r="C210" s="8">
        <v>200</v>
      </c>
      <c r="D210" s="4">
        <f t="shared" si="51"/>
        <v>618</v>
      </c>
      <c r="E210" s="4">
        <v>0.7</v>
      </c>
      <c r="F210" s="4">
        <f t="shared" si="52"/>
        <v>1.4</v>
      </c>
      <c r="G210" s="9">
        <f t="shared" si="45"/>
        <v>144050</v>
      </c>
      <c r="H210" s="10">
        <f t="shared" si="40"/>
        <v>9</v>
      </c>
      <c r="K210" s="4">
        <f t="shared" si="46"/>
        <v>144050</v>
      </c>
      <c r="L210" s="4">
        <f t="shared" si="47"/>
        <v>485</v>
      </c>
      <c r="M210" s="4">
        <f t="shared" si="48"/>
        <v>200</v>
      </c>
      <c r="N210" s="4">
        <f t="shared" si="49"/>
        <v>618</v>
      </c>
      <c r="O210" s="4">
        <f>SUM($G$3:G210)</f>
        <v>10081740</v>
      </c>
    </row>
    <row r="211" spans="1:15" x14ac:dyDescent="0.3">
      <c r="A211" s="5">
        <f t="shared" si="50"/>
        <v>209</v>
      </c>
      <c r="B211" s="4">
        <f t="shared" si="50"/>
        <v>486</v>
      </c>
      <c r="C211" s="8">
        <v>200</v>
      </c>
      <c r="D211" s="4">
        <f t="shared" si="51"/>
        <v>621</v>
      </c>
      <c r="E211" s="4">
        <v>0.7</v>
      </c>
      <c r="F211" s="4">
        <f t="shared" si="52"/>
        <v>1.4</v>
      </c>
      <c r="G211" s="9">
        <f t="shared" si="45"/>
        <v>145440</v>
      </c>
      <c r="H211" s="10">
        <f t="shared" si="40"/>
        <v>9</v>
      </c>
      <c r="K211" s="4">
        <f t="shared" si="46"/>
        <v>145440</v>
      </c>
      <c r="L211" s="4">
        <f t="shared" si="47"/>
        <v>486</v>
      </c>
      <c r="M211" s="4">
        <f t="shared" si="48"/>
        <v>200</v>
      </c>
      <c r="N211" s="4">
        <f t="shared" si="49"/>
        <v>621</v>
      </c>
      <c r="O211" s="4">
        <f>SUM($G$3:G211)</f>
        <v>10227180</v>
      </c>
    </row>
    <row r="212" spans="1:15" x14ac:dyDescent="0.3">
      <c r="A212" s="5">
        <f t="shared" si="50"/>
        <v>210</v>
      </c>
      <c r="B212" s="4">
        <f t="shared" si="50"/>
        <v>487</v>
      </c>
      <c r="C212" s="8">
        <v>200</v>
      </c>
      <c r="D212" s="4">
        <f t="shared" si="51"/>
        <v>624</v>
      </c>
      <c r="E212" s="4">
        <v>0.7</v>
      </c>
      <c r="F212" s="4">
        <f t="shared" si="52"/>
        <v>1.4</v>
      </c>
      <c r="G212" s="9">
        <f t="shared" si="45"/>
        <v>146840</v>
      </c>
      <c r="H212" s="10">
        <f t="shared" si="40"/>
        <v>10</v>
      </c>
      <c r="K212" s="4">
        <f t="shared" si="46"/>
        <v>146840</v>
      </c>
      <c r="L212" s="4">
        <f t="shared" si="47"/>
        <v>487</v>
      </c>
      <c r="M212" s="4">
        <f t="shared" si="48"/>
        <v>200</v>
      </c>
      <c r="N212" s="4">
        <f t="shared" si="49"/>
        <v>624</v>
      </c>
      <c r="O212" s="4">
        <f>SUM($G$3:G212)</f>
        <v>10374020</v>
      </c>
    </row>
    <row r="213" spans="1:15" x14ac:dyDescent="0.3">
      <c r="A213" s="5">
        <f t="shared" si="50"/>
        <v>211</v>
      </c>
      <c r="B213" s="4">
        <f t="shared" si="50"/>
        <v>488</v>
      </c>
      <c r="C213" s="8">
        <v>200</v>
      </c>
      <c r="D213" s="4">
        <f t="shared" si="51"/>
        <v>627</v>
      </c>
      <c r="E213" s="4">
        <v>0.7</v>
      </c>
      <c r="F213" s="4">
        <f t="shared" si="52"/>
        <v>1.4</v>
      </c>
      <c r="G213" s="9">
        <f t="shared" si="45"/>
        <v>148240</v>
      </c>
      <c r="H213" s="10">
        <f t="shared" si="40"/>
        <v>10</v>
      </c>
      <c r="K213" s="4">
        <f t="shared" si="46"/>
        <v>148240</v>
      </c>
      <c r="L213" s="4">
        <f t="shared" si="47"/>
        <v>488</v>
      </c>
      <c r="M213" s="4">
        <f t="shared" si="48"/>
        <v>200</v>
      </c>
      <c r="N213" s="4">
        <f t="shared" si="49"/>
        <v>627</v>
      </c>
      <c r="O213" s="4">
        <f>SUM($G$3:G213)</f>
        <v>10522260</v>
      </c>
    </row>
    <row r="214" spans="1:15" x14ac:dyDescent="0.3">
      <c r="A214" s="5">
        <f t="shared" si="50"/>
        <v>212</v>
      </c>
      <c r="B214" s="4">
        <f t="shared" si="50"/>
        <v>489</v>
      </c>
      <c r="C214" s="8">
        <v>200</v>
      </c>
      <c r="D214" s="4">
        <f t="shared" si="51"/>
        <v>630</v>
      </c>
      <c r="E214" s="4">
        <v>0.7</v>
      </c>
      <c r="F214" s="4">
        <f t="shared" si="52"/>
        <v>1.4</v>
      </c>
      <c r="G214" s="9">
        <f t="shared" si="45"/>
        <v>149650</v>
      </c>
      <c r="H214" s="10">
        <f t="shared" si="40"/>
        <v>10</v>
      </c>
      <c r="K214" s="4">
        <f t="shared" si="46"/>
        <v>149650</v>
      </c>
      <c r="L214" s="4">
        <f t="shared" si="47"/>
        <v>489</v>
      </c>
      <c r="M214" s="4">
        <f t="shared" si="48"/>
        <v>200</v>
      </c>
      <c r="N214" s="4">
        <f t="shared" si="49"/>
        <v>630</v>
      </c>
      <c r="O214" s="4">
        <f>SUM($G$3:G214)</f>
        <v>10671910</v>
      </c>
    </row>
    <row r="215" spans="1:15" x14ac:dyDescent="0.3">
      <c r="A215" s="5">
        <f t="shared" si="50"/>
        <v>213</v>
      </c>
      <c r="B215" s="4">
        <f t="shared" si="50"/>
        <v>490</v>
      </c>
      <c r="C215" s="8">
        <v>200</v>
      </c>
      <c r="D215" s="4">
        <f t="shared" si="51"/>
        <v>633</v>
      </c>
      <c r="E215" s="4">
        <v>0.7</v>
      </c>
      <c r="F215" s="4">
        <f t="shared" si="52"/>
        <v>1.4</v>
      </c>
      <c r="G215" s="9">
        <f t="shared" si="45"/>
        <v>151070</v>
      </c>
      <c r="H215" s="10">
        <f t="shared" si="40"/>
        <v>10</v>
      </c>
      <c r="K215" s="4">
        <f t="shared" si="46"/>
        <v>151070</v>
      </c>
      <c r="L215" s="4">
        <f t="shared" si="47"/>
        <v>490</v>
      </c>
      <c r="M215" s="4">
        <f t="shared" si="48"/>
        <v>200</v>
      </c>
      <c r="N215" s="4">
        <f t="shared" si="49"/>
        <v>633</v>
      </c>
      <c r="O215" s="4">
        <f>SUM($G$3:G215)</f>
        <v>10822980</v>
      </c>
    </row>
    <row r="216" spans="1:15" x14ac:dyDescent="0.3">
      <c r="A216" s="5">
        <f t="shared" si="50"/>
        <v>214</v>
      </c>
      <c r="B216" s="4">
        <f t="shared" si="50"/>
        <v>491</v>
      </c>
      <c r="C216" s="8">
        <v>200</v>
      </c>
      <c r="D216" s="4">
        <f t="shared" si="51"/>
        <v>636</v>
      </c>
      <c r="E216" s="4">
        <v>0.7</v>
      </c>
      <c r="F216" s="4">
        <f t="shared" si="52"/>
        <v>1.4</v>
      </c>
      <c r="G216" s="9">
        <f t="shared" si="45"/>
        <v>152490</v>
      </c>
      <c r="H216" s="10">
        <f t="shared" si="40"/>
        <v>10</v>
      </c>
      <c r="K216" s="4">
        <f t="shared" si="46"/>
        <v>152490</v>
      </c>
      <c r="L216" s="4">
        <f t="shared" si="47"/>
        <v>491</v>
      </c>
      <c r="M216" s="4">
        <f t="shared" si="48"/>
        <v>200</v>
      </c>
      <c r="N216" s="4">
        <f t="shared" si="49"/>
        <v>636</v>
      </c>
      <c r="O216" s="4">
        <f>SUM($G$3:G216)</f>
        <v>10975470</v>
      </c>
    </row>
    <row r="217" spans="1:15" x14ac:dyDescent="0.3">
      <c r="A217" s="5">
        <f t="shared" si="50"/>
        <v>215</v>
      </c>
      <c r="B217" s="4">
        <f t="shared" si="50"/>
        <v>492</v>
      </c>
      <c r="C217" s="8">
        <v>200</v>
      </c>
      <c r="D217" s="4">
        <f t="shared" si="51"/>
        <v>639</v>
      </c>
      <c r="E217" s="4">
        <v>0.7</v>
      </c>
      <c r="F217" s="4">
        <f t="shared" si="52"/>
        <v>1.4</v>
      </c>
      <c r="G217" s="9">
        <f t="shared" si="45"/>
        <v>153930</v>
      </c>
      <c r="H217" s="10">
        <f t="shared" ref="H217:H280" si="53">H207+1</f>
        <v>10</v>
      </c>
      <c r="K217" s="4">
        <f t="shared" si="46"/>
        <v>153930</v>
      </c>
      <c r="L217" s="4">
        <f t="shared" si="47"/>
        <v>492</v>
      </c>
      <c r="M217" s="4">
        <f t="shared" si="48"/>
        <v>200</v>
      </c>
      <c r="N217" s="4">
        <f t="shared" si="49"/>
        <v>639</v>
      </c>
      <c r="O217" s="4">
        <f>SUM($G$3:G217)</f>
        <v>11129400</v>
      </c>
    </row>
    <row r="218" spans="1:15" x14ac:dyDescent="0.3">
      <c r="A218" s="5">
        <f t="shared" si="50"/>
        <v>216</v>
      </c>
      <c r="B218" s="4">
        <f t="shared" si="50"/>
        <v>493</v>
      </c>
      <c r="C218" s="8">
        <v>200</v>
      </c>
      <c r="D218" s="4">
        <f t="shared" si="51"/>
        <v>642</v>
      </c>
      <c r="E218" s="4">
        <v>0.7</v>
      </c>
      <c r="F218" s="4">
        <f t="shared" si="52"/>
        <v>1.4</v>
      </c>
      <c r="G218" s="9">
        <f t="shared" si="45"/>
        <v>155360</v>
      </c>
      <c r="H218" s="10">
        <f t="shared" si="53"/>
        <v>10</v>
      </c>
      <c r="K218" s="4">
        <f t="shared" si="46"/>
        <v>155360</v>
      </c>
      <c r="L218" s="4">
        <f t="shared" si="47"/>
        <v>493</v>
      </c>
      <c r="M218" s="4">
        <f t="shared" si="48"/>
        <v>200</v>
      </c>
      <c r="N218" s="4">
        <f t="shared" si="49"/>
        <v>642</v>
      </c>
      <c r="O218" s="4">
        <f>SUM($G$3:G218)</f>
        <v>11284760</v>
      </c>
    </row>
    <row r="219" spans="1:15" x14ac:dyDescent="0.3">
      <c r="A219" s="5">
        <f t="shared" si="50"/>
        <v>217</v>
      </c>
      <c r="B219" s="4">
        <f t="shared" si="50"/>
        <v>494</v>
      </c>
      <c r="C219" s="8">
        <v>200</v>
      </c>
      <c r="D219" s="4">
        <f t="shared" si="51"/>
        <v>645</v>
      </c>
      <c r="E219" s="4">
        <v>0.7</v>
      </c>
      <c r="F219" s="4">
        <f t="shared" si="52"/>
        <v>1.4</v>
      </c>
      <c r="G219" s="9">
        <f t="shared" si="45"/>
        <v>156810</v>
      </c>
      <c r="H219" s="10">
        <f t="shared" si="53"/>
        <v>10</v>
      </c>
      <c r="K219" s="4">
        <f t="shared" si="46"/>
        <v>156810</v>
      </c>
      <c r="L219" s="4">
        <f t="shared" si="47"/>
        <v>494</v>
      </c>
      <c r="M219" s="4">
        <f t="shared" si="48"/>
        <v>200</v>
      </c>
      <c r="N219" s="4">
        <f t="shared" si="49"/>
        <v>645</v>
      </c>
      <c r="O219" s="4">
        <f>SUM($G$3:G219)</f>
        <v>11441570</v>
      </c>
    </row>
    <row r="220" spans="1:15" x14ac:dyDescent="0.3">
      <c r="A220" s="5">
        <f t="shared" si="50"/>
        <v>218</v>
      </c>
      <c r="B220" s="4">
        <f t="shared" si="50"/>
        <v>495</v>
      </c>
      <c r="C220" s="8">
        <v>200</v>
      </c>
      <c r="D220" s="4">
        <f t="shared" si="51"/>
        <v>648</v>
      </c>
      <c r="E220" s="4">
        <v>0.7</v>
      </c>
      <c r="F220" s="4">
        <f t="shared" si="52"/>
        <v>1.4</v>
      </c>
      <c r="G220" s="9">
        <f t="shared" si="45"/>
        <v>158260</v>
      </c>
      <c r="H220" s="10">
        <f t="shared" si="53"/>
        <v>10</v>
      </c>
      <c r="K220" s="4">
        <f t="shared" si="46"/>
        <v>158260</v>
      </c>
      <c r="L220" s="4">
        <f t="shared" si="47"/>
        <v>495</v>
      </c>
      <c r="M220" s="4">
        <f t="shared" si="48"/>
        <v>200</v>
      </c>
      <c r="N220" s="4">
        <f t="shared" si="49"/>
        <v>648</v>
      </c>
      <c r="O220" s="4">
        <f>SUM($G$3:G220)</f>
        <v>11599830</v>
      </c>
    </row>
    <row r="221" spans="1:15" x14ac:dyDescent="0.3">
      <c r="A221" s="5">
        <f t="shared" si="50"/>
        <v>219</v>
      </c>
      <c r="B221" s="4">
        <f t="shared" si="50"/>
        <v>496</v>
      </c>
      <c r="C221" s="8">
        <v>200</v>
      </c>
      <c r="D221" s="4">
        <f t="shared" si="51"/>
        <v>651</v>
      </c>
      <c r="E221" s="4">
        <v>0.7</v>
      </c>
      <c r="F221" s="4">
        <f t="shared" si="52"/>
        <v>1.4</v>
      </c>
      <c r="G221" s="9">
        <f t="shared" si="45"/>
        <v>159710</v>
      </c>
      <c r="H221" s="10">
        <f t="shared" si="53"/>
        <v>10</v>
      </c>
      <c r="K221" s="4">
        <f t="shared" si="46"/>
        <v>159710</v>
      </c>
      <c r="L221" s="4">
        <f t="shared" si="47"/>
        <v>496</v>
      </c>
      <c r="M221" s="4">
        <f t="shared" si="48"/>
        <v>200</v>
      </c>
      <c r="N221" s="4">
        <f t="shared" si="49"/>
        <v>651</v>
      </c>
      <c r="O221" s="4">
        <f>SUM($G$3:G221)</f>
        <v>11759540</v>
      </c>
    </row>
    <row r="222" spans="1:15" x14ac:dyDescent="0.3">
      <c r="A222" s="5">
        <f t="shared" si="50"/>
        <v>220</v>
      </c>
      <c r="B222" s="4">
        <f t="shared" si="50"/>
        <v>497</v>
      </c>
      <c r="C222" s="8">
        <v>200</v>
      </c>
      <c r="D222" s="4">
        <f t="shared" si="51"/>
        <v>654</v>
      </c>
      <c r="E222" s="4">
        <v>0.7</v>
      </c>
      <c r="F222" s="4">
        <f t="shared" si="52"/>
        <v>1.5999999999999999</v>
      </c>
      <c r="G222" s="9">
        <f t="shared" si="45"/>
        <v>161180</v>
      </c>
      <c r="H222" s="10">
        <f t="shared" si="53"/>
        <v>11</v>
      </c>
      <c r="K222" s="4">
        <f t="shared" si="46"/>
        <v>161180</v>
      </c>
      <c r="L222" s="4">
        <f t="shared" si="47"/>
        <v>497</v>
      </c>
      <c r="M222" s="4">
        <f t="shared" si="48"/>
        <v>200</v>
      </c>
      <c r="N222" s="4">
        <f t="shared" si="49"/>
        <v>654</v>
      </c>
      <c r="O222" s="4">
        <f>SUM($G$3:G222)</f>
        <v>11920720</v>
      </c>
    </row>
    <row r="223" spans="1:15" x14ac:dyDescent="0.3">
      <c r="A223" s="5">
        <f t="shared" si="50"/>
        <v>221</v>
      </c>
      <c r="B223" s="4">
        <f t="shared" si="50"/>
        <v>498</v>
      </c>
      <c r="C223" s="8">
        <v>200</v>
      </c>
      <c r="D223" s="4">
        <f t="shared" si="51"/>
        <v>657</v>
      </c>
      <c r="E223" s="4">
        <v>0.7</v>
      </c>
      <c r="F223" s="4">
        <f t="shared" si="52"/>
        <v>1.5999999999999999</v>
      </c>
      <c r="G223" s="9">
        <f t="shared" si="45"/>
        <v>162650</v>
      </c>
      <c r="H223" s="10">
        <f t="shared" si="53"/>
        <v>11</v>
      </c>
      <c r="K223" s="4">
        <f t="shared" si="46"/>
        <v>162650</v>
      </c>
      <c r="L223" s="4">
        <f t="shared" si="47"/>
        <v>498</v>
      </c>
      <c r="M223" s="4">
        <f t="shared" si="48"/>
        <v>200</v>
      </c>
      <c r="N223" s="4">
        <f t="shared" si="49"/>
        <v>657</v>
      </c>
      <c r="O223" s="4">
        <f>SUM($G$3:G223)</f>
        <v>12083370</v>
      </c>
    </row>
    <row r="224" spans="1:15" x14ac:dyDescent="0.3">
      <c r="A224" s="5">
        <f t="shared" si="50"/>
        <v>222</v>
      </c>
      <c r="B224" s="4">
        <f t="shared" si="50"/>
        <v>499</v>
      </c>
      <c r="C224" s="8">
        <v>200</v>
      </c>
      <c r="D224" s="4">
        <f t="shared" si="51"/>
        <v>660</v>
      </c>
      <c r="E224" s="4">
        <v>0.7</v>
      </c>
      <c r="F224" s="4">
        <f t="shared" si="52"/>
        <v>1.5999999999999999</v>
      </c>
      <c r="G224" s="9">
        <f t="shared" si="45"/>
        <v>164130</v>
      </c>
      <c r="H224" s="10">
        <f t="shared" si="53"/>
        <v>11</v>
      </c>
      <c r="K224" s="4">
        <f t="shared" si="46"/>
        <v>164130</v>
      </c>
      <c r="L224" s="4">
        <f t="shared" si="47"/>
        <v>499</v>
      </c>
      <c r="M224" s="4">
        <f t="shared" si="48"/>
        <v>200</v>
      </c>
      <c r="N224" s="4">
        <f t="shared" si="49"/>
        <v>660</v>
      </c>
      <c r="O224" s="4">
        <f>SUM($G$3:G224)</f>
        <v>12247500</v>
      </c>
    </row>
    <row r="225" spans="1:15" x14ac:dyDescent="0.3">
      <c r="A225" s="5">
        <f t="shared" si="50"/>
        <v>223</v>
      </c>
      <c r="B225" s="4">
        <f t="shared" si="50"/>
        <v>500</v>
      </c>
      <c r="C225" s="8">
        <v>200</v>
      </c>
      <c r="D225" s="4">
        <f t="shared" si="51"/>
        <v>663</v>
      </c>
      <c r="E225" s="4">
        <v>0.7</v>
      </c>
      <c r="F225" s="4">
        <f t="shared" si="52"/>
        <v>1.5999999999999999</v>
      </c>
      <c r="G225" s="9">
        <f t="shared" si="45"/>
        <v>165610</v>
      </c>
      <c r="H225" s="10">
        <f t="shared" si="53"/>
        <v>11</v>
      </c>
      <c r="K225" s="4">
        <f t="shared" si="46"/>
        <v>165610</v>
      </c>
      <c r="L225" s="4">
        <f t="shared" si="47"/>
        <v>500</v>
      </c>
      <c r="M225" s="4">
        <f t="shared" si="48"/>
        <v>200</v>
      </c>
      <c r="N225" s="4">
        <f t="shared" si="49"/>
        <v>663</v>
      </c>
      <c r="O225" s="4">
        <f>SUM($G$3:G225)</f>
        <v>12413110</v>
      </c>
    </row>
    <row r="226" spans="1:15" x14ac:dyDescent="0.3">
      <c r="A226" s="5">
        <f t="shared" si="50"/>
        <v>224</v>
      </c>
      <c r="B226" s="4">
        <f t="shared" si="50"/>
        <v>501</v>
      </c>
      <c r="C226" s="8">
        <v>200</v>
      </c>
      <c r="D226" s="4">
        <f t="shared" si="51"/>
        <v>666</v>
      </c>
      <c r="E226" s="4">
        <v>0.7</v>
      </c>
      <c r="F226" s="4">
        <f t="shared" si="52"/>
        <v>1.5999999999999999</v>
      </c>
      <c r="G226" s="9">
        <f t="shared" si="45"/>
        <v>167100</v>
      </c>
      <c r="H226" s="10">
        <f t="shared" si="53"/>
        <v>11</v>
      </c>
      <c r="K226" s="4">
        <f t="shared" si="46"/>
        <v>167100</v>
      </c>
      <c r="L226" s="4">
        <f t="shared" si="47"/>
        <v>501</v>
      </c>
      <c r="M226" s="4">
        <f t="shared" si="48"/>
        <v>200</v>
      </c>
      <c r="N226" s="4">
        <f t="shared" si="49"/>
        <v>666</v>
      </c>
      <c r="O226" s="4">
        <f>SUM($G$3:G226)</f>
        <v>12580210</v>
      </c>
    </row>
    <row r="227" spans="1:15" x14ac:dyDescent="0.3">
      <c r="A227" s="5">
        <f t="shared" si="50"/>
        <v>225</v>
      </c>
      <c r="B227" s="4">
        <f t="shared" si="50"/>
        <v>502</v>
      </c>
      <c r="C227" s="8">
        <v>200</v>
      </c>
      <c r="D227" s="4">
        <f t="shared" si="51"/>
        <v>669</v>
      </c>
      <c r="E227" s="4">
        <v>0.7</v>
      </c>
      <c r="F227" s="4">
        <f t="shared" si="52"/>
        <v>1.5999999999999999</v>
      </c>
      <c r="G227" s="9">
        <f t="shared" si="45"/>
        <v>168600</v>
      </c>
      <c r="H227" s="10">
        <f t="shared" si="53"/>
        <v>11</v>
      </c>
      <c r="K227" s="4">
        <f t="shared" si="46"/>
        <v>168600</v>
      </c>
      <c r="L227" s="4">
        <f t="shared" si="47"/>
        <v>502</v>
      </c>
      <c r="M227" s="4">
        <f t="shared" si="48"/>
        <v>200</v>
      </c>
      <c r="N227" s="4">
        <f t="shared" si="49"/>
        <v>669</v>
      </c>
      <c r="O227" s="4">
        <f>SUM($G$3:G227)</f>
        <v>12748810</v>
      </c>
    </row>
    <row r="228" spans="1:15" x14ac:dyDescent="0.3">
      <c r="A228" s="5">
        <f t="shared" si="50"/>
        <v>226</v>
      </c>
      <c r="B228" s="4">
        <f t="shared" si="50"/>
        <v>503</v>
      </c>
      <c r="C228" s="8">
        <v>200</v>
      </c>
      <c r="D228" s="4">
        <f t="shared" si="51"/>
        <v>672</v>
      </c>
      <c r="E228" s="4">
        <v>0.7</v>
      </c>
      <c r="F228" s="4">
        <f t="shared" si="52"/>
        <v>1.5999999999999999</v>
      </c>
      <c r="G228" s="9">
        <f t="shared" si="45"/>
        <v>170100</v>
      </c>
      <c r="H228" s="10">
        <f t="shared" si="53"/>
        <v>11</v>
      </c>
      <c r="K228" s="4">
        <f t="shared" si="46"/>
        <v>170100</v>
      </c>
      <c r="L228" s="4">
        <f t="shared" si="47"/>
        <v>503</v>
      </c>
      <c r="M228" s="4">
        <f t="shared" si="48"/>
        <v>200</v>
      </c>
      <c r="N228" s="4">
        <f t="shared" si="49"/>
        <v>672</v>
      </c>
      <c r="O228" s="4">
        <f>SUM($G$3:G228)</f>
        <v>12918910</v>
      </c>
    </row>
    <row r="229" spans="1:15" x14ac:dyDescent="0.3">
      <c r="A229" s="5">
        <f t="shared" si="50"/>
        <v>227</v>
      </c>
      <c r="B229" s="4">
        <f t="shared" si="50"/>
        <v>504</v>
      </c>
      <c r="C229" s="8">
        <v>200</v>
      </c>
      <c r="D229" s="4">
        <f t="shared" si="51"/>
        <v>675</v>
      </c>
      <c r="E229" s="4">
        <v>0.7</v>
      </c>
      <c r="F229" s="4">
        <f t="shared" si="52"/>
        <v>1.5999999999999999</v>
      </c>
      <c r="G229" s="9">
        <f t="shared" si="45"/>
        <v>171610</v>
      </c>
      <c r="H229" s="10">
        <f t="shared" si="53"/>
        <v>11</v>
      </c>
      <c r="K229" s="4">
        <f t="shared" si="46"/>
        <v>171610</v>
      </c>
      <c r="L229" s="4">
        <f t="shared" si="47"/>
        <v>504</v>
      </c>
      <c r="M229" s="4">
        <f t="shared" si="48"/>
        <v>200</v>
      </c>
      <c r="N229" s="4">
        <f t="shared" si="49"/>
        <v>675</v>
      </c>
      <c r="O229" s="4">
        <f>SUM($G$3:G229)</f>
        <v>13090520</v>
      </c>
    </row>
    <row r="230" spans="1:15" x14ac:dyDescent="0.3">
      <c r="A230" s="5">
        <f t="shared" si="50"/>
        <v>228</v>
      </c>
      <c r="B230" s="4">
        <f t="shared" si="50"/>
        <v>505</v>
      </c>
      <c r="C230" s="8">
        <v>200</v>
      </c>
      <c r="D230" s="4">
        <f t="shared" si="51"/>
        <v>678</v>
      </c>
      <c r="E230" s="4">
        <v>0.7</v>
      </c>
      <c r="F230" s="4">
        <f t="shared" si="52"/>
        <v>1.5999999999999999</v>
      </c>
      <c r="G230" s="9">
        <f t="shared" si="45"/>
        <v>173130</v>
      </c>
      <c r="H230" s="10">
        <f t="shared" si="53"/>
        <v>11</v>
      </c>
      <c r="K230" s="4">
        <f t="shared" si="46"/>
        <v>173130</v>
      </c>
      <c r="L230" s="4">
        <f t="shared" si="47"/>
        <v>505</v>
      </c>
      <c r="M230" s="4">
        <f t="shared" si="48"/>
        <v>200</v>
      </c>
      <c r="N230" s="4">
        <f t="shared" si="49"/>
        <v>678</v>
      </c>
      <c r="O230" s="4">
        <f>SUM($G$3:G230)</f>
        <v>13263650</v>
      </c>
    </row>
    <row r="231" spans="1:15" x14ac:dyDescent="0.3">
      <c r="A231" s="5">
        <f t="shared" si="50"/>
        <v>229</v>
      </c>
      <c r="B231" s="4">
        <f t="shared" si="50"/>
        <v>506</v>
      </c>
      <c r="C231" s="8">
        <v>200</v>
      </c>
      <c r="D231" s="4">
        <f t="shared" si="51"/>
        <v>681</v>
      </c>
      <c r="E231" s="4">
        <v>0.7</v>
      </c>
      <c r="F231" s="4">
        <f t="shared" si="52"/>
        <v>1.5999999999999999</v>
      </c>
      <c r="G231" s="9">
        <f t="shared" si="45"/>
        <v>174660</v>
      </c>
      <c r="H231" s="10">
        <f t="shared" si="53"/>
        <v>11</v>
      </c>
      <c r="K231" s="4">
        <f t="shared" si="46"/>
        <v>174660</v>
      </c>
      <c r="L231" s="4">
        <f t="shared" si="47"/>
        <v>506</v>
      </c>
      <c r="M231" s="4">
        <f t="shared" si="48"/>
        <v>200</v>
      </c>
      <c r="N231" s="4">
        <f t="shared" si="49"/>
        <v>681</v>
      </c>
      <c r="O231" s="4">
        <f>SUM($G$3:G231)</f>
        <v>13438310</v>
      </c>
    </row>
    <row r="232" spans="1:15" x14ac:dyDescent="0.3">
      <c r="A232" s="5">
        <f t="shared" si="50"/>
        <v>230</v>
      </c>
      <c r="B232" s="4">
        <f t="shared" si="50"/>
        <v>507</v>
      </c>
      <c r="C232" s="8">
        <v>200</v>
      </c>
      <c r="D232" s="4">
        <f t="shared" si="51"/>
        <v>684</v>
      </c>
      <c r="E232" s="4">
        <v>0.7</v>
      </c>
      <c r="F232" s="4">
        <f t="shared" si="52"/>
        <v>1.5999999999999999</v>
      </c>
      <c r="G232" s="9">
        <f t="shared" si="45"/>
        <v>176190</v>
      </c>
      <c r="H232" s="10">
        <f t="shared" si="53"/>
        <v>12</v>
      </c>
      <c r="K232" s="4">
        <f t="shared" si="46"/>
        <v>176190</v>
      </c>
      <c r="L232" s="4">
        <f t="shared" si="47"/>
        <v>507</v>
      </c>
      <c r="M232" s="4">
        <f t="shared" si="48"/>
        <v>200</v>
      </c>
      <c r="N232" s="4">
        <f t="shared" si="49"/>
        <v>684</v>
      </c>
      <c r="O232" s="4">
        <f>SUM($G$3:G232)</f>
        <v>13614500</v>
      </c>
    </row>
    <row r="233" spans="1:15" x14ac:dyDescent="0.3">
      <c r="A233" s="5">
        <f t="shared" si="50"/>
        <v>231</v>
      </c>
      <c r="B233" s="4">
        <f t="shared" si="50"/>
        <v>508</v>
      </c>
      <c r="C233" s="8">
        <v>200</v>
      </c>
      <c r="D233" s="4">
        <f t="shared" si="51"/>
        <v>687</v>
      </c>
      <c r="E233" s="4">
        <v>0.7</v>
      </c>
      <c r="F233" s="4">
        <f t="shared" si="52"/>
        <v>1.5999999999999999</v>
      </c>
      <c r="G233" s="9">
        <f t="shared" si="45"/>
        <v>177720</v>
      </c>
      <c r="H233" s="10">
        <f t="shared" si="53"/>
        <v>12</v>
      </c>
      <c r="K233" s="4">
        <f t="shared" si="46"/>
        <v>177720</v>
      </c>
      <c r="L233" s="4">
        <f t="shared" si="47"/>
        <v>508</v>
      </c>
      <c r="M233" s="4">
        <f t="shared" si="48"/>
        <v>200</v>
      </c>
      <c r="N233" s="4">
        <f t="shared" si="49"/>
        <v>687</v>
      </c>
      <c r="O233" s="4">
        <f>SUM($G$3:G233)</f>
        <v>13792220</v>
      </c>
    </row>
    <row r="234" spans="1:15" x14ac:dyDescent="0.3">
      <c r="A234" s="5">
        <f t="shared" si="50"/>
        <v>232</v>
      </c>
      <c r="B234" s="4">
        <f t="shared" si="50"/>
        <v>509</v>
      </c>
      <c r="C234" s="8">
        <v>200</v>
      </c>
      <c r="D234" s="4">
        <f t="shared" si="51"/>
        <v>690</v>
      </c>
      <c r="E234" s="4">
        <v>0.7</v>
      </c>
      <c r="F234" s="4">
        <f t="shared" si="52"/>
        <v>1.5999999999999999</v>
      </c>
      <c r="G234" s="9">
        <f t="shared" si="45"/>
        <v>179270</v>
      </c>
      <c r="H234" s="10">
        <f t="shared" si="53"/>
        <v>12</v>
      </c>
      <c r="K234" s="4">
        <f t="shared" si="46"/>
        <v>179270</v>
      </c>
      <c r="L234" s="4">
        <f t="shared" si="47"/>
        <v>509</v>
      </c>
      <c r="M234" s="4">
        <f t="shared" si="48"/>
        <v>200</v>
      </c>
      <c r="N234" s="4">
        <f t="shared" si="49"/>
        <v>690</v>
      </c>
      <c r="O234" s="4">
        <f>SUM($G$3:G234)</f>
        <v>13971490</v>
      </c>
    </row>
    <row r="235" spans="1:15" x14ac:dyDescent="0.3">
      <c r="A235" s="5">
        <f t="shared" si="50"/>
        <v>233</v>
      </c>
      <c r="B235" s="4">
        <f t="shared" si="50"/>
        <v>510</v>
      </c>
      <c r="C235" s="8">
        <v>200</v>
      </c>
      <c r="D235" s="4">
        <f t="shared" si="51"/>
        <v>693</v>
      </c>
      <c r="E235" s="4">
        <v>0.7</v>
      </c>
      <c r="F235" s="4">
        <f t="shared" si="52"/>
        <v>1.5999999999999999</v>
      </c>
      <c r="G235" s="9">
        <f t="shared" si="45"/>
        <v>180820</v>
      </c>
      <c r="H235" s="10">
        <f t="shared" si="53"/>
        <v>12</v>
      </c>
      <c r="K235" s="4">
        <f t="shared" si="46"/>
        <v>180820</v>
      </c>
      <c r="L235" s="4">
        <f t="shared" si="47"/>
        <v>510</v>
      </c>
      <c r="M235" s="4">
        <f t="shared" si="48"/>
        <v>200</v>
      </c>
      <c r="N235" s="4">
        <f t="shared" si="49"/>
        <v>693</v>
      </c>
      <c r="O235" s="4">
        <f>SUM($G$3:G235)</f>
        <v>14152310</v>
      </c>
    </row>
    <row r="236" spans="1:15" x14ac:dyDescent="0.3">
      <c r="A236" s="5">
        <f t="shared" si="50"/>
        <v>234</v>
      </c>
      <c r="B236" s="4">
        <f t="shared" si="50"/>
        <v>511</v>
      </c>
      <c r="C236" s="8">
        <v>200</v>
      </c>
      <c r="D236" s="4">
        <f t="shared" si="51"/>
        <v>696</v>
      </c>
      <c r="E236" s="4">
        <v>0.7</v>
      </c>
      <c r="F236" s="4">
        <f t="shared" si="52"/>
        <v>1.5999999999999999</v>
      </c>
      <c r="G236" s="9">
        <f t="shared" si="45"/>
        <v>182380</v>
      </c>
      <c r="H236" s="10">
        <f t="shared" si="53"/>
        <v>12</v>
      </c>
      <c r="K236" s="4">
        <f t="shared" si="46"/>
        <v>182380</v>
      </c>
      <c r="L236" s="4">
        <f t="shared" si="47"/>
        <v>511</v>
      </c>
      <c r="M236" s="4">
        <f t="shared" si="48"/>
        <v>200</v>
      </c>
      <c r="N236" s="4">
        <f t="shared" si="49"/>
        <v>696</v>
      </c>
      <c r="O236" s="4">
        <f>SUM($G$3:G236)</f>
        <v>14334690</v>
      </c>
    </row>
    <row r="237" spans="1:15" x14ac:dyDescent="0.3">
      <c r="A237" s="5">
        <f t="shared" si="50"/>
        <v>235</v>
      </c>
      <c r="B237" s="4">
        <f t="shared" si="50"/>
        <v>512</v>
      </c>
      <c r="C237" s="8">
        <v>200</v>
      </c>
      <c r="D237" s="4">
        <f t="shared" si="51"/>
        <v>699</v>
      </c>
      <c r="E237" s="4">
        <v>0.7</v>
      </c>
      <c r="F237" s="4">
        <f t="shared" si="52"/>
        <v>1.5999999999999999</v>
      </c>
      <c r="G237" s="9">
        <f t="shared" si="45"/>
        <v>183940</v>
      </c>
      <c r="H237" s="10">
        <f t="shared" si="53"/>
        <v>12</v>
      </c>
      <c r="K237" s="4">
        <f t="shared" si="46"/>
        <v>183940</v>
      </c>
      <c r="L237" s="4">
        <f t="shared" si="47"/>
        <v>512</v>
      </c>
      <c r="M237" s="4">
        <f t="shared" si="48"/>
        <v>200</v>
      </c>
      <c r="N237" s="4">
        <f t="shared" si="49"/>
        <v>699</v>
      </c>
      <c r="O237" s="4">
        <f>SUM($G$3:G237)</f>
        <v>14518630</v>
      </c>
    </row>
    <row r="238" spans="1:15" x14ac:dyDescent="0.3">
      <c r="A238" s="5">
        <f t="shared" si="50"/>
        <v>236</v>
      </c>
      <c r="B238" s="4">
        <f t="shared" si="50"/>
        <v>513</v>
      </c>
      <c r="C238" s="8">
        <v>200</v>
      </c>
      <c r="D238" s="4">
        <f t="shared" si="51"/>
        <v>702</v>
      </c>
      <c r="E238" s="4">
        <v>0.7</v>
      </c>
      <c r="F238" s="4">
        <f t="shared" si="52"/>
        <v>1.5999999999999999</v>
      </c>
      <c r="G238" s="9">
        <f t="shared" si="45"/>
        <v>185510</v>
      </c>
      <c r="H238" s="10">
        <f t="shared" si="53"/>
        <v>12</v>
      </c>
      <c r="K238" s="4">
        <f t="shared" si="46"/>
        <v>185510</v>
      </c>
      <c r="L238" s="4">
        <f t="shared" si="47"/>
        <v>513</v>
      </c>
      <c r="M238" s="4">
        <f t="shared" si="48"/>
        <v>200</v>
      </c>
      <c r="N238" s="4">
        <f t="shared" si="49"/>
        <v>702</v>
      </c>
      <c r="O238" s="4">
        <f>SUM($G$3:G238)</f>
        <v>14704140</v>
      </c>
    </row>
    <row r="239" spans="1:15" x14ac:dyDescent="0.3">
      <c r="A239" s="5">
        <f t="shared" si="50"/>
        <v>237</v>
      </c>
      <c r="B239" s="4">
        <f t="shared" si="50"/>
        <v>514</v>
      </c>
      <c r="C239" s="8">
        <v>200</v>
      </c>
      <c r="D239" s="4">
        <f t="shared" si="51"/>
        <v>705</v>
      </c>
      <c r="E239" s="4">
        <v>0.7</v>
      </c>
      <c r="F239" s="4">
        <f t="shared" si="52"/>
        <v>1.5999999999999999</v>
      </c>
      <c r="G239" s="9">
        <f t="shared" si="45"/>
        <v>187090</v>
      </c>
      <c r="H239" s="10">
        <f t="shared" si="53"/>
        <v>12</v>
      </c>
      <c r="K239" s="4">
        <f t="shared" si="46"/>
        <v>187090</v>
      </c>
      <c r="L239" s="4">
        <f t="shared" si="47"/>
        <v>514</v>
      </c>
      <c r="M239" s="4">
        <f t="shared" si="48"/>
        <v>200</v>
      </c>
      <c r="N239" s="4">
        <f t="shared" si="49"/>
        <v>705</v>
      </c>
      <c r="O239" s="4">
        <f>SUM($G$3:G239)</f>
        <v>14891230</v>
      </c>
    </row>
    <row r="240" spans="1:15" x14ac:dyDescent="0.3">
      <c r="A240" s="5">
        <f t="shared" si="50"/>
        <v>238</v>
      </c>
      <c r="B240" s="4">
        <f t="shared" si="50"/>
        <v>515</v>
      </c>
      <c r="C240" s="8">
        <v>200</v>
      </c>
      <c r="D240" s="4">
        <f t="shared" si="51"/>
        <v>708</v>
      </c>
      <c r="E240" s="4">
        <v>0.7</v>
      </c>
      <c r="F240" s="4">
        <f t="shared" si="52"/>
        <v>1.5999999999999999</v>
      </c>
      <c r="G240" s="9">
        <f t="shared" si="45"/>
        <v>188680</v>
      </c>
      <c r="H240" s="10">
        <f t="shared" si="53"/>
        <v>12</v>
      </c>
      <c r="K240" s="4">
        <f t="shared" si="46"/>
        <v>188680</v>
      </c>
      <c r="L240" s="4">
        <f t="shared" si="47"/>
        <v>515</v>
      </c>
      <c r="M240" s="4">
        <f t="shared" si="48"/>
        <v>200</v>
      </c>
      <c r="N240" s="4">
        <f t="shared" si="49"/>
        <v>708</v>
      </c>
      <c r="O240" s="4">
        <f>SUM($G$3:G240)</f>
        <v>15079910</v>
      </c>
    </row>
    <row r="241" spans="1:15" x14ac:dyDescent="0.3">
      <c r="A241" s="5">
        <f t="shared" si="50"/>
        <v>239</v>
      </c>
      <c r="B241" s="4">
        <f t="shared" si="50"/>
        <v>516</v>
      </c>
      <c r="C241" s="8">
        <v>200</v>
      </c>
      <c r="D241" s="4">
        <f t="shared" si="51"/>
        <v>711</v>
      </c>
      <c r="E241" s="4">
        <v>0.7</v>
      </c>
      <c r="F241" s="4">
        <f t="shared" si="52"/>
        <v>1.5999999999999999</v>
      </c>
      <c r="G241" s="9">
        <f t="shared" si="45"/>
        <v>190270</v>
      </c>
      <c r="H241" s="10">
        <f t="shared" si="53"/>
        <v>12</v>
      </c>
      <c r="K241" s="4">
        <f t="shared" si="46"/>
        <v>190270</v>
      </c>
      <c r="L241" s="4">
        <f t="shared" si="47"/>
        <v>516</v>
      </c>
      <c r="M241" s="4">
        <f t="shared" si="48"/>
        <v>200</v>
      </c>
      <c r="N241" s="4">
        <f t="shared" si="49"/>
        <v>711</v>
      </c>
      <c r="O241" s="4">
        <f>SUM($G$3:G241)</f>
        <v>15270180</v>
      </c>
    </row>
    <row r="242" spans="1:15" x14ac:dyDescent="0.3">
      <c r="A242" s="5">
        <f t="shared" si="50"/>
        <v>240</v>
      </c>
      <c r="B242" s="4">
        <f t="shared" si="50"/>
        <v>517</v>
      </c>
      <c r="C242" s="8">
        <v>200</v>
      </c>
      <c r="D242" s="4">
        <f t="shared" si="51"/>
        <v>714</v>
      </c>
      <c r="E242" s="4">
        <v>0.7</v>
      </c>
      <c r="F242" s="4">
        <f t="shared" si="52"/>
        <v>1.7999999999999998</v>
      </c>
      <c r="G242" s="9">
        <f t="shared" si="45"/>
        <v>191860</v>
      </c>
      <c r="H242" s="10">
        <f t="shared" si="53"/>
        <v>13</v>
      </c>
      <c r="K242" s="4">
        <f t="shared" si="46"/>
        <v>191860</v>
      </c>
      <c r="L242" s="4">
        <f t="shared" si="47"/>
        <v>517</v>
      </c>
      <c r="M242" s="4">
        <f t="shared" si="48"/>
        <v>200</v>
      </c>
      <c r="N242" s="4">
        <f t="shared" si="49"/>
        <v>714</v>
      </c>
      <c r="O242" s="4">
        <f>SUM($G$3:G242)</f>
        <v>15462040</v>
      </c>
    </row>
    <row r="243" spans="1:15" x14ac:dyDescent="0.3">
      <c r="A243" s="5">
        <f t="shared" si="50"/>
        <v>241</v>
      </c>
      <c r="B243" s="4">
        <f t="shared" si="50"/>
        <v>518</v>
      </c>
      <c r="C243" s="8">
        <v>200</v>
      </c>
      <c r="D243" s="4">
        <f t="shared" si="51"/>
        <v>717</v>
      </c>
      <c r="E243" s="4">
        <v>0.7</v>
      </c>
      <c r="F243" s="4">
        <f t="shared" si="52"/>
        <v>1.7999999999999998</v>
      </c>
      <c r="G243" s="9">
        <f t="shared" si="45"/>
        <v>193470</v>
      </c>
      <c r="H243" s="10">
        <f t="shared" si="53"/>
        <v>13</v>
      </c>
      <c r="K243" s="4">
        <f t="shared" si="46"/>
        <v>193470</v>
      </c>
      <c r="L243" s="4">
        <f t="shared" si="47"/>
        <v>518</v>
      </c>
      <c r="M243" s="4">
        <f t="shared" si="48"/>
        <v>200</v>
      </c>
      <c r="N243" s="4">
        <f t="shared" si="49"/>
        <v>717</v>
      </c>
      <c r="O243" s="4">
        <f>SUM($G$3:G243)</f>
        <v>15655510</v>
      </c>
    </row>
    <row r="244" spans="1:15" x14ac:dyDescent="0.3">
      <c r="A244" s="5">
        <f t="shared" si="50"/>
        <v>242</v>
      </c>
      <c r="B244" s="4">
        <f t="shared" si="50"/>
        <v>519</v>
      </c>
      <c r="C244" s="8">
        <v>200</v>
      </c>
      <c r="D244" s="4">
        <f t="shared" si="51"/>
        <v>720</v>
      </c>
      <c r="E244" s="4">
        <v>0.7</v>
      </c>
      <c r="F244" s="4">
        <f t="shared" si="52"/>
        <v>1.7999999999999998</v>
      </c>
      <c r="G244" s="9">
        <f t="shared" si="45"/>
        <v>195080</v>
      </c>
      <c r="H244" s="10">
        <f t="shared" si="53"/>
        <v>13</v>
      </c>
      <c r="K244" s="4">
        <f t="shared" si="46"/>
        <v>195080</v>
      </c>
      <c r="L244" s="4">
        <f t="shared" si="47"/>
        <v>519</v>
      </c>
      <c r="M244" s="4">
        <f t="shared" si="48"/>
        <v>200</v>
      </c>
      <c r="N244" s="4">
        <f t="shared" si="49"/>
        <v>720</v>
      </c>
      <c r="O244" s="4">
        <f>SUM($G$3:G244)</f>
        <v>15850590</v>
      </c>
    </row>
    <row r="245" spans="1:15" x14ac:dyDescent="0.3">
      <c r="A245" s="5">
        <f t="shared" si="50"/>
        <v>243</v>
      </c>
      <c r="B245" s="4">
        <f t="shared" si="50"/>
        <v>520</v>
      </c>
      <c r="C245" s="8">
        <v>200</v>
      </c>
      <c r="D245" s="4">
        <f t="shared" si="51"/>
        <v>723</v>
      </c>
      <c r="E245" s="4">
        <v>0.7</v>
      </c>
      <c r="F245" s="4">
        <f t="shared" si="52"/>
        <v>1.7999999999999998</v>
      </c>
      <c r="G245" s="9">
        <f t="shared" si="45"/>
        <v>196700</v>
      </c>
      <c r="H245" s="10">
        <f t="shared" si="53"/>
        <v>13</v>
      </c>
      <c r="K245" s="4">
        <f t="shared" si="46"/>
        <v>196700</v>
      </c>
      <c r="L245" s="4">
        <f t="shared" si="47"/>
        <v>520</v>
      </c>
      <c r="M245" s="4">
        <f t="shared" si="48"/>
        <v>200</v>
      </c>
      <c r="N245" s="4">
        <f t="shared" si="49"/>
        <v>723</v>
      </c>
      <c r="O245" s="4">
        <f>SUM($G$3:G245)</f>
        <v>16047290</v>
      </c>
    </row>
    <row r="246" spans="1:15" x14ac:dyDescent="0.3">
      <c r="A246" s="5">
        <f t="shared" si="50"/>
        <v>244</v>
      </c>
      <c r="B246" s="4">
        <f t="shared" si="50"/>
        <v>521</v>
      </c>
      <c r="C246" s="8">
        <v>200</v>
      </c>
      <c r="D246" s="4">
        <f t="shared" si="51"/>
        <v>726</v>
      </c>
      <c r="E246" s="4">
        <v>0.7</v>
      </c>
      <c r="F246" s="4">
        <f t="shared" si="52"/>
        <v>1.7999999999999998</v>
      </c>
      <c r="G246" s="9">
        <f t="shared" si="45"/>
        <v>198320</v>
      </c>
      <c r="H246" s="10">
        <f t="shared" si="53"/>
        <v>13</v>
      </c>
      <c r="K246" s="4">
        <f t="shared" si="46"/>
        <v>198320</v>
      </c>
      <c r="L246" s="4">
        <f t="shared" si="47"/>
        <v>521</v>
      </c>
      <c r="M246" s="4">
        <f t="shared" si="48"/>
        <v>200</v>
      </c>
      <c r="N246" s="4">
        <f t="shared" si="49"/>
        <v>726</v>
      </c>
      <c r="O246" s="4">
        <f>SUM($G$3:G246)</f>
        <v>16245610</v>
      </c>
    </row>
    <row r="247" spans="1:15" x14ac:dyDescent="0.3">
      <c r="A247" s="5">
        <f t="shared" si="50"/>
        <v>245</v>
      </c>
      <c r="B247" s="4">
        <f t="shared" si="50"/>
        <v>522</v>
      </c>
      <c r="C247" s="8">
        <v>200</v>
      </c>
      <c r="D247" s="4">
        <f t="shared" si="51"/>
        <v>729</v>
      </c>
      <c r="E247" s="4">
        <v>0.7</v>
      </c>
      <c r="F247" s="4">
        <f t="shared" si="52"/>
        <v>1.7999999999999998</v>
      </c>
      <c r="G247" s="9">
        <f t="shared" si="45"/>
        <v>199960</v>
      </c>
      <c r="H247" s="10">
        <f t="shared" si="53"/>
        <v>13</v>
      </c>
      <c r="K247" s="4">
        <f t="shared" si="46"/>
        <v>199960</v>
      </c>
      <c r="L247" s="4">
        <f t="shared" si="47"/>
        <v>522</v>
      </c>
      <c r="M247" s="4">
        <f t="shared" si="48"/>
        <v>200</v>
      </c>
      <c r="N247" s="4">
        <f t="shared" si="49"/>
        <v>729</v>
      </c>
      <c r="O247" s="4">
        <f>SUM($G$3:G247)</f>
        <v>16445570</v>
      </c>
    </row>
    <row r="248" spans="1:15" x14ac:dyDescent="0.3">
      <c r="A248" s="5">
        <f t="shared" si="50"/>
        <v>246</v>
      </c>
      <c r="B248" s="4">
        <f t="shared" si="50"/>
        <v>523</v>
      </c>
      <c r="C248" s="8">
        <v>200</v>
      </c>
      <c r="D248" s="4">
        <f t="shared" si="51"/>
        <v>732</v>
      </c>
      <c r="E248" s="4">
        <v>0.7</v>
      </c>
      <c r="F248" s="4">
        <f t="shared" si="52"/>
        <v>1.7999999999999998</v>
      </c>
      <c r="G248" s="9">
        <f t="shared" si="45"/>
        <v>201590</v>
      </c>
      <c r="H248" s="10">
        <f t="shared" si="53"/>
        <v>13</v>
      </c>
      <c r="K248" s="4">
        <f t="shared" si="46"/>
        <v>201590</v>
      </c>
      <c r="L248" s="4">
        <f t="shared" si="47"/>
        <v>523</v>
      </c>
      <c r="M248" s="4">
        <f t="shared" si="48"/>
        <v>200</v>
      </c>
      <c r="N248" s="4">
        <f t="shared" si="49"/>
        <v>732</v>
      </c>
      <c r="O248" s="4">
        <f>SUM($G$3:G248)</f>
        <v>16647160</v>
      </c>
    </row>
    <row r="249" spans="1:15" x14ac:dyDescent="0.3">
      <c r="A249" s="5">
        <f t="shared" si="50"/>
        <v>247</v>
      </c>
      <c r="B249" s="4">
        <f t="shared" si="50"/>
        <v>524</v>
      </c>
      <c r="C249" s="8">
        <v>200</v>
      </c>
      <c r="D249" s="4">
        <f t="shared" si="51"/>
        <v>735</v>
      </c>
      <c r="E249" s="4">
        <v>0.7</v>
      </c>
      <c r="F249" s="4">
        <f t="shared" si="52"/>
        <v>1.7999999999999998</v>
      </c>
      <c r="G249" s="9">
        <f t="shared" si="45"/>
        <v>203240</v>
      </c>
      <c r="H249" s="10">
        <f t="shared" si="53"/>
        <v>13</v>
      </c>
      <c r="K249" s="4">
        <f t="shared" si="46"/>
        <v>203240</v>
      </c>
      <c r="L249" s="4">
        <f t="shared" si="47"/>
        <v>524</v>
      </c>
      <c r="M249" s="4">
        <f t="shared" si="48"/>
        <v>200</v>
      </c>
      <c r="N249" s="4">
        <f t="shared" si="49"/>
        <v>735</v>
      </c>
      <c r="O249" s="4">
        <f>SUM($G$3:G249)</f>
        <v>16850400</v>
      </c>
    </row>
    <row r="250" spans="1:15" x14ac:dyDescent="0.3">
      <c r="A250" s="5">
        <f t="shared" si="50"/>
        <v>248</v>
      </c>
      <c r="B250" s="4">
        <f t="shared" si="50"/>
        <v>525</v>
      </c>
      <c r="C250" s="8">
        <v>200</v>
      </c>
      <c r="D250" s="4">
        <f t="shared" si="51"/>
        <v>738</v>
      </c>
      <c r="E250" s="4">
        <v>0.7</v>
      </c>
      <c r="F250" s="4">
        <f t="shared" si="52"/>
        <v>1.7999999999999998</v>
      </c>
      <c r="G250" s="9">
        <f t="shared" si="45"/>
        <v>204890</v>
      </c>
      <c r="H250" s="10">
        <f t="shared" si="53"/>
        <v>13</v>
      </c>
      <c r="K250" s="4">
        <f t="shared" si="46"/>
        <v>204890</v>
      </c>
      <c r="L250" s="4">
        <f t="shared" si="47"/>
        <v>525</v>
      </c>
      <c r="M250" s="4">
        <f t="shared" si="48"/>
        <v>200</v>
      </c>
      <c r="N250" s="4">
        <f t="shared" si="49"/>
        <v>738</v>
      </c>
      <c r="O250" s="4">
        <f>SUM($G$3:G250)</f>
        <v>17055290</v>
      </c>
    </row>
    <row r="251" spans="1:15" x14ac:dyDescent="0.3">
      <c r="A251" s="5">
        <f t="shared" si="50"/>
        <v>249</v>
      </c>
      <c r="B251" s="4">
        <f t="shared" si="50"/>
        <v>526</v>
      </c>
      <c r="C251" s="8">
        <v>200</v>
      </c>
      <c r="D251" s="4">
        <f t="shared" si="51"/>
        <v>741</v>
      </c>
      <c r="E251" s="4">
        <v>0.7</v>
      </c>
      <c r="F251" s="4">
        <f t="shared" si="52"/>
        <v>1.7999999999999998</v>
      </c>
      <c r="G251" s="9">
        <f t="shared" si="45"/>
        <v>206550</v>
      </c>
      <c r="H251" s="10">
        <f t="shared" si="53"/>
        <v>13</v>
      </c>
      <c r="K251" s="4">
        <f t="shared" si="46"/>
        <v>206550</v>
      </c>
      <c r="L251" s="4">
        <f t="shared" si="47"/>
        <v>526</v>
      </c>
      <c r="M251" s="4">
        <f t="shared" si="48"/>
        <v>200</v>
      </c>
      <c r="N251" s="4">
        <f t="shared" si="49"/>
        <v>741</v>
      </c>
      <c r="O251" s="4">
        <f>SUM($G$3:G251)</f>
        <v>17261840</v>
      </c>
    </row>
    <row r="252" spans="1:15" x14ac:dyDescent="0.3">
      <c r="A252" s="5">
        <f t="shared" si="50"/>
        <v>250</v>
      </c>
      <c r="B252" s="4">
        <f>B251+2</f>
        <v>528</v>
      </c>
      <c r="C252" s="8">
        <v>250</v>
      </c>
      <c r="D252" s="4">
        <f>D251+4</f>
        <v>745</v>
      </c>
      <c r="E252" s="4">
        <v>0.8</v>
      </c>
      <c r="F252" s="4">
        <f t="shared" si="52"/>
        <v>1.7999999999999998</v>
      </c>
      <c r="G252" s="9">
        <f t="shared" si="45"/>
        <v>208210</v>
      </c>
      <c r="H252" s="10">
        <f t="shared" si="53"/>
        <v>14</v>
      </c>
      <c r="K252" s="4">
        <f t="shared" si="46"/>
        <v>208210</v>
      </c>
      <c r="L252" s="4">
        <f t="shared" si="47"/>
        <v>528</v>
      </c>
      <c r="M252" s="4">
        <f t="shared" si="48"/>
        <v>250</v>
      </c>
      <c r="N252" s="4">
        <f t="shared" si="49"/>
        <v>745</v>
      </c>
      <c r="O252" s="4">
        <f>SUM($G$3:G252)</f>
        <v>17470050</v>
      </c>
    </row>
    <row r="253" spans="1:15" x14ac:dyDescent="0.3">
      <c r="A253" s="5">
        <f t="shared" si="50"/>
        <v>251</v>
      </c>
      <c r="B253" s="4">
        <f t="shared" ref="B253:B301" si="54">B252+2</f>
        <v>530</v>
      </c>
      <c r="C253" s="8">
        <v>250</v>
      </c>
      <c r="D253" s="4">
        <f t="shared" ref="D253:D301" si="55">D252+4</f>
        <v>749</v>
      </c>
      <c r="E253" s="4">
        <v>0.8</v>
      </c>
      <c r="F253" s="4">
        <f t="shared" si="52"/>
        <v>1.7999999999999998</v>
      </c>
      <c r="G253" s="9">
        <f t="shared" si="45"/>
        <v>209880</v>
      </c>
      <c r="H253" s="10">
        <f t="shared" si="53"/>
        <v>14</v>
      </c>
      <c r="K253" s="4">
        <f t="shared" si="46"/>
        <v>209880</v>
      </c>
      <c r="L253" s="4">
        <f t="shared" si="47"/>
        <v>530</v>
      </c>
      <c r="M253" s="4">
        <f t="shared" si="48"/>
        <v>250</v>
      </c>
      <c r="N253" s="4">
        <f t="shared" si="49"/>
        <v>749</v>
      </c>
      <c r="O253" s="4">
        <f>SUM($G$3:G253)</f>
        <v>17679930</v>
      </c>
    </row>
    <row r="254" spans="1:15" x14ac:dyDescent="0.3">
      <c r="A254" s="5">
        <f t="shared" si="50"/>
        <v>252</v>
      </c>
      <c r="B254" s="4">
        <f t="shared" si="54"/>
        <v>532</v>
      </c>
      <c r="C254" s="8">
        <v>250</v>
      </c>
      <c r="D254" s="4">
        <f t="shared" si="55"/>
        <v>753</v>
      </c>
      <c r="E254" s="4">
        <v>0.8</v>
      </c>
      <c r="F254" s="4">
        <f t="shared" si="52"/>
        <v>1.7999999999999998</v>
      </c>
      <c r="G254" s="9">
        <f t="shared" si="45"/>
        <v>211560</v>
      </c>
      <c r="H254" s="10">
        <f t="shared" si="53"/>
        <v>14</v>
      </c>
      <c r="K254" s="4">
        <f t="shared" si="46"/>
        <v>211560</v>
      </c>
      <c r="L254" s="4">
        <f t="shared" si="47"/>
        <v>532</v>
      </c>
      <c r="M254" s="4">
        <f t="shared" si="48"/>
        <v>250</v>
      </c>
      <c r="N254" s="4">
        <f t="shared" si="49"/>
        <v>753</v>
      </c>
      <c r="O254" s="4">
        <f>SUM($G$3:G254)</f>
        <v>17891490</v>
      </c>
    </row>
    <row r="255" spans="1:15" x14ac:dyDescent="0.3">
      <c r="A255" s="5">
        <f t="shared" si="50"/>
        <v>253</v>
      </c>
      <c r="B255" s="4">
        <f t="shared" si="54"/>
        <v>534</v>
      </c>
      <c r="C255" s="8">
        <v>250</v>
      </c>
      <c r="D255" s="4">
        <f t="shared" si="55"/>
        <v>757</v>
      </c>
      <c r="E255" s="4">
        <v>0.8</v>
      </c>
      <c r="F255" s="4">
        <f t="shared" si="52"/>
        <v>1.7999999999999998</v>
      </c>
      <c r="G255" s="9">
        <f t="shared" si="45"/>
        <v>213250</v>
      </c>
      <c r="H255" s="10">
        <f t="shared" si="53"/>
        <v>14</v>
      </c>
      <c r="K255" s="4">
        <f t="shared" si="46"/>
        <v>213250</v>
      </c>
      <c r="L255" s="4">
        <f t="shared" si="47"/>
        <v>534</v>
      </c>
      <c r="M255" s="4">
        <f t="shared" si="48"/>
        <v>250</v>
      </c>
      <c r="N255" s="4">
        <f t="shared" si="49"/>
        <v>757</v>
      </c>
      <c r="O255" s="4">
        <f>SUM($G$3:G255)</f>
        <v>18104740</v>
      </c>
    </row>
    <row r="256" spans="1:15" x14ac:dyDescent="0.3">
      <c r="A256" s="5">
        <f t="shared" si="50"/>
        <v>254</v>
      </c>
      <c r="B256" s="4">
        <f t="shared" si="54"/>
        <v>536</v>
      </c>
      <c r="C256" s="8">
        <v>250</v>
      </c>
      <c r="D256" s="4">
        <f t="shared" si="55"/>
        <v>761</v>
      </c>
      <c r="E256" s="4">
        <v>0.8</v>
      </c>
      <c r="F256" s="4">
        <f t="shared" si="52"/>
        <v>1.7999999999999998</v>
      </c>
      <c r="G256" s="9">
        <f t="shared" si="45"/>
        <v>214940</v>
      </c>
      <c r="H256" s="10">
        <f t="shared" si="53"/>
        <v>14</v>
      </c>
      <c r="K256" s="4">
        <f t="shared" si="46"/>
        <v>214940</v>
      </c>
      <c r="L256" s="4">
        <f t="shared" si="47"/>
        <v>536</v>
      </c>
      <c r="M256" s="4">
        <f t="shared" si="48"/>
        <v>250</v>
      </c>
      <c r="N256" s="4">
        <f t="shared" si="49"/>
        <v>761</v>
      </c>
      <c r="O256" s="4">
        <f>SUM($G$3:G256)</f>
        <v>18319680</v>
      </c>
    </row>
    <row r="257" spans="1:15" x14ac:dyDescent="0.3">
      <c r="A257" s="5">
        <f t="shared" si="50"/>
        <v>255</v>
      </c>
      <c r="B257" s="4">
        <f t="shared" si="54"/>
        <v>538</v>
      </c>
      <c r="C257" s="8">
        <v>250</v>
      </c>
      <c r="D257" s="4">
        <f t="shared" si="55"/>
        <v>765</v>
      </c>
      <c r="E257" s="4">
        <v>0.8</v>
      </c>
      <c r="F257" s="4">
        <f t="shared" si="52"/>
        <v>1.7999999999999998</v>
      </c>
      <c r="G257" s="9">
        <f t="shared" si="45"/>
        <v>216640</v>
      </c>
      <c r="H257" s="10">
        <f t="shared" si="53"/>
        <v>14</v>
      </c>
      <c r="K257" s="4">
        <f t="shared" si="46"/>
        <v>216640</v>
      </c>
      <c r="L257" s="4">
        <f t="shared" si="47"/>
        <v>538</v>
      </c>
      <c r="M257" s="4">
        <f t="shared" si="48"/>
        <v>250</v>
      </c>
      <c r="N257" s="4">
        <f t="shared" si="49"/>
        <v>765</v>
      </c>
      <c r="O257" s="4">
        <f>SUM($G$3:G257)</f>
        <v>18536320</v>
      </c>
    </row>
    <row r="258" spans="1:15" x14ac:dyDescent="0.3">
      <c r="A258" s="5">
        <f t="shared" si="50"/>
        <v>256</v>
      </c>
      <c r="B258" s="4">
        <f t="shared" si="54"/>
        <v>540</v>
      </c>
      <c r="C258" s="8">
        <v>250</v>
      </c>
      <c r="D258" s="4">
        <f t="shared" si="55"/>
        <v>769</v>
      </c>
      <c r="E258" s="4">
        <v>0.8</v>
      </c>
      <c r="F258" s="4">
        <f t="shared" si="52"/>
        <v>1.7999999999999998</v>
      </c>
      <c r="G258" s="9">
        <f t="shared" si="45"/>
        <v>218340</v>
      </c>
      <c r="H258" s="10">
        <f t="shared" si="53"/>
        <v>14</v>
      </c>
      <c r="K258" s="4">
        <f t="shared" si="46"/>
        <v>218340</v>
      </c>
      <c r="L258" s="4">
        <f t="shared" si="47"/>
        <v>540</v>
      </c>
      <c r="M258" s="4">
        <f t="shared" si="48"/>
        <v>250</v>
      </c>
      <c r="N258" s="4">
        <f t="shared" si="49"/>
        <v>769</v>
      </c>
      <c r="O258" s="4">
        <f>SUM($G$3:G258)</f>
        <v>18754660</v>
      </c>
    </row>
    <row r="259" spans="1:15" x14ac:dyDescent="0.3">
      <c r="A259" s="5">
        <f t="shared" si="50"/>
        <v>257</v>
      </c>
      <c r="B259" s="4">
        <f t="shared" si="54"/>
        <v>542</v>
      </c>
      <c r="C259" s="8">
        <v>250</v>
      </c>
      <c r="D259" s="4">
        <f t="shared" si="55"/>
        <v>773</v>
      </c>
      <c r="E259" s="4">
        <v>0.8</v>
      </c>
      <c r="F259" s="4">
        <f t="shared" si="52"/>
        <v>1.7999999999999998</v>
      </c>
      <c r="G259" s="9">
        <f t="shared" si="45"/>
        <v>220060</v>
      </c>
      <c r="H259" s="10">
        <f t="shared" si="53"/>
        <v>14</v>
      </c>
      <c r="K259" s="4">
        <f t="shared" si="46"/>
        <v>220060</v>
      </c>
      <c r="L259" s="4">
        <f t="shared" si="47"/>
        <v>542</v>
      </c>
      <c r="M259" s="4">
        <f t="shared" si="48"/>
        <v>250</v>
      </c>
      <c r="N259" s="4">
        <f t="shared" si="49"/>
        <v>773</v>
      </c>
      <c r="O259" s="4">
        <f>SUM($G$3:G259)</f>
        <v>18974720</v>
      </c>
    </row>
    <row r="260" spans="1:15" x14ac:dyDescent="0.3">
      <c r="A260" s="5">
        <f t="shared" si="50"/>
        <v>258</v>
      </c>
      <c r="B260" s="4">
        <f t="shared" si="54"/>
        <v>544</v>
      </c>
      <c r="C260" s="8">
        <v>250</v>
      </c>
      <c r="D260" s="4">
        <f t="shared" si="55"/>
        <v>777</v>
      </c>
      <c r="E260" s="4">
        <v>0.8</v>
      </c>
      <c r="F260" s="4">
        <f t="shared" si="52"/>
        <v>1.7999999999999998</v>
      </c>
      <c r="G260" s="9">
        <f t="shared" ref="G260:G302" si="56">ROUNDUP(500 + (300000-500) * ((A260-1)/(300-1))^2, -1)</f>
        <v>221770</v>
      </c>
      <c r="H260" s="10">
        <f t="shared" si="53"/>
        <v>14</v>
      </c>
      <c r="K260" s="4">
        <f t="shared" ref="K260:K301" si="57">G260</f>
        <v>221770</v>
      </c>
      <c r="L260" s="4">
        <f t="shared" ref="L260:L302" si="58">B260</f>
        <v>544</v>
      </c>
      <c r="M260" s="4">
        <f t="shared" ref="M260:M302" si="59">C260</f>
        <v>250</v>
      </c>
      <c r="N260" s="4">
        <f t="shared" ref="N260:N302" si="60">D260</f>
        <v>777</v>
      </c>
      <c r="O260" s="4">
        <f>SUM($G$3:G260)</f>
        <v>19196490</v>
      </c>
    </row>
    <row r="261" spans="1:15" x14ac:dyDescent="0.3">
      <c r="A261" s="5">
        <f t="shared" ref="A261:A302" si="61">A260+1</f>
        <v>259</v>
      </c>
      <c r="B261" s="4">
        <f t="shared" si="54"/>
        <v>546</v>
      </c>
      <c r="C261" s="8">
        <v>250</v>
      </c>
      <c r="D261" s="4">
        <f t="shared" si="55"/>
        <v>781</v>
      </c>
      <c r="E261" s="4">
        <v>0.8</v>
      </c>
      <c r="F261" s="4">
        <f t="shared" si="52"/>
        <v>1.7999999999999998</v>
      </c>
      <c r="G261" s="9">
        <f t="shared" si="56"/>
        <v>223500</v>
      </c>
      <c r="H261" s="10">
        <f t="shared" si="53"/>
        <v>14</v>
      </c>
      <c r="K261" s="4">
        <f t="shared" si="57"/>
        <v>223500</v>
      </c>
      <c r="L261" s="4">
        <f t="shared" si="58"/>
        <v>546</v>
      </c>
      <c r="M261" s="4">
        <f t="shared" si="59"/>
        <v>250</v>
      </c>
      <c r="N261" s="4">
        <f t="shared" si="60"/>
        <v>781</v>
      </c>
      <c r="O261" s="4">
        <f>SUM($G$3:G261)</f>
        <v>19419990</v>
      </c>
    </row>
    <row r="262" spans="1:15" x14ac:dyDescent="0.3">
      <c r="A262" s="5">
        <f t="shared" si="61"/>
        <v>260</v>
      </c>
      <c r="B262" s="4">
        <f t="shared" si="54"/>
        <v>548</v>
      </c>
      <c r="C262" s="8">
        <v>250</v>
      </c>
      <c r="D262" s="4">
        <f t="shared" si="55"/>
        <v>785</v>
      </c>
      <c r="E262" s="4">
        <v>0.8</v>
      </c>
      <c r="F262" s="4">
        <f t="shared" si="52"/>
        <v>1.9999999999999998</v>
      </c>
      <c r="G262" s="9">
        <f t="shared" si="56"/>
        <v>225230</v>
      </c>
      <c r="H262" s="10">
        <f t="shared" si="53"/>
        <v>15</v>
      </c>
      <c r="K262" s="4">
        <f t="shared" si="57"/>
        <v>225230</v>
      </c>
      <c r="L262" s="4">
        <f t="shared" si="58"/>
        <v>548</v>
      </c>
      <c r="M262" s="4">
        <f t="shared" si="59"/>
        <v>250</v>
      </c>
      <c r="N262" s="4">
        <f t="shared" si="60"/>
        <v>785</v>
      </c>
      <c r="O262" s="4">
        <f>SUM($G$3:G262)</f>
        <v>19645220</v>
      </c>
    </row>
    <row r="263" spans="1:15" x14ac:dyDescent="0.3">
      <c r="A263" s="5">
        <f t="shared" si="61"/>
        <v>261</v>
      </c>
      <c r="B263" s="4">
        <f t="shared" si="54"/>
        <v>550</v>
      </c>
      <c r="C263" s="8">
        <v>250</v>
      </c>
      <c r="D263" s="4">
        <f t="shared" si="55"/>
        <v>789</v>
      </c>
      <c r="E263" s="4">
        <v>0.8</v>
      </c>
      <c r="F263" s="4">
        <f t="shared" si="52"/>
        <v>1.9999999999999998</v>
      </c>
      <c r="G263" s="9">
        <f t="shared" si="56"/>
        <v>226970</v>
      </c>
      <c r="H263" s="10">
        <f t="shared" si="53"/>
        <v>15</v>
      </c>
      <c r="K263" s="4">
        <f t="shared" si="57"/>
        <v>226970</v>
      </c>
      <c r="L263" s="4">
        <f t="shared" si="58"/>
        <v>550</v>
      </c>
      <c r="M263" s="4">
        <f t="shared" si="59"/>
        <v>250</v>
      </c>
      <c r="N263" s="4">
        <f t="shared" si="60"/>
        <v>789</v>
      </c>
      <c r="O263" s="4">
        <f>SUM($G$3:G263)</f>
        <v>19872190</v>
      </c>
    </row>
    <row r="264" spans="1:15" x14ac:dyDescent="0.3">
      <c r="A264" s="5">
        <f t="shared" si="61"/>
        <v>262</v>
      </c>
      <c r="B264" s="4">
        <f t="shared" si="54"/>
        <v>552</v>
      </c>
      <c r="C264" s="8">
        <v>250</v>
      </c>
      <c r="D264" s="4">
        <f t="shared" si="55"/>
        <v>793</v>
      </c>
      <c r="E264" s="4">
        <v>0.8</v>
      </c>
      <c r="F264" s="4">
        <f t="shared" si="52"/>
        <v>1.9999999999999998</v>
      </c>
      <c r="G264" s="9">
        <f t="shared" si="56"/>
        <v>228720</v>
      </c>
      <c r="H264" s="10">
        <f t="shared" si="53"/>
        <v>15</v>
      </c>
      <c r="K264" s="4">
        <f t="shared" si="57"/>
        <v>228720</v>
      </c>
      <c r="L264" s="4">
        <f t="shared" si="58"/>
        <v>552</v>
      </c>
      <c r="M264" s="4">
        <f t="shared" si="59"/>
        <v>250</v>
      </c>
      <c r="N264" s="4">
        <f t="shared" si="60"/>
        <v>793</v>
      </c>
      <c r="O264" s="4">
        <f>SUM($G$3:G264)</f>
        <v>20100910</v>
      </c>
    </row>
    <row r="265" spans="1:15" x14ac:dyDescent="0.3">
      <c r="A265" s="5">
        <f t="shared" si="61"/>
        <v>263</v>
      </c>
      <c r="B265" s="4">
        <f t="shared" si="54"/>
        <v>554</v>
      </c>
      <c r="C265" s="8">
        <v>250</v>
      </c>
      <c r="D265" s="4">
        <f t="shared" si="55"/>
        <v>797</v>
      </c>
      <c r="E265" s="4">
        <v>0.8</v>
      </c>
      <c r="F265" s="4">
        <f t="shared" si="52"/>
        <v>1.9999999999999998</v>
      </c>
      <c r="G265" s="9">
        <f t="shared" si="56"/>
        <v>230470</v>
      </c>
      <c r="H265" s="10">
        <f t="shared" si="53"/>
        <v>15</v>
      </c>
      <c r="K265" s="4">
        <f t="shared" si="57"/>
        <v>230470</v>
      </c>
      <c r="L265" s="4">
        <f t="shared" si="58"/>
        <v>554</v>
      </c>
      <c r="M265" s="4">
        <f t="shared" si="59"/>
        <v>250</v>
      </c>
      <c r="N265" s="4">
        <f t="shared" si="60"/>
        <v>797</v>
      </c>
      <c r="O265" s="4">
        <f>SUM($G$3:G265)</f>
        <v>20331380</v>
      </c>
    </row>
    <row r="266" spans="1:15" x14ac:dyDescent="0.3">
      <c r="A266" s="5">
        <f t="shared" si="61"/>
        <v>264</v>
      </c>
      <c r="B266" s="4">
        <f t="shared" si="54"/>
        <v>556</v>
      </c>
      <c r="C266" s="8">
        <v>250</v>
      </c>
      <c r="D266" s="4">
        <f t="shared" si="55"/>
        <v>801</v>
      </c>
      <c r="E266" s="4">
        <v>0.8</v>
      </c>
      <c r="F266" s="4">
        <f t="shared" si="52"/>
        <v>1.9999999999999998</v>
      </c>
      <c r="G266" s="9">
        <f t="shared" si="56"/>
        <v>232230</v>
      </c>
      <c r="H266" s="10">
        <f t="shared" si="53"/>
        <v>15</v>
      </c>
      <c r="K266" s="4">
        <f t="shared" si="57"/>
        <v>232230</v>
      </c>
      <c r="L266" s="4">
        <f t="shared" si="58"/>
        <v>556</v>
      </c>
      <c r="M266" s="4">
        <f t="shared" si="59"/>
        <v>250</v>
      </c>
      <c r="N266" s="4">
        <f t="shared" si="60"/>
        <v>801</v>
      </c>
      <c r="O266" s="4">
        <f>SUM($G$3:G266)</f>
        <v>20563610</v>
      </c>
    </row>
    <row r="267" spans="1:15" x14ac:dyDescent="0.3">
      <c r="A267" s="5">
        <f t="shared" si="61"/>
        <v>265</v>
      </c>
      <c r="B267" s="4">
        <f t="shared" si="54"/>
        <v>558</v>
      </c>
      <c r="C267" s="8">
        <v>250</v>
      </c>
      <c r="D267" s="4">
        <f t="shared" si="55"/>
        <v>805</v>
      </c>
      <c r="E267" s="4">
        <v>0.8</v>
      </c>
      <c r="F267" s="4">
        <f t="shared" ref="F267:F302" si="62">F247+0.2</f>
        <v>1.9999999999999998</v>
      </c>
      <c r="G267" s="9">
        <f t="shared" si="56"/>
        <v>233990</v>
      </c>
      <c r="H267" s="10">
        <f t="shared" si="53"/>
        <v>15</v>
      </c>
      <c r="K267" s="4">
        <f t="shared" si="57"/>
        <v>233990</v>
      </c>
      <c r="L267" s="4">
        <f t="shared" si="58"/>
        <v>558</v>
      </c>
      <c r="M267" s="4">
        <f t="shared" si="59"/>
        <v>250</v>
      </c>
      <c r="N267" s="4">
        <f t="shared" si="60"/>
        <v>805</v>
      </c>
      <c r="O267" s="4">
        <f>SUM($G$3:G267)</f>
        <v>20797600</v>
      </c>
    </row>
    <row r="268" spans="1:15" x14ac:dyDescent="0.3">
      <c r="A268" s="5">
        <f t="shared" si="61"/>
        <v>266</v>
      </c>
      <c r="B268" s="4">
        <f t="shared" si="54"/>
        <v>560</v>
      </c>
      <c r="C268" s="8">
        <v>250</v>
      </c>
      <c r="D268" s="4">
        <f t="shared" si="55"/>
        <v>809</v>
      </c>
      <c r="E268" s="4">
        <v>0.8</v>
      </c>
      <c r="F268" s="4">
        <f t="shared" si="62"/>
        <v>1.9999999999999998</v>
      </c>
      <c r="G268" s="9">
        <f t="shared" si="56"/>
        <v>235760</v>
      </c>
      <c r="H268" s="10">
        <f t="shared" si="53"/>
        <v>15</v>
      </c>
      <c r="K268" s="4">
        <f t="shared" si="57"/>
        <v>235760</v>
      </c>
      <c r="L268" s="4">
        <f t="shared" si="58"/>
        <v>560</v>
      </c>
      <c r="M268" s="4">
        <f t="shared" si="59"/>
        <v>250</v>
      </c>
      <c r="N268" s="4">
        <f t="shared" si="60"/>
        <v>809</v>
      </c>
      <c r="O268" s="4">
        <f>SUM($G$3:G268)</f>
        <v>21033360</v>
      </c>
    </row>
    <row r="269" spans="1:15" x14ac:dyDescent="0.3">
      <c r="A269" s="5">
        <f t="shared" si="61"/>
        <v>267</v>
      </c>
      <c r="B269" s="4">
        <f t="shared" si="54"/>
        <v>562</v>
      </c>
      <c r="C269" s="8">
        <v>250</v>
      </c>
      <c r="D269" s="4">
        <f t="shared" si="55"/>
        <v>813</v>
      </c>
      <c r="E269" s="4">
        <v>0.8</v>
      </c>
      <c r="F269" s="4">
        <f t="shared" si="62"/>
        <v>1.9999999999999998</v>
      </c>
      <c r="G269" s="9">
        <f t="shared" si="56"/>
        <v>237540</v>
      </c>
      <c r="H269" s="10">
        <f t="shared" si="53"/>
        <v>15</v>
      </c>
      <c r="K269" s="4">
        <f t="shared" si="57"/>
        <v>237540</v>
      </c>
      <c r="L269" s="4">
        <f t="shared" si="58"/>
        <v>562</v>
      </c>
      <c r="M269" s="4">
        <f t="shared" si="59"/>
        <v>250</v>
      </c>
      <c r="N269" s="4">
        <f t="shared" si="60"/>
        <v>813</v>
      </c>
      <c r="O269" s="4">
        <f>SUM($G$3:G269)</f>
        <v>21270900</v>
      </c>
    </row>
    <row r="270" spans="1:15" x14ac:dyDescent="0.3">
      <c r="A270" s="5">
        <f t="shared" si="61"/>
        <v>268</v>
      </c>
      <c r="B270" s="4">
        <f t="shared" si="54"/>
        <v>564</v>
      </c>
      <c r="C270" s="8">
        <v>250</v>
      </c>
      <c r="D270" s="4">
        <f t="shared" si="55"/>
        <v>817</v>
      </c>
      <c r="E270" s="4">
        <v>0.8</v>
      </c>
      <c r="F270" s="4">
        <f t="shared" si="62"/>
        <v>1.9999999999999998</v>
      </c>
      <c r="G270" s="9">
        <f t="shared" si="56"/>
        <v>239330</v>
      </c>
      <c r="H270" s="10">
        <f t="shared" si="53"/>
        <v>15</v>
      </c>
      <c r="K270" s="4">
        <f t="shared" si="57"/>
        <v>239330</v>
      </c>
      <c r="L270" s="4">
        <f t="shared" si="58"/>
        <v>564</v>
      </c>
      <c r="M270" s="4">
        <f t="shared" si="59"/>
        <v>250</v>
      </c>
      <c r="N270" s="4">
        <f t="shared" si="60"/>
        <v>817</v>
      </c>
      <c r="O270" s="4">
        <f>SUM($G$3:G270)</f>
        <v>21510230</v>
      </c>
    </row>
    <row r="271" spans="1:15" x14ac:dyDescent="0.3">
      <c r="A271" s="5">
        <f t="shared" si="61"/>
        <v>269</v>
      </c>
      <c r="B271" s="4">
        <f t="shared" si="54"/>
        <v>566</v>
      </c>
      <c r="C271" s="8">
        <v>250</v>
      </c>
      <c r="D271" s="4">
        <f t="shared" si="55"/>
        <v>821</v>
      </c>
      <c r="E271" s="4">
        <v>0.8</v>
      </c>
      <c r="F271" s="4">
        <f t="shared" si="62"/>
        <v>1.9999999999999998</v>
      </c>
      <c r="G271" s="9">
        <f t="shared" si="56"/>
        <v>241120</v>
      </c>
      <c r="H271" s="10">
        <f t="shared" si="53"/>
        <v>15</v>
      </c>
      <c r="K271" s="4">
        <f t="shared" si="57"/>
        <v>241120</v>
      </c>
      <c r="L271" s="4">
        <f t="shared" si="58"/>
        <v>566</v>
      </c>
      <c r="M271" s="4">
        <f t="shared" si="59"/>
        <v>250</v>
      </c>
      <c r="N271" s="4">
        <f t="shared" si="60"/>
        <v>821</v>
      </c>
      <c r="O271" s="4">
        <f>SUM($G$3:G271)</f>
        <v>21751350</v>
      </c>
    </row>
    <row r="272" spans="1:15" x14ac:dyDescent="0.3">
      <c r="A272" s="5">
        <f t="shared" si="61"/>
        <v>270</v>
      </c>
      <c r="B272" s="4">
        <f t="shared" si="54"/>
        <v>568</v>
      </c>
      <c r="C272" s="8">
        <v>250</v>
      </c>
      <c r="D272" s="4">
        <f t="shared" si="55"/>
        <v>825</v>
      </c>
      <c r="E272" s="4">
        <v>0.8</v>
      </c>
      <c r="F272" s="4">
        <f t="shared" si="62"/>
        <v>1.9999999999999998</v>
      </c>
      <c r="G272" s="9">
        <f t="shared" si="56"/>
        <v>242920</v>
      </c>
      <c r="H272" s="10">
        <f t="shared" si="53"/>
        <v>16</v>
      </c>
      <c r="K272" s="4">
        <f t="shared" si="57"/>
        <v>242920</v>
      </c>
      <c r="L272" s="4">
        <f t="shared" si="58"/>
        <v>568</v>
      </c>
      <c r="M272" s="4">
        <f t="shared" si="59"/>
        <v>250</v>
      </c>
      <c r="N272" s="4">
        <f t="shared" si="60"/>
        <v>825</v>
      </c>
      <c r="O272" s="4">
        <f>SUM($G$3:G272)</f>
        <v>21994270</v>
      </c>
    </row>
    <row r="273" spans="1:15" x14ac:dyDescent="0.3">
      <c r="A273" s="5">
        <f t="shared" si="61"/>
        <v>271</v>
      </c>
      <c r="B273" s="4">
        <f t="shared" si="54"/>
        <v>570</v>
      </c>
      <c r="C273" s="8">
        <v>250</v>
      </c>
      <c r="D273" s="4">
        <f t="shared" si="55"/>
        <v>829</v>
      </c>
      <c r="E273" s="4">
        <v>0.8</v>
      </c>
      <c r="F273" s="4">
        <f t="shared" si="62"/>
        <v>1.9999999999999998</v>
      </c>
      <c r="G273" s="9">
        <f t="shared" si="56"/>
        <v>244730</v>
      </c>
      <c r="H273" s="10">
        <f t="shared" si="53"/>
        <v>16</v>
      </c>
      <c r="K273" s="4">
        <f t="shared" si="57"/>
        <v>244730</v>
      </c>
      <c r="L273" s="4">
        <f t="shared" si="58"/>
        <v>570</v>
      </c>
      <c r="M273" s="4">
        <f t="shared" si="59"/>
        <v>250</v>
      </c>
      <c r="N273" s="4">
        <f t="shared" si="60"/>
        <v>829</v>
      </c>
      <c r="O273" s="4">
        <f>SUM($G$3:G273)</f>
        <v>22239000</v>
      </c>
    </row>
    <row r="274" spans="1:15" x14ac:dyDescent="0.3">
      <c r="A274" s="5">
        <f t="shared" si="61"/>
        <v>272</v>
      </c>
      <c r="B274" s="4">
        <f t="shared" si="54"/>
        <v>572</v>
      </c>
      <c r="C274" s="8">
        <v>250</v>
      </c>
      <c r="D274" s="4">
        <f t="shared" si="55"/>
        <v>833</v>
      </c>
      <c r="E274" s="4">
        <v>0.8</v>
      </c>
      <c r="F274" s="4">
        <f t="shared" si="62"/>
        <v>1.9999999999999998</v>
      </c>
      <c r="G274" s="9">
        <f t="shared" si="56"/>
        <v>246540</v>
      </c>
      <c r="H274" s="10">
        <f t="shared" si="53"/>
        <v>16</v>
      </c>
      <c r="K274" s="4">
        <f t="shared" si="57"/>
        <v>246540</v>
      </c>
      <c r="L274" s="4">
        <f t="shared" si="58"/>
        <v>572</v>
      </c>
      <c r="M274" s="4">
        <f t="shared" si="59"/>
        <v>250</v>
      </c>
      <c r="N274" s="4">
        <f t="shared" si="60"/>
        <v>833</v>
      </c>
      <c r="O274" s="4">
        <f>SUM($G$3:G274)</f>
        <v>22485540</v>
      </c>
    </row>
    <row r="275" spans="1:15" x14ac:dyDescent="0.3">
      <c r="A275" s="5">
        <f t="shared" si="61"/>
        <v>273</v>
      </c>
      <c r="B275" s="4">
        <f t="shared" si="54"/>
        <v>574</v>
      </c>
      <c r="C275" s="8">
        <v>250</v>
      </c>
      <c r="D275" s="4">
        <f t="shared" si="55"/>
        <v>837</v>
      </c>
      <c r="E275" s="4">
        <v>0.8</v>
      </c>
      <c r="F275" s="4">
        <f t="shared" si="62"/>
        <v>1.9999999999999998</v>
      </c>
      <c r="G275" s="9">
        <f t="shared" si="56"/>
        <v>248360</v>
      </c>
      <c r="H275" s="10">
        <f t="shared" si="53"/>
        <v>16</v>
      </c>
      <c r="K275" s="4">
        <f t="shared" si="57"/>
        <v>248360</v>
      </c>
      <c r="L275" s="4">
        <f t="shared" si="58"/>
        <v>574</v>
      </c>
      <c r="M275" s="4">
        <f t="shared" si="59"/>
        <v>250</v>
      </c>
      <c r="N275" s="4">
        <f t="shared" si="60"/>
        <v>837</v>
      </c>
      <c r="O275" s="4">
        <f>SUM($G$3:G275)</f>
        <v>22733900</v>
      </c>
    </row>
    <row r="276" spans="1:15" x14ac:dyDescent="0.3">
      <c r="A276" s="5">
        <f t="shared" si="61"/>
        <v>274</v>
      </c>
      <c r="B276" s="4">
        <f t="shared" si="54"/>
        <v>576</v>
      </c>
      <c r="C276" s="8">
        <v>250</v>
      </c>
      <c r="D276" s="4">
        <f t="shared" si="55"/>
        <v>841</v>
      </c>
      <c r="E276" s="4">
        <v>0.8</v>
      </c>
      <c r="F276" s="4">
        <f t="shared" si="62"/>
        <v>1.9999999999999998</v>
      </c>
      <c r="G276" s="9">
        <f t="shared" si="56"/>
        <v>250180</v>
      </c>
      <c r="H276" s="10">
        <f t="shared" si="53"/>
        <v>16</v>
      </c>
      <c r="K276" s="4">
        <f t="shared" si="57"/>
        <v>250180</v>
      </c>
      <c r="L276" s="4">
        <f t="shared" si="58"/>
        <v>576</v>
      </c>
      <c r="M276" s="4">
        <f t="shared" si="59"/>
        <v>250</v>
      </c>
      <c r="N276" s="4">
        <f t="shared" si="60"/>
        <v>841</v>
      </c>
      <c r="O276" s="4">
        <f>SUM($G$3:G276)</f>
        <v>22984080</v>
      </c>
    </row>
    <row r="277" spans="1:15" x14ac:dyDescent="0.3">
      <c r="A277" s="5">
        <f t="shared" si="61"/>
        <v>275</v>
      </c>
      <c r="B277" s="4">
        <f t="shared" si="54"/>
        <v>578</v>
      </c>
      <c r="C277" s="8">
        <v>250</v>
      </c>
      <c r="D277" s="4">
        <f t="shared" si="55"/>
        <v>845</v>
      </c>
      <c r="E277" s="4">
        <v>0.8</v>
      </c>
      <c r="F277" s="4">
        <f t="shared" si="62"/>
        <v>1.9999999999999998</v>
      </c>
      <c r="G277" s="9">
        <f t="shared" si="56"/>
        <v>252020</v>
      </c>
      <c r="H277" s="10">
        <f t="shared" si="53"/>
        <v>16</v>
      </c>
      <c r="K277" s="4">
        <f t="shared" si="57"/>
        <v>252020</v>
      </c>
      <c r="L277" s="4">
        <f t="shared" si="58"/>
        <v>578</v>
      </c>
      <c r="M277" s="4">
        <f t="shared" si="59"/>
        <v>250</v>
      </c>
      <c r="N277" s="4">
        <f t="shared" si="60"/>
        <v>845</v>
      </c>
      <c r="O277" s="4">
        <f>SUM($G$3:G277)</f>
        <v>23236100</v>
      </c>
    </row>
    <row r="278" spans="1:15" x14ac:dyDescent="0.3">
      <c r="A278" s="5">
        <f t="shared" si="61"/>
        <v>276</v>
      </c>
      <c r="B278" s="4">
        <f t="shared" si="54"/>
        <v>580</v>
      </c>
      <c r="C278" s="8">
        <v>250</v>
      </c>
      <c r="D278" s="4">
        <f t="shared" si="55"/>
        <v>849</v>
      </c>
      <c r="E278" s="4">
        <v>0.8</v>
      </c>
      <c r="F278" s="4">
        <f t="shared" si="62"/>
        <v>1.9999999999999998</v>
      </c>
      <c r="G278" s="9">
        <f t="shared" si="56"/>
        <v>253850</v>
      </c>
      <c r="H278" s="10">
        <f t="shared" si="53"/>
        <v>16</v>
      </c>
      <c r="K278" s="4">
        <f t="shared" si="57"/>
        <v>253850</v>
      </c>
      <c r="L278" s="4">
        <f t="shared" si="58"/>
        <v>580</v>
      </c>
      <c r="M278" s="4">
        <f t="shared" si="59"/>
        <v>250</v>
      </c>
      <c r="N278" s="4">
        <f t="shared" si="60"/>
        <v>849</v>
      </c>
      <c r="O278" s="4">
        <f>SUM($G$3:G278)</f>
        <v>23489950</v>
      </c>
    </row>
    <row r="279" spans="1:15" x14ac:dyDescent="0.3">
      <c r="A279" s="5">
        <f t="shared" si="61"/>
        <v>277</v>
      </c>
      <c r="B279" s="4">
        <f t="shared" si="54"/>
        <v>582</v>
      </c>
      <c r="C279" s="8">
        <v>250</v>
      </c>
      <c r="D279" s="4">
        <f t="shared" si="55"/>
        <v>853</v>
      </c>
      <c r="E279" s="4">
        <v>0.8</v>
      </c>
      <c r="F279" s="4">
        <f t="shared" si="62"/>
        <v>1.9999999999999998</v>
      </c>
      <c r="G279" s="9">
        <f t="shared" si="56"/>
        <v>255700</v>
      </c>
      <c r="H279" s="10">
        <f t="shared" si="53"/>
        <v>16</v>
      </c>
      <c r="K279" s="4">
        <f t="shared" si="57"/>
        <v>255700</v>
      </c>
      <c r="L279" s="4">
        <f t="shared" si="58"/>
        <v>582</v>
      </c>
      <c r="M279" s="4">
        <f t="shared" si="59"/>
        <v>250</v>
      </c>
      <c r="N279" s="4">
        <f t="shared" si="60"/>
        <v>853</v>
      </c>
      <c r="O279" s="4">
        <f>SUM($G$3:G279)</f>
        <v>23745650</v>
      </c>
    </row>
    <row r="280" spans="1:15" x14ac:dyDescent="0.3">
      <c r="A280" s="5">
        <f t="shared" si="61"/>
        <v>278</v>
      </c>
      <c r="B280" s="4">
        <f t="shared" si="54"/>
        <v>584</v>
      </c>
      <c r="C280" s="8">
        <v>250</v>
      </c>
      <c r="D280" s="4">
        <f t="shared" si="55"/>
        <v>857</v>
      </c>
      <c r="E280" s="4">
        <v>0.8</v>
      </c>
      <c r="F280" s="4">
        <f t="shared" si="62"/>
        <v>1.9999999999999998</v>
      </c>
      <c r="G280" s="9">
        <f t="shared" si="56"/>
        <v>257550</v>
      </c>
      <c r="H280" s="10">
        <f t="shared" si="53"/>
        <v>16</v>
      </c>
      <c r="K280" s="4">
        <f t="shared" si="57"/>
        <v>257550</v>
      </c>
      <c r="L280" s="4">
        <f t="shared" si="58"/>
        <v>584</v>
      </c>
      <c r="M280" s="4">
        <f t="shared" si="59"/>
        <v>250</v>
      </c>
      <c r="N280" s="4">
        <f t="shared" si="60"/>
        <v>857</v>
      </c>
      <c r="O280" s="4">
        <f>SUM($G$3:G280)</f>
        <v>24003200</v>
      </c>
    </row>
    <row r="281" spans="1:15" x14ac:dyDescent="0.3">
      <c r="A281" s="5">
        <f t="shared" si="61"/>
        <v>279</v>
      </c>
      <c r="B281" s="4">
        <f t="shared" si="54"/>
        <v>586</v>
      </c>
      <c r="C281" s="8">
        <v>250</v>
      </c>
      <c r="D281" s="4">
        <f t="shared" si="55"/>
        <v>861</v>
      </c>
      <c r="E281" s="4">
        <v>0.8</v>
      </c>
      <c r="F281" s="4">
        <f t="shared" si="62"/>
        <v>1.9999999999999998</v>
      </c>
      <c r="G281" s="9">
        <f t="shared" si="56"/>
        <v>259410</v>
      </c>
      <c r="H281" s="10">
        <f t="shared" ref="H281:H302" si="63">H271+1</f>
        <v>16</v>
      </c>
      <c r="K281" s="4">
        <f t="shared" si="57"/>
        <v>259410</v>
      </c>
      <c r="L281" s="4">
        <f t="shared" si="58"/>
        <v>586</v>
      </c>
      <c r="M281" s="4">
        <f t="shared" si="59"/>
        <v>250</v>
      </c>
      <c r="N281" s="4">
        <f t="shared" si="60"/>
        <v>861</v>
      </c>
      <c r="O281" s="4">
        <f>SUM($G$3:G281)</f>
        <v>24262610</v>
      </c>
    </row>
    <row r="282" spans="1:15" x14ac:dyDescent="0.3">
      <c r="A282" s="5">
        <f t="shared" si="61"/>
        <v>280</v>
      </c>
      <c r="B282" s="4">
        <f t="shared" si="54"/>
        <v>588</v>
      </c>
      <c r="C282" s="8">
        <v>250</v>
      </c>
      <c r="D282" s="4">
        <f t="shared" si="55"/>
        <v>865</v>
      </c>
      <c r="E282" s="4">
        <v>0.8</v>
      </c>
      <c r="F282" s="4">
        <f t="shared" si="62"/>
        <v>2.1999999999999997</v>
      </c>
      <c r="G282" s="9">
        <f t="shared" si="56"/>
        <v>261280</v>
      </c>
      <c r="H282" s="10">
        <f t="shared" si="63"/>
        <v>17</v>
      </c>
      <c r="K282" s="4">
        <f t="shared" si="57"/>
        <v>261280</v>
      </c>
      <c r="L282" s="4">
        <f t="shared" si="58"/>
        <v>588</v>
      </c>
      <c r="M282" s="4">
        <f t="shared" si="59"/>
        <v>250</v>
      </c>
      <c r="N282" s="4">
        <f t="shared" si="60"/>
        <v>865</v>
      </c>
      <c r="O282" s="4">
        <f>SUM($G$3:G282)</f>
        <v>24523890</v>
      </c>
    </row>
    <row r="283" spans="1:15" x14ac:dyDescent="0.3">
      <c r="A283" s="5">
        <f t="shared" si="61"/>
        <v>281</v>
      </c>
      <c r="B283" s="4">
        <f t="shared" si="54"/>
        <v>590</v>
      </c>
      <c r="C283" s="8">
        <v>250</v>
      </c>
      <c r="D283" s="4">
        <f t="shared" si="55"/>
        <v>869</v>
      </c>
      <c r="E283" s="4">
        <v>0.8</v>
      </c>
      <c r="F283" s="4">
        <f t="shared" si="62"/>
        <v>2.1999999999999997</v>
      </c>
      <c r="G283" s="9">
        <f t="shared" si="56"/>
        <v>263150</v>
      </c>
      <c r="H283" s="10">
        <f t="shared" si="63"/>
        <v>17</v>
      </c>
      <c r="K283" s="4">
        <f t="shared" si="57"/>
        <v>263150</v>
      </c>
      <c r="L283" s="4">
        <f t="shared" si="58"/>
        <v>590</v>
      </c>
      <c r="M283" s="4">
        <f t="shared" si="59"/>
        <v>250</v>
      </c>
      <c r="N283" s="4">
        <f t="shared" si="60"/>
        <v>869</v>
      </c>
      <c r="O283" s="4">
        <f>SUM($G$3:G283)</f>
        <v>24787040</v>
      </c>
    </row>
    <row r="284" spans="1:15" x14ac:dyDescent="0.3">
      <c r="A284" s="5">
        <f t="shared" si="61"/>
        <v>282</v>
      </c>
      <c r="B284" s="4">
        <f t="shared" si="54"/>
        <v>592</v>
      </c>
      <c r="C284" s="8">
        <v>250</v>
      </c>
      <c r="D284" s="4">
        <f t="shared" si="55"/>
        <v>873</v>
      </c>
      <c r="E284" s="4">
        <v>0.8</v>
      </c>
      <c r="F284" s="4">
        <f t="shared" si="62"/>
        <v>2.1999999999999997</v>
      </c>
      <c r="G284" s="9">
        <f t="shared" si="56"/>
        <v>265030</v>
      </c>
      <c r="H284" s="10">
        <f t="shared" si="63"/>
        <v>17</v>
      </c>
      <c r="K284" s="4">
        <f t="shared" si="57"/>
        <v>265030</v>
      </c>
      <c r="L284" s="4">
        <f t="shared" si="58"/>
        <v>592</v>
      </c>
      <c r="M284" s="4">
        <f t="shared" si="59"/>
        <v>250</v>
      </c>
      <c r="N284" s="4">
        <f t="shared" si="60"/>
        <v>873</v>
      </c>
      <c r="O284" s="4">
        <f>SUM($G$3:G284)</f>
        <v>25052070</v>
      </c>
    </row>
    <row r="285" spans="1:15" x14ac:dyDescent="0.3">
      <c r="A285" s="5">
        <f t="shared" si="61"/>
        <v>283</v>
      </c>
      <c r="B285" s="4">
        <f t="shared" si="54"/>
        <v>594</v>
      </c>
      <c r="C285" s="8">
        <v>250</v>
      </c>
      <c r="D285" s="4">
        <f t="shared" si="55"/>
        <v>877</v>
      </c>
      <c r="E285" s="4">
        <v>0.8</v>
      </c>
      <c r="F285" s="4">
        <f t="shared" si="62"/>
        <v>2.1999999999999997</v>
      </c>
      <c r="G285" s="9">
        <f t="shared" si="56"/>
        <v>266920</v>
      </c>
      <c r="H285" s="10">
        <f t="shared" si="63"/>
        <v>17</v>
      </c>
      <c r="K285" s="4">
        <f t="shared" si="57"/>
        <v>266920</v>
      </c>
      <c r="L285" s="4">
        <f t="shared" si="58"/>
        <v>594</v>
      </c>
      <c r="M285" s="4">
        <f t="shared" si="59"/>
        <v>250</v>
      </c>
      <c r="N285" s="4">
        <f t="shared" si="60"/>
        <v>877</v>
      </c>
      <c r="O285" s="4">
        <f>SUM($G$3:G285)</f>
        <v>25318990</v>
      </c>
    </row>
    <row r="286" spans="1:15" x14ac:dyDescent="0.3">
      <c r="A286" s="5">
        <f t="shared" si="61"/>
        <v>284</v>
      </c>
      <c r="B286" s="4">
        <f t="shared" si="54"/>
        <v>596</v>
      </c>
      <c r="C286" s="8">
        <v>250</v>
      </c>
      <c r="D286" s="4">
        <f t="shared" si="55"/>
        <v>881</v>
      </c>
      <c r="E286" s="4">
        <v>0.8</v>
      </c>
      <c r="F286" s="4">
        <f t="shared" si="62"/>
        <v>2.1999999999999997</v>
      </c>
      <c r="G286" s="9">
        <f t="shared" si="56"/>
        <v>268810</v>
      </c>
      <c r="H286" s="10">
        <f t="shared" si="63"/>
        <v>17</v>
      </c>
      <c r="K286" s="4">
        <f t="shared" si="57"/>
        <v>268810</v>
      </c>
      <c r="L286" s="4">
        <f t="shared" si="58"/>
        <v>596</v>
      </c>
      <c r="M286" s="4">
        <f t="shared" si="59"/>
        <v>250</v>
      </c>
      <c r="N286" s="4">
        <f t="shared" si="60"/>
        <v>881</v>
      </c>
      <c r="O286" s="4">
        <f>SUM($G$3:G286)</f>
        <v>25587800</v>
      </c>
    </row>
    <row r="287" spans="1:15" x14ac:dyDescent="0.3">
      <c r="A287" s="5">
        <f t="shared" si="61"/>
        <v>285</v>
      </c>
      <c r="B287" s="4">
        <f t="shared" si="54"/>
        <v>598</v>
      </c>
      <c r="C287" s="8">
        <v>250</v>
      </c>
      <c r="D287" s="4">
        <f t="shared" si="55"/>
        <v>885</v>
      </c>
      <c r="E287" s="4">
        <v>0.8</v>
      </c>
      <c r="F287" s="4">
        <f t="shared" si="62"/>
        <v>2.1999999999999997</v>
      </c>
      <c r="G287" s="9">
        <f t="shared" si="56"/>
        <v>270710</v>
      </c>
      <c r="H287" s="10">
        <f t="shared" si="63"/>
        <v>17</v>
      </c>
      <c r="K287" s="4">
        <f t="shared" si="57"/>
        <v>270710</v>
      </c>
      <c r="L287" s="4">
        <f t="shared" si="58"/>
        <v>598</v>
      </c>
      <c r="M287" s="4">
        <f t="shared" si="59"/>
        <v>250</v>
      </c>
      <c r="N287" s="4">
        <f t="shared" si="60"/>
        <v>885</v>
      </c>
      <c r="O287" s="4">
        <f>SUM($G$3:G287)</f>
        <v>25858510</v>
      </c>
    </row>
    <row r="288" spans="1:15" x14ac:dyDescent="0.3">
      <c r="A288" s="5">
        <f t="shared" si="61"/>
        <v>286</v>
      </c>
      <c r="B288" s="4">
        <f t="shared" si="54"/>
        <v>600</v>
      </c>
      <c r="C288" s="8">
        <v>250</v>
      </c>
      <c r="D288" s="4">
        <f t="shared" si="55"/>
        <v>889</v>
      </c>
      <c r="E288" s="4">
        <v>0.8</v>
      </c>
      <c r="F288" s="4">
        <f t="shared" si="62"/>
        <v>2.1999999999999997</v>
      </c>
      <c r="G288" s="9">
        <f t="shared" si="56"/>
        <v>272610</v>
      </c>
      <c r="H288" s="10">
        <f t="shared" si="63"/>
        <v>17</v>
      </c>
      <c r="K288" s="4">
        <f t="shared" si="57"/>
        <v>272610</v>
      </c>
      <c r="L288" s="4">
        <f t="shared" si="58"/>
        <v>600</v>
      </c>
      <c r="M288" s="4">
        <f t="shared" si="59"/>
        <v>250</v>
      </c>
      <c r="N288" s="4">
        <f t="shared" si="60"/>
        <v>889</v>
      </c>
      <c r="O288" s="4">
        <f>SUM($G$3:G288)</f>
        <v>26131120</v>
      </c>
    </row>
    <row r="289" spans="1:15" x14ac:dyDescent="0.3">
      <c r="A289" s="5">
        <f t="shared" si="61"/>
        <v>287</v>
      </c>
      <c r="B289" s="4">
        <f t="shared" si="54"/>
        <v>602</v>
      </c>
      <c r="C289" s="8">
        <v>250</v>
      </c>
      <c r="D289" s="4">
        <f t="shared" si="55"/>
        <v>893</v>
      </c>
      <c r="E289" s="4">
        <v>0.8</v>
      </c>
      <c r="F289" s="4">
        <f t="shared" si="62"/>
        <v>2.1999999999999997</v>
      </c>
      <c r="G289" s="9">
        <f t="shared" si="56"/>
        <v>274530</v>
      </c>
      <c r="H289" s="10">
        <f t="shared" si="63"/>
        <v>17</v>
      </c>
      <c r="K289" s="4">
        <f t="shared" si="57"/>
        <v>274530</v>
      </c>
      <c r="L289" s="4">
        <f t="shared" si="58"/>
        <v>602</v>
      </c>
      <c r="M289" s="4">
        <f t="shared" si="59"/>
        <v>250</v>
      </c>
      <c r="N289" s="4">
        <f t="shared" si="60"/>
        <v>893</v>
      </c>
      <c r="O289" s="4">
        <f>SUM($G$3:G289)</f>
        <v>26405650</v>
      </c>
    </row>
    <row r="290" spans="1:15" x14ac:dyDescent="0.3">
      <c r="A290" s="5">
        <f t="shared" si="61"/>
        <v>288</v>
      </c>
      <c r="B290" s="4">
        <f t="shared" si="54"/>
        <v>604</v>
      </c>
      <c r="C290" s="8">
        <v>250</v>
      </c>
      <c r="D290" s="4">
        <f t="shared" si="55"/>
        <v>897</v>
      </c>
      <c r="E290" s="4">
        <v>0.8</v>
      </c>
      <c r="F290" s="4">
        <f t="shared" si="62"/>
        <v>2.1999999999999997</v>
      </c>
      <c r="G290" s="9">
        <f t="shared" si="56"/>
        <v>276450</v>
      </c>
      <c r="H290" s="10">
        <f t="shared" si="63"/>
        <v>17</v>
      </c>
      <c r="K290" s="4">
        <f t="shared" si="57"/>
        <v>276450</v>
      </c>
      <c r="L290" s="4">
        <f t="shared" si="58"/>
        <v>604</v>
      </c>
      <c r="M290" s="4">
        <f t="shared" si="59"/>
        <v>250</v>
      </c>
      <c r="N290" s="4">
        <f t="shared" si="60"/>
        <v>897</v>
      </c>
      <c r="O290" s="4">
        <f>SUM($G$3:G290)</f>
        <v>26682100</v>
      </c>
    </row>
    <row r="291" spans="1:15" x14ac:dyDescent="0.3">
      <c r="A291" s="5">
        <f t="shared" si="61"/>
        <v>289</v>
      </c>
      <c r="B291" s="4">
        <f t="shared" si="54"/>
        <v>606</v>
      </c>
      <c r="C291" s="8">
        <v>250</v>
      </c>
      <c r="D291" s="4">
        <f t="shared" si="55"/>
        <v>901</v>
      </c>
      <c r="E291" s="4">
        <v>0.8</v>
      </c>
      <c r="F291" s="4">
        <f t="shared" si="62"/>
        <v>2.1999999999999997</v>
      </c>
      <c r="G291" s="9">
        <f t="shared" si="56"/>
        <v>278370</v>
      </c>
      <c r="H291" s="10">
        <f t="shared" si="63"/>
        <v>17</v>
      </c>
      <c r="K291" s="4">
        <f t="shared" si="57"/>
        <v>278370</v>
      </c>
      <c r="L291" s="4">
        <f t="shared" si="58"/>
        <v>606</v>
      </c>
      <c r="M291" s="4">
        <f t="shared" si="59"/>
        <v>250</v>
      </c>
      <c r="N291" s="4">
        <f t="shared" si="60"/>
        <v>901</v>
      </c>
      <c r="O291" s="4">
        <f>SUM($G$3:G291)</f>
        <v>26960470</v>
      </c>
    </row>
    <row r="292" spans="1:15" x14ac:dyDescent="0.3">
      <c r="A292" s="5">
        <f t="shared" si="61"/>
        <v>290</v>
      </c>
      <c r="B292" s="4">
        <f t="shared" si="54"/>
        <v>608</v>
      </c>
      <c r="C292" s="8">
        <v>250</v>
      </c>
      <c r="D292" s="4">
        <f t="shared" si="55"/>
        <v>905</v>
      </c>
      <c r="E292" s="4">
        <v>0.8</v>
      </c>
      <c r="F292" s="4">
        <f t="shared" si="62"/>
        <v>2.1999999999999997</v>
      </c>
      <c r="G292" s="9">
        <f t="shared" si="56"/>
        <v>280310</v>
      </c>
      <c r="H292" s="10">
        <f t="shared" si="63"/>
        <v>18</v>
      </c>
      <c r="K292" s="4">
        <f t="shared" si="57"/>
        <v>280310</v>
      </c>
      <c r="L292" s="4">
        <f t="shared" si="58"/>
        <v>608</v>
      </c>
      <c r="M292" s="4">
        <f t="shared" si="59"/>
        <v>250</v>
      </c>
      <c r="N292" s="4">
        <f t="shared" si="60"/>
        <v>905</v>
      </c>
      <c r="O292" s="4">
        <f>SUM($G$3:G292)</f>
        <v>27240780</v>
      </c>
    </row>
    <row r="293" spans="1:15" x14ac:dyDescent="0.3">
      <c r="A293" s="5">
        <f t="shared" si="61"/>
        <v>291</v>
      </c>
      <c r="B293" s="4">
        <f t="shared" si="54"/>
        <v>610</v>
      </c>
      <c r="C293" s="8">
        <v>250</v>
      </c>
      <c r="D293" s="4">
        <f t="shared" si="55"/>
        <v>909</v>
      </c>
      <c r="E293" s="4">
        <v>0.8</v>
      </c>
      <c r="F293" s="4">
        <f t="shared" si="62"/>
        <v>2.1999999999999997</v>
      </c>
      <c r="G293" s="9">
        <f t="shared" si="56"/>
        <v>282250</v>
      </c>
      <c r="H293" s="10">
        <f t="shared" si="63"/>
        <v>18</v>
      </c>
      <c r="K293" s="4">
        <f t="shared" si="57"/>
        <v>282250</v>
      </c>
      <c r="L293" s="4">
        <f t="shared" si="58"/>
        <v>610</v>
      </c>
      <c r="M293" s="4">
        <f t="shared" si="59"/>
        <v>250</v>
      </c>
      <c r="N293" s="4">
        <f t="shared" si="60"/>
        <v>909</v>
      </c>
      <c r="O293" s="4">
        <f>SUM($G$3:G293)</f>
        <v>27523030</v>
      </c>
    </row>
    <row r="294" spans="1:15" x14ac:dyDescent="0.3">
      <c r="A294" s="5">
        <f t="shared" si="61"/>
        <v>292</v>
      </c>
      <c r="B294" s="4">
        <f t="shared" si="54"/>
        <v>612</v>
      </c>
      <c r="C294" s="8">
        <v>250</v>
      </c>
      <c r="D294" s="4">
        <f t="shared" si="55"/>
        <v>913</v>
      </c>
      <c r="E294" s="4">
        <v>0.8</v>
      </c>
      <c r="F294" s="4">
        <f t="shared" si="62"/>
        <v>2.1999999999999997</v>
      </c>
      <c r="G294" s="9">
        <f t="shared" si="56"/>
        <v>284190</v>
      </c>
      <c r="H294" s="10">
        <f t="shared" si="63"/>
        <v>18</v>
      </c>
      <c r="K294" s="4">
        <f t="shared" si="57"/>
        <v>284190</v>
      </c>
      <c r="L294" s="4">
        <f t="shared" si="58"/>
        <v>612</v>
      </c>
      <c r="M294" s="4">
        <f t="shared" si="59"/>
        <v>250</v>
      </c>
      <c r="N294" s="4">
        <f t="shared" si="60"/>
        <v>913</v>
      </c>
      <c r="O294" s="4">
        <f>SUM($G$3:G294)</f>
        <v>27807220</v>
      </c>
    </row>
    <row r="295" spans="1:15" x14ac:dyDescent="0.3">
      <c r="A295" s="5">
        <f t="shared" si="61"/>
        <v>293</v>
      </c>
      <c r="B295" s="4">
        <f t="shared" si="54"/>
        <v>614</v>
      </c>
      <c r="C295" s="8">
        <v>250</v>
      </c>
      <c r="D295" s="4">
        <f t="shared" si="55"/>
        <v>917</v>
      </c>
      <c r="E295" s="4">
        <v>0.8</v>
      </c>
      <c r="F295" s="4">
        <f t="shared" si="62"/>
        <v>2.1999999999999997</v>
      </c>
      <c r="G295" s="9">
        <f t="shared" si="56"/>
        <v>286150</v>
      </c>
      <c r="H295" s="10">
        <f t="shared" si="63"/>
        <v>18</v>
      </c>
      <c r="K295" s="4">
        <f t="shared" si="57"/>
        <v>286150</v>
      </c>
      <c r="L295" s="4">
        <f t="shared" si="58"/>
        <v>614</v>
      </c>
      <c r="M295" s="4">
        <f t="shared" si="59"/>
        <v>250</v>
      </c>
      <c r="N295" s="4">
        <f t="shared" si="60"/>
        <v>917</v>
      </c>
      <c r="O295" s="4">
        <f>SUM($G$3:G295)</f>
        <v>28093370</v>
      </c>
    </row>
    <row r="296" spans="1:15" x14ac:dyDescent="0.3">
      <c r="A296" s="5">
        <f t="shared" si="61"/>
        <v>294</v>
      </c>
      <c r="B296" s="4">
        <f t="shared" si="54"/>
        <v>616</v>
      </c>
      <c r="C296" s="8">
        <v>250</v>
      </c>
      <c r="D296" s="4">
        <f t="shared" si="55"/>
        <v>921</v>
      </c>
      <c r="E296" s="4">
        <v>0.8</v>
      </c>
      <c r="F296" s="4">
        <f t="shared" si="62"/>
        <v>2.1999999999999997</v>
      </c>
      <c r="G296" s="9">
        <f t="shared" si="56"/>
        <v>288110</v>
      </c>
      <c r="H296" s="10">
        <f t="shared" si="63"/>
        <v>18</v>
      </c>
      <c r="K296" s="4">
        <f t="shared" si="57"/>
        <v>288110</v>
      </c>
      <c r="L296" s="4">
        <f t="shared" si="58"/>
        <v>616</v>
      </c>
      <c r="M296" s="4">
        <f t="shared" si="59"/>
        <v>250</v>
      </c>
      <c r="N296" s="4">
        <f t="shared" si="60"/>
        <v>921</v>
      </c>
      <c r="O296" s="4">
        <f>SUM($G$3:G296)</f>
        <v>28381480</v>
      </c>
    </row>
    <row r="297" spans="1:15" x14ac:dyDescent="0.3">
      <c r="A297" s="5">
        <f t="shared" si="61"/>
        <v>295</v>
      </c>
      <c r="B297" s="4">
        <f t="shared" si="54"/>
        <v>618</v>
      </c>
      <c r="C297" s="8">
        <v>250</v>
      </c>
      <c r="D297" s="4">
        <f t="shared" si="55"/>
        <v>925</v>
      </c>
      <c r="E297" s="4">
        <v>0.8</v>
      </c>
      <c r="F297" s="4">
        <f t="shared" si="62"/>
        <v>2.1999999999999997</v>
      </c>
      <c r="G297" s="9">
        <f t="shared" si="56"/>
        <v>290070</v>
      </c>
      <c r="H297" s="10">
        <f t="shared" si="63"/>
        <v>18</v>
      </c>
      <c r="K297" s="4">
        <f t="shared" si="57"/>
        <v>290070</v>
      </c>
      <c r="L297" s="4">
        <f t="shared" si="58"/>
        <v>618</v>
      </c>
      <c r="M297" s="4">
        <f t="shared" si="59"/>
        <v>250</v>
      </c>
      <c r="N297" s="4">
        <f t="shared" si="60"/>
        <v>925</v>
      </c>
      <c r="O297" s="4">
        <f>SUM($G$3:G297)</f>
        <v>28671550</v>
      </c>
    </row>
    <row r="298" spans="1:15" x14ac:dyDescent="0.3">
      <c r="A298" s="5">
        <f t="shared" si="61"/>
        <v>296</v>
      </c>
      <c r="B298" s="4">
        <f t="shared" si="54"/>
        <v>620</v>
      </c>
      <c r="C298" s="8">
        <v>250</v>
      </c>
      <c r="D298" s="4">
        <f t="shared" si="55"/>
        <v>929</v>
      </c>
      <c r="E298" s="4">
        <v>0.8</v>
      </c>
      <c r="F298" s="4">
        <f t="shared" si="62"/>
        <v>2.1999999999999997</v>
      </c>
      <c r="G298" s="9">
        <f t="shared" si="56"/>
        <v>292050</v>
      </c>
      <c r="H298" s="10">
        <f t="shared" si="63"/>
        <v>18</v>
      </c>
      <c r="K298" s="4">
        <f t="shared" si="57"/>
        <v>292050</v>
      </c>
      <c r="L298" s="4">
        <f t="shared" si="58"/>
        <v>620</v>
      </c>
      <c r="M298" s="4">
        <f t="shared" si="59"/>
        <v>250</v>
      </c>
      <c r="N298" s="4">
        <f t="shared" si="60"/>
        <v>929</v>
      </c>
      <c r="O298" s="4">
        <f>SUM($G$3:G298)</f>
        <v>28963600</v>
      </c>
    </row>
    <row r="299" spans="1:15" x14ac:dyDescent="0.3">
      <c r="A299" s="5">
        <f t="shared" si="61"/>
        <v>297</v>
      </c>
      <c r="B299" s="4">
        <f t="shared" si="54"/>
        <v>622</v>
      </c>
      <c r="C299" s="8">
        <v>250</v>
      </c>
      <c r="D299" s="4">
        <f t="shared" si="55"/>
        <v>933</v>
      </c>
      <c r="E299" s="4">
        <v>0.8</v>
      </c>
      <c r="F299" s="4">
        <f t="shared" si="62"/>
        <v>2.1999999999999997</v>
      </c>
      <c r="G299" s="9">
        <f t="shared" si="56"/>
        <v>294030</v>
      </c>
      <c r="H299" s="10">
        <f t="shared" si="63"/>
        <v>18</v>
      </c>
      <c r="K299" s="4">
        <f t="shared" si="57"/>
        <v>294030</v>
      </c>
      <c r="L299" s="4">
        <f t="shared" si="58"/>
        <v>622</v>
      </c>
      <c r="M299" s="4">
        <f t="shared" si="59"/>
        <v>250</v>
      </c>
      <c r="N299" s="4">
        <f t="shared" si="60"/>
        <v>933</v>
      </c>
      <c r="O299" s="4">
        <f>SUM($G$3:G299)</f>
        <v>29257630</v>
      </c>
    </row>
    <row r="300" spans="1:15" x14ac:dyDescent="0.3">
      <c r="A300" s="5">
        <f t="shared" si="61"/>
        <v>298</v>
      </c>
      <c r="B300" s="4">
        <f t="shared" si="54"/>
        <v>624</v>
      </c>
      <c r="C300" s="8">
        <v>250</v>
      </c>
      <c r="D300" s="4">
        <f t="shared" si="55"/>
        <v>937</v>
      </c>
      <c r="E300" s="4">
        <v>0.8</v>
      </c>
      <c r="F300" s="4">
        <f t="shared" si="62"/>
        <v>2.1999999999999997</v>
      </c>
      <c r="G300" s="9">
        <f t="shared" si="56"/>
        <v>296010</v>
      </c>
      <c r="H300" s="10">
        <f t="shared" si="63"/>
        <v>18</v>
      </c>
      <c r="K300" s="4">
        <f t="shared" si="57"/>
        <v>296010</v>
      </c>
      <c r="L300" s="4">
        <f t="shared" si="58"/>
        <v>624</v>
      </c>
      <c r="M300" s="4">
        <f t="shared" si="59"/>
        <v>250</v>
      </c>
      <c r="N300" s="4">
        <f t="shared" si="60"/>
        <v>937</v>
      </c>
      <c r="O300" s="4">
        <f>SUM($G$3:G300)</f>
        <v>29553640</v>
      </c>
    </row>
    <row r="301" spans="1:15" x14ac:dyDescent="0.3">
      <c r="A301" s="5">
        <f t="shared" si="61"/>
        <v>299</v>
      </c>
      <c r="B301" s="4">
        <f t="shared" si="54"/>
        <v>626</v>
      </c>
      <c r="C301" s="8">
        <v>250</v>
      </c>
      <c r="D301" s="4">
        <f t="shared" si="55"/>
        <v>941</v>
      </c>
      <c r="E301" s="4">
        <v>0.8</v>
      </c>
      <c r="F301" s="4">
        <f t="shared" si="62"/>
        <v>2.1999999999999997</v>
      </c>
      <c r="G301" s="9">
        <f t="shared" si="56"/>
        <v>298010</v>
      </c>
      <c r="H301" s="10">
        <f t="shared" si="63"/>
        <v>18</v>
      </c>
      <c r="K301" s="4">
        <f t="shared" si="57"/>
        <v>298010</v>
      </c>
      <c r="L301" s="4">
        <f t="shared" si="58"/>
        <v>626</v>
      </c>
      <c r="M301" s="4">
        <f t="shared" si="59"/>
        <v>250</v>
      </c>
      <c r="N301" s="4">
        <f t="shared" si="60"/>
        <v>941</v>
      </c>
      <c r="O301" s="4">
        <f>SUM($G$3:G301)</f>
        <v>29851650</v>
      </c>
    </row>
    <row r="302" spans="1:15" x14ac:dyDescent="0.3">
      <c r="A302" s="5">
        <f t="shared" si="61"/>
        <v>300</v>
      </c>
      <c r="B302" s="8">
        <v>650</v>
      </c>
      <c r="C302" s="8">
        <v>300</v>
      </c>
      <c r="D302" s="4">
        <v>1000</v>
      </c>
      <c r="E302" s="4">
        <v>0.8</v>
      </c>
      <c r="F302" s="4">
        <f t="shared" si="62"/>
        <v>2.4</v>
      </c>
      <c r="G302" s="9">
        <f t="shared" si="56"/>
        <v>300000</v>
      </c>
      <c r="H302" s="10">
        <f t="shared" si="63"/>
        <v>19</v>
      </c>
      <c r="K302" s="4">
        <f>G302</f>
        <v>300000</v>
      </c>
      <c r="L302" s="4">
        <f t="shared" si="58"/>
        <v>650</v>
      </c>
      <c r="M302" s="4">
        <f t="shared" si="59"/>
        <v>300</v>
      </c>
      <c r="N302" s="4">
        <f t="shared" si="60"/>
        <v>1000</v>
      </c>
      <c r="O302" s="4">
        <f>SUM($G$3:G302)</f>
        <v>30151650</v>
      </c>
    </row>
    <row r="308" spans="7:8" x14ac:dyDescent="0.3">
      <c r="G308" s="4">
        <f>SUM(G3:G302)</f>
        <v>30151650</v>
      </c>
      <c r="H308" s="14"/>
    </row>
  </sheetData>
  <phoneticPr fontId="1" type="noConversion"/>
  <conditionalFormatting sqref="K3:K302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{887DD5EC-0C06-48D9-B7F3-5CC34C5CC2A6}</x14:id>
        </ext>
      </extLst>
    </cfRule>
  </conditionalFormatting>
  <conditionalFormatting sqref="L3:L302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{3FF8317D-5369-4E2D-A096-07CFCD8B7D2B}</x14:id>
        </ext>
      </extLst>
    </cfRule>
  </conditionalFormatting>
  <conditionalFormatting sqref="M3:M30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{9392E920-43C3-44EE-A60A-12D206B0FF0A}</x14:id>
        </ext>
      </extLst>
    </cfRule>
  </conditionalFormatting>
  <conditionalFormatting sqref="N3:N302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{3F722BF0-792E-4947-B3EB-AA1917B16DFF}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DD5EC-0C06-48D9-B7F3-5CC34C5CC2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K3:K302</xm:sqref>
        </x14:conditionalFormatting>
        <x14:conditionalFormatting xmlns:xm="http://schemas.microsoft.com/office/excel/2006/main">
          <x14:cfRule type="dataBar" id="{3FF8317D-5369-4E2D-A096-07CFCD8B7D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L3:L302</xm:sqref>
        </x14:conditionalFormatting>
        <x14:conditionalFormatting xmlns:xm="http://schemas.microsoft.com/office/excel/2006/main">
          <x14:cfRule type="dataBar" id="{9392E920-43C3-44EE-A60A-12D206B0FF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M3:M302</xm:sqref>
        </x14:conditionalFormatting>
        <x14:conditionalFormatting xmlns:xm="http://schemas.microsoft.com/office/excel/2006/main">
          <x14:cfRule type="dataBar" id="{3F722BF0-792E-4947-B3EB-AA1917B16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N3:N302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2025-09-14T01:51:29Z</dcterms:modified>
</cp:coreProperties>
</file>