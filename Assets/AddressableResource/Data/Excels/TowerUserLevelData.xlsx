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D67643C3-97DB-4E78-BD95-1B46174183D5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04" i="2" l="1"/>
  <c r="K505" i="2"/>
  <c r="K506" i="2" s="1"/>
  <c r="K507" i="2" s="1"/>
  <c r="K508" i="2" s="1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K524" i="2" s="1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K544" i="2" s="1"/>
  <c r="K545" i="2" s="1"/>
  <c r="K546" i="2" s="1"/>
  <c r="K547" i="2" s="1"/>
  <c r="K548" i="2" s="1"/>
  <c r="K549" i="2" s="1"/>
  <c r="K550" i="2" s="1"/>
  <c r="K551" i="2" s="1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K598" i="2" s="1"/>
  <c r="K599" i="2" s="1"/>
  <c r="K600" i="2" s="1"/>
  <c r="K601" i="2" s="1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K618" i="2" s="1"/>
  <c r="K619" i="2" s="1"/>
  <c r="K620" i="2" s="1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K646" i="2" s="1"/>
  <c r="K647" i="2" s="1"/>
  <c r="K648" i="2" s="1"/>
  <c r="K649" i="2" s="1"/>
  <c r="K650" i="2" s="1"/>
  <c r="K651" i="2" s="1"/>
  <c r="K652" i="2" s="1"/>
  <c r="K653" i="2" s="1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K684" i="2" s="1"/>
  <c r="K685" i="2" s="1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K714" i="2" s="1"/>
  <c r="K715" i="2" s="1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K728" i="2" s="1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K750" i="2" s="1"/>
  <c r="K751" i="2" s="1"/>
  <c r="K752" i="2" s="1"/>
  <c r="K753" i="2" s="1"/>
  <c r="K754" i="2" s="1"/>
  <c r="K755" i="2" s="1"/>
  <c r="K756" i="2" s="1"/>
  <c r="K757" i="2" s="1"/>
  <c r="K758" i="2" s="1"/>
  <c r="K759" i="2" s="1"/>
  <c r="K760" i="2" s="1"/>
  <c r="K761" i="2" s="1"/>
  <c r="K762" i="2" s="1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78" i="2" s="1"/>
  <c r="K779" i="2" s="1"/>
  <c r="K780" i="2" s="1"/>
  <c r="K781" i="2" s="1"/>
  <c r="K782" i="2" s="1"/>
  <c r="K783" i="2" s="1"/>
  <c r="K784" i="2" s="1"/>
  <c r="K785" i="2" s="1"/>
  <c r="K786" i="2" s="1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K804" i="2" s="1"/>
  <c r="K805" i="2" s="1"/>
  <c r="K806" i="2" s="1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K831" i="2" s="1"/>
  <c r="K832" i="2" s="1"/>
  <c r="K833" i="2" s="1"/>
  <c r="K834" i="2" s="1"/>
  <c r="K835" i="2" s="1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K854" i="2" s="1"/>
  <c r="K855" i="2" s="1"/>
  <c r="K856" i="2" s="1"/>
  <c r="K857" i="2" s="1"/>
  <c r="K858" i="2" s="1"/>
  <c r="K859" i="2" s="1"/>
  <c r="K860" i="2" s="1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K878" i="2" s="1"/>
  <c r="K879" i="2" s="1"/>
  <c r="K880" i="2" s="1"/>
  <c r="K881" i="2" s="1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K902" i="2" s="1"/>
  <c r="K903" i="2" s="1"/>
  <c r="K904" i="2" s="1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K931" i="2" s="1"/>
  <c r="K932" i="2" s="1"/>
  <c r="K933" i="2" s="1"/>
  <c r="K934" i="2" s="1"/>
  <c r="K935" i="2" s="1"/>
  <c r="K936" i="2" s="1"/>
  <c r="K937" i="2" s="1"/>
  <c r="K938" i="2" s="1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K954" i="2" s="1"/>
  <c r="K955" i="2" s="1"/>
  <c r="K956" i="2" s="1"/>
  <c r="K957" i="2" s="1"/>
  <c r="K958" i="2" s="1"/>
  <c r="K959" i="2" s="1"/>
  <c r="K960" i="2" s="1"/>
  <c r="K961" i="2" s="1"/>
  <c r="K962" i="2" s="1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K978" i="2" s="1"/>
  <c r="K979" i="2" s="1"/>
  <c r="K980" i="2" s="1"/>
  <c r="K981" i="2" s="1"/>
  <c r="K982" i="2" s="1"/>
  <c r="K983" i="2" s="1"/>
  <c r="K984" i="2" s="1"/>
  <c r="K985" i="2" s="1"/>
  <c r="K986" i="2" s="1"/>
  <c r="K987" i="2" s="1"/>
  <c r="K988" i="2" s="1"/>
  <c r="K989" i="2" s="1"/>
  <c r="K990" i="2" s="1"/>
  <c r="K991" i="2" s="1"/>
  <c r="K992" i="2" s="1"/>
  <c r="K993" i="2" s="1"/>
  <c r="K994" i="2" s="1"/>
  <c r="K995" i="2" s="1"/>
  <c r="K996" i="2" s="1"/>
  <c r="K997" i="2" s="1"/>
  <c r="K998" i="2" s="1"/>
  <c r="K999" i="2" s="1"/>
  <c r="K1000" i="2" s="1"/>
  <c r="K1001" i="2" s="1"/>
  <c r="K503" i="2"/>
  <c r="K502" i="2"/>
  <c r="G504" i="2"/>
  <c r="G505" i="2" s="1"/>
  <c r="G506" i="2" s="1"/>
  <c r="G507" i="2" s="1"/>
  <c r="G508" i="2" s="1"/>
  <c r="G509" i="2" s="1"/>
  <c r="G510" i="2" s="1"/>
  <c r="G511" i="2" s="1"/>
  <c r="G512" i="2" s="1"/>
  <c r="G513" i="2" s="1"/>
  <c r="G514" i="2" s="1"/>
  <c r="G515" i="2" s="1"/>
  <c r="G516" i="2" s="1"/>
  <c r="G517" i="2" s="1"/>
  <c r="G518" i="2" s="1"/>
  <c r="G519" i="2" s="1"/>
  <c r="G520" i="2" s="1"/>
  <c r="G521" i="2" s="1"/>
  <c r="G522" i="2" s="1"/>
  <c r="G523" i="2" s="1"/>
  <c r="G524" i="2" s="1"/>
  <c r="G525" i="2" s="1"/>
  <c r="G526" i="2" s="1"/>
  <c r="G527" i="2" s="1"/>
  <c r="G528" i="2" s="1"/>
  <c r="G529" i="2" s="1"/>
  <c r="G530" i="2" s="1"/>
  <c r="G531" i="2" s="1"/>
  <c r="G532" i="2" s="1"/>
  <c r="G533" i="2" s="1"/>
  <c r="G534" i="2" s="1"/>
  <c r="G535" i="2" s="1"/>
  <c r="G536" i="2" s="1"/>
  <c r="G537" i="2" s="1"/>
  <c r="G538" i="2" s="1"/>
  <c r="G539" i="2" s="1"/>
  <c r="G540" i="2" s="1"/>
  <c r="G541" i="2" s="1"/>
  <c r="G542" i="2" s="1"/>
  <c r="G543" i="2" s="1"/>
  <c r="G544" i="2" s="1"/>
  <c r="G545" i="2" s="1"/>
  <c r="G546" i="2" s="1"/>
  <c r="G547" i="2" s="1"/>
  <c r="G548" i="2" s="1"/>
  <c r="G549" i="2" s="1"/>
  <c r="G550" i="2" s="1"/>
  <c r="G551" i="2" s="1"/>
  <c r="G552" i="2" s="1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G568" i="2" s="1"/>
  <c r="G569" i="2" s="1"/>
  <c r="G570" i="2" s="1"/>
  <c r="G571" i="2" s="1"/>
  <c r="G572" i="2" s="1"/>
  <c r="G573" i="2" s="1"/>
  <c r="G574" i="2" s="1"/>
  <c r="G575" i="2" s="1"/>
  <c r="G576" i="2" s="1"/>
  <c r="G577" i="2" s="1"/>
  <c r="G578" i="2" s="1"/>
  <c r="G579" i="2" s="1"/>
  <c r="G580" i="2" s="1"/>
  <c r="G581" i="2" s="1"/>
  <c r="G582" i="2" s="1"/>
  <c r="G583" i="2" s="1"/>
  <c r="G584" i="2" s="1"/>
  <c r="G585" i="2" s="1"/>
  <c r="G586" i="2" s="1"/>
  <c r="G587" i="2" s="1"/>
  <c r="G588" i="2" s="1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G601" i="2" s="1"/>
  <c r="G602" i="2" s="1"/>
  <c r="G603" i="2" s="1"/>
  <c r="G604" i="2" s="1"/>
  <c r="G605" i="2" s="1"/>
  <c r="G606" i="2" s="1"/>
  <c r="G607" i="2" s="1"/>
  <c r="G608" i="2" s="1"/>
  <c r="G609" i="2" s="1"/>
  <c r="G610" i="2" s="1"/>
  <c r="G611" i="2" s="1"/>
  <c r="G612" i="2" s="1"/>
  <c r="G613" i="2" s="1"/>
  <c r="G614" i="2" s="1"/>
  <c r="G615" i="2" s="1"/>
  <c r="G616" i="2" s="1"/>
  <c r="G617" i="2" s="1"/>
  <c r="G618" i="2" s="1"/>
  <c r="G619" i="2" s="1"/>
  <c r="G620" i="2" s="1"/>
  <c r="G621" i="2" s="1"/>
  <c r="G622" i="2" s="1"/>
  <c r="G623" i="2" s="1"/>
  <c r="G624" i="2" s="1"/>
  <c r="G625" i="2" s="1"/>
  <c r="G626" i="2" s="1"/>
  <c r="G627" i="2" s="1"/>
  <c r="G628" i="2" s="1"/>
  <c r="G629" i="2" s="1"/>
  <c r="G630" i="2" s="1"/>
  <c r="G631" i="2" s="1"/>
  <c r="G632" i="2" s="1"/>
  <c r="G633" i="2" s="1"/>
  <c r="G634" i="2" s="1"/>
  <c r="G635" i="2" s="1"/>
  <c r="G636" i="2" s="1"/>
  <c r="G637" i="2" s="1"/>
  <c r="G638" i="2" s="1"/>
  <c r="G639" i="2" s="1"/>
  <c r="G640" i="2" s="1"/>
  <c r="G641" i="2" s="1"/>
  <c r="G642" i="2" s="1"/>
  <c r="G643" i="2" s="1"/>
  <c r="G644" i="2" s="1"/>
  <c r="G645" i="2" s="1"/>
  <c r="G646" i="2" s="1"/>
  <c r="G647" i="2" s="1"/>
  <c r="G648" i="2" s="1"/>
  <c r="G649" i="2" s="1"/>
  <c r="G650" i="2" s="1"/>
  <c r="G651" i="2" s="1"/>
  <c r="G652" i="2" s="1"/>
  <c r="G653" i="2" s="1"/>
  <c r="G654" i="2" s="1"/>
  <c r="G655" i="2" s="1"/>
  <c r="G656" i="2" s="1"/>
  <c r="G657" i="2" s="1"/>
  <c r="G658" i="2" s="1"/>
  <c r="G659" i="2" s="1"/>
  <c r="G660" i="2" s="1"/>
  <c r="G661" i="2" s="1"/>
  <c r="G662" i="2" s="1"/>
  <c r="G663" i="2" s="1"/>
  <c r="G664" i="2" s="1"/>
  <c r="G665" i="2" s="1"/>
  <c r="G666" i="2" s="1"/>
  <c r="G667" i="2" s="1"/>
  <c r="G668" i="2" s="1"/>
  <c r="G669" i="2" s="1"/>
  <c r="G670" i="2" s="1"/>
  <c r="G671" i="2" s="1"/>
  <c r="G672" i="2" s="1"/>
  <c r="G673" i="2" s="1"/>
  <c r="G674" i="2" s="1"/>
  <c r="G675" i="2" s="1"/>
  <c r="G676" i="2" s="1"/>
  <c r="G677" i="2" s="1"/>
  <c r="G678" i="2" s="1"/>
  <c r="G679" i="2" s="1"/>
  <c r="G680" i="2" s="1"/>
  <c r="G681" i="2" s="1"/>
  <c r="G682" i="2" s="1"/>
  <c r="G683" i="2" s="1"/>
  <c r="G684" i="2" s="1"/>
  <c r="G685" i="2" s="1"/>
  <c r="G686" i="2" s="1"/>
  <c r="G687" i="2" s="1"/>
  <c r="G688" i="2" s="1"/>
  <c r="G689" i="2" s="1"/>
  <c r="G690" i="2" s="1"/>
  <c r="G691" i="2" s="1"/>
  <c r="G692" i="2" s="1"/>
  <c r="G693" i="2" s="1"/>
  <c r="G694" i="2" s="1"/>
  <c r="G695" i="2" s="1"/>
  <c r="G696" i="2" s="1"/>
  <c r="G697" i="2" s="1"/>
  <c r="G698" i="2" s="1"/>
  <c r="G699" i="2" s="1"/>
  <c r="G700" i="2" s="1"/>
  <c r="G701" i="2" s="1"/>
  <c r="G702" i="2" s="1"/>
  <c r="G703" i="2" s="1"/>
  <c r="G704" i="2" s="1"/>
  <c r="G705" i="2" s="1"/>
  <c r="G706" i="2" s="1"/>
  <c r="G707" i="2" s="1"/>
  <c r="G708" i="2" s="1"/>
  <c r="G709" i="2" s="1"/>
  <c r="G710" i="2" s="1"/>
  <c r="G711" i="2" s="1"/>
  <c r="G712" i="2" s="1"/>
  <c r="G713" i="2" s="1"/>
  <c r="G714" i="2" s="1"/>
  <c r="G715" i="2" s="1"/>
  <c r="G716" i="2" s="1"/>
  <c r="G717" i="2" s="1"/>
  <c r="G718" i="2" s="1"/>
  <c r="G719" i="2" s="1"/>
  <c r="G720" i="2" s="1"/>
  <c r="G721" i="2" s="1"/>
  <c r="G722" i="2" s="1"/>
  <c r="G723" i="2" s="1"/>
  <c r="G724" i="2" s="1"/>
  <c r="G725" i="2" s="1"/>
  <c r="G726" i="2" s="1"/>
  <c r="G727" i="2" s="1"/>
  <c r="G728" i="2" s="1"/>
  <c r="G729" i="2" s="1"/>
  <c r="G730" i="2" s="1"/>
  <c r="G731" i="2" s="1"/>
  <c r="G732" i="2" s="1"/>
  <c r="G733" i="2" s="1"/>
  <c r="G734" i="2" s="1"/>
  <c r="G735" i="2" s="1"/>
  <c r="G736" i="2" s="1"/>
  <c r="G737" i="2" s="1"/>
  <c r="G738" i="2" s="1"/>
  <c r="G739" i="2" s="1"/>
  <c r="G740" i="2" s="1"/>
  <c r="G741" i="2" s="1"/>
  <c r="G742" i="2" s="1"/>
  <c r="G743" i="2" s="1"/>
  <c r="G744" i="2" s="1"/>
  <c r="G745" i="2" s="1"/>
  <c r="G746" i="2" s="1"/>
  <c r="G747" i="2" s="1"/>
  <c r="G748" i="2" s="1"/>
  <c r="G749" i="2" s="1"/>
  <c r="G750" i="2" s="1"/>
  <c r="G751" i="2" s="1"/>
  <c r="G752" i="2" s="1"/>
  <c r="G753" i="2" s="1"/>
  <c r="G754" i="2" s="1"/>
  <c r="G755" i="2" s="1"/>
  <c r="G756" i="2" s="1"/>
  <c r="G757" i="2" s="1"/>
  <c r="G758" i="2" s="1"/>
  <c r="G759" i="2" s="1"/>
  <c r="G760" i="2" s="1"/>
  <c r="G761" i="2" s="1"/>
  <c r="G762" i="2" s="1"/>
  <c r="G763" i="2" s="1"/>
  <c r="G764" i="2" s="1"/>
  <c r="G765" i="2" s="1"/>
  <c r="G766" i="2" s="1"/>
  <c r="G767" i="2" s="1"/>
  <c r="G768" i="2" s="1"/>
  <c r="G769" i="2" s="1"/>
  <c r="G770" i="2" s="1"/>
  <c r="G771" i="2" s="1"/>
  <c r="G772" i="2" s="1"/>
  <c r="G773" i="2" s="1"/>
  <c r="G774" i="2" s="1"/>
  <c r="G775" i="2" s="1"/>
  <c r="G776" i="2" s="1"/>
  <c r="G777" i="2" s="1"/>
  <c r="G778" i="2" s="1"/>
  <c r="G779" i="2" s="1"/>
  <c r="G780" i="2" s="1"/>
  <c r="G781" i="2" s="1"/>
  <c r="G782" i="2" s="1"/>
  <c r="G783" i="2" s="1"/>
  <c r="G784" i="2" s="1"/>
  <c r="G785" i="2" s="1"/>
  <c r="G786" i="2" s="1"/>
  <c r="G787" i="2" s="1"/>
  <c r="G788" i="2" s="1"/>
  <c r="G789" i="2" s="1"/>
  <c r="G790" i="2" s="1"/>
  <c r="G791" i="2" s="1"/>
  <c r="G792" i="2" s="1"/>
  <c r="G793" i="2" s="1"/>
  <c r="G794" i="2" s="1"/>
  <c r="G795" i="2" s="1"/>
  <c r="G796" i="2" s="1"/>
  <c r="G797" i="2" s="1"/>
  <c r="G798" i="2" s="1"/>
  <c r="G799" i="2" s="1"/>
  <c r="G800" i="2" s="1"/>
  <c r="G801" i="2" s="1"/>
  <c r="G802" i="2" s="1"/>
  <c r="G803" i="2" s="1"/>
  <c r="G804" i="2" s="1"/>
  <c r="G805" i="2" s="1"/>
  <c r="G806" i="2" s="1"/>
  <c r="G807" i="2" s="1"/>
  <c r="G808" i="2" s="1"/>
  <c r="G809" i="2" s="1"/>
  <c r="G810" i="2" s="1"/>
  <c r="G811" i="2" s="1"/>
  <c r="G812" i="2" s="1"/>
  <c r="G813" i="2" s="1"/>
  <c r="G814" i="2" s="1"/>
  <c r="G815" i="2" s="1"/>
  <c r="G816" i="2" s="1"/>
  <c r="G817" i="2" s="1"/>
  <c r="G818" i="2" s="1"/>
  <c r="G819" i="2" s="1"/>
  <c r="G820" i="2" s="1"/>
  <c r="G821" i="2" s="1"/>
  <c r="G822" i="2" s="1"/>
  <c r="G823" i="2" s="1"/>
  <c r="G824" i="2" s="1"/>
  <c r="G825" i="2" s="1"/>
  <c r="G826" i="2" s="1"/>
  <c r="G827" i="2" s="1"/>
  <c r="G828" i="2" s="1"/>
  <c r="G829" i="2" s="1"/>
  <c r="G830" i="2" s="1"/>
  <c r="G831" i="2" s="1"/>
  <c r="G832" i="2" s="1"/>
  <c r="G833" i="2" s="1"/>
  <c r="G834" i="2" s="1"/>
  <c r="G835" i="2" s="1"/>
  <c r="G836" i="2" s="1"/>
  <c r="G837" i="2" s="1"/>
  <c r="G838" i="2" s="1"/>
  <c r="G839" i="2" s="1"/>
  <c r="G840" i="2" s="1"/>
  <c r="G841" i="2" s="1"/>
  <c r="G842" i="2" s="1"/>
  <c r="G843" i="2" s="1"/>
  <c r="G844" i="2" s="1"/>
  <c r="G845" i="2" s="1"/>
  <c r="G846" i="2" s="1"/>
  <c r="G847" i="2" s="1"/>
  <c r="G848" i="2" s="1"/>
  <c r="G849" i="2" s="1"/>
  <c r="G850" i="2" s="1"/>
  <c r="G851" i="2" s="1"/>
  <c r="G852" i="2" s="1"/>
  <c r="G853" i="2" s="1"/>
  <c r="G854" i="2" s="1"/>
  <c r="G855" i="2" s="1"/>
  <c r="G856" i="2" s="1"/>
  <c r="G857" i="2" s="1"/>
  <c r="G858" i="2" s="1"/>
  <c r="G859" i="2" s="1"/>
  <c r="G860" i="2" s="1"/>
  <c r="G861" i="2" s="1"/>
  <c r="G862" i="2" s="1"/>
  <c r="G863" i="2" s="1"/>
  <c r="G864" i="2" s="1"/>
  <c r="G865" i="2" s="1"/>
  <c r="G866" i="2" s="1"/>
  <c r="G867" i="2" s="1"/>
  <c r="G868" i="2" s="1"/>
  <c r="G869" i="2" s="1"/>
  <c r="G870" i="2" s="1"/>
  <c r="G871" i="2" s="1"/>
  <c r="G872" i="2" s="1"/>
  <c r="G873" i="2" s="1"/>
  <c r="G874" i="2" s="1"/>
  <c r="G875" i="2" s="1"/>
  <c r="G876" i="2" s="1"/>
  <c r="G877" i="2" s="1"/>
  <c r="G878" i="2" s="1"/>
  <c r="G879" i="2" s="1"/>
  <c r="G880" i="2" s="1"/>
  <c r="G881" i="2" s="1"/>
  <c r="G882" i="2" s="1"/>
  <c r="G883" i="2" s="1"/>
  <c r="G884" i="2" s="1"/>
  <c r="G885" i="2" s="1"/>
  <c r="G886" i="2" s="1"/>
  <c r="G887" i="2" s="1"/>
  <c r="G888" i="2" s="1"/>
  <c r="G889" i="2" s="1"/>
  <c r="G890" i="2" s="1"/>
  <c r="G891" i="2" s="1"/>
  <c r="G892" i="2" s="1"/>
  <c r="G893" i="2" s="1"/>
  <c r="G894" i="2" s="1"/>
  <c r="G895" i="2" s="1"/>
  <c r="G896" i="2" s="1"/>
  <c r="G897" i="2" s="1"/>
  <c r="G898" i="2" s="1"/>
  <c r="G899" i="2" s="1"/>
  <c r="G900" i="2" s="1"/>
  <c r="G901" i="2" s="1"/>
  <c r="G902" i="2" s="1"/>
  <c r="G903" i="2" s="1"/>
  <c r="G904" i="2" s="1"/>
  <c r="G905" i="2" s="1"/>
  <c r="G906" i="2" s="1"/>
  <c r="G907" i="2" s="1"/>
  <c r="G908" i="2" s="1"/>
  <c r="G909" i="2" s="1"/>
  <c r="G910" i="2" s="1"/>
  <c r="G911" i="2" s="1"/>
  <c r="G912" i="2" s="1"/>
  <c r="G913" i="2" s="1"/>
  <c r="G914" i="2" s="1"/>
  <c r="G915" i="2" s="1"/>
  <c r="G916" i="2" s="1"/>
  <c r="G917" i="2" s="1"/>
  <c r="G918" i="2" s="1"/>
  <c r="G919" i="2" s="1"/>
  <c r="G920" i="2" s="1"/>
  <c r="G921" i="2" s="1"/>
  <c r="G922" i="2" s="1"/>
  <c r="G923" i="2" s="1"/>
  <c r="G924" i="2" s="1"/>
  <c r="G925" i="2" s="1"/>
  <c r="G926" i="2" s="1"/>
  <c r="G927" i="2" s="1"/>
  <c r="G928" i="2" s="1"/>
  <c r="G929" i="2" s="1"/>
  <c r="G930" i="2" s="1"/>
  <c r="G931" i="2" s="1"/>
  <c r="G932" i="2" s="1"/>
  <c r="G933" i="2" s="1"/>
  <c r="G934" i="2" s="1"/>
  <c r="G935" i="2" s="1"/>
  <c r="G936" i="2" s="1"/>
  <c r="G937" i="2" s="1"/>
  <c r="G938" i="2" s="1"/>
  <c r="G939" i="2" s="1"/>
  <c r="G940" i="2" s="1"/>
  <c r="G941" i="2" s="1"/>
  <c r="G942" i="2" s="1"/>
  <c r="G943" i="2" s="1"/>
  <c r="G944" i="2" s="1"/>
  <c r="G945" i="2" s="1"/>
  <c r="G946" i="2" s="1"/>
  <c r="G947" i="2" s="1"/>
  <c r="G948" i="2" s="1"/>
  <c r="G949" i="2" s="1"/>
  <c r="G950" i="2" s="1"/>
  <c r="G951" i="2" s="1"/>
  <c r="G952" i="2" s="1"/>
  <c r="G953" i="2" s="1"/>
  <c r="G954" i="2" s="1"/>
  <c r="G955" i="2" s="1"/>
  <c r="G956" i="2" s="1"/>
  <c r="G957" i="2" s="1"/>
  <c r="G958" i="2" s="1"/>
  <c r="G959" i="2" s="1"/>
  <c r="G960" i="2" s="1"/>
  <c r="G961" i="2" s="1"/>
  <c r="G962" i="2" s="1"/>
  <c r="G963" i="2" s="1"/>
  <c r="G964" i="2" s="1"/>
  <c r="G965" i="2" s="1"/>
  <c r="G966" i="2" s="1"/>
  <c r="G967" i="2" s="1"/>
  <c r="G968" i="2" s="1"/>
  <c r="G969" i="2" s="1"/>
  <c r="G970" i="2" s="1"/>
  <c r="G971" i="2" s="1"/>
  <c r="G972" i="2" s="1"/>
  <c r="G973" i="2" s="1"/>
  <c r="G974" i="2" s="1"/>
  <c r="G975" i="2" s="1"/>
  <c r="G976" i="2" s="1"/>
  <c r="G977" i="2" s="1"/>
  <c r="G978" i="2" s="1"/>
  <c r="G979" i="2" s="1"/>
  <c r="G980" i="2" s="1"/>
  <c r="G981" i="2" s="1"/>
  <c r="G982" i="2" s="1"/>
  <c r="G983" i="2" s="1"/>
  <c r="G984" i="2" s="1"/>
  <c r="G985" i="2" s="1"/>
  <c r="G986" i="2" s="1"/>
  <c r="G987" i="2" s="1"/>
  <c r="G988" i="2" s="1"/>
  <c r="G989" i="2" s="1"/>
  <c r="G990" i="2" s="1"/>
  <c r="G991" i="2" s="1"/>
  <c r="G992" i="2" s="1"/>
  <c r="G993" i="2" s="1"/>
  <c r="G994" i="2" s="1"/>
  <c r="G995" i="2" s="1"/>
  <c r="G996" i="2" s="1"/>
  <c r="G997" i="2" s="1"/>
  <c r="G998" i="2" s="1"/>
  <c r="G999" i="2" s="1"/>
  <c r="G1000" i="2" s="1"/>
  <c r="G1001" i="2" s="1"/>
  <c r="G503" i="2"/>
  <c r="G502" i="2"/>
  <c r="E504" i="2"/>
  <c r="E505" i="2" s="1"/>
  <c r="E506" i="2" s="1"/>
  <c r="E507" i="2" s="1"/>
  <c r="E508" i="2" s="1"/>
  <c r="E509" i="2" s="1"/>
  <c r="E510" i="2" s="1"/>
  <c r="E511" i="2" s="1"/>
  <c r="E512" i="2"/>
  <c r="E513" i="2"/>
  <c r="E514" i="2" s="1"/>
  <c r="E515" i="2" s="1"/>
  <c r="E516" i="2" s="1"/>
  <c r="E517" i="2"/>
  <c r="E518" i="2"/>
  <c r="E519" i="2"/>
  <c r="E520" i="2"/>
  <c r="E521" i="2"/>
  <c r="E522" i="2"/>
  <c r="E523" i="2"/>
  <c r="E524" i="2" s="1"/>
  <c r="E525" i="2" s="1"/>
  <c r="E526" i="2" s="1"/>
  <c r="E527" i="2" s="1"/>
  <c r="E528" i="2" s="1"/>
  <c r="E529" i="2" s="1"/>
  <c r="E530" i="2" s="1"/>
  <c r="E531" i="2" s="1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75" i="2" s="1"/>
  <c r="E576" i="2" s="1"/>
  <c r="E577" i="2" s="1"/>
  <c r="E578" i="2" s="1"/>
  <c r="E579" i="2" s="1"/>
  <c r="E580" i="2" s="1"/>
  <c r="E581" i="2" s="1"/>
  <c r="E582" i="2" s="1"/>
  <c r="E583" i="2" s="1"/>
  <c r="E584" i="2" s="1"/>
  <c r="E585" i="2" s="1"/>
  <c r="E586" i="2" s="1"/>
  <c r="E587" i="2" s="1"/>
  <c r="E588" i="2" s="1"/>
  <c r="E589" i="2" s="1"/>
  <c r="E590" i="2" s="1"/>
  <c r="E591" i="2" s="1"/>
  <c r="E592" i="2" s="1"/>
  <c r="E593" i="2" s="1"/>
  <c r="E594" i="2" s="1"/>
  <c r="E595" i="2" s="1"/>
  <c r="E596" i="2" s="1"/>
  <c r="E597" i="2" s="1"/>
  <c r="E598" i="2" s="1"/>
  <c r="E599" i="2" s="1"/>
  <c r="E600" i="2" s="1"/>
  <c r="E601" i="2" s="1"/>
  <c r="E602" i="2" s="1"/>
  <c r="E603" i="2" s="1"/>
  <c r="E604" i="2" s="1"/>
  <c r="E605" i="2" s="1"/>
  <c r="E606" i="2" s="1"/>
  <c r="E607" i="2" s="1"/>
  <c r="E608" i="2" s="1"/>
  <c r="E609" i="2" s="1"/>
  <c r="E610" i="2" s="1"/>
  <c r="E611" i="2" s="1"/>
  <c r="E612" i="2" s="1"/>
  <c r="E613" i="2" s="1"/>
  <c r="E614" i="2" s="1"/>
  <c r="E615" i="2" s="1"/>
  <c r="E616" i="2" s="1"/>
  <c r="E617" i="2" s="1"/>
  <c r="E618" i="2" s="1"/>
  <c r="E619" i="2" s="1"/>
  <c r="E620" i="2" s="1"/>
  <c r="E621" i="2" s="1"/>
  <c r="E622" i="2" s="1"/>
  <c r="E623" i="2" s="1"/>
  <c r="E624" i="2" s="1"/>
  <c r="E625" i="2" s="1"/>
  <c r="E626" i="2" s="1"/>
  <c r="E627" i="2" s="1"/>
  <c r="E628" i="2" s="1"/>
  <c r="E629" i="2" s="1"/>
  <c r="E630" i="2" s="1"/>
  <c r="E631" i="2" s="1"/>
  <c r="E632" i="2" s="1"/>
  <c r="E633" i="2" s="1"/>
  <c r="E634" i="2" s="1"/>
  <c r="E635" i="2" s="1"/>
  <c r="E636" i="2" s="1"/>
  <c r="E637" i="2" s="1"/>
  <c r="E638" i="2" s="1"/>
  <c r="E639" i="2" s="1"/>
  <c r="E640" i="2" s="1"/>
  <c r="E641" i="2" s="1"/>
  <c r="E642" i="2" s="1"/>
  <c r="E643" i="2" s="1"/>
  <c r="E644" i="2" s="1"/>
  <c r="E645" i="2" s="1"/>
  <c r="E646" i="2" s="1"/>
  <c r="E647" i="2" s="1"/>
  <c r="E648" i="2" s="1"/>
  <c r="E649" i="2" s="1"/>
  <c r="E650" i="2" s="1"/>
  <c r="E651" i="2" s="1"/>
  <c r="E652" i="2" s="1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E663" i="2" s="1"/>
  <c r="E664" i="2" s="1"/>
  <c r="E665" i="2" s="1"/>
  <c r="E666" i="2" s="1"/>
  <c r="E667" i="2" s="1"/>
  <c r="E668" i="2" s="1"/>
  <c r="E669" i="2" s="1"/>
  <c r="E670" i="2" s="1"/>
  <c r="E671" i="2" s="1"/>
  <c r="E672" i="2" s="1"/>
  <c r="E673" i="2" s="1"/>
  <c r="E674" i="2" s="1"/>
  <c r="E675" i="2" s="1"/>
  <c r="E676" i="2" s="1"/>
  <c r="E677" i="2" s="1"/>
  <c r="E678" i="2" s="1"/>
  <c r="E679" i="2" s="1"/>
  <c r="E680" i="2" s="1"/>
  <c r="E681" i="2" s="1"/>
  <c r="E682" i="2" s="1"/>
  <c r="E683" i="2" s="1"/>
  <c r="E684" i="2" s="1"/>
  <c r="E685" i="2" s="1"/>
  <c r="E686" i="2" s="1"/>
  <c r="E687" i="2" s="1"/>
  <c r="E688" i="2" s="1"/>
  <c r="E689" i="2" s="1"/>
  <c r="E690" i="2" s="1"/>
  <c r="E691" i="2" s="1"/>
  <c r="E692" i="2" s="1"/>
  <c r="E693" i="2" s="1"/>
  <c r="E694" i="2" s="1"/>
  <c r="E695" i="2" s="1"/>
  <c r="E696" i="2" s="1"/>
  <c r="E697" i="2" s="1"/>
  <c r="E698" i="2" s="1"/>
  <c r="E699" i="2" s="1"/>
  <c r="E700" i="2" s="1"/>
  <c r="E701" i="2" s="1"/>
  <c r="E702" i="2" s="1"/>
  <c r="E703" i="2" s="1"/>
  <c r="E704" i="2" s="1"/>
  <c r="E705" i="2" s="1"/>
  <c r="E706" i="2" s="1"/>
  <c r="E707" i="2" s="1"/>
  <c r="E708" i="2" s="1"/>
  <c r="E709" i="2" s="1"/>
  <c r="E710" i="2" s="1"/>
  <c r="E711" i="2" s="1"/>
  <c r="E712" i="2" s="1"/>
  <c r="E713" i="2" s="1"/>
  <c r="E714" i="2" s="1"/>
  <c r="E715" i="2" s="1"/>
  <c r="E716" i="2" s="1"/>
  <c r="E717" i="2" s="1"/>
  <c r="E718" i="2" s="1"/>
  <c r="E719" i="2" s="1"/>
  <c r="E720" i="2" s="1"/>
  <c r="E721" i="2" s="1"/>
  <c r="E722" i="2" s="1"/>
  <c r="E723" i="2" s="1"/>
  <c r="E724" i="2" s="1"/>
  <c r="E725" i="2" s="1"/>
  <c r="E726" i="2" s="1"/>
  <c r="E727" i="2" s="1"/>
  <c r="E728" i="2" s="1"/>
  <c r="E729" i="2" s="1"/>
  <c r="E730" i="2" s="1"/>
  <c r="E731" i="2" s="1"/>
  <c r="E732" i="2" s="1"/>
  <c r="E733" i="2" s="1"/>
  <c r="E734" i="2" s="1"/>
  <c r="E735" i="2" s="1"/>
  <c r="E736" i="2" s="1"/>
  <c r="E737" i="2" s="1"/>
  <c r="E738" i="2" s="1"/>
  <c r="E739" i="2" s="1"/>
  <c r="E740" i="2" s="1"/>
  <c r="E741" i="2" s="1"/>
  <c r="E742" i="2" s="1"/>
  <c r="E743" i="2" s="1"/>
  <c r="E744" i="2" s="1"/>
  <c r="E745" i="2" s="1"/>
  <c r="E746" i="2" s="1"/>
  <c r="E747" i="2" s="1"/>
  <c r="E748" i="2" s="1"/>
  <c r="E749" i="2" s="1"/>
  <c r="E750" i="2" s="1"/>
  <c r="E751" i="2" s="1"/>
  <c r="E752" i="2" s="1"/>
  <c r="E753" i="2" s="1"/>
  <c r="E754" i="2" s="1"/>
  <c r="E755" i="2" s="1"/>
  <c r="E756" i="2" s="1"/>
  <c r="E757" i="2" s="1"/>
  <c r="E758" i="2" s="1"/>
  <c r="E759" i="2" s="1"/>
  <c r="E760" i="2" s="1"/>
  <c r="E761" i="2" s="1"/>
  <c r="E762" i="2" s="1"/>
  <c r="E763" i="2" s="1"/>
  <c r="E764" i="2" s="1"/>
  <c r="E765" i="2" s="1"/>
  <c r="E766" i="2" s="1"/>
  <c r="E767" i="2" s="1"/>
  <c r="E768" i="2" s="1"/>
  <c r="E769" i="2" s="1"/>
  <c r="E770" i="2" s="1"/>
  <c r="E771" i="2" s="1"/>
  <c r="E772" i="2" s="1"/>
  <c r="E773" i="2" s="1"/>
  <c r="E774" i="2" s="1"/>
  <c r="E775" i="2" s="1"/>
  <c r="E776" i="2" s="1"/>
  <c r="E777" i="2" s="1"/>
  <c r="E778" i="2" s="1"/>
  <c r="E779" i="2" s="1"/>
  <c r="E780" i="2" s="1"/>
  <c r="E781" i="2" s="1"/>
  <c r="E782" i="2" s="1"/>
  <c r="E783" i="2" s="1"/>
  <c r="E784" i="2" s="1"/>
  <c r="E785" i="2" s="1"/>
  <c r="E786" i="2" s="1"/>
  <c r="E787" i="2" s="1"/>
  <c r="E788" i="2" s="1"/>
  <c r="E789" i="2" s="1"/>
  <c r="E790" i="2" s="1"/>
  <c r="E791" i="2" s="1"/>
  <c r="E792" i="2" s="1"/>
  <c r="E793" i="2" s="1"/>
  <c r="E794" i="2" s="1"/>
  <c r="E795" i="2" s="1"/>
  <c r="E796" i="2" s="1"/>
  <c r="E797" i="2" s="1"/>
  <c r="E798" i="2" s="1"/>
  <c r="E799" i="2" s="1"/>
  <c r="E800" i="2" s="1"/>
  <c r="E801" i="2" s="1"/>
  <c r="E802" i="2" s="1"/>
  <c r="E803" i="2" s="1"/>
  <c r="E804" i="2" s="1"/>
  <c r="E805" i="2" s="1"/>
  <c r="E806" i="2" s="1"/>
  <c r="E807" i="2" s="1"/>
  <c r="E808" i="2" s="1"/>
  <c r="E809" i="2" s="1"/>
  <c r="E810" i="2" s="1"/>
  <c r="E811" i="2" s="1"/>
  <c r="E812" i="2" s="1"/>
  <c r="E813" i="2" s="1"/>
  <c r="E814" i="2" s="1"/>
  <c r="E815" i="2" s="1"/>
  <c r="E816" i="2" s="1"/>
  <c r="E817" i="2" s="1"/>
  <c r="E818" i="2" s="1"/>
  <c r="E819" i="2" s="1"/>
  <c r="E820" i="2" s="1"/>
  <c r="E821" i="2" s="1"/>
  <c r="E822" i="2" s="1"/>
  <c r="E823" i="2" s="1"/>
  <c r="E824" i="2" s="1"/>
  <c r="E825" i="2" s="1"/>
  <c r="E826" i="2" s="1"/>
  <c r="E827" i="2" s="1"/>
  <c r="E828" i="2" s="1"/>
  <c r="E829" i="2" s="1"/>
  <c r="E830" i="2" s="1"/>
  <c r="E831" i="2" s="1"/>
  <c r="E832" i="2" s="1"/>
  <c r="E833" i="2" s="1"/>
  <c r="E834" i="2" s="1"/>
  <c r="E835" i="2" s="1"/>
  <c r="E836" i="2" s="1"/>
  <c r="E837" i="2" s="1"/>
  <c r="E838" i="2" s="1"/>
  <c r="E839" i="2" s="1"/>
  <c r="E840" i="2" s="1"/>
  <c r="E841" i="2" s="1"/>
  <c r="E842" i="2" s="1"/>
  <c r="E843" i="2" s="1"/>
  <c r="E844" i="2" s="1"/>
  <c r="E845" i="2" s="1"/>
  <c r="E846" i="2" s="1"/>
  <c r="E847" i="2" s="1"/>
  <c r="E848" i="2" s="1"/>
  <c r="E849" i="2" s="1"/>
  <c r="E850" i="2" s="1"/>
  <c r="E851" i="2" s="1"/>
  <c r="E852" i="2" s="1"/>
  <c r="E853" i="2" s="1"/>
  <c r="E854" i="2" s="1"/>
  <c r="E855" i="2" s="1"/>
  <c r="E856" i="2" s="1"/>
  <c r="E857" i="2" s="1"/>
  <c r="E858" i="2" s="1"/>
  <c r="E859" i="2" s="1"/>
  <c r="E860" i="2" s="1"/>
  <c r="E861" i="2" s="1"/>
  <c r="E862" i="2" s="1"/>
  <c r="E863" i="2" s="1"/>
  <c r="E864" i="2" s="1"/>
  <c r="E865" i="2" s="1"/>
  <c r="E866" i="2" s="1"/>
  <c r="E867" i="2" s="1"/>
  <c r="E868" i="2" s="1"/>
  <c r="E869" i="2" s="1"/>
  <c r="E870" i="2" s="1"/>
  <c r="E871" i="2" s="1"/>
  <c r="E872" i="2" s="1"/>
  <c r="E873" i="2" s="1"/>
  <c r="E874" i="2" s="1"/>
  <c r="E875" i="2" s="1"/>
  <c r="E876" i="2" s="1"/>
  <c r="E877" i="2" s="1"/>
  <c r="E878" i="2" s="1"/>
  <c r="E879" i="2" s="1"/>
  <c r="E880" i="2" s="1"/>
  <c r="E881" i="2" s="1"/>
  <c r="E882" i="2" s="1"/>
  <c r="E883" i="2" s="1"/>
  <c r="E884" i="2" s="1"/>
  <c r="E885" i="2" s="1"/>
  <c r="E886" i="2" s="1"/>
  <c r="E887" i="2" s="1"/>
  <c r="E888" i="2" s="1"/>
  <c r="E889" i="2" s="1"/>
  <c r="E890" i="2" s="1"/>
  <c r="E891" i="2" s="1"/>
  <c r="E892" i="2" s="1"/>
  <c r="E893" i="2" s="1"/>
  <c r="E894" i="2" s="1"/>
  <c r="E895" i="2" s="1"/>
  <c r="E896" i="2" s="1"/>
  <c r="E897" i="2" s="1"/>
  <c r="E898" i="2" s="1"/>
  <c r="E899" i="2" s="1"/>
  <c r="E900" i="2" s="1"/>
  <c r="E901" i="2" s="1"/>
  <c r="E902" i="2" s="1"/>
  <c r="E903" i="2" s="1"/>
  <c r="E904" i="2" s="1"/>
  <c r="E905" i="2" s="1"/>
  <c r="E906" i="2" s="1"/>
  <c r="E907" i="2" s="1"/>
  <c r="E908" i="2" s="1"/>
  <c r="E909" i="2" s="1"/>
  <c r="E910" i="2" s="1"/>
  <c r="E911" i="2" s="1"/>
  <c r="E912" i="2" s="1"/>
  <c r="E913" i="2" s="1"/>
  <c r="E914" i="2" s="1"/>
  <c r="E915" i="2" s="1"/>
  <c r="E916" i="2" s="1"/>
  <c r="E917" i="2" s="1"/>
  <c r="E918" i="2" s="1"/>
  <c r="E919" i="2" s="1"/>
  <c r="E920" i="2" s="1"/>
  <c r="E921" i="2" s="1"/>
  <c r="E922" i="2" s="1"/>
  <c r="E923" i="2" s="1"/>
  <c r="E924" i="2" s="1"/>
  <c r="E925" i="2" s="1"/>
  <c r="E926" i="2" s="1"/>
  <c r="E927" i="2" s="1"/>
  <c r="E928" i="2" s="1"/>
  <c r="E929" i="2" s="1"/>
  <c r="E930" i="2" s="1"/>
  <c r="E931" i="2" s="1"/>
  <c r="E932" i="2" s="1"/>
  <c r="E933" i="2" s="1"/>
  <c r="E934" i="2" s="1"/>
  <c r="E935" i="2" s="1"/>
  <c r="E936" i="2" s="1"/>
  <c r="E937" i="2" s="1"/>
  <c r="E938" i="2" s="1"/>
  <c r="E939" i="2" s="1"/>
  <c r="E940" i="2" s="1"/>
  <c r="E941" i="2" s="1"/>
  <c r="E942" i="2" s="1"/>
  <c r="E943" i="2" s="1"/>
  <c r="E944" i="2" s="1"/>
  <c r="E945" i="2" s="1"/>
  <c r="E946" i="2" s="1"/>
  <c r="E947" i="2" s="1"/>
  <c r="E948" i="2" s="1"/>
  <c r="E949" i="2" s="1"/>
  <c r="E950" i="2" s="1"/>
  <c r="E951" i="2" s="1"/>
  <c r="E952" i="2" s="1"/>
  <c r="E953" i="2" s="1"/>
  <c r="E954" i="2" s="1"/>
  <c r="E955" i="2" s="1"/>
  <c r="E956" i="2" s="1"/>
  <c r="E957" i="2" s="1"/>
  <c r="E958" i="2" s="1"/>
  <c r="E959" i="2" s="1"/>
  <c r="E960" i="2" s="1"/>
  <c r="E961" i="2" s="1"/>
  <c r="E962" i="2" s="1"/>
  <c r="E963" i="2" s="1"/>
  <c r="E964" i="2" s="1"/>
  <c r="E965" i="2" s="1"/>
  <c r="E966" i="2" s="1"/>
  <c r="E967" i="2" s="1"/>
  <c r="E968" i="2" s="1"/>
  <c r="E969" i="2" s="1"/>
  <c r="E970" i="2" s="1"/>
  <c r="E971" i="2" s="1"/>
  <c r="E972" i="2" s="1"/>
  <c r="E973" i="2" s="1"/>
  <c r="E974" i="2" s="1"/>
  <c r="E975" i="2" s="1"/>
  <c r="E976" i="2" s="1"/>
  <c r="E977" i="2" s="1"/>
  <c r="E978" i="2" s="1"/>
  <c r="E979" i="2" s="1"/>
  <c r="E980" i="2" s="1"/>
  <c r="E981" i="2" s="1"/>
  <c r="E982" i="2" s="1"/>
  <c r="E983" i="2" s="1"/>
  <c r="E984" i="2" s="1"/>
  <c r="E985" i="2" s="1"/>
  <c r="E986" i="2" s="1"/>
  <c r="E987" i="2" s="1"/>
  <c r="E988" i="2" s="1"/>
  <c r="E989" i="2" s="1"/>
  <c r="E990" i="2" s="1"/>
  <c r="E991" i="2" s="1"/>
  <c r="E992" i="2" s="1"/>
  <c r="E993" i="2" s="1"/>
  <c r="E994" i="2" s="1"/>
  <c r="E995" i="2" s="1"/>
  <c r="E996" i="2" s="1"/>
  <c r="E997" i="2" s="1"/>
  <c r="E998" i="2" s="1"/>
  <c r="E999" i="2" s="1"/>
  <c r="E1000" i="2" s="1"/>
  <c r="E1001" i="2" s="1"/>
  <c r="E503" i="2"/>
  <c r="E502" i="2"/>
  <c r="C504" i="2"/>
  <c r="C505" i="2"/>
  <c r="C506" i="2"/>
  <c r="C507" i="2" s="1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C577" i="2" s="1"/>
  <c r="C578" i="2" s="1"/>
  <c r="C579" i="2" s="1"/>
  <c r="C580" i="2" s="1"/>
  <c r="C581" i="2" s="1"/>
  <c r="C582" i="2" s="1"/>
  <c r="C583" i="2" s="1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C688" i="2" s="1"/>
  <c r="C689" i="2" s="1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C751" i="2" s="1"/>
  <c r="C752" i="2" s="1"/>
  <c r="C753" i="2" s="1"/>
  <c r="C754" i="2" s="1"/>
  <c r="C755" i="2" s="1"/>
  <c r="C756" i="2" s="1"/>
  <c r="C757" i="2" s="1"/>
  <c r="C758" i="2" s="1"/>
  <c r="C759" i="2" s="1"/>
  <c r="C760" i="2" s="1"/>
  <c r="C761" i="2" s="1"/>
  <c r="C762" i="2" s="1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804" i="2" s="1"/>
  <c r="C805" i="2" s="1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C823" i="2" s="1"/>
  <c r="C824" i="2" s="1"/>
  <c r="C825" i="2" s="1"/>
  <c r="C826" i="2" s="1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C872" i="2" s="1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C930" i="2" s="1"/>
  <c r="C931" i="2" s="1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503" i="2"/>
  <c r="J504" i="2"/>
  <c r="J505" i="2" s="1"/>
  <c r="J506" i="2" s="1"/>
  <c r="J507" i="2" s="1"/>
  <c r="J508" i="2" s="1"/>
  <c r="J509" i="2" s="1"/>
  <c r="J510" i="2" s="1"/>
  <c r="J511" i="2" s="1"/>
  <c r="J512" i="2" s="1"/>
  <c r="J513" i="2" s="1"/>
  <c r="J514" i="2" s="1"/>
  <c r="J515" i="2" s="1"/>
  <c r="J516" i="2" s="1"/>
  <c r="J517" i="2" s="1"/>
  <c r="J518" i="2" s="1"/>
  <c r="J519" i="2" s="1"/>
  <c r="J520" i="2"/>
  <c r="J521" i="2"/>
  <c r="J522" i="2"/>
  <c r="J523" i="2"/>
  <c r="J524" i="2"/>
  <c r="J525" i="2"/>
  <c r="J526" i="2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J546" i="2" s="1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J658" i="2" s="1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J690" i="2" s="1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J818" i="2" s="1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J978" i="2" s="1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J994" i="2" s="1"/>
  <c r="J995" i="2" s="1"/>
  <c r="J996" i="2" s="1"/>
  <c r="J997" i="2" s="1"/>
  <c r="J998" i="2" s="1"/>
  <c r="J999" i="2" s="1"/>
  <c r="J1000" i="2" s="1"/>
  <c r="J1001" i="2" s="1"/>
  <c r="J1002" i="2" s="1"/>
  <c r="J503" i="2"/>
  <c r="D506" i="2"/>
  <c r="F506" i="2"/>
  <c r="D507" i="2"/>
  <c r="F507" i="2"/>
  <c r="F508" i="2" s="1"/>
  <c r="F509" i="2" s="1"/>
  <c r="D508" i="2"/>
  <c r="D509" i="2" s="1"/>
  <c r="D510" i="2"/>
  <c r="F510" i="2"/>
  <c r="D511" i="2"/>
  <c r="D512" i="2" s="1"/>
  <c r="D513" i="2" s="1"/>
  <c r="D514" i="2" s="1"/>
  <c r="F511" i="2"/>
  <c r="F512" i="2" s="1"/>
  <c r="F513" i="2" s="1"/>
  <c r="F514" i="2" s="1"/>
  <c r="D515" i="2"/>
  <c r="D516" i="2" s="1"/>
  <c r="F515" i="2"/>
  <c r="F516" i="2" s="1"/>
  <c r="D517" i="2"/>
  <c r="D518" i="2" s="1"/>
  <c r="D519" i="2" s="1"/>
  <c r="D520" i="2" s="1"/>
  <c r="D521" i="2" s="1"/>
  <c r="D522" i="2" s="1"/>
  <c r="D523" i="2" s="1"/>
  <c r="D524" i="2" s="1"/>
  <c r="D525" i="2" s="1"/>
  <c r="D526" i="2" s="1"/>
  <c r="D527" i="2" s="1"/>
  <c r="D528" i="2" s="1"/>
  <c r="D529" i="2" s="1"/>
  <c r="D530" i="2" s="1"/>
  <c r="D531" i="2" s="1"/>
  <c r="D532" i="2" s="1"/>
  <c r="D533" i="2" s="1"/>
  <c r="D534" i="2" s="1"/>
  <c r="D535" i="2" s="1"/>
  <c r="D536" i="2" s="1"/>
  <c r="D537" i="2" s="1"/>
  <c r="D538" i="2" s="1"/>
  <c r="D539" i="2" s="1"/>
  <c r="D540" i="2" s="1"/>
  <c r="D541" i="2" s="1"/>
  <c r="D542" i="2" s="1"/>
  <c r="D543" i="2" s="1"/>
  <c r="D544" i="2" s="1"/>
  <c r="D545" i="2" s="1"/>
  <c r="D546" i="2" s="1"/>
  <c r="D547" i="2" s="1"/>
  <c r="D548" i="2" s="1"/>
  <c r="D549" i="2" s="1"/>
  <c r="D550" i="2" s="1"/>
  <c r="D551" i="2" s="1"/>
  <c r="D552" i="2" s="1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D565" i="2" s="1"/>
  <c r="D566" i="2" s="1"/>
  <c r="D567" i="2" s="1"/>
  <c r="D568" i="2" s="1"/>
  <c r="D569" i="2" s="1"/>
  <c r="D570" i="2" s="1"/>
  <c r="D571" i="2" s="1"/>
  <c r="D572" i="2" s="1"/>
  <c r="D573" i="2" s="1"/>
  <c r="D574" i="2" s="1"/>
  <c r="D575" i="2" s="1"/>
  <c r="D576" i="2" s="1"/>
  <c r="D577" i="2" s="1"/>
  <c r="D578" i="2" s="1"/>
  <c r="D579" i="2" s="1"/>
  <c r="D580" i="2" s="1"/>
  <c r="D581" i="2" s="1"/>
  <c r="D582" i="2" s="1"/>
  <c r="D583" i="2" s="1"/>
  <c r="D584" i="2" s="1"/>
  <c r="D585" i="2" s="1"/>
  <c r="D586" i="2" s="1"/>
  <c r="D587" i="2" s="1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D601" i="2" s="1"/>
  <c r="D602" i="2" s="1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D616" i="2" s="1"/>
  <c r="D617" i="2" s="1"/>
  <c r="D618" i="2" s="1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D632" i="2" s="1"/>
  <c r="D633" i="2" s="1"/>
  <c r="D634" i="2" s="1"/>
  <c r="D635" i="2" s="1"/>
  <c r="D636" i="2" s="1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D647" i="2" s="1"/>
  <c r="D648" i="2" s="1"/>
  <c r="D649" i="2" s="1"/>
  <c r="D650" i="2" s="1"/>
  <c r="D651" i="2" s="1"/>
  <c r="D652" i="2" s="1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D663" i="2" s="1"/>
  <c r="D664" i="2" s="1"/>
  <c r="D665" i="2" s="1"/>
  <c r="D666" i="2" s="1"/>
  <c r="D667" i="2" s="1"/>
  <c r="D668" i="2" s="1"/>
  <c r="D669" i="2" s="1"/>
  <c r="D670" i="2" s="1"/>
  <c r="D671" i="2" s="1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D688" i="2" s="1"/>
  <c r="D689" i="2" s="1"/>
  <c r="D690" i="2" s="1"/>
  <c r="D691" i="2" s="1"/>
  <c r="D692" i="2" s="1"/>
  <c r="D693" i="2" s="1"/>
  <c r="D694" i="2" s="1"/>
  <c r="D695" i="2" s="1"/>
  <c r="D696" i="2" s="1"/>
  <c r="D697" i="2" s="1"/>
  <c r="D698" i="2" s="1"/>
  <c r="D699" i="2" s="1"/>
  <c r="D700" i="2" s="1"/>
  <c r="D701" i="2" s="1"/>
  <c r="D702" i="2" s="1"/>
  <c r="D703" i="2" s="1"/>
  <c r="D704" i="2" s="1"/>
  <c r="D705" i="2" s="1"/>
  <c r="D706" i="2" s="1"/>
  <c r="D707" i="2" s="1"/>
  <c r="D708" i="2" s="1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D722" i="2" s="1"/>
  <c r="D723" i="2" s="1"/>
  <c r="D724" i="2" s="1"/>
  <c r="D725" i="2" s="1"/>
  <c r="D726" i="2" s="1"/>
  <c r="D727" i="2" s="1"/>
  <c r="D728" i="2" s="1"/>
  <c r="D729" i="2" s="1"/>
  <c r="D730" i="2" s="1"/>
  <c r="D731" i="2" s="1"/>
  <c r="D732" i="2" s="1"/>
  <c r="D733" i="2" s="1"/>
  <c r="D734" i="2" s="1"/>
  <c r="D735" i="2" s="1"/>
  <c r="D736" i="2" s="1"/>
  <c r="D737" i="2" s="1"/>
  <c r="D738" i="2" s="1"/>
  <c r="D739" i="2" s="1"/>
  <c r="D740" i="2" s="1"/>
  <c r="D741" i="2" s="1"/>
  <c r="D742" i="2" s="1"/>
  <c r="D743" i="2" s="1"/>
  <c r="D744" i="2" s="1"/>
  <c r="D745" i="2" s="1"/>
  <c r="D746" i="2" s="1"/>
  <c r="D747" i="2" s="1"/>
  <c r="D748" i="2" s="1"/>
  <c r="D749" i="2" s="1"/>
  <c r="D750" i="2" s="1"/>
  <c r="D751" i="2" s="1"/>
  <c r="D752" i="2" s="1"/>
  <c r="D753" i="2" s="1"/>
  <c r="D754" i="2" s="1"/>
  <c r="D755" i="2" s="1"/>
  <c r="D756" i="2" s="1"/>
  <c r="D757" i="2" s="1"/>
  <c r="D758" i="2" s="1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D769" i="2" s="1"/>
  <c r="D770" i="2" s="1"/>
  <c r="D771" i="2" s="1"/>
  <c r="D772" i="2" s="1"/>
  <c r="D773" i="2" s="1"/>
  <c r="D774" i="2" s="1"/>
  <c r="D775" i="2" s="1"/>
  <c r="D776" i="2" s="1"/>
  <c r="D777" i="2" s="1"/>
  <c r="D778" i="2" s="1"/>
  <c r="D779" i="2" s="1"/>
  <c r="D780" i="2" s="1"/>
  <c r="D781" i="2" s="1"/>
  <c r="D782" i="2" s="1"/>
  <c r="D783" i="2" s="1"/>
  <c r="D784" i="2" s="1"/>
  <c r="D785" i="2" s="1"/>
  <c r="D786" i="2" s="1"/>
  <c r="D787" i="2" s="1"/>
  <c r="D788" i="2" s="1"/>
  <c r="D789" i="2" s="1"/>
  <c r="D790" i="2" s="1"/>
  <c r="D791" i="2" s="1"/>
  <c r="D792" i="2" s="1"/>
  <c r="D793" i="2" s="1"/>
  <c r="D794" i="2" s="1"/>
  <c r="D795" i="2" s="1"/>
  <c r="D796" i="2" s="1"/>
  <c r="D797" i="2" s="1"/>
  <c r="D798" i="2" s="1"/>
  <c r="D799" i="2" s="1"/>
  <c r="D800" i="2" s="1"/>
  <c r="D801" i="2" s="1"/>
  <c r="D802" i="2" s="1"/>
  <c r="D803" i="2" s="1"/>
  <c r="D804" i="2" s="1"/>
  <c r="D805" i="2" s="1"/>
  <c r="D806" i="2" s="1"/>
  <c r="D807" i="2" s="1"/>
  <c r="D808" i="2" s="1"/>
  <c r="D809" i="2" s="1"/>
  <c r="D810" i="2" s="1"/>
  <c r="D811" i="2" s="1"/>
  <c r="D812" i="2" s="1"/>
  <c r="D813" i="2" s="1"/>
  <c r="D814" i="2" s="1"/>
  <c r="D815" i="2" s="1"/>
  <c r="D816" i="2" s="1"/>
  <c r="D817" i="2" s="1"/>
  <c r="D818" i="2" s="1"/>
  <c r="D819" i="2" s="1"/>
  <c r="D820" i="2" s="1"/>
  <c r="D821" i="2" s="1"/>
  <c r="D822" i="2" s="1"/>
  <c r="D823" i="2" s="1"/>
  <c r="D824" i="2" s="1"/>
  <c r="D825" i="2" s="1"/>
  <c r="D826" i="2" s="1"/>
  <c r="D827" i="2" s="1"/>
  <c r="D828" i="2" s="1"/>
  <c r="D829" i="2" s="1"/>
  <c r="D830" i="2" s="1"/>
  <c r="D831" i="2" s="1"/>
  <c r="D832" i="2" s="1"/>
  <c r="D833" i="2" s="1"/>
  <c r="D834" i="2" s="1"/>
  <c r="D835" i="2" s="1"/>
  <c r="D836" i="2" s="1"/>
  <c r="D837" i="2" s="1"/>
  <c r="D838" i="2" s="1"/>
  <c r="D839" i="2" s="1"/>
  <c r="D840" i="2" s="1"/>
  <c r="D841" i="2" s="1"/>
  <c r="D842" i="2" s="1"/>
  <c r="D843" i="2" s="1"/>
  <c r="D844" i="2" s="1"/>
  <c r="D845" i="2" s="1"/>
  <c r="D846" i="2" s="1"/>
  <c r="D847" i="2" s="1"/>
  <c r="D848" i="2" s="1"/>
  <c r="D849" i="2" s="1"/>
  <c r="D850" i="2" s="1"/>
  <c r="D851" i="2" s="1"/>
  <c r="D852" i="2" s="1"/>
  <c r="D853" i="2" s="1"/>
  <c r="D854" i="2" s="1"/>
  <c r="D855" i="2" s="1"/>
  <c r="D856" i="2" s="1"/>
  <c r="D857" i="2" s="1"/>
  <c r="D858" i="2" s="1"/>
  <c r="D859" i="2" s="1"/>
  <c r="D860" i="2" s="1"/>
  <c r="D861" i="2" s="1"/>
  <c r="D862" i="2" s="1"/>
  <c r="D863" i="2" s="1"/>
  <c r="D864" i="2" s="1"/>
  <c r="D865" i="2" s="1"/>
  <c r="D866" i="2" s="1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D877" i="2" s="1"/>
  <c r="D878" i="2" s="1"/>
  <c r="D879" i="2" s="1"/>
  <c r="D880" i="2" s="1"/>
  <c r="D881" i="2" s="1"/>
  <c r="D882" i="2" s="1"/>
  <c r="D883" i="2" s="1"/>
  <c r="D884" i="2" s="1"/>
  <c r="D885" i="2" s="1"/>
  <c r="D886" i="2" s="1"/>
  <c r="D887" i="2" s="1"/>
  <c r="D888" i="2" s="1"/>
  <c r="D889" i="2" s="1"/>
  <c r="D890" i="2" s="1"/>
  <c r="D891" i="2" s="1"/>
  <c r="D892" i="2" s="1"/>
  <c r="D893" i="2" s="1"/>
  <c r="D894" i="2" s="1"/>
  <c r="D895" i="2" s="1"/>
  <c r="D896" i="2" s="1"/>
  <c r="D897" i="2" s="1"/>
  <c r="D898" i="2" s="1"/>
  <c r="D899" i="2" s="1"/>
  <c r="D900" i="2" s="1"/>
  <c r="D901" i="2" s="1"/>
  <c r="D902" i="2" s="1"/>
  <c r="D903" i="2" s="1"/>
  <c r="D904" i="2" s="1"/>
  <c r="D905" i="2" s="1"/>
  <c r="D906" i="2" s="1"/>
  <c r="D907" i="2" s="1"/>
  <c r="D908" i="2" s="1"/>
  <c r="D909" i="2" s="1"/>
  <c r="D910" i="2" s="1"/>
  <c r="D911" i="2" s="1"/>
  <c r="D912" i="2" s="1"/>
  <c r="D913" i="2" s="1"/>
  <c r="D914" i="2" s="1"/>
  <c r="D915" i="2" s="1"/>
  <c r="D916" i="2" s="1"/>
  <c r="D917" i="2" s="1"/>
  <c r="D918" i="2" s="1"/>
  <c r="D919" i="2" s="1"/>
  <c r="D920" i="2" s="1"/>
  <c r="D921" i="2" s="1"/>
  <c r="D922" i="2" s="1"/>
  <c r="D923" i="2" s="1"/>
  <c r="D924" i="2" s="1"/>
  <c r="D925" i="2" s="1"/>
  <c r="D926" i="2" s="1"/>
  <c r="D927" i="2" s="1"/>
  <c r="D928" i="2" s="1"/>
  <c r="D929" i="2" s="1"/>
  <c r="D930" i="2" s="1"/>
  <c r="D931" i="2" s="1"/>
  <c r="D932" i="2" s="1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D944" i="2" s="1"/>
  <c r="D945" i="2" s="1"/>
  <c r="D946" i="2" s="1"/>
  <c r="D947" i="2" s="1"/>
  <c r="D948" i="2" s="1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D961" i="2" s="1"/>
  <c r="D962" i="2" s="1"/>
  <c r="D963" i="2" s="1"/>
  <c r="D964" i="2" s="1"/>
  <c r="D965" i="2" s="1"/>
  <c r="D966" i="2" s="1"/>
  <c r="D967" i="2" s="1"/>
  <c r="D968" i="2" s="1"/>
  <c r="D969" i="2" s="1"/>
  <c r="D970" i="2" s="1"/>
  <c r="D971" i="2" s="1"/>
  <c r="D972" i="2" s="1"/>
  <c r="D973" i="2" s="1"/>
  <c r="D974" i="2" s="1"/>
  <c r="D975" i="2" s="1"/>
  <c r="D976" i="2" s="1"/>
  <c r="D977" i="2" s="1"/>
  <c r="D978" i="2" s="1"/>
  <c r="D979" i="2" s="1"/>
  <c r="D980" i="2" s="1"/>
  <c r="D981" i="2" s="1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D992" i="2" s="1"/>
  <c r="D993" i="2" s="1"/>
  <c r="D994" i="2" s="1"/>
  <c r="D995" i="2" s="1"/>
  <c r="D996" i="2" s="1"/>
  <c r="D997" i="2" s="1"/>
  <c r="D998" i="2" s="1"/>
  <c r="D999" i="2" s="1"/>
  <c r="D1000" i="2" s="1"/>
  <c r="D1001" i="2" s="1"/>
  <c r="D1002" i="2" s="1"/>
  <c r="F517" i="2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F529" i="2" s="1"/>
  <c r="F530" i="2" s="1"/>
  <c r="F531" i="2" s="1"/>
  <c r="F532" i="2" s="1"/>
  <c r="F533" i="2" s="1"/>
  <c r="F534" i="2" s="1"/>
  <c r="F535" i="2" s="1"/>
  <c r="F536" i="2" s="1"/>
  <c r="F537" i="2" s="1"/>
  <c r="F538" i="2" s="1"/>
  <c r="F539" i="2" s="1"/>
  <c r="F540" i="2" s="1"/>
  <c r="F541" i="2" s="1"/>
  <c r="F542" i="2" s="1"/>
  <c r="F543" i="2" s="1"/>
  <c r="F544" i="2" s="1"/>
  <c r="F545" i="2" s="1"/>
  <c r="F546" i="2" s="1"/>
  <c r="F547" i="2" s="1"/>
  <c r="F548" i="2" s="1"/>
  <c r="F549" i="2" s="1"/>
  <c r="F550" i="2" s="1"/>
  <c r="F551" i="2" s="1"/>
  <c r="F552" i="2" s="1"/>
  <c r="F553" i="2" s="1"/>
  <c r="F554" i="2" s="1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F568" i="2" s="1"/>
  <c r="F569" i="2" s="1"/>
  <c r="F570" i="2" s="1"/>
  <c r="F571" i="2" s="1"/>
  <c r="F572" i="2" s="1"/>
  <c r="F573" i="2" s="1"/>
  <c r="F574" i="2" s="1"/>
  <c r="F575" i="2" s="1"/>
  <c r="F576" i="2" s="1"/>
  <c r="F577" i="2" s="1"/>
  <c r="F578" i="2" s="1"/>
  <c r="F579" i="2" s="1"/>
  <c r="F580" i="2" s="1"/>
  <c r="F581" i="2" s="1"/>
  <c r="F582" i="2" s="1"/>
  <c r="F583" i="2" s="1"/>
  <c r="F584" i="2" s="1"/>
  <c r="F585" i="2" s="1"/>
  <c r="F586" i="2" s="1"/>
  <c r="F587" i="2" s="1"/>
  <c r="F588" i="2" s="1"/>
  <c r="F589" i="2" s="1"/>
  <c r="F590" i="2" s="1"/>
  <c r="F591" i="2" s="1"/>
  <c r="F592" i="2" s="1"/>
  <c r="F593" i="2" s="1"/>
  <c r="F594" i="2" s="1"/>
  <c r="F595" i="2" s="1"/>
  <c r="F596" i="2" s="1"/>
  <c r="F597" i="2" s="1"/>
  <c r="F598" i="2" s="1"/>
  <c r="F599" i="2" s="1"/>
  <c r="F600" i="2" s="1"/>
  <c r="F601" i="2" s="1"/>
  <c r="F602" i="2" s="1"/>
  <c r="F603" i="2" s="1"/>
  <c r="F604" i="2" s="1"/>
  <c r="F605" i="2" s="1"/>
  <c r="F606" i="2" s="1"/>
  <c r="F607" i="2" s="1"/>
  <c r="F608" i="2" s="1"/>
  <c r="F609" i="2" s="1"/>
  <c r="F610" i="2" s="1"/>
  <c r="F611" i="2" s="1"/>
  <c r="F612" i="2" s="1"/>
  <c r="F613" i="2" s="1"/>
  <c r="F614" i="2" s="1"/>
  <c r="F615" i="2" s="1"/>
  <c r="F616" i="2" s="1"/>
  <c r="F617" i="2" s="1"/>
  <c r="F618" i="2" s="1"/>
  <c r="F619" i="2" s="1"/>
  <c r="F620" i="2" s="1"/>
  <c r="F621" i="2" s="1"/>
  <c r="F622" i="2" s="1"/>
  <c r="F623" i="2" s="1"/>
  <c r="F624" i="2" s="1"/>
  <c r="F625" i="2" s="1"/>
  <c r="F626" i="2" s="1"/>
  <c r="F627" i="2" s="1"/>
  <c r="F628" i="2" s="1"/>
  <c r="F629" i="2" s="1"/>
  <c r="F630" i="2" s="1"/>
  <c r="F631" i="2" s="1"/>
  <c r="F632" i="2" s="1"/>
  <c r="F633" i="2" s="1"/>
  <c r="F634" i="2" s="1"/>
  <c r="F635" i="2" s="1"/>
  <c r="F636" i="2" s="1"/>
  <c r="F637" i="2" s="1"/>
  <c r="F638" i="2" s="1"/>
  <c r="F639" i="2" s="1"/>
  <c r="F640" i="2" s="1"/>
  <c r="F641" i="2" s="1"/>
  <c r="F642" i="2" s="1"/>
  <c r="F643" i="2" s="1"/>
  <c r="F644" i="2" s="1"/>
  <c r="F645" i="2" s="1"/>
  <c r="F646" i="2" s="1"/>
  <c r="F647" i="2" s="1"/>
  <c r="F648" i="2" s="1"/>
  <c r="F649" i="2" s="1"/>
  <c r="F650" i="2" s="1"/>
  <c r="F651" i="2" s="1"/>
  <c r="F652" i="2" s="1"/>
  <c r="F653" i="2" s="1"/>
  <c r="F654" i="2" s="1"/>
  <c r="F655" i="2" s="1"/>
  <c r="F656" i="2" s="1"/>
  <c r="F657" i="2" s="1"/>
  <c r="F658" i="2" s="1"/>
  <c r="F659" i="2" s="1"/>
  <c r="F660" i="2" s="1"/>
  <c r="F661" i="2" s="1"/>
  <c r="F662" i="2" s="1"/>
  <c r="F663" i="2" s="1"/>
  <c r="F664" i="2" s="1"/>
  <c r="F665" i="2" s="1"/>
  <c r="F666" i="2" s="1"/>
  <c r="F667" i="2" s="1"/>
  <c r="F668" i="2" s="1"/>
  <c r="F669" i="2" s="1"/>
  <c r="F670" i="2" s="1"/>
  <c r="F671" i="2" s="1"/>
  <c r="F672" i="2" s="1"/>
  <c r="F673" i="2" s="1"/>
  <c r="F674" i="2" s="1"/>
  <c r="F675" i="2" s="1"/>
  <c r="F676" i="2" s="1"/>
  <c r="F677" i="2" s="1"/>
  <c r="F678" i="2" s="1"/>
  <c r="F679" i="2" s="1"/>
  <c r="F680" i="2" s="1"/>
  <c r="F681" i="2" s="1"/>
  <c r="F682" i="2" s="1"/>
  <c r="F683" i="2" s="1"/>
  <c r="F684" i="2" s="1"/>
  <c r="F685" i="2" s="1"/>
  <c r="F686" i="2" s="1"/>
  <c r="F687" i="2" s="1"/>
  <c r="F688" i="2" s="1"/>
  <c r="F689" i="2" s="1"/>
  <c r="F690" i="2" s="1"/>
  <c r="F691" i="2" s="1"/>
  <c r="F692" i="2" s="1"/>
  <c r="F693" i="2" s="1"/>
  <c r="F694" i="2" s="1"/>
  <c r="F695" i="2" s="1"/>
  <c r="F696" i="2" s="1"/>
  <c r="F697" i="2" s="1"/>
  <c r="F698" i="2" s="1"/>
  <c r="F699" i="2" s="1"/>
  <c r="F700" i="2" s="1"/>
  <c r="F701" i="2" s="1"/>
  <c r="F702" i="2" s="1"/>
  <c r="F703" i="2" s="1"/>
  <c r="F704" i="2" s="1"/>
  <c r="F705" i="2" s="1"/>
  <c r="F706" i="2" s="1"/>
  <c r="F707" i="2" s="1"/>
  <c r="F708" i="2" s="1"/>
  <c r="F709" i="2" s="1"/>
  <c r="F710" i="2" s="1"/>
  <c r="F711" i="2" s="1"/>
  <c r="F712" i="2" s="1"/>
  <c r="F713" i="2" s="1"/>
  <c r="F714" i="2" s="1"/>
  <c r="F715" i="2" s="1"/>
  <c r="F716" i="2" s="1"/>
  <c r="F717" i="2" s="1"/>
  <c r="F718" i="2" s="1"/>
  <c r="F719" i="2" s="1"/>
  <c r="F720" i="2" s="1"/>
  <c r="F721" i="2" s="1"/>
  <c r="F722" i="2" s="1"/>
  <c r="F723" i="2" s="1"/>
  <c r="F724" i="2" s="1"/>
  <c r="F725" i="2" s="1"/>
  <c r="F726" i="2" s="1"/>
  <c r="F727" i="2" s="1"/>
  <c r="F728" i="2" s="1"/>
  <c r="F729" i="2" s="1"/>
  <c r="F730" i="2" s="1"/>
  <c r="F731" i="2" s="1"/>
  <c r="F732" i="2" s="1"/>
  <c r="F733" i="2" s="1"/>
  <c r="F734" i="2" s="1"/>
  <c r="F735" i="2" s="1"/>
  <c r="F736" i="2" s="1"/>
  <c r="F737" i="2" s="1"/>
  <c r="F738" i="2" s="1"/>
  <c r="F739" i="2" s="1"/>
  <c r="F740" i="2" s="1"/>
  <c r="F741" i="2" s="1"/>
  <c r="F742" i="2" s="1"/>
  <c r="F743" i="2" s="1"/>
  <c r="F744" i="2" s="1"/>
  <c r="F745" i="2" s="1"/>
  <c r="F746" i="2" s="1"/>
  <c r="F747" i="2" s="1"/>
  <c r="F748" i="2" s="1"/>
  <c r="F749" i="2" s="1"/>
  <c r="F750" i="2" s="1"/>
  <c r="F751" i="2" s="1"/>
  <c r="F752" i="2" s="1"/>
  <c r="F753" i="2" s="1"/>
  <c r="F754" i="2" s="1"/>
  <c r="F755" i="2" s="1"/>
  <c r="F756" i="2" s="1"/>
  <c r="F757" i="2" s="1"/>
  <c r="F758" i="2" s="1"/>
  <c r="F759" i="2" s="1"/>
  <c r="F760" i="2" s="1"/>
  <c r="F761" i="2" s="1"/>
  <c r="F762" i="2" s="1"/>
  <c r="F763" i="2" s="1"/>
  <c r="F764" i="2" s="1"/>
  <c r="F765" i="2" s="1"/>
  <c r="F766" i="2" s="1"/>
  <c r="F767" i="2" s="1"/>
  <c r="F768" i="2" s="1"/>
  <c r="F769" i="2" s="1"/>
  <c r="F770" i="2" s="1"/>
  <c r="F771" i="2" s="1"/>
  <c r="F772" i="2" s="1"/>
  <c r="F773" i="2" s="1"/>
  <c r="F774" i="2" s="1"/>
  <c r="F775" i="2" s="1"/>
  <c r="F776" i="2" s="1"/>
  <c r="F777" i="2" s="1"/>
  <c r="F778" i="2" s="1"/>
  <c r="F779" i="2" s="1"/>
  <c r="F780" i="2" s="1"/>
  <c r="F781" i="2" s="1"/>
  <c r="F782" i="2" s="1"/>
  <c r="F783" i="2" s="1"/>
  <c r="F784" i="2" s="1"/>
  <c r="F785" i="2" s="1"/>
  <c r="F786" i="2" s="1"/>
  <c r="F787" i="2" s="1"/>
  <c r="F788" i="2" s="1"/>
  <c r="F789" i="2" s="1"/>
  <c r="F790" i="2" s="1"/>
  <c r="F791" i="2" s="1"/>
  <c r="F792" i="2" s="1"/>
  <c r="F793" i="2" s="1"/>
  <c r="F794" i="2" s="1"/>
  <c r="F795" i="2" s="1"/>
  <c r="F796" i="2" s="1"/>
  <c r="F797" i="2" s="1"/>
  <c r="F798" i="2" s="1"/>
  <c r="F799" i="2" s="1"/>
  <c r="F800" i="2" s="1"/>
  <c r="F801" i="2" s="1"/>
  <c r="F802" i="2" s="1"/>
  <c r="F803" i="2" s="1"/>
  <c r="F804" i="2" s="1"/>
  <c r="F805" i="2" s="1"/>
  <c r="F806" i="2" s="1"/>
  <c r="F807" i="2" s="1"/>
  <c r="F808" i="2" s="1"/>
  <c r="F809" i="2" s="1"/>
  <c r="F810" i="2" s="1"/>
  <c r="F811" i="2" s="1"/>
  <c r="F812" i="2" s="1"/>
  <c r="F813" i="2" s="1"/>
  <c r="F814" i="2" s="1"/>
  <c r="F815" i="2" s="1"/>
  <c r="F816" i="2" s="1"/>
  <c r="F817" i="2" s="1"/>
  <c r="F818" i="2" s="1"/>
  <c r="F819" i="2" s="1"/>
  <c r="F820" i="2" s="1"/>
  <c r="F821" i="2" s="1"/>
  <c r="F822" i="2" s="1"/>
  <c r="F823" i="2" s="1"/>
  <c r="F824" i="2" s="1"/>
  <c r="F825" i="2" s="1"/>
  <c r="F826" i="2" s="1"/>
  <c r="F827" i="2" s="1"/>
  <c r="F828" i="2" s="1"/>
  <c r="F829" i="2" s="1"/>
  <c r="F830" i="2" s="1"/>
  <c r="F831" i="2" s="1"/>
  <c r="F832" i="2" s="1"/>
  <c r="F833" i="2" s="1"/>
  <c r="F834" i="2" s="1"/>
  <c r="F835" i="2" s="1"/>
  <c r="F836" i="2" s="1"/>
  <c r="F837" i="2" s="1"/>
  <c r="F838" i="2" s="1"/>
  <c r="F839" i="2" s="1"/>
  <c r="F840" i="2" s="1"/>
  <c r="F841" i="2" s="1"/>
  <c r="F842" i="2" s="1"/>
  <c r="F843" i="2" s="1"/>
  <c r="F844" i="2" s="1"/>
  <c r="F845" i="2" s="1"/>
  <c r="F846" i="2" s="1"/>
  <c r="F847" i="2" s="1"/>
  <c r="F848" i="2" s="1"/>
  <c r="F849" i="2" s="1"/>
  <c r="F850" i="2" s="1"/>
  <c r="F851" i="2" s="1"/>
  <c r="F852" i="2" s="1"/>
  <c r="F853" i="2" s="1"/>
  <c r="F854" i="2" s="1"/>
  <c r="F855" i="2" s="1"/>
  <c r="F856" i="2" s="1"/>
  <c r="F857" i="2" s="1"/>
  <c r="F858" i="2" s="1"/>
  <c r="F859" i="2" s="1"/>
  <c r="F860" i="2" s="1"/>
  <c r="F861" i="2" s="1"/>
  <c r="F862" i="2" s="1"/>
  <c r="F863" i="2" s="1"/>
  <c r="F864" i="2" s="1"/>
  <c r="F865" i="2" s="1"/>
  <c r="F866" i="2" s="1"/>
  <c r="F867" i="2" s="1"/>
  <c r="F868" i="2" s="1"/>
  <c r="F869" i="2" s="1"/>
  <c r="F870" i="2" s="1"/>
  <c r="F871" i="2" s="1"/>
  <c r="F872" i="2" s="1"/>
  <c r="F873" i="2" s="1"/>
  <c r="F874" i="2" s="1"/>
  <c r="F875" i="2" s="1"/>
  <c r="F876" i="2" s="1"/>
  <c r="F877" i="2" s="1"/>
  <c r="F878" i="2" s="1"/>
  <c r="F879" i="2" s="1"/>
  <c r="F880" i="2" s="1"/>
  <c r="F881" i="2" s="1"/>
  <c r="F882" i="2" s="1"/>
  <c r="F883" i="2" s="1"/>
  <c r="F884" i="2" s="1"/>
  <c r="F885" i="2" s="1"/>
  <c r="F886" i="2" s="1"/>
  <c r="F887" i="2" s="1"/>
  <c r="F888" i="2" s="1"/>
  <c r="F889" i="2" s="1"/>
  <c r="F890" i="2" s="1"/>
  <c r="F891" i="2" s="1"/>
  <c r="F892" i="2" s="1"/>
  <c r="F893" i="2" s="1"/>
  <c r="F894" i="2" s="1"/>
  <c r="F895" i="2" s="1"/>
  <c r="F896" i="2" s="1"/>
  <c r="F897" i="2" s="1"/>
  <c r="F898" i="2" s="1"/>
  <c r="F899" i="2" s="1"/>
  <c r="F900" i="2" s="1"/>
  <c r="F901" i="2" s="1"/>
  <c r="F902" i="2" s="1"/>
  <c r="F903" i="2" s="1"/>
  <c r="F904" i="2" s="1"/>
  <c r="F905" i="2" s="1"/>
  <c r="F906" i="2" s="1"/>
  <c r="F907" i="2" s="1"/>
  <c r="F908" i="2" s="1"/>
  <c r="F909" i="2" s="1"/>
  <c r="F910" i="2" s="1"/>
  <c r="F911" i="2" s="1"/>
  <c r="F912" i="2" s="1"/>
  <c r="F913" i="2" s="1"/>
  <c r="F914" i="2" s="1"/>
  <c r="F915" i="2" s="1"/>
  <c r="F916" i="2" s="1"/>
  <c r="F917" i="2" s="1"/>
  <c r="F918" i="2" s="1"/>
  <c r="F919" i="2" s="1"/>
  <c r="F920" i="2" s="1"/>
  <c r="F921" i="2" s="1"/>
  <c r="F922" i="2" s="1"/>
  <c r="F923" i="2" s="1"/>
  <c r="F924" i="2" s="1"/>
  <c r="F925" i="2" s="1"/>
  <c r="F926" i="2" s="1"/>
  <c r="F927" i="2" s="1"/>
  <c r="F928" i="2" s="1"/>
  <c r="F929" i="2" s="1"/>
  <c r="F930" i="2" s="1"/>
  <c r="F931" i="2" s="1"/>
  <c r="F932" i="2" s="1"/>
  <c r="F933" i="2" s="1"/>
  <c r="F934" i="2" s="1"/>
  <c r="F935" i="2" s="1"/>
  <c r="F936" i="2" s="1"/>
  <c r="F937" i="2" s="1"/>
  <c r="F938" i="2" s="1"/>
  <c r="F939" i="2" s="1"/>
  <c r="F940" i="2" s="1"/>
  <c r="F941" i="2" s="1"/>
  <c r="F942" i="2" s="1"/>
  <c r="F943" i="2" s="1"/>
  <c r="F944" i="2" s="1"/>
  <c r="F945" i="2" s="1"/>
  <c r="F946" i="2" s="1"/>
  <c r="F947" i="2" s="1"/>
  <c r="F948" i="2" s="1"/>
  <c r="F949" i="2" s="1"/>
  <c r="F950" i="2" s="1"/>
  <c r="F951" i="2" s="1"/>
  <c r="F952" i="2" s="1"/>
  <c r="F953" i="2" s="1"/>
  <c r="F954" i="2" s="1"/>
  <c r="F955" i="2" s="1"/>
  <c r="F956" i="2" s="1"/>
  <c r="F957" i="2" s="1"/>
  <c r="F958" i="2" s="1"/>
  <c r="F959" i="2" s="1"/>
  <c r="F960" i="2" s="1"/>
  <c r="F961" i="2" s="1"/>
  <c r="F962" i="2" s="1"/>
  <c r="F963" i="2" s="1"/>
  <c r="F964" i="2" s="1"/>
  <c r="F965" i="2" s="1"/>
  <c r="F966" i="2" s="1"/>
  <c r="F967" i="2" s="1"/>
  <c r="F968" i="2" s="1"/>
  <c r="F969" i="2" s="1"/>
  <c r="F970" i="2" s="1"/>
  <c r="F971" i="2" s="1"/>
  <c r="F972" i="2" s="1"/>
  <c r="F973" i="2" s="1"/>
  <c r="F974" i="2" s="1"/>
  <c r="F975" i="2" s="1"/>
  <c r="F976" i="2" s="1"/>
  <c r="F977" i="2" s="1"/>
  <c r="F978" i="2" s="1"/>
  <c r="F979" i="2" s="1"/>
  <c r="F980" i="2" s="1"/>
  <c r="F981" i="2" s="1"/>
  <c r="F982" i="2" s="1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F994" i="2" s="1"/>
  <c r="F995" i="2" s="1"/>
  <c r="F996" i="2" s="1"/>
  <c r="F997" i="2" s="1"/>
  <c r="F998" i="2" s="1"/>
  <c r="F999" i="2" s="1"/>
  <c r="F1000" i="2" s="1"/>
  <c r="F1001" i="2" s="1"/>
  <c r="F1002" i="2" s="1"/>
  <c r="F502" i="2"/>
  <c r="F503" i="2"/>
  <c r="F504" i="2"/>
  <c r="F505" i="2"/>
  <c r="D502" i="2"/>
  <c r="D503" i="2"/>
  <c r="D504" i="2" s="1"/>
  <c r="D505" i="2" s="1"/>
  <c r="I25" i="2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24" i="2"/>
  <c r="H25" i="2"/>
  <c r="H26" i="2"/>
  <c r="H27" i="2"/>
  <c r="H28" i="2"/>
  <c r="H29" i="2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24" i="2"/>
  <c r="I23" i="2"/>
  <c r="H23" i="2"/>
  <c r="C502" i="2"/>
  <c r="J502" i="2"/>
  <c r="P502" i="2"/>
  <c r="Q502" i="2"/>
  <c r="P503" i="2"/>
  <c r="Q503" i="2"/>
  <c r="Q504" i="2" s="1"/>
  <c r="Q505" i="2" s="1"/>
  <c r="P504" i="2"/>
  <c r="B504" i="2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/>
  <c r="B518" i="2"/>
  <c r="B519" i="2"/>
  <c r="B520" i="2"/>
  <c r="B521" i="2"/>
  <c r="B522" i="2"/>
  <c r="B523" i="2"/>
  <c r="B524" i="2"/>
  <c r="B525" i="2"/>
  <c r="B526" i="2"/>
  <c r="B527" i="2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503" i="2"/>
  <c r="B502" i="2"/>
  <c r="A1001" i="2"/>
  <c r="A1002" i="2" s="1"/>
  <c r="A503" i="2"/>
  <c r="A504" i="2"/>
  <c r="A505" i="2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K83" i="2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G103" i="2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E103" i="2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C103" i="2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K3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I3" i="2"/>
  <c r="F104" i="2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103" i="2"/>
  <c r="B104" i="2"/>
  <c r="B105" i="2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103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G3" i="2"/>
  <c r="E3" i="2"/>
  <c r="C3" i="2"/>
  <c r="Q3" i="2"/>
  <c r="P505" i="2" l="1"/>
  <c r="P102" i="2"/>
  <c r="P3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B4" i="2"/>
  <c r="A4" i="2"/>
  <c r="P506" i="2" l="1"/>
  <c r="Q506" i="2"/>
  <c r="I4" i="2"/>
  <c r="K4" i="2"/>
  <c r="C4" i="2"/>
  <c r="E4" i="2"/>
  <c r="G4" i="2"/>
  <c r="P103" i="2"/>
  <c r="A5" i="2"/>
  <c r="B5" i="2"/>
  <c r="A6" i="2"/>
  <c r="Q507" i="2" l="1"/>
  <c r="P507" i="2"/>
  <c r="G6" i="2"/>
  <c r="I6" i="2"/>
  <c r="K6" i="2"/>
  <c r="C6" i="2"/>
  <c r="E6" i="2"/>
  <c r="I5" i="2"/>
  <c r="K5" i="2"/>
  <c r="C5" i="2"/>
  <c r="G5" i="2"/>
  <c r="E5" i="2"/>
  <c r="P104" i="2"/>
  <c r="B6" i="2"/>
  <c r="Q4" i="2"/>
  <c r="P4" i="2"/>
  <c r="P5" i="2"/>
  <c r="A7" i="2"/>
  <c r="P508" i="2" l="1"/>
  <c r="Q508" i="2"/>
  <c r="Q509" i="2" s="1"/>
  <c r="E7" i="2"/>
  <c r="G7" i="2"/>
  <c r="I7" i="2"/>
  <c r="K7" i="2"/>
  <c r="C7" i="2"/>
  <c r="P105" i="2"/>
  <c r="Q5" i="2"/>
  <c r="Q6" i="2" s="1"/>
  <c r="B7" i="2"/>
  <c r="P6" i="2"/>
  <c r="A8" i="2"/>
  <c r="P509" i="2" l="1"/>
  <c r="E8" i="2"/>
  <c r="I8" i="2"/>
  <c r="K8" i="2"/>
  <c r="C8" i="2"/>
  <c r="G8" i="2"/>
  <c r="P106" i="2"/>
  <c r="Q7" i="2"/>
  <c r="Q8" i="2" s="1"/>
  <c r="B8" i="2"/>
  <c r="P7" i="2"/>
  <c r="A9" i="2"/>
  <c r="P510" i="2" l="1"/>
  <c r="Q510" i="2"/>
  <c r="Q511" i="2" s="1"/>
  <c r="G9" i="2"/>
  <c r="I9" i="2"/>
  <c r="E9" i="2"/>
  <c r="K9" i="2"/>
  <c r="C9" i="2"/>
  <c r="P107" i="2"/>
  <c r="Q9" i="2"/>
  <c r="B9" i="2"/>
  <c r="P8" i="2"/>
  <c r="A10" i="2"/>
  <c r="P511" i="2" l="1"/>
  <c r="K10" i="2"/>
  <c r="C10" i="2"/>
  <c r="G10" i="2"/>
  <c r="E10" i="2"/>
  <c r="I10" i="2"/>
  <c r="P108" i="2"/>
  <c r="Q10" i="2"/>
  <c r="B10" i="2"/>
  <c r="P9" i="2"/>
  <c r="A11" i="2"/>
  <c r="P512" i="2" l="1"/>
  <c r="Q512" i="2"/>
  <c r="Q513" i="2" s="1"/>
  <c r="K11" i="2"/>
  <c r="C11" i="2"/>
  <c r="G11" i="2"/>
  <c r="I11" i="2"/>
  <c r="E11" i="2"/>
  <c r="P109" i="2"/>
  <c r="B11" i="2"/>
  <c r="Q11" i="2"/>
  <c r="P10" i="2"/>
  <c r="A12" i="2"/>
  <c r="P513" i="2" l="1"/>
  <c r="E12" i="2"/>
  <c r="G12" i="2"/>
  <c r="I12" i="2"/>
  <c r="K12" i="2"/>
  <c r="C12" i="2"/>
  <c r="P110" i="2"/>
  <c r="Q12" i="2"/>
  <c r="B12" i="2"/>
  <c r="P11" i="2"/>
  <c r="A13" i="2"/>
  <c r="P514" i="2" l="1"/>
  <c r="Q514" i="2"/>
  <c r="Q515" i="2" s="1"/>
  <c r="K13" i="2"/>
  <c r="C13" i="2"/>
  <c r="E13" i="2"/>
  <c r="G13" i="2"/>
  <c r="I13" i="2"/>
  <c r="P111" i="2"/>
  <c r="Q13" i="2"/>
  <c r="B13" i="2"/>
  <c r="P12" i="2"/>
  <c r="A14" i="2"/>
  <c r="P515" i="2" l="1"/>
  <c r="K14" i="2"/>
  <c r="E14" i="2"/>
  <c r="G14" i="2"/>
  <c r="I14" i="2"/>
  <c r="C14" i="2"/>
  <c r="P112" i="2"/>
  <c r="Q14" i="2"/>
  <c r="B14" i="2"/>
  <c r="P13" i="2"/>
  <c r="A15" i="2"/>
  <c r="P516" i="2" l="1"/>
  <c r="Q516" i="2"/>
  <c r="Q517" i="2" s="1"/>
  <c r="K15" i="2"/>
  <c r="C15" i="2"/>
  <c r="E15" i="2"/>
  <c r="G15" i="2"/>
  <c r="I15" i="2"/>
  <c r="P113" i="2"/>
  <c r="Q15" i="2"/>
  <c r="B15" i="2"/>
  <c r="P14" i="2"/>
  <c r="A16" i="2"/>
  <c r="P517" i="2" l="1"/>
  <c r="K16" i="2"/>
  <c r="C16" i="2"/>
  <c r="G16" i="2"/>
  <c r="E16" i="2"/>
  <c r="I16" i="2"/>
  <c r="P114" i="2"/>
  <c r="Q16" i="2"/>
  <c r="B16" i="2"/>
  <c r="P15" i="2"/>
  <c r="A17" i="2"/>
  <c r="P518" i="2" l="1"/>
  <c r="Q518" i="2"/>
  <c r="Q519" i="2" s="1"/>
  <c r="K17" i="2"/>
  <c r="C17" i="2"/>
  <c r="G17" i="2"/>
  <c r="E17" i="2"/>
  <c r="I17" i="2"/>
  <c r="P115" i="2"/>
  <c r="Q17" i="2"/>
  <c r="B17" i="2"/>
  <c r="P16" i="2"/>
  <c r="A18" i="2"/>
  <c r="P519" i="2" l="1"/>
  <c r="E18" i="2"/>
  <c r="K18" i="2"/>
  <c r="C18" i="2"/>
  <c r="G18" i="2"/>
  <c r="I18" i="2"/>
  <c r="P116" i="2"/>
  <c r="Q18" i="2"/>
  <c r="B18" i="2"/>
  <c r="P17" i="2"/>
  <c r="A19" i="2"/>
  <c r="P520" i="2" l="1"/>
  <c r="Q520" i="2"/>
  <c r="Q521" i="2" s="1"/>
  <c r="K19" i="2"/>
  <c r="C19" i="2"/>
  <c r="E19" i="2"/>
  <c r="G19" i="2"/>
  <c r="I19" i="2"/>
  <c r="P117" i="2"/>
  <c r="B19" i="2"/>
  <c r="Q19" i="2"/>
  <c r="P18" i="2"/>
  <c r="A20" i="2"/>
  <c r="P521" i="2" l="1"/>
  <c r="K20" i="2"/>
  <c r="C20" i="2"/>
  <c r="E20" i="2"/>
  <c r="G20" i="2"/>
  <c r="I20" i="2"/>
  <c r="P118" i="2"/>
  <c r="Q20" i="2"/>
  <c r="B20" i="2"/>
  <c r="P19" i="2"/>
  <c r="A21" i="2"/>
  <c r="P522" i="2" l="1"/>
  <c r="Q522" i="2"/>
  <c r="Q523" i="2" s="1"/>
  <c r="I21" i="2"/>
  <c r="C21" i="2"/>
  <c r="K21" i="2"/>
  <c r="E21" i="2"/>
  <c r="G21" i="2"/>
  <c r="P119" i="2"/>
  <c r="Q21" i="2"/>
  <c r="B21" i="2"/>
  <c r="P20" i="2"/>
  <c r="A22" i="2"/>
  <c r="P523" i="2" l="1"/>
  <c r="I22" i="2"/>
  <c r="N5" i="2" s="1"/>
  <c r="K22" i="2"/>
  <c r="C22" i="2"/>
  <c r="E22" i="2"/>
  <c r="G22" i="2"/>
  <c r="P120" i="2"/>
  <c r="B22" i="2"/>
  <c r="Q22" i="2"/>
  <c r="P21" i="2"/>
  <c r="A23" i="2"/>
  <c r="P524" i="2" l="1"/>
  <c r="Q524" i="2"/>
  <c r="Q525" i="2" s="1"/>
  <c r="K23" i="2"/>
  <c r="C23" i="2"/>
  <c r="E23" i="2"/>
  <c r="G23" i="2"/>
  <c r="P121" i="2"/>
  <c r="Q23" i="2"/>
  <c r="B23" i="2"/>
  <c r="P22" i="2"/>
  <c r="A24" i="2"/>
  <c r="P525" i="2" l="1"/>
  <c r="K24" i="2"/>
  <c r="C24" i="2"/>
  <c r="E24" i="2"/>
  <c r="G24" i="2"/>
  <c r="P122" i="2"/>
  <c r="Q24" i="2"/>
  <c r="B24" i="2"/>
  <c r="P23" i="2"/>
  <c r="A25" i="2"/>
  <c r="P526" i="2" l="1"/>
  <c r="Q526" i="2"/>
  <c r="Q527" i="2" s="1"/>
  <c r="K25" i="2"/>
  <c r="C25" i="2"/>
  <c r="E25" i="2"/>
  <c r="G25" i="2"/>
  <c r="P123" i="2"/>
  <c r="Q25" i="2"/>
  <c r="B25" i="2"/>
  <c r="P24" i="2"/>
  <c r="A26" i="2"/>
  <c r="P527" i="2" l="1"/>
  <c r="K26" i="2"/>
  <c r="C26" i="2"/>
  <c r="E26" i="2"/>
  <c r="G26" i="2"/>
  <c r="P124" i="2"/>
  <c r="Q26" i="2"/>
  <c r="B26" i="2"/>
  <c r="P25" i="2"/>
  <c r="A27" i="2"/>
  <c r="P528" i="2" l="1"/>
  <c r="Q528" i="2"/>
  <c r="Q529" i="2" s="1"/>
  <c r="K27" i="2"/>
  <c r="C27" i="2"/>
  <c r="E27" i="2"/>
  <c r="G27" i="2"/>
  <c r="P125" i="2"/>
  <c r="Q27" i="2"/>
  <c r="B27" i="2"/>
  <c r="P26" i="2"/>
  <c r="A28" i="2"/>
  <c r="P529" i="2" l="1"/>
  <c r="K28" i="2"/>
  <c r="C28" i="2"/>
  <c r="E28" i="2"/>
  <c r="G28" i="2"/>
  <c r="P126" i="2"/>
  <c r="Q28" i="2"/>
  <c r="B28" i="2"/>
  <c r="P27" i="2"/>
  <c r="A29" i="2"/>
  <c r="P530" i="2" l="1"/>
  <c r="Q530" i="2"/>
  <c r="Q531" i="2" s="1"/>
  <c r="K29" i="2"/>
  <c r="C29" i="2"/>
  <c r="G29" i="2"/>
  <c r="E29" i="2"/>
  <c r="P127" i="2"/>
  <c r="Q29" i="2"/>
  <c r="B29" i="2"/>
  <c r="P28" i="2"/>
  <c r="A30" i="2"/>
  <c r="P531" i="2" l="1"/>
  <c r="G30" i="2"/>
  <c r="K30" i="2"/>
  <c r="C30" i="2"/>
  <c r="E30" i="2"/>
  <c r="P128" i="2"/>
  <c r="Q30" i="2"/>
  <c r="B30" i="2"/>
  <c r="P29" i="2"/>
  <c r="A31" i="2"/>
  <c r="P532" i="2" l="1"/>
  <c r="Q532" i="2"/>
  <c r="Q533" i="2" s="1"/>
  <c r="E31" i="2"/>
  <c r="G31" i="2"/>
  <c r="K31" i="2"/>
  <c r="C31" i="2"/>
  <c r="P129" i="2"/>
  <c r="Q31" i="2"/>
  <c r="B31" i="2"/>
  <c r="P30" i="2"/>
  <c r="A32" i="2"/>
  <c r="P533" i="2" l="1"/>
  <c r="Q534" i="2"/>
  <c r="E32" i="2"/>
  <c r="G32" i="2"/>
  <c r="K32" i="2"/>
  <c r="C32" i="2"/>
  <c r="P130" i="2"/>
  <c r="Q32" i="2"/>
  <c r="B32" i="2"/>
  <c r="P31" i="2"/>
  <c r="A33" i="2"/>
  <c r="P534" i="2" l="1"/>
  <c r="G33" i="2"/>
  <c r="K33" i="2"/>
  <c r="C33" i="2"/>
  <c r="E33" i="2"/>
  <c r="P131" i="2"/>
  <c r="Q33" i="2"/>
  <c r="B33" i="2"/>
  <c r="P32" i="2"/>
  <c r="A34" i="2"/>
  <c r="P535" i="2" l="1"/>
  <c r="Q535" i="2"/>
  <c r="Q536" i="2" s="1"/>
  <c r="K34" i="2"/>
  <c r="C34" i="2"/>
  <c r="E34" i="2"/>
  <c r="G34" i="2"/>
  <c r="P132" i="2"/>
  <c r="Q34" i="2"/>
  <c r="B34" i="2"/>
  <c r="P33" i="2"/>
  <c r="A35" i="2"/>
  <c r="P536" i="2" l="1"/>
  <c r="K35" i="2"/>
  <c r="C35" i="2"/>
  <c r="G35" i="2"/>
  <c r="E35" i="2"/>
  <c r="P133" i="2"/>
  <c r="Q35" i="2"/>
  <c r="B35" i="2"/>
  <c r="P34" i="2"/>
  <c r="A36" i="2"/>
  <c r="P537" i="2" l="1"/>
  <c r="Q537" i="2"/>
  <c r="Q538" i="2" s="1"/>
  <c r="C36" i="2"/>
  <c r="E36" i="2"/>
  <c r="G36" i="2"/>
  <c r="K36" i="2"/>
  <c r="P134" i="2"/>
  <c r="Q36" i="2"/>
  <c r="B36" i="2"/>
  <c r="P35" i="2"/>
  <c r="A37" i="2"/>
  <c r="P538" i="2" l="1"/>
  <c r="K37" i="2"/>
  <c r="C37" i="2"/>
  <c r="E37" i="2"/>
  <c r="G37" i="2"/>
  <c r="P135" i="2"/>
  <c r="B37" i="2"/>
  <c r="Q37" i="2"/>
  <c r="P36" i="2"/>
  <c r="A38" i="2"/>
  <c r="P539" i="2" l="1"/>
  <c r="Q539" i="2"/>
  <c r="Q540" i="2" s="1"/>
  <c r="K38" i="2"/>
  <c r="E38" i="2"/>
  <c r="G38" i="2"/>
  <c r="C38" i="2"/>
  <c r="P136" i="2"/>
  <c r="Q38" i="2"/>
  <c r="B38" i="2"/>
  <c r="P37" i="2"/>
  <c r="A39" i="2"/>
  <c r="P540" i="2" l="1"/>
  <c r="K39" i="2"/>
  <c r="C39" i="2"/>
  <c r="E39" i="2"/>
  <c r="G39" i="2"/>
  <c r="P137" i="2"/>
  <c r="Q39" i="2"/>
  <c r="B39" i="2"/>
  <c r="P38" i="2"/>
  <c r="A40" i="2"/>
  <c r="P541" i="2" l="1"/>
  <c r="Q541" i="2"/>
  <c r="Q542" i="2" s="1"/>
  <c r="K40" i="2"/>
  <c r="C40" i="2"/>
  <c r="E40" i="2"/>
  <c r="G40" i="2"/>
  <c r="P138" i="2"/>
  <c r="Q40" i="2"/>
  <c r="B40" i="2"/>
  <c r="P39" i="2"/>
  <c r="A41" i="2"/>
  <c r="P542" i="2" l="1"/>
  <c r="G41" i="2"/>
  <c r="K41" i="2"/>
  <c r="C41" i="2"/>
  <c r="E41" i="2"/>
  <c r="P139" i="2"/>
  <c r="Q41" i="2"/>
  <c r="B41" i="2"/>
  <c r="P40" i="2"/>
  <c r="A42" i="2"/>
  <c r="P543" i="2" l="1"/>
  <c r="Q543" i="2"/>
  <c r="Q544" i="2" s="1"/>
  <c r="E42" i="2"/>
  <c r="K42" i="2"/>
  <c r="C42" i="2"/>
  <c r="G42" i="2"/>
  <c r="P140" i="2"/>
  <c r="Q42" i="2"/>
  <c r="B42" i="2"/>
  <c r="P41" i="2"/>
  <c r="A43" i="2"/>
  <c r="P544" i="2" l="1"/>
  <c r="K43" i="2"/>
  <c r="C43" i="2"/>
  <c r="E43" i="2"/>
  <c r="G43" i="2"/>
  <c r="P141" i="2"/>
  <c r="Q43" i="2"/>
  <c r="B43" i="2"/>
  <c r="P42" i="2"/>
  <c r="A44" i="2"/>
  <c r="P545" i="2" l="1"/>
  <c r="Q545" i="2"/>
  <c r="Q546" i="2" s="1"/>
  <c r="K44" i="2"/>
  <c r="C44" i="2"/>
  <c r="E44" i="2"/>
  <c r="G44" i="2"/>
  <c r="P142" i="2"/>
  <c r="Q44" i="2"/>
  <c r="B44" i="2"/>
  <c r="P43" i="2"/>
  <c r="A45" i="2"/>
  <c r="P546" i="2" l="1"/>
  <c r="C45" i="2"/>
  <c r="K45" i="2"/>
  <c r="E45" i="2"/>
  <c r="G45" i="2"/>
  <c r="P143" i="2"/>
  <c r="Q45" i="2"/>
  <c r="B45" i="2"/>
  <c r="P44" i="2"/>
  <c r="A46" i="2"/>
  <c r="P547" i="2" l="1"/>
  <c r="Q547" i="2"/>
  <c r="Q548" i="2" s="1"/>
  <c r="K46" i="2"/>
  <c r="C46" i="2"/>
  <c r="E46" i="2"/>
  <c r="G46" i="2"/>
  <c r="P144" i="2"/>
  <c r="Q46" i="2"/>
  <c r="B46" i="2"/>
  <c r="P45" i="2"/>
  <c r="A47" i="2"/>
  <c r="P548" i="2" l="1"/>
  <c r="K47" i="2"/>
  <c r="C47" i="2"/>
  <c r="E47" i="2"/>
  <c r="G47" i="2"/>
  <c r="P145" i="2"/>
  <c r="Q47" i="2"/>
  <c r="B47" i="2"/>
  <c r="P46" i="2"/>
  <c r="A48" i="2"/>
  <c r="P549" i="2" l="1"/>
  <c r="Q549" i="2"/>
  <c r="Q550" i="2" s="1"/>
  <c r="K48" i="2"/>
  <c r="C48" i="2"/>
  <c r="E48" i="2"/>
  <c r="G48" i="2"/>
  <c r="P146" i="2"/>
  <c r="Q48" i="2"/>
  <c r="B48" i="2"/>
  <c r="P47" i="2"/>
  <c r="A49" i="2"/>
  <c r="P550" i="2" l="1"/>
  <c r="K49" i="2"/>
  <c r="C49" i="2"/>
  <c r="E49" i="2"/>
  <c r="G49" i="2"/>
  <c r="P147" i="2"/>
  <c r="Q49" i="2"/>
  <c r="B49" i="2"/>
  <c r="P48" i="2"/>
  <c r="A50" i="2"/>
  <c r="P551" i="2" l="1"/>
  <c r="Q551" i="2"/>
  <c r="K50" i="2"/>
  <c r="C50" i="2"/>
  <c r="E50" i="2"/>
  <c r="G50" i="2"/>
  <c r="P148" i="2"/>
  <c r="Q50" i="2"/>
  <c r="B50" i="2"/>
  <c r="P49" i="2"/>
  <c r="A51" i="2"/>
  <c r="Q552" i="2" l="1"/>
  <c r="P552" i="2"/>
  <c r="K51" i="2"/>
  <c r="C51" i="2"/>
  <c r="E51" i="2"/>
  <c r="G51" i="2"/>
  <c r="P149" i="2"/>
  <c r="Q51" i="2"/>
  <c r="B51" i="2"/>
  <c r="P50" i="2"/>
  <c r="A52" i="2"/>
  <c r="P553" i="2" l="1"/>
  <c r="Q553" i="2"/>
  <c r="Q554" i="2" s="1"/>
  <c r="K52" i="2"/>
  <c r="C52" i="2"/>
  <c r="E52" i="2"/>
  <c r="G52" i="2"/>
  <c r="P150" i="2"/>
  <c r="Q52" i="2"/>
  <c r="B52" i="2"/>
  <c r="P51" i="2"/>
  <c r="A53" i="2"/>
  <c r="P554" i="2" l="1"/>
  <c r="G53" i="2"/>
  <c r="K53" i="2"/>
  <c r="C53" i="2"/>
  <c r="E53" i="2"/>
  <c r="P151" i="2"/>
  <c r="Q53" i="2"/>
  <c r="B53" i="2"/>
  <c r="P52" i="2"/>
  <c r="A54" i="2"/>
  <c r="P555" i="2" l="1"/>
  <c r="Q555" i="2"/>
  <c r="Q556" i="2" s="1"/>
  <c r="G54" i="2"/>
  <c r="K54" i="2"/>
  <c r="C54" i="2"/>
  <c r="E54" i="2"/>
  <c r="P152" i="2"/>
  <c r="B54" i="2"/>
  <c r="Q54" i="2"/>
  <c r="P53" i="2"/>
  <c r="A55" i="2"/>
  <c r="P556" i="2" l="1"/>
  <c r="E55" i="2"/>
  <c r="G55" i="2"/>
  <c r="K55" i="2"/>
  <c r="C55" i="2"/>
  <c r="P153" i="2"/>
  <c r="Q55" i="2"/>
  <c r="B55" i="2"/>
  <c r="P54" i="2"/>
  <c r="A56" i="2"/>
  <c r="P557" i="2" l="1"/>
  <c r="Q557" i="2"/>
  <c r="Q558" i="2" s="1"/>
  <c r="E56" i="2"/>
  <c r="G56" i="2"/>
  <c r="K56" i="2"/>
  <c r="C56" i="2"/>
  <c r="P154" i="2"/>
  <c r="Q56" i="2"/>
  <c r="B56" i="2"/>
  <c r="P55" i="2"/>
  <c r="A57" i="2"/>
  <c r="P558" i="2" l="1"/>
  <c r="G57" i="2"/>
  <c r="E57" i="2"/>
  <c r="K57" i="2"/>
  <c r="C57" i="2"/>
  <c r="P155" i="2"/>
  <c r="Q57" i="2"/>
  <c r="B57" i="2"/>
  <c r="P56" i="2"/>
  <c r="A58" i="2"/>
  <c r="P559" i="2" l="1"/>
  <c r="Q559" i="2"/>
  <c r="Q560" i="2" s="1"/>
  <c r="K58" i="2"/>
  <c r="C58" i="2"/>
  <c r="G58" i="2"/>
  <c r="E58" i="2"/>
  <c r="P156" i="2"/>
  <c r="Q58" i="2"/>
  <c r="B58" i="2"/>
  <c r="P57" i="2"/>
  <c r="A59" i="2"/>
  <c r="P560" i="2" l="1"/>
  <c r="K59" i="2"/>
  <c r="C59" i="2"/>
  <c r="G59" i="2"/>
  <c r="E59" i="2"/>
  <c r="P157" i="2"/>
  <c r="Q59" i="2"/>
  <c r="B59" i="2"/>
  <c r="P58" i="2"/>
  <c r="A60" i="2"/>
  <c r="P561" i="2" l="1"/>
  <c r="Q561" i="2"/>
  <c r="Q562" i="2" s="1"/>
  <c r="E60" i="2"/>
  <c r="G60" i="2"/>
  <c r="K60" i="2"/>
  <c r="C60" i="2"/>
  <c r="P158" i="2"/>
  <c r="Q60" i="2"/>
  <c r="B60" i="2"/>
  <c r="P59" i="2"/>
  <c r="A61" i="2"/>
  <c r="P562" i="2" l="1"/>
  <c r="K61" i="2"/>
  <c r="C61" i="2"/>
  <c r="E61" i="2"/>
  <c r="G61" i="2"/>
  <c r="P159" i="2"/>
  <c r="Q61" i="2"/>
  <c r="B61" i="2"/>
  <c r="P60" i="2"/>
  <c r="A62" i="2"/>
  <c r="P563" i="2" l="1"/>
  <c r="Q563" i="2"/>
  <c r="Q564" i="2" s="1"/>
  <c r="C62" i="2"/>
  <c r="G62" i="2"/>
  <c r="E62" i="2"/>
  <c r="K62" i="2"/>
  <c r="P160" i="2"/>
  <c r="Q62" i="2"/>
  <c r="B62" i="2"/>
  <c r="P61" i="2"/>
  <c r="A63" i="2"/>
  <c r="P564" i="2" l="1"/>
  <c r="K63" i="2"/>
  <c r="C63" i="2"/>
  <c r="G63" i="2"/>
  <c r="E63" i="2"/>
  <c r="P161" i="2"/>
  <c r="Q63" i="2"/>
  <c r="B63" i="2"/>
  <c r="P62" i="2"/>
  <c r="A64" i="2"/>
  <c r="P565" i="2" l="1"/>
  <c r="Q565" i="2"/>
  <c r="Q566" i="2" s="1"/>
  <c r="K64" i="2"/>
  <c r="C64" i="2"/>
  <c r="G64" i="2"/>
  <c r="E64" i="2"/>
  <c r="P162" i="2"/>
  <c r="Q64" i="2"/>
  <c r="B64" i="2"/>
  <c r="P63" i="2"/>
  <c r="A65" i="2"/>
  <c r="P566" i="2" l="1"/>
  <c r="K65" i="2"/>
  <c r="C65" i="2"/>
  <c r="E65" i="2"/>
  <c r="G65" i="2"/>
  <c r="P163" i="2"/>
  <c r="Q65" i="2"/>
  <c r="B65" i="2"/>
  <c r="P64" i="2"/>
  <c r="A66" i="2"/>
  <c r="P567" i="2" l="1"/>
  <c r="Q567" i="2"/>
  <c r="Q568" i="2" s="1"/>
  <c r="K66" i="2"/>
  <c r="C66" i="2"/>
  <c r="E66" i="2"/>
  <c r="G66" i="2"/>
  <c r="P164" i="2"/>
  <c r="B66" i="2"/>
  <c r="Q66" i="2"/>
  <c r="P65" i="2"/>
  <c r="A67" i="2"/>
  <c r="P568" i="2" l="1"/>
  <c r="K67" i="2"/>
  <c r="C67" i="2"/>
  <c r="E67" i="2"/>
  <c r="G67" i="2"/>
  <c r="P165" i="2"/>
  <c r="Q67" i="2"/>
  <c r="B67" i="2"/>
  <c r="P66" i="2"/>
  <c r="A68" i="2"/>
  <c r="P569" i="2" l="1"/>
  <c r="Q569" i="2"/>
  <c r="Q570" i="2" s="1"/>
  <c r="K68" i="2"/>
  <c r="C68" i="2"/>
  <c r="E68" i="2"/>
  <c r="G68" i="2"/>
  <c r="P166" i="2"/>
  <c r="B68" i="2"/>
  <c r="Q68" i="2"/>
  <c r="P67" i="2"/>
  <c r="A69" i="2"/>
  <c r="P570" i="2" l="1"/>
  <c r="C69" i="2"/>
  <c r="K69" i="2"/>
  <c r="E69" i="2"/>
  <c r="G69" i="2"/>
  <c r="P167" i="2"/>
  <c r="Q69" i="2"/>
  <c r="B69" i="2"/>
  <c r="P68" i="2"/>
  <c r="A70" i="2"/>
  <c r="P571" i="2" l="1"/>
  <c r="Q571" i="2"/>
  <c r="Q572" i="2" s="1"/>
  <c r="K70" i="2"/>
  <c r="C70" i="2"/>
  <c r="E70" i="2"/>
  <c r="G70" i="2"/>
  <c r="P168" i="2"/>
  <c r="Q70" i="2"/>
  <c r="B70" i="2"/>
  <c r="P69" i="2"/>
  <c r="A71" i="2"/>
  <c r="P572" i="2" l="1"/>
  <c r="K71" i="2"/>
  <c r="Q71" i="2" s="1"/>
  <c r="C71" i="2"/>
  <c r="E71" i="2"/>
  <c r="G71" i="2"/>
  <c r="P169" i="2"/>
  <c r="B71" i="2"/>
  <c r="P70" i="2"/>
  <c r="A72" i="2"/>
  <c r="P573" i="2" l="1"/>
  <c r="Q573" i="2"/>
  <c r="Q574" i="2" s="1"/>
  <c r="K72" i="2"/>
  <c r="C72" i="2"/>
  <c r="G72" i="2"/>
  <c r="E72" i="2"/>
  <c r="P170" i="2"/>
  <c r="Q72" i="2"/>
  <c r="B72" i="2"/>
  <c r="P71" i="2"/>
  <c r="A73" i="2"/>
  <c r="P574" i="2" l="1"/>
  <c r="K73" i="2"/>
  <c r="C73" i="2"/>
  <c r="E73" i="2"/>
  <c r="G73" i="2"/>
  <c r="P171" i="2"/>
  <c r="Q73" i="2"/>
  <c r="B73" i="2"/>
  <c r="P72" i="2"/>
  <c r="A74" i="2"/>
  <c r="P575" i="2" l="1"/>
  <c r="Q575" i="2"/>
  <c r="Q576" i="2" s="1"/>
  <c r="K74" i="2"/>
  <c r="C74" i="2"/>
  <c r="E74" i="2"/>
  <c r="G74" i="2"/>
  <c r="P172" i="2"/>
  <c r="Q74" i="2"/>
  <c r="B74" i="2"/>
  <c r="P73" i="2"/>
  <c r="A75" i="2"/>
  <c r="P576" i="2" l="1"/>
  <c r="K75" i="2"/>
  <c r="C75" i="2"/>
  <c r="E75" i="2"/>
  <c r="G75" i="2"/>
  <c r="P173" i="2"/>
  <c r="B75" i="2"/>
  <c r="Q75" i="2"/>
  <c r="P74" i="2"/>
  <c r="A76" i="2"/>
  <c r="P577" i="2" l="1"/>
  <c r="Q577" i="2"/>
  <c r="Q578" i="2" s="1"/>
  <c r="K76" i="2"/>
  <c r="C76" i="2"/>
  <c r="E76" i="2"/>
  <c r="G76" i="2"/>
  <c r="P174" i="2"/>
  <c r="Q76" i="2"/>
  <c r="B76" i="2"/>
  <c r="P75" i="2"/>
  <c r="A77" i="2"/>
  <c r="P578" i="2" l="1"/>
  <c r="K77" i="2"/>
  <c r="C77" i="2"/>
  <c r="E77" i="2"/>
  <c r="G77" i="2"/>
  <c r="P175" i="2"/>
  <c r="Q77" i="2"/>
  <c r="B77" i="2"/>
  <c r="P76" i="2"/>
  <c r="A78" i="2"/>
  <c r="P579" i="2" l="1"/>
  <c r="Q579" i="2"/>
  <c r="Q580" i="2" s="1"/>
  <c r="G78" i="2"/>
  <c r="K78" i="2"/>
  <c r="C78" i="2"/>
  <c r="E78" i="2"/>
  <c r="P176" i="2"/>
  <c r="Q78" i="2"/>
  <c r="B78" i="2"/>
  <c r="P77" i="2"/>
  <c r="A79" i="2"/>
  <c r="P580" i="2" l="1"/>
  <c r="E79" i="2"/>
  <c r="G79" i="2"/>
  <c r="K79" i="2"/>
  <c r="C79" i="2"/>
  <c r="P177" i="2"/>
  <c r="Q79" i="2"/>
  <c r="B79" i="2"/>
  <c r="P78" i="2"/>
  <c r="A80" i="2"/>
  <c r="P581" i="2" l="1"/>
  <c r="Q581" i="2"/>
  <c r="Q582" i="2" s="1"/>
  <c r="E80" i="2"/>
  <c r="K80" i="2"/>
  <c r="C80" i="2"/>
  <c r="G80" i="2"/>
  <c r="P178" i="2"/>
  <c r="Q80" i="2"/>
  <c r="B80" i="2"/>
  <c r="P79" i="2"/>
  <c r="A81" i="2"/>
  <c r="P582" i="2" l="1"/>
  <c r="G81" i="2"/>
  <c r="E81" i="2"/>
  <c r="C81" i="2"/>
  <c r="K81" i="2"/>
  <c r="P179" i="2"/>
  <c r="Q81" i="2"/>
  <c r="B81" i="2"/>
  <c r="P80" i="2"/>
  <c r="A82" i="2"/>
  <c r="P583" i="2" l="1"/>
  <c r="Q583" i="2"/>
  <c r="Q584" i="2" s="1"/>
  <c r="C82" i="2"/>
  <c r="E82" i="2"/>
  <c r="G82" i="2"/>
  <c r="P180" i="2"/>
  <c r="Q82" i="2"/>
  <c r="B82" i="2"/>
  <c r="P81" i="2"/>
  <c r="A83" i="2"/>
  <c r="P584" i="2" l="1"/>
  <c r="C83" i="2"/>
  <c r="G83" i="2"/>
  <c r="E83" i="2"/>
  <c r="P181" i="2"/>
  <c r="B83" i="2"/>
  <c r="Q83" i="2"/>
  <c r="P82" i="2"/>
  <c r="A84" i="2"/>
  <c r="P585" i="2" l="1"/>
  <c r="Q585" i="2"/>
  <c r="Q586" i="2" s="1"/>
  <c r="E84" i="2"/>
  <c r="G84" i="2"/>
  <c r="C84" i="2"/>
  <c r="P182" i="2"/>
  <c r="Q84" i="2"/>
  <c r="B84" i="2"/>
  <c r="P83" i="2"/>
  <c r="A85" i="2"/>
  <c r="P586" i="2" l="1"/>
  <c r="C85" i="2"/>
  <c r="E85" i="2"/>
  <c r="G85" i="2"/>
  <c r="P183" i="2"/>
  <c r="Q85" i="2"/>
  <c r="B85" i="2"/>
  <c r="P84" i="2"/>
  <c r="A86" i="2"/>
  <c r="P587" i="2" l="1"/>
  <c r="Q587" i="2"/>
  <c r="Q588" i="2" s="1"/>
  <c r="C86" i="2"/>
  <c r="E86" i="2"/>
  <c r="G86" i="2"/>
  <c r="P184" i="2"/>
  <c r="Q86" i="2"/>
  <c r="B86" i="2"/>
  <c r="P85" i="2"/>
  <c r="A87" i="2"/>
  <c r="P588" i="2" l="1"/>
  <c r="C87" i="2"/>
  <c r="G87" i="2"/>
  <c r="E87" i="2"/>
  <c r="P185" i="2"/>
  <c r="Q87" i="2"/>
  <c r="B87" i="2"/>
  <c r="P86" i="2"/>
  <c r="A88" i="2"/>
  <c r="P589" i="2" l="1"/>
  <c r="Q589" i="2"/>
  <c r="Q590" i="2" s="1"/>
  <c r="C88" i="2"/>
  <c r="G88" i="2"/>
  <c r="E88" i="2"/>
  <c r="P186" i="2"/>
  <c r="Q88" i="2"/>
  <c r="B88" i="2"/>
  <c r="P87" i="2"/>
  <c r="A89" i="2"/>
  <c r="P590" i="2" l="1"/>
  <c r="E89" i="2"/>
  <c r="C89" i="2"/>
  <c r="G89" i="2"/>
  <c r="P187" i="2"/>
  <c r="Q89" i="2"/>
  <c r="B89" i="2"/>
  <c r="P88" i="2"/>
  <c r="A90" i="2"/>
  <c r="P591" i="2" l="1"/>
  <c r="Q591" i="2"/>
  <c r="Q592" i="2" s="1"/>
  <c r="C90" i="2"/>
  <c r="E90" i="2"/>
  <c r="G90" i="2"/>
  <c r="P188" i="2"/>
  <c r="Q90" i="2"/>
  <c r="B90" i="2"/>
  <c r="P89" i="2"/>
  <c r="A91" i="2"/>
  <c r="P592" i="2" l="1"/>
  <c r="C91" i="2"/>
  <c r="E91" i="2"/>
  <c r="G91" i="2"/>
  <c r="P189" i="2"/>
  <c r="Q91" i="2"/>
  <c r="B91" i="2"/>
  <c r="P90" i="2"/>
  <c r="A92" i="2"/>
  <c r="P593" i="2" l="1"/>
  <c r="Q593" i="2"/>
  <c r="Q594" i="2" s="1"/>
  <c r="C92" i="2"/>
  <c r="E92" i="2"/>
  <c r="G92" i="2"/>
  <c r="P190" i="2"/>
  <c r="Q92" i="2"/>
  <c r="B92" i="2"/>
  <c r="P91" i="2"/>
  <c r="A93" i="2"/>
  <c r="P594" i="2" l="1"/>
  <c r="C93" i="2"/>
  <c r="G93" i="2"/>
  <c r="E93" i="2"/>
  <c r="P191" i="2"/>
  <c r="Q93" i="2"/>
  <c r="B93" i="2"/>
  <c r="P92" i="2"/>
  <c r="A94" i="2"/>
  <c r="P595" i="2" l="1"/>
  <c r="Q595" i="2"/>
  <c r="Q596" i="2" s="1"/>
  <c r="C94" i="2"/>
  <c r="E94" i="2"/>
  <c r="G94" i="2"/>
  <c r="P192" i="2"/>
  <c r="B94" i="2"/>
  <c r="Q94" i="2"/>
  <c r="P93" i="2"/>
  <c r="A95" i="2"/>
  <c r="P596" i="2" l="1"/>
  <c r="C95" i="2"/>
  <c r="E95" i="2"/>
  <c r="G95" i="2"/>
  <c r="P193" i="2"/>
  <c r="Q95" i="2"/>
  <c r="B95" i="2"/>
  <c r="P94" i="2"/>
  <c r="A96" i="2"/>
  <c r="P597" i="2" l="1"/>
  <c r="Q597" i="2"/>
  <c r="Q598" i="2" s="1"/>
  <c r="C96" i="2"/>
  <c r="E96" i="2"/>
  <c r="G96" i="2"/>
  <c r="P194" i="2"/>
  <c r="B96" i="2"/>
  <c r="Q96" i="2"/>
  <c r="P95" i="2"/>
  <c r="A97" i="2"/>
  <c r="P598" i="2" l="1"/>
  <c r="C97" i="2"/>
  <c r="G97" i="2"/>
  <c r="E97" i="2"/>
  <c r="P195" i="2"/>
  <c r="Q97" i="2"/>
  <c r="B97" i="2"/>
  <c r="P96" i="2"/>
  <c r="A98" i="2"/>
  <c r="P599" i="2" l="1"/>
  <c r="Q599" i="2"/>
  <c r="Q600" i="2" s="1"/>
  <c r="C98" i="2"/>
  <c r="E98" i="2"/>
  <c r="G98" i="2"/>
  <c r="P196" i="2"/>
  <c r="Q98" i="2"/>
  <c r="B98" i="2"/>
  <c r="P97" i="2"/>
  <c r="A99" i="2"/>
  <c r="P600" i="2" l="1"/>
  <c r="C99" i="2"/>
  <c r="E99" i="2"/>
  <c r="G99" i="2"/>
  <c r="P197" i="2"/>
  <c r="Q99" i="2"/>
  <c r="B99" i="2"/>
  <c r="P98" i="2"/>
  <c r="A100" i="2"/>
  <c r="P601" i="2" l="1"/>
  <c r="Q601" i="2"/>
  <c r="Q602" i="2" s="1"/>
  <c r="C100" i="2"/>
  <c r="E100" i="2"/>
  <c r="G100" i="2"/>
  <c r="P198" i="2"/>
  <c r="Q100" i="2"/>
  <c r="B100" i="2"/>
  <c r="P99" i="2"/>
  <c r="A101" i="2"/>
  <c r="P602" i="2" l="1"/>
  <c r="C101" i="2"/>
  <c r="N2" i="2" s="1"/>
  <c r="E101" i="2"/>
  <c r="N3" i="2" s="1"/>
  <c r="G101" i="2"/>
  <c r="N4" i="2" s="1"/>
  <c r="P199" i="2"/>
  <c r="Q101" i="2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B101" i="2"/>
  <c r="P100" i="2"/>
  <c r="A102" i="2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P603" i="2" l="1"/>
  <c r="Q603" i="2"/>
  <c r="Q604" i="2" s="1"/>
  <c r="P200" i="2"/>
  <c r="P101" i="2"/>
  <c r="P604" i="2" l="1"/>
  <c r="P201" i="2"/>
  <c r="Q201" i="2"/>
  <c r="Q202" i="2" s="1"/>
  <c r="P605" i="2" l="1"/>
  <c r="Q605" i="2"/>
  <c r="Q606" i="2" s="1"/>
  <c r="P202" i="2"/>
  <c r="P606" i="2" l="1"/>
  <c r="P203" i="2"/>
  <c r="Q203" i="2"/>
  <c r="Q204" i="2" s="1"/>
  <c r="P607" i="2" l="1"/>
  <c r="Q607" i="2"/>
  <c r="Q608" i="2" s="1"/>
  <c r="P204" i="2"/>
  <c r="P608" i="2" l="1"/>
  <c r="P205" i="2"/>
  <c r="Q205" i="2"/>
  <c r="Q206" i="2" s="1"/>
  <c r="P609" i="2" l="1"/>
  <c r="Q609" i="2"/>
  <c r="Q610" i="2" s="1"/>
  <c r="P206" i="2"/>
  <c r="P610" i="2" l="1"/>
  <c r="P207" i="2"/>
  <c r="Q207" i="2"/>
  <c r="Q208" i="2" s="1"/>
  <c r="P611" i="2" l="1"/>
  <c r="Q611" i="2"/>
  <c r="Q612" i="2" s="1"/>
  <c r="P208" i="2"/>
  <c r="P612" i="2" l="1"/>
  <c r="P209" i="2"/>
  <c r="Q209" i="2"/>
  <c r="Q210" i="2" s="1"/>
  <c r="P613" i="2" l="1"/>
  <c r="Q613" i="2"/>
  <c r="Q614" i="2" s="1"/>
  <c r="P210" i="2"/>
  <c r="P614" i="2" l="1"/>
  <c r="P211" i="2"/>
  <c r="Q211" i="2"/>
  <c r="Q212" i="2" s="1"/>
  <c r="P615" i="2" l="1"/>
  <c r="Q615" i="2"/>
  <c r="Q616" i="2" s="1"/>
  <c r="P212" i="2"/>
  <c r="P616" i="2" l="1"/>
  <c r="P213" i="2"/>
  <c r="Q213" i="2"/>
  <c r="Q214" i="2" s="1"/>
  <c r="P617" i="2" l="1"/>
  <c r="Q617" i="2"/>
  <c r="Q618" i="2" s="1"/>
  <c r="P214" i="2"/>
  <c r="P618" i="2" l="1"/>
  <c r="P215" i="2"/>
  <c r="Q215" i="2"/>
  <c r="Q216" i="2" s="1"/>
  <c r="P619" i="2" l="1"/>
  <c r="Q619" i="2"/>
  <c r="Q620" i="2" s="1"/>
  <c r="P216" i="2"/>
  <c r="P620" i="2" l="1"/>
  <c r="Q621" i="2"/>
  <c r="P217" i="2"/>
  <c r="Q217" i="2"/>
  <c r="Q218" i="2" s="1"/>
  <c r="P621" i="2" l="1"/>
  <c r="P218" i="2"/>
  <c r="P622" i="2" l="1"/>
  <c r="Q622" i="2"/>
  <c r="Q623" i="2" s="1"/>
  <c r="P219" i="2"/>
  <c r="Q219" i="2"/>
  <c r="Q220" i="2" s="1"/>
  <c r="P623" i="2" l="1"/>
  <c r="P220" i="2"/>
  <c r="P624" i="2" l="1"/>
  <c r="Q624" i="2"/>
  <c r="P221" i="2"/>
  <c r="Q221" i="2"/>
  <c r="Q625" i="2" l="1"/>
  <c r="P625" i="2"/>
  <c r="Q222" i="2"/>
  <c r="P222" i="2"/>
  <c r="P626" i="2" l="1"/>
  <c r="Q626" i="2"/>
  <c r="P223" i="2"/>
  <c r="Q223" i="2"/>
  <c r="Q224" i="2" s="1"/>
  <c r="Q627" i="2" l="1"/>
  <c r="P627" i="2"/>
  <c r="P224" i="2"/>
  <c r="P628" i="2" l="1"/>
  <c r="Q628" i="2"/>
  <c r="Q629" i="2" s="1"/>
  <c r="P225" i="2"/>
  <c r="Q225" i="2"/>
  <c r="Q226" i="2" s="1"/>
  <c r="P629" i="2" l="1"/>
  <c r="P226" i="2"/>
  <c r="P630" i="2" l="1"/>
  <c r="Q630" i="2"/>
  <c r="Q631" i="2" s="1"/>
  <c r="P227" i="2"/>
  <c r="Q227" i="2"/>
  <c r="Q228" i="2" s="1"/>
  <c r="P631" i="2" l="1"/>
  <c r="P228" i="2"/>
  <c r="P632" i="2" l="1"/>
  <c r="Q632" i="2"/>
  <c r="Q633" i="2" s="1"/>
  <c r="P229" i="2"/>
  <c r="Q229" i="2"/>
  <c r="Q230" i="2" s="1"/>
  <c r="P633" i="2" l="1"/>
  <c r="P230" i="2"/>
  <c r="P634" i="2" l="1"/>
  <c r="Q634" i="2"/>
  <c r="Q635" i="2" s="1"/>
  <c r="P231" i="2"/>
  <c r="Q231" i="2"/>
  <c r="Q232" i="2" s="1"/>
  <c r="P635" i="2" l="1"/>
  <c r="P232" i="2"/>
  <c r="P636" i="2" l="1"/>
  <c r="Q636" i="2"/>
  <c r="Q637" i="2" s="1"/>
  <c r="P233" i="2"/>
  <c r="Q233" i="2"/>
  <c r="Q234" i="2" s="1"/>
  <c r="P637" i="2" l="1"/>
  <c r="P234" i="2"/>
  <c r="P638" i="2" l="1"/>
  <c r="Q638" i="2"/>
  <c r="Q639" i="2" s="1"/>
  <c r="P235" i="2"/>
  <c r="Q235" i="2"/>
  <c r="Q236" i="2" s="1"/>
  <c r="P639" i="2" l="1"/>
  <c r="P236" i="2"/>
  <c r="P640" i="2" l="1"/>
  <c r="Q640" i="2"/>
  <c r="Q641" i="2" s="1"/>
  <c r="P237" i="2"/>
  <c r="Q237" i="2"/>
  <c r="Q238" i="2" s="1"/>
  <c r="P641" i="2" l="1"/>
  <c r="P238" i="2"/>
  <c r="P642" i="2" l="1"/>
  <c r="Q642" i="2"/>
  <c r="Q643" i="2" s="1"/>
  <c r="Q239" i="2"/>
  <c r="Q240" i="2" s="1"/>
  <c r="P239" i="2"/>
  <c r="P643" i="2" l="1"/>
  <c r="P240" i="2"/>
  <c r="P644" i="2" l="1"/>
  <c r="Q644" i="2"/>
  <c r="Q645" i="2" s="1"/>
  <c r="P241" i="2"/>
  <c r="Q241" i="2"/>
  <c r="Q242" i="2" s="1"/>
  <c r="P645" i="2" l="1"/>
  <c r="P242" i="2"/>
  <c r="P646" i="2" l="1"/>
  <c r="Q646" i="2"/>
  <c r="Q647" i="2" s="1"/>
  <c r="P243" i="2"/>
  <c r="Q243" i="2"/>
  <c r="Q244" i="2" s="1"/>
  <c r="P647" i="2" l="1"/>
  <c r="P244" i="2"/>
  <c r="P648" i="2" l="1"/>
  <c r="Q648" i="2"/>
  <c r="Q649" i="2" s="1"/>
  <c r="P245" i="2"/>
  <c r="Q245" i="2"/>
  <c r="Q246" i="2" s="1"/>
  <c r="P649" i="2" l="1"/>
  <c r="P246" i="2"/>
  <c r="P650" i="2" l="1"/>
  <c r="Q650" i="2"/>
  <c r="Q651" i="2" s="1"/>
  <c r="P247" i="2"/>
  <c r="Q247" i="2"/>
  <c r="Q248" i="2" s="1"/>
  <c r="P651" i="2" l="1"/>
  <c r="P248" i="2"/>
  <c r="P652" i="2" l="1"/>
  <c r="Q652" i="2"/>
  <c r="Q653" i="2" s="1"/>
  <c r="P249" i="2"/>
  <c r="Q249" i="2"/>
  <c r="Q250" i="2" s="1"/>
  <c r="P653" i="2" l="1"/>
  <c r="P250" i="2"/>
  <c r="P654" i="2" l="1"/>
  <c r="Q654" i="2"/>
  <c r="Q655" i="2" s="1"/>
  <c r="P251" i="2"/>
  <c r="Q251" i="2"/>
  <c r="Q252" i="2" s="1"/>
  <c r="P655" i="2" l="1"/>
  <c r="P252" i="2"/>
  <c r="P656" i="2" l="1"/>
  <c r="Q656" i="2"/>
  <c r="Q657" i="2" s="1"/>
  <c r="P253" i="2"/>
  <c r="Q253" i="2"/>
  <c r="Q254" i="2" s="1"/>
  <c r="P657" i="2" l="1"/>
  <c r="P254" i="2"/>
  <c r="P658" i="2" l="1"/>
  <c r="Q658" i="2"/>
  <c r="Q659" i="2" s="1"/>
  <c r="P255" i="2"/>
  <c r="Q255" i="2"/>
  <c r="Q256" i="2" s="1"/>
  <c r="P659" i="2" l="1"/>
  <c r="P256" i="2"/>
  <c r="P660" i="2" l="1"/>
  <c r="Q660" i="2"/>
  <c r="Q661" i="2" s="1"/>
  <c r="P257" i="2"/>
  <c r="Q257" i="2"/>
  <c r="Q258" i="2" s="1"/>
  <c r="P661" i="2" l="1"/>
  <c r="P258" i="2"/>
  <c r="P662" i="2" l="1"/>
  <c r="Q662" i="2"/>
  <c r="Q663" i="2" s="1"/>
  <c r="P259" i="2"/>
  <c r="Q259" i="2"/>
  <c r="P663" i="2" l="1"/>
  <c r="Q260" i="2"/>
  <c r="P260" i="2"/>
  <c r="P664" i="2" l="1"/>
  <c r="Q664" i="2"/>
  <c r="Q665" i="2" s="1"/>
  <c r="P261" i="2"/>
  <c r="Q261" i="2"/>
  <c r="Q262" i="2" s="1"/>
  <c r="P665" i="2" l="1"/>
  <c r="P262" i="2"/>
  <c r="P666" i="2" l="1"/>
  <c r="Q666" i="2"/>
  <c r="Q667" i="2" s="1"/>
  <c r="P263" i="2"/>
  <c r="Q263" i="2"/>
  <c r="Q264" i="2" s="1"/>
  <c r="P667" i="2" l="1"/>
  <c r="P264" i="2"/>
  <c r="P668" i="2" l="1"/>
  <c r="Q668" i="2"/>
  <c r="Q669" i="2" s="1"/>
  <c r="P265" i="2"/>
  <c r="Q265" i="2"/>
  <c r="Q266" i="2" s="1"/>
  <c r="P669" i="2" l="1"/>
  <c r="P266" i="2"/>
  <c r="P670" i="2" l="1"/>
  <c r="Q670" i="2"/>
  <c r="Q671" i="2" s="1"/>
  <c r="P267" i="2"/>
  <c r="Q267" i="2"/>
  <c r="Q268" i="2" s="1"/>
  <c r="P671" i="2" l="1"/>
  <c r="P268" i="2"/>
  <c r="P672" i="2" l="1"/>
  <c r="Q672" i="2"/>
  <c r="Q673" i="2" s="1"/>
  <c r="Q269" i="2"/>
  <c r="Q270" i="2" s="1"/>
  <c r="P269" i="2"/>
  <c r="P673" i="2" l="1"/>
  <c r="P270" i="2"/>
  <c r="P674" i="2" l="1"/>
  <c r="Q674" i="2"/>
  <c r="Q675" i="2" s="1"/>
  <c r="P271" i="2"/>
  <c r="Q271" i="2"/>
  <c r="Q272" i="2" s="1"/>
  <c r="P675" i="2" l="1"/>
  <c r="P272" i="2"/>
  <c r="P676" i="2" l="1"/>
  <c r="Q676" i="2"/>
  <c r="Q677" i="2" s="1"/>
  <c r="P273" i="2"/>
  <c r="Q273" i="2"/>
  <c r="Q274" i="2" s="1"/>
  <c r="P677" i="2" l="1"/>
  <c r="P274" i="2"/>
  <c r="P678" i="2" l="1"/>
  <c r="Q678" i="2"/>
  <c r="Q679" i="2" s="1"/>
  <c r="P275" i="2"/>
  <c r="Q275" i="2"/>
  <c r="Q276" i="2" s="1"/>
  <c r="P679" i="2" l="1"/>
  <c r="P276" i="2"/>
  <c r="P680" i="2" l="1"/>
  <c r="Q680" i="2"/>
  <c r="Q681" i="2" s="1"/>
  <c r="P277" i="2"/>
  <c r="Q277" i="2"/>
  <c r="Q278" i="2" s="1"/>
  <c r="P681" i="2" l="1"/>
  <c r="P278" i="2"/>
  <c r="P682" i="2" l="1"/>
  <c r="Q682" i="2"/>
  <c r="Q683" i="2" s="1"/>
  <c r="P279" i="2"/>
  <c r="Q279" i="2"/>
  <c r="Q280" i="2" s="1"/>
  <c r="P683" i="2" l="1"/>
  <c r="P280" i="2"/>
  <c r="P684" i="2" l="1"/>
  <c r="Q684" i="2"/>
  <c r="P281" i="2"/>
  <c r="Q281" i="2"/>
  <c r="Q282" i="2" s="1"/>
  <c r="Q685" i="2" l="1"/>
  <c r="P685" i="2"/>
  <c r="P282" i="2"/>
  <c r="P686" i="2" l="1"/>
  <c r="Q686" i="2"/>
  <c r="Q687" i="2" s="1"/>
  <c r="P283" i="2"/>
  <c r="Q283" i="2"/>
  <c r="Q284" i="2" s="1"/>
  <c r="P687" i="2" l="1"/>
  <c r="P284" i="2"/>
  <c r="P688" i="2" l="1"/>
  <c r="Q688" i="2"/>
  <c r="Q689" i="2" s="1"/>
  <c r="P285" i="2"/>
  <c r="Q285" i="2"/>
  <c r="Q286" i="2" s="1"/>
  <c r="P689" i="2" l="1"/>
  <c r="P286" i="2"/>
  <c r="P690" i="2" l="1"/>
  <c r="Q690" i="2"/>
  <c r="Q691" i="2" s="1"/>
  <c r="P287" i="2"/>
  <c r="Q287" i="2"/>
  <c r="Q288" i="2" s="1"/>
  <c r="P691" i="2" l="1"/>
  <c r="P288" i="2"/>
  <c r="P692" i="2" l="1"/>
  <c r="Q692" i="2"/>
  <c r="Q693" i="2" s="1"/>
  <c r="P289" i="2"/>
  <c r="Q289" i="2"/>
  <c r="Q290" i="2" s="1"/>
  <c r="P693" i="2" l="1"/>
  <c r="P290" i="2"/>
  <c r="P694" i="2" l="1"/>
  <c r="Q694" i="2"/>
  <c r="Q695" i="2" s="1"/>
  <c r="P291" i="2"/>
  <c r="Q291" i="2"/>
  <c r="Q292" i="2" s="1"/>
  <c r="P695" i="2" l="1"/>
  <c r="P292" i="2"/>
  <c r="P696" i="2" l="1"/>
  <c r="Q696" i="2"/>
  <c r="Q697" i="2" s="1"/>
  <c r="P293" i="2"/>
  <c r="Q293" i="2"/>
  <c r="Q294" i="2" s="1"/>
  <c r="P697" i="2" l="1"/>
  <c r="P294" i="2"/>
  <c r="P698" i="2" l="1"/>
  <c r="Q698" i="2"/>
  <c r="Q699" i="2" s="1"/>
  <c r="P295" i="2"/>
  <c r="Q295" i="2"/>
  <c r="Q296" i="2" s="1"/>
  <c r="P699" i="2" l="1"/>
  <c r="P296" i="2"/>
  <c r="P700" i="2" l="1"/>
  <c r="Q700" i="2"/>
  <c r="Q701" i="2" s="1"/>
  <c r="P297" i="2"/>
  <c r="Q297" i="2"/>
  <c r="Q298" i="2" s="1"/>
  <c r="P701" i="2" l="1"/>
  <c r="P298" i="2"/>
  <c r="P702" i="2" l="1"/>
  <c r="Q702" i="2"/>
  <c r="Q703" i="2" s="1"/>
  <c r="P299" i="2"/>
  <c r="Q299" i="2"/>
  <c r="Q300" i="2" s="1"/>
  <c r="P703" i="2" l="1"/>
  <c r="P300" i="2"/>
  <c r="P704" i="2" l="1"/>
  <c r="Q704" i="2"/>
  <c r="Q705" i="2" s="1"/>
  <c r="P301" i="2"/>
  <c r="Q301" i="2"/>
  <c r="Q302" i="2" s="1"/>
  <c r="P705" i="2" l="1"/>
  <c r="P302" i="2"/>
  <c r="P706" i="2" l="1"/>
  <c r="Q706" i="2"/>
  <c r="Q707" i="2" s="1"/>
  <c r="Q303" i="2"/>
  <c r="Q304" i="2" s="1"/>
  <c r="P303" i="2"/>
  <c r="P707" i="2" l="1"/>
  <c r="P304" i="2"/>
  <c r="P708" i="2" l="1"/>
  <c r="Q708" i="2"/>
  <c r="Q709" i="2" s="1"/>
  <c r="P305" i="2"/>
  <c r="Q305" i="2"/>
  <c r="Q306" i="2" s="1"/>
  <c r="P709" i="2" l="1"/>
  <c r="P306" i="2"/>
  <c r="P710" i="2" l="1"/>
  <c r="Q710" i="2"/>
  <c r="Q711" i="2" s="1"/>
  <c r="P307" i="2"/>
  <c r="Q307" i="2"/>
  <c r="Q308" i="2" s="1"/>
  <c r="P711" i="2" l="1"/>
  <c r="P308" i="2"/>
  <c r="P712" i="2" l="1"/>
  <c r="Q712" i="2"/>
  <c r="Q713" i="2" s="1"/>
  <c r="P309" i="2"/>
  <c r="Q309" i="2"/>
  <c r="Q310" i="2" s="1"/>
  <c r="P713" i="2" l="1"/>
  <c r="P310" i="2"/>
  <c r="P714" i="2" l="1"/>
  <c r="Q714" i="2"/>
  <c r="Q715" i="2" s="1"/>
  <c r="P311" i="2"/>
  <c r="Q311" i="2"/>
  <c r="Q312" i="2" s="1"/>
  <c r="P715" i="2" l="1"/>
  <c r="P312" i="2"/>
  <c r="P716" i="2" l="1"/>
  <c r="Q716" i="2"/>
  <c r="Q717" i="2" s="1"/>
  <c r="P313" i="2"/>
  <c r="Q313" i="2"/>
  <c r="Q314" i="2" s="1"/>
  <c r="P717" i="2" l="1"/>
  <c r="P314" i="2"/>
  <c r="P718" i="2" l="1"/>
  <c r="Q718" i="2"/>
  <c r="Q719" i="2" s="1"/>
  <c r="P315" i="2"/>
  <c r="Q315" i="2"/>
  <c r="Q316" i="2" s="1"/>
  <c r="P719" i="2" l="1"/>
  <c r="P316" i="2"/>
  <c r="P720" i="2" l="1"/>
  <c r="Q720" i="2"/>
  <c r="Q721" i="2" s="1"/>
  <c r="P317" i="2"/>
  <c r="Q317" i="2"/>
  <c r="Q318" i="2" s="1"/>
  <c r="P721" i="2" l="1"/>
  <c r="P318" i="2"/>
  <c r="P722" i="2" l="1"/>
  <c r="Q722" i="2"/>
  <c r="Q723" i="2" s="1"/>
  <c r="P319" i="2"/>
  <c r="Q319" i="2"/>
  <c r="Q320" i="2" s="1"/>
  <c r="P723" i="2" l="1"/>
  <c r="P320" i="2"/>
  <c r="P724" i="2" l="1"/>
  <c r="Q724" i="2"/>
  <c r="Q725" i="2" s="1"/>
  <c r="P321" i="2"/>
  <c r="Q321" i="2"/>
  <c r="P725" i="2" l="1"/>
  <c r="Q322" i="2"/>
  <c r="P322" i="2"/>
  <c r="P726" i="2" l="1"/>
  <c r="Q726" i="2"/>
  <c r="Q727" i="2" s="1"/>
  <c r="P323" i="2"/>
  <c r="Q323" i="2"/>
  <c r="Q324" i="2" s="1"/>
  <c r="P727" i="2" l="1"/>
  <c r="P324" i="2"/>
  <c r="P728" i="2" l="1"/>
  <c r="Q728" i="2"/>
  <c r="Q729" i="2" s="1"/>
  <c r="P325" i="2"/>
  <c r="Q325" i="2"/>
  <c r="Q326" i="2" s="1"/>
  <c r="P729" i="2" l="1"/>
  <c r="P326" i="2"/>
  <c r="P730" i="2" l="1"/>
  <c r="Q730" i="2"/>
  <c r="Q731" i="2" s="1"/>
  <c r="P327" i="2"/>
  <c r="Q327" i="2"/>
  <c r="Q328" i="2" s="1"/>
  <c r="P731" i="2" l="1"/>
  <c r="P328" i="2"/>
  <c r="P732" i="2" l="1"/>
  <c r="Q732" i="2"/>
  <c r="Q733" i="2" s="1"/>
  <c r="P329" i="2"/>
  <c r="Q329" i="2"/>
  <c r="Q330" i="2" s="1"/>
  <c r="P733" i="2" l="1"/>
  <c r="P330" i="2"/>
  <c r="P734" i="2" l="1"/>
  <c r="Q734" i="2"/>
  <c r="Q735" i="2" s="1"/>
  <c r="P331" i="2"/>
  <c r="Q331" i="2"/>
  <c r="Q332" i="2" s="1"/>
  <c r="P735" i="2" l="1"/>
  <c r="P332" i="2"/>
  <c r="P736" i="2" l="1"/>
  <c r="Q736" i="2"/>
  <c r="Q737" i="2" s="1"/>
  <c r="P333" i="2"/>
  <c r="Q333" i="2"/>
  <c r="Q334" i="2" s="1"/>
  <c r="P737" i="2" l="1"/>
  <c r="P334" i="2"/>
  <c r="P738" i="2" l="1"/>
  <c r="Q738" i="2"/>
  <c r="Q739" i="2" s="1"/>
  <c r="P335" i="2"/>
  <c r="Q335" i="2"/>
  <c r="Q336" i="2" s="1"/>
  <c r="P739" i="2" l="1"/>
  <c r="P336" i="2"/>
  <c r="P740" i="2" l="1"/>
  <c r="Q740" i="2"/>
  <c r="Q741" i="2" s="1"/>
  <c r="Q337" i="2"/>
  <c r="Q338" i="2" s="1"/>
  <c r="P337" i="2"/>
  <c r="P741" i="2" l="1"/>
  <c r="P338" i="2"/>
  <c r="P742" i="2" l="1"/>
  <c r="Q742" i="2"/>
  <c r="Q743" i="2" s="1"/>
  <c r="P339" i="2"/>
  <c r="Q339" i="2"/>
  <c r="Q340" i="2" s="1"/>
  <c r="P743" i="2" l="1"/>
  <c r="P340" i="2"/>
  <c r="P744" i="2" l="1"/>
  <c r="Q744" i="2"/>
  <c r="Q745" i="2" s="1"/>
  <c r="P341" i="2"/>
  <c r="Q341" i="2"/>
  <c r="Q342" i="2" s="1"/>
  <c r="P745" i="2" l="1"/>
  <c r="P342" i="2"/>
  <c r="P746" i="2" l="1"/>
  <c r="Q746" i="2"/>
  <c r="Q747" i="2" s="1"/>
  <c r="P343" i="2"/>
  <c r="Q343" i="2"/>
  <c r="Q344" i="2" s="1"/>
  <c r="P747" i="2" l="1"/>
  <c r="P344" i="2"/>
  <c r="P748" i="2" l="1"/>
  <c r="Q748" i="2"/>
  <c r="Q749" i="2" s="1"/>
  <c r="P345" i="2"/>
  <c r="Q345" i="2"/>
  <c r="Q346" i="2" s="1"/>
  <c r="P749" i="2" l="1"/>
  <c r="P346" i="2"/>
  <c r="P750" i="2" l="1"/>
  <c r="Q750" i="2"/>
  <c r="Q751" i="2" s="1"/>
  <c r="P347" i="2"/>
  <c r="Q347" i="2"/>
  <c r="Q348" i="2" s="1"/>
  <c r="P751" i="2" l="1"/>
  <c r="P348" i="2"/>
  <c r="P752" i="2" l="1"/>
  <c r="Q752" i="2"/>
  <c r="Q753" i="2" s="1"/>
  <c r="P349" i="2"/>
  <c r="Q349" i="2"/>
  <c r="Q350" i="2" s="1"/>
  <c r="P753" i="2" l="1"/>
  <c r="P350" i="2"/>
  <c r="P754" i="2" l="1"/>
  <c r="Q754" i="2"/>
  <c r="Q755" i="2" s="1"/>
  <c r="P351" i="2"/>
  <c r="Q351" i="2"/>
  <c r="Q352" i="2" s="1"/>
  <c r="P755" i="2" l="1"/>
  <c r="P352" i="2"/>
  <c r="P756" i="2" l="1"/>
  <c r="Q756" i="2"/>
  <c r="P353" i="2"/>
  <c r="Q353" i="2"/>
  <c r="Q354" i="2" s="1"/>
  <c r="Q757" i="2" l="1"/>
  <c r="P757" i="2"/>
  <c r="P354" i="2"/>
  <c r="P758" i="2" l="1"/>
  <c r="Q758" i="2"/>
  <c r="P355" i="2"/>
  <c r="Q355" i="2"/>
  <c r="Q356" i="2" s="1"/>
  <c r="Q759" i="2" l="1"/>
  <c r="P759" i="2"/>
  <c r="P356" i="2"/>
  <c r="P760" i="2" l="1"/>
  <c r="Q760" i="2"/>
  <c r="Q761" i="2" s="1"/>
  <c r="P357" i="2"/>
  <c r="Q357" i="2"/>
  <c r="Q358" i="2" s="1"/>
  <c r="P761" i="2" l="1"/>
  <c r="P358" i="2"/>
  <c r="P762" i="2" l="1"/>
  <c r="Q762" i="2"/>
  <c r="Q763" i="2" s="1"/>
  <c r="P359" i="2"/>
  <c r="Q359" i="2"/>
  <c r="Q360" i="2" s="1"/>
  <c r="P763" i="2" l="1"/>
  <c r="P360" i="2"/>
  <c r="P764" i="2" l="1"/>
  <c r="Q764" i="2"/>
  <c r="Q765" i="2" s="1"/>
  <c r="P361" i="2"/>
  <c r="Q361" i="2"/>
  <c r="Q362" i="2" s="1"/>
  <c r="P765" i="2" l="1"/>
  <c r="P362" i="2"/>
  <c r="P766" i="2" l="1"/>
  <c r="Q766" i="2"/>
  <c r="Q767" i="2" s="1"/>
  <c r="P363" i="2"/>
  <c r="Q363" i="2"/>
  <c r="Q364" i="2" s="1"/>
  <c r="P767" i="2" l="1"/>
  <c r="P364" i="2"/>
  <c r="P768" i="2" l="1"/>
  <c r="Q768" i="2"/>
  <c r="Q769" i="2" s="1"/>
  <c r="P365" i="2"/>
  <c r="Q365" i="2"/>
  <c r="Q366" i="2" s="1"/>
  <c r="P769" i="2" l="1"/>
  <c r="P366" i="2"/>
  <c r="P770" i="2" l="1"/>
  <c r="Q770" i="2"/>
  <c r="Q771" i="2" s="1"/>
  <c r="P367" i="2"/>
  <c r="Q367" i="2"/>
  <c r="Q368" i="2" s="1"/>
  <c r="P771" i="2" l="1"/>
  <c r="P368" i="2"/>
  <c r="P772" i="2" l="1"/>
  <c r="Q772" i="2"/>
  <c r="Q773" i="2" s="1"/>
  <c r="P369" i="2"/>
  <c r="Q369" i="2"/>
  <c r="Q370" i="2" s="1"/>
  <c r="P773" i="2" l="1"/>
  <c r="P370" i="2"/>
  <c r="P774" i="2" l="1"/>
  <c r="Q774" i="2"/>
  <c r="Q775" i="2" s="1"/>
  <c r="P371" i="2"/>
  <c r="Q371" i="2"/>
  <c r="Q372" i="2" s="1"/>
  <c r="P775" i="2" l="1"/>
  <c r="P372" i="2"/>
  <c r="P776" i="2" l="1"/>
  <c r="Q776" i="2"/>
  <c r="P373" i="2"/>
  <c r="Q373" i="2"/>
  <c r="Q374" i="2" s="1"/>
  <c r="Q777" i="2" l="1"/>
  <c r="Q778" i="2"/>
  <c r="P777" i="2"/>
  <c r="P374" i="2"/>
  <c r="P778" i="2" l="1"/>
  <c r="Q779" i="2"/>
  <c r="P375" i="2"/>
  <c r="Q375" i="2"/>
  <c r="Q376" i="2" s="1"/>
  <c r="P779" i="2" l="1"/>
  <c r="P376" i="2"/>
  <c r="P780" i="2" l="1"/>
  <c r="Q780" i="2"/>
  <c r="Q781" i="2" s="1"/>
  <c r="P377" i="2"/>
  <c r="Q377" i="2"/>
  <c r="Q378" i="2" s="1"/>
  <c r="P781" i="2" l="1"/>
  <c r="P378" i="2"/>
  <c r="P782" i="2" l="1"/>
  <c r="Q782" i="2"/>
  <c r="Q783" i="2" s="1"/>
  <c r="P379" i="2"/>
  <c r="Q379" i="2"/>
  <c r="Q380" i="2" s="1"/>
  <c r="P783" i="2" l="1"/>
  <c r="P380" i="2"/>
  <c r="P784" i="2" l="1"/>
  <c r="Q784" i="2"/>
  <c r="Q785" i="2" s="1"/>
  <c r="P381" i="2"/>
  <c r="Q381" i="2"/>
  <c r="Q382" i="2" s="1"/>
  <c r="P785" i="2" l="1"/>
  <c r="P382" i="2"/>
  <c r="P786" i="2" l="1"/>
  <c r="Q786" i="2"/>
  <c r="Q787" i="2" s="1"/>
  <c r="P383" i="2"/>
  <c r="Q383" i="2"/>
  <c r="Q384" i="2" s="1"/>
  <c r="P787" i="2" l="1"/>
  <c r="P384" i="2"/>
  <c r="P788" i="2" l="1"/>
  <c r="Q788" i="2"/>
  <c r="Q789" i="2" s="1"/>
  <c r="P385" i="2"/>
  <c r="Q385" i="2"/>
  <c r="Q386" i="2" s="1"/>
  <c r="P789" i="2" l="1"/>
  <c r="P386" i="2"/>
  <c r="P790" i="2" l="1"/>
  <c r="Q790" i="2"/>
  <c r="P387" i="2"/>
  <c r="Q387" i="2"/>
  <c r="Q388" i="2" s="1"/>
  <c r="Q791" i="2" l="1"/>
  <c r="P791" i="2"/>
  <c r="P388" i="2"/>
  <c r="P792" i="2" l="1"/>
  <c r="Q792" i="2"/>
  <c r="Q793" i="2" s="1"/>
  <c r="P389" i="2"/>
  <c r="Q389" i="2"/>
  <c r="Q390" i="2" s="1"/>
  <c r="P793" i="2" l="1"/>
  <c r="Q794" i="2"/>
  <c r="P390" i="2"/>
  <c r="P794" i="2" l="1"/>
  <c r="P391" i="2"/>
  <c r="Q391" i="2"/>
  <c r="Q392" i="2" s="1"/>
  <c r="P795" i="2" l="1"/>
  <c r="Q795" i="2"/>
  <c r="Q796" i="2" s="1"/>
  <c r="P392" i="2"/>
  <c r="P796" i="2" l="1"/>
  <c r="P393" i="2"/>
  <c r="Q393" i="2"/>
  <c r="Q394" i="2" s="1"/>
  <c r="P797" i="2" l="1"/>
  <c r="Q797" i="2"/>
  <c r="Q798" i="2" s="1"/>
  <c r="P394" i="2"/>
  <c r="P798" i="2" l="1"/>
  <c r="P395" i="2"/>
  <c r="Q395" i="2"/>
  <c r="Q396" i="2" s="1"/>
  <c r="P799" i="2" l="1"/>
  <c r="Q799" i="2"/>
  <c r="Q800" i="2" s="1"/>
  <c r="P396" i="2"/>
  <c r="P800" i="2" l="1"/>
  <c r="P397" i="2"/>
  <c r="Q397" i="2"/>
  <c r="Q398" i="2" s="1"/>
  <c r="P801" i="2" l="1"/>
  <c r="Q801" i="2"/>
  <c r="Q802" i="2" s="1"/>
  <c r="P398" i="2"/>
  <c r="P802" i="2" l="1"/>
  <c r="P399" i="2"/>
  <c r="Q399" i="2"/>
  <c r="Q400" i="2" s="1"/>
  <c r="P803" i="2" l="1"/>
  <c r="Q803" i="2"/>
  <c r="Q804" i="2" s="1"/>
  <c r="P400" i="2"/>
  <c r="P804" i="2" l="1"/>
  <c r="P401" i="2"/>
  <c r="Q401" i="2"/>
  <c r="Q402" i="2" s="1"/>
  <c r="P805" i="2" l="1"/>
  <c r="Q805" i="2"/>
  <c r="Q806" i="2" s="1"/>
  <c r="P402" i="2"/>
  <c r="P806" i="2" l="1"/>
  <c r="P403" i="2"/>
  <c r="Q403" i="2"/>
  <c r="Q404" i="2" s="1"/>
  <c r="P807" i="2" l="1"/>
  <c r="Q807" i="2"/>
  <c r="Q808" i="2" s="1"/>
  <c r="P404" i="2"/>
  <c r="P808" i="2" l="1"/>
  <c r="P405" i="2"/>
  <c r="Q405" i="2"/>
  <c r="Q406" i="2" s="1"/>
  <c r="P809" i="2" l="1"/>
  <c r="Q809" i="2"/>
  <c r="P406" i="2"/>
  <c r="Q810" i="2" l="1"/>
  <c r="P810" i="2"/>
  <c r="P407" i="2"/>
  <c r="Q407" i="2"/>
  <c r="Q408" i="2" s="1"/>
  <c r="P811" i="2" l="1"/>
  <c r="Q811" i="2"/>
  <c r="Q812" i="2" s="1"/>
  <c r="P408" i="2"/>
  <c r="P812" i="2" l="1"/>
  <c r="P409" i="2"/>
  <c r="Q409" i="2"/>
  <c r="Q410" i="2" s="1"/>
  <c r="P813" i="2" l="1"/>
  <c r="Q813" i="2"/>
  <c r="Q814" i="2" s="1"/>
  <c r="P410" i="2"/>
  <c r="P814" i="2" l="1"/>
  <c r="P411" i="2"/>
  <c r="Q411" i="2"/>
  <c r="Q412" i="2" s="1"/>
  <c r="P815" i="2" l="1"/>
  <c r="Q815" i="2"/>
  <c r="Q816" i="2" s="1"/>
  <c r="P412" i="2"/>
  <c r="P816" i="2" l="1"/>
  <c r="P413" i="2"/>
  <c r="Q413" i="2"/>
  <c r="Q414" i="2" s="1"/>
  <c r="P817" i="2" l="1"/>
  <c r="Q817" i="2"/>
  <c r="Q818" i="2" s="1"/>
  <c r="P414" i="2"/>
  <c r="P818" i="2" l="1"/>
  <c r="P415" i="2"/>
  <c r="Q415" i="2"/>
  <c r="P819" i="2" l="1"/>
  <c r="Q819" i="2"/>
  <c r="Q820" i="2" s="1"/>
  <c r="Q416" i="2"/>
  <c r="P416" i="2"/>
  <c r="P820" i="2" l="1"/>
  <c r="P417" i="2"/>
  <c r="Q417" i="2"/>
  <c r="Q418" i="2" s="1"/>
  <c r="P821" i="2" l="1"/>
  <c r="Q821" i="2"/>
  <c r="Q822" i="2" s="1"/>
  <c r="P418" i="2"/>
  <c r="P822" i="2" l="1"/>
  <c r="P419" i="2"/>
  <c r="Q419" i="2"/>
  <c r="Q420" i="2" s="1"/>
  <c r="P823" i="2" l="1"/>
  <c r="Q823" i="2"/>
  <c r="Q824" i="2" s="1"/>
  <c r="P420" i="2"/>
  <c r="P824" i="2" l="1"/>
  <c r="P421" i="2"/>
  <c r="Q421" i="2"/>
  <c r="Q422" i="2" s="1"/>
  <c r="P825" i="2" l="1"/>
  <c r="Q825" i="2"/>
  <c r="Q826" i="2" s="1"/>
  <c r="P422" i="2"/>
  <c r="P826" i="2" l="1"/>
  <c r="P423" i="2"/>
  <c r="Q423" i="2"/>
  <c r="Q424" i="2" s="1"/>
  <c r="P827" i="2" l="1"/>
  <c r="Q827" i="2"/>
  <c r="Q828" i="2" s="1"/>
  <c r="P424" i="2"/>
  <c r="P828" i="2" l="1"/>
  <c r="P425" i="2"/>
  <c r="Q425" i="2"/>
  <c r="Q426" i="2" s="1"/>
  <c r="P829" i="2" l="1"/>
  <c r="Q829" i="2"/>
  <c r="Q830" i="2" s="1"/>
  <c r="P426" i="2"/>
  <c r="P830" i="2" l="1"/>
  <c r="P427" i="2"/>
  <c r="Q427" i="2"/>
  <c r="Q428" i="2" s="1"/>
  <c r="P831" i="2" l="1"/>
  <c r="Q831" i="2"/>
  <c r="Q832" i="2" s="1"/>
  <c r="P428" i="2"/>
  <c r="P832" i="2" l="1"/>
  <c r="P429" i="2"/>
  <c r="Q429" i="2"/>
  <c r="Q430" i="2" s="1"/>
  <c r="P833" i="2" l="1"/>
  <c r="Q833" i="2"/>
  <c r="Q834" i="2" s="1"/>
  <c r="P430" i="2"/>
  <c r="P834" i="2" l="1"/>
  <c r="P431" i="2"/>
  <c r="Q431" i="2"/>
  <c r="Q432" i="2" s="1"/>
  <c r="P835" i="2" l="1"/>
  <c r="Q835" i="2"/>
  <c r="Q836" i="2" s="1"/>
  <c r="P432" i="2"/>
  <c r="P836" i="2" l="1"/>
  <c r="P433" i="2"/>
  <c r="Q433" i="2"/>
  <c r="Q434" i="2" s="1"/>
  <c r="P837" i="2" l="1"/>
  <c r="Q837" i="2"/>
  <c r="P434" i="2"/>
  <c r="Q838" i="2" l="1"/>
  <c r="P838" i="2"/>
  <c r="P435" i="2"/>
  <c r="Q435" i="2"/>
  <c r="Q436" i="2" s="1"/>
  <c r="P839" i="2" l="1"/>
  <c r="Q839" i="2"/>
  <c r="P436" i="2"/>
  <c r="Q840" i="2" l="1"/>
  <c r="P840" i="2"/>
  <c r="P437" i="2"/>
  <c r="Q437" i="2"/>
  <c r="Q438" i="2" s="1"/>
  <c r="P841" i="2" l="1"/>
  <c r="Q841" i="2"/>
  <c r="Q842" i="2" s="1"/>
  <c r="P438" i="2"/>
  <c r="P842" i="2" l="1"/>
  <c r="P439" i="2"/>
  <c r="Q439" i="2"/>
  <c r="Q440" i="2" s="1"/>
  <c r="P843" i="2" l="1"/>
  <c r="Q843" i="2"/>
  <c r="Q844" i="2" s="1"/>
  <c r="P440" i="2"/>
  <c r="P844" i="2" l="1"/>
  <c r="P441" i="2"/>
  <c r="Q441" i="2"/>
  <c r="Q442" i="2" s="1"/>
  <c r="P845" i="2" l="1"/>
  <c r="Q845" i="2"/>
  <c r="Q846" i="2" s="1"/>
  <c r="P442" i="2"/>
  <c r="P846" i="2" l="1"/>
  <c r="P443" i="2"/>
  <c r="Q443" i="2"/>
  <c r="Q444" i="2" s="1"/>
  <c r="P847" i="2" l="1"/>
  <c r="Q847" i="2"/>
  <c r="Q848" i="2" s="1"/>
  <c r="P444" i="2"/>
  <c r="P848" i="2" l="1"/>
  <c r="P445" i="2"/>
  <c r="Q445" i="2"/>
  <c r="Q446" i="2" s="1"/>
  <c r="P849" i="2" l="1"/>
  <c r="Q849" i="2"/>
  <c r="Q850" i="2" s="1"/>
  <c r="P446" i="2"/>
  <c r="P850" i="2" l="1"/>
  <c r="P447" i="2"/>
  <c r="Q447" i="2"/>
  <c r="Q448" i="2" s="1"/>
  <c r="P851" i="2" l="1"/>
  <c r="Q851" i="2"/>
  <c r="Q852" i="2" s="1"/>
  <c r="P448" i="2"/>
  <c r="P852" i="2" l="1"/>
  <c r="P449" i="2"/>
  <c r="Q449" i="2"/>
  <c r="Q450" i="2" s="1"/>
  <c r="P853" i="2" l="1"/>
  <c r="Q853" i="2"/>
  <c r="Q854" i="2" s="1"/>
  <c r="P450" i="2"/>
  <c r="P854" i="2" l="1"/>
  <c r="P451" i="2"/>
  <c r="Q451" i="2"/>
  <c r="Q452" i="2" s="1"/>
  <c r="P855" i="2" l="1"/>
  <c r="Q855" i="2"/>
  <c r="Q856" i="2" s="1"/>
  <c r="P452" i="2"/>
  <c r="P856" i="2" l="1"/>
  <c r="P453" i="2"/>
  <c r="Q453" i="2"/>
  <c r="Q454" i="2" s="1"/>
  <c r="P857" i="2" l="1"/>
  <c r="Q857" i="2"/>
  <c r="Q858" i="2" s="1"/>
  <c r="P454" i="2"/>
  <c r="P858" i="2" l="1"/>
  <c r="P455" i="2"/>
  <c r="Q455" i="2"/>
  <c r="Q456" i="2" s="1"/>
  <c r="P859" i="2" l="1"/>
  <c r="Q859" i="2"/>
  <c r="Q860" i="2" s="1"/>
  <c r="P456" i="2"/>
  <c r="P860" i="2" l="1"/>
  <c r="P457" i="2"/>
  <c r="Q457" i="2"/>
  <c r="Q458" i="2" s="1"/>
  <c r="P861" i="2" l="1"/>
  <c r="Q861" i="2"/>
  <c r="Q862" i="2" s="1"/>
  <c r="P458" i="2"/>
  <c r="P862" i="2" l="1"/>
  <c r="P459" i="2"/>
  <c r="Q459" i="2"/>
  <c r="Q460" i="2" s="1"/>
  <c r="P863" i="2" l="1"/>
  <c r="Q863" i="2"/>
  <c r="Q864" i="2" s="1"/>
  <c r="P460" i="2"/>
  <c r="P864" i="2" l="1"/>
  <c r="P461" i="2"/>
  <c r="Q461" i="2"/>
  <c r="Q462" i="2" s="1"/>
  <c r="P865" i="2" l="1"/>
  <c r="Q865" i="2"/>
  <c r="Q866" i="2" s="1"/>
  <c r="P462" i="2"/>
  <c r="P866" i="2" l="1"/>
  <c r="P463" i="2"/>
  <c r="Q463" i="2"/>
  <c r="Q464" i="2" s="1"/>
  <c r="P867" i="2" l="1"/>
  <c r="Q867" i="2"/>
  <c r="Q868" i="2" s="1"/>
  <c r="P464" i="2"/>
  <c r="P868" i="2" l="1"/>
  <c r="P465" i="2"/>
  <c r="Q465" i="2"/>
  <c r="Q466" i="2" s="1"/>
  <c r="P869" i="2" l="1"/>
  <c r="Q869" i="2"/>
  <c r="Q870" i="2" s="1"/>
  <c r="P466" i="2"/>
  <c r="P870" i="2" l="1"/>
  <c r="P467" i="2"/>
  <c r="Q467" i="2"/>
  <c r="Q468" i="2" s="1"/>
  <c r="P871" i="2" l="1"/>
  <c r="Q871" i="2"/>
  <c r="Q872" i="2" s="1"/>
  <c r="P468" i="2"/>
  <c r="P872" i="2" l="1"/>
  <c r="P469" i="2"/>
  <c r="Q469" i="2"/>
  <c r="Q470" i="2" s="1"/>
  <c r="P873" i="2" l="1"/>
  <c r="Q873" i="2"/>
  <c r="P470" i="2"/>
  <c r="Q874" i="2" l="1"/>
  <c r="P874" i="2"/>
  <c r="P471" i="2"/>
  <c r="Q471" i="2"/>
  <c r="Q472" i="2" s="1"/>
  <c r="P875" i="2" l="1"/>
  <c r="Q875" i="2"/>
  <c r="Q876" i="2" s="1"/>
  <c r="P472" i="2"/>
  <c r="P876" i="2" l="1"/>
  <c r="P473" i="2"/>
  <c r="Q473" i="2"/>
  <c r="Q474" i="2" s="1"/>
  <c r="P877" i="2" l="1"/>
  <c r="Q877" i="2"/>
  <c r="Q878" i="2" s="1"/>
  <c r="P474" i="2"/>
  <c r="P878" i="2" l="1"/>
  <c r="P475" i="2"/>
  <c r="Q475" i="2"/>
  <c r="Q476" i="2" s="1"/>
  <c r="P879" i="2" l="1"/>
  <c r="Q879" i="2"/>
  <c r="Q880" i="2" s="1"/>
  <c r="P476" i="2"/>
  <c r="P880" i="2" l="1"/>
  <c r="P477" i="2"/>
  <c r="Q477" i="2"/>
  <c r="Q478" i="2" s="1"/>
  <c r="P881" i="2" l="1"/>
  <c r="Q881" i="2"/>
  <c r="Q882" i="2" s="1"/>
  <c r="P478" i="2"/>
  <c r="P882" i="2" l="1"/>
  <c r="P479" i="2"/>
  <c r="Q479" i="2"/>
  <c r="Q480" i="2" s="1"/>
  <c r="P883" i="2" l="1"/>
  <c r="Q883" i="2"/>
  <c r="Q884" i="2" s="1"/>
  <c r="P480" i="2"/>
  <c r="P884" i="2" l="1"/>
  <c r="P481" i="2"/>
  <c r="Q481" i="2"/>
  <c r="Q482" i="2" s="1"/>
  <c r="P885" i="2" l="1"/>
  <c r="Q885" i="2"/>
  <c r="Q886" i="2" s="1"/>
  <c r="P482" i="2"/>
  <c r="P886" i="2" l="1"/>
  <c r="P483" i="2"/>
  <c r="Q483" i="2"/>
  <c r="Q484" i="2" s="1"/>
  <c r="P887" i="2" l="1"/>
  <c r="Q887" i="2"/>
  <c r="Q888" i="2" s="1"/>
  <c r="P484" i="2"/>
  <c r="P888" i="2" l="1"/>
  <c r="P485" i="2"/>
  <c r="Q485" i="2"/>
  <c r="Q486" i="2" s="1"/>
  <c r="P889" i="2" l="1"/>
  <c r="Q889" i="2"/>
  <c r="Q890" i="2" s="1"/>
  <c r="P486" i="2"/>
  <c r="P890" i="2" l="1"/>
  <c r="P487" i="2"/>
  <c r="Q487" i="2"/>
  <c r="Q488" i="2" s="1"/>
  <c r="P891" i="2" l="1"/>
  <c r="Q891" i="2"/>
  <c r="Q892" i="2" s="1"/>
  <c r="P488" i="2"/>
  <c r="P892" i="2" l="1"/>
  <c r="P489" i="2"/>
  <c r="Q489" i="2"/>
  <c r="Q490" i="2" s="1"/>
  <c r="P893" i="2" l="1"/>
  <c r="Q893" i="2"/>
  <c r="P490" i="2"/>
  <c r="Q894" i="2" l="1"/>
  <c r="P894" i="2"/>
  <c r="P491" i="2"/>
  <c r="Q491" i="2"/>
  <c r="Q492" i="2" s="1"/>
  <c r="P895" i="2" l="1"/>
  <c r="Q895" i="2"/>
  <c r="Q896" i="2" s="1"/>
  <c r="P492" i="2"/>
  <c r="P896" i="2" l="1"/>
  <c r="P493" i="2"/>
  <c r="Q493" i="2"/>
  <c r="Q494" i="2" s="1"/>
  <c r="P897" i="2" l="1"/>
  <c r="Q897" i="2"/>
  <c r="Q898" i="2" s="1"/>
  <c r="P494" i="2"/>
  <c r="P898" i="2" l="1"/>
  <c r="P495" i="2"/>
  <c r="Q495" i="2"/>
  <c r="Q496" i="2" s="1"/>
  <c r="P899" i="2" l="1"/>
  <c r="Q899" i="2"/>
  <c r="Q900" i="2" s="1"/>
  <c r="P496" i="2"/>
  <c r="P900" i="2" l="1"/>
  <c r="P497" i="2"/>
  <c r="Q497" i="2"/>
  <c r="Q498" i="2" s="1"/>
  <c r="P901" i="2" l="1"/>
  <c r="Q901" i="2"/>
  <c r="Q902" i="2" s="1"/>
  <c r="P498" i="2"/>
  <c r="P902" i="2" l="1"/>
  <c r="P499" i="2"/>
  <c r="Q499" i="2"/>
  <c r="Q500" i="2" s="1"/>
  <c r="P903" i="2" l="1"/>
  <c r="Q903" i="2"/>
  <c r="Q904" i="2" s="1"/>
  <c r="P501" i="2"/>
  <c r="P500" i="2"/>
  <c r="P904" i="2" l="1"/>
  <c r="Q501" i="2"/>
  <c r="P905" i="2" l="1"/>
  <c r="Q905" i="2"/>
  <c r="Q906" i="2" s="1"/>
  <c r="P906" i="2" l="1"/>
  <c r="P907" i="2" l="1"/>
  <c r="Q907" i="2"/>
  <c r="Q908" i="2" s="1"/>
  <c r="P908" i="2" l="1"/>
  <c r="P909" i="2" l="1"/>
  <c r="Q909" i="2"/>
  <c r="Q910" i="2" s="1"/>
  <c r="P910" i="2" l="1"/>
  <c r="P911" i="2" l="1"/>
  <c r="Q911" i="2"/>
  <c r="Q912" i="2" s="1"/>
  <c r="P912" i="2" l="1"/>
  <c r="P913" i="2" l="1"/>
  <c r="Q913" i="2"/>
  <c r="Q914" i="2" s="1"/>
  <c r="P914" i="2" l="1"/>
  <c r="P915" i="2" l="1"/>
  <c r="Q915" i="2"/>
  <c r="Q916" i="2" s="1"/>
  <c r="P916" i="2" l="1"/>
  <c r="P917" i="2" l="1"/>
  <c r="Q917" i="2"/>
  <c r="Q918" i="2" s="1"/>
  <c r="P918" i="2" l="1"/>
  <c r="P919" i="2" l="1"/>
  <c r="Q919" i="2"/>
  <c r="Q920" i="2" s="1"/>
  <c r="P920" i="2" l="1"/>
  <c r="P921" i="2" l="1"/>
  <c r="Q921" i="2"/>
  <c r="Q922" i="2" s="1"/>
  <c r="P922" i="2" l="1"/>
  <c r="P923" i="2" l="1"/>
  <c r="Q923" i="2"/>
  <c r="Q924" i="2" s="1"/>
  <c r="P924" i="2" l="1"/>
  <c r="P925" i="2" l="1"/>
  <c r="Q925" i="2"/>
  <c r="Q926" i="2" s="1"/>
  <c r="P926" i="2" l="1"/>
  <c r="P927" i="2" l="1"/>
  <c r="Q927" i="2"/>
  <c r="Q928" i="2" s="1"/>
  <c r="P928" i="2" l="1"/>
  <c r="P929" i="2" l="1"/>
  <c r="Q929" i="2"/>
  <c r="Q930" i="2" l="1"/>
  <c r="P930" i="2"/>
  <c r="P931" i="2" l="1"/>
  <c r="Q931" i="2"/>
  <c r="Q932" i="2" s="1"/>
  <c r="P932" i="2" l="1"/>
  <c r="P933" i="2" l="1"/>
  <c r="Q933" i="2"/>
  <c r="Q934" i="2" s="1"/>
  <c r="P934" i="2" l="1"/>
  <c r="P935" i="2" l="1"/>
  <c r="Q935" i="2"/>
  <c r="Q936" i="2" s="1"/>
  <c r="P936" i="2" l="1"/>
  <c r="P937" i="2" l="1"/>
  <c r="Q937" i="2"/>
  <c r="Q938" i="2" s="1"/>
  <c r="P938" i="2" l="1"/>
  <c r="P939" i="2" l="1"/>
  <c r="Q939" i="2"/>
  <c r="Q940" i="2" s="1"/>
  <c r="P940" i="2" l="1"/>
  <c r="P941" i="2" l="1"/>
  <c r="Q941" i="2"/>
  <c r="Q942" i="2" s="1"/>
  <c r="P942" i="2" l="1"/>
  <c r="P943" i="2" l="1"/>
  <c r="Q943" i="2"/>
  <c r="Q944" i="2" s="1"/>
  <c r="P944" i="2" l="1"/>
  <c r="P945" i="2" l="1"/>
  <c r="Q945" i="2"/>
  <c r="Q946" i="2" s="1"/>
  <c r="P946" i="2" l="1"/>
  <c r="P947" i="2" l="1"/>
  <c r="Q947" i="2"/>
  <c r="Q948" i="2" l="1"/>
  <c r="P948" i="2"/>
  <c r="P949" i="2" l="1"/>
  <c r="Q949" i="2"/>
  <c r="Q950" i="2" s="1"/>
  <c r="P950" i="2" l="1"/>
  <c r="P951" i="2" l="1"/>
  <c r="Q951" i="2"/>
  <c r="Q952" i="2" s="1"/>
  <c r="P952" i="2" l="1"/>
  <c r="P953" i="2" l="1"/>
  <c r="Q953" i="2"/>
  <c r="Q954" i="2" s="1"/>
  <c r="P954" i="2" l="1"/>
  <c r="P955" i="2" l="1"/>
  <c r="Q955" i="2"/>
  <c r="Q956" i="2" s="1"/>
  <c r="P956" i="2" l="1"/>
  <c r="P957" i="2" l="1"/>
  <c r="Q957" i="2"/>
  <c r="Q958" i="2" s="1"/>
  <c r="P958" i="2" l="1"/>
  <c r="P959" i="2" l="1"/>
  <c r="Q959" i="2"/>
  <c r="Q960" i="2" s="1"/>
  <c r="P960" i="2" l="1"/>
  <c r="P961" i="2" l="1"/>
  <c r="Q961" i="2"/>
  <c r="Q962" i="2" s="1"/>
  <c r="P962" i="2" l="1"/>
  <c r="P963" i="2" l="1"/>
  <c r="Q963" i="2"/>
  <c r="Q964" i="2" s="1"/>
  <c r="P964" i="2" l="1"/>
  <c r="P965" i="2" l="1"/>
  <c r="Q965" i="2"/>
  <c r="Q966" i="2" s="1"/>
  <c r="P966" i="2" l="1"/>
  <c r="P967" i="2" l="1"/>
  <c r="Q967" i="2"/>
  <c r="Q968" i="2" s="1"/>
  <c r="P968" i="2" l="1"/>
  <c r="P969" i="2" l="1"/>
  <c r="Q969" i="2"/>
  <c r="Q970" i="2" s="1"/>
  <c r="P970" i="2" l="1"/>
  <c r="P971" i="2" l="1"/>
  <c r="Q971" i="2"/>
  <c r="Q972" i="2" s="1"/>
  <c r="P972" i="2" l="1"/>
  <c r="P973" i="2" l="1"/>
  <c r="Q973" i="2"/>
  <c r="Q974" i="2" s="1"/>
  <c r="P974" i="2" l="1"/>
  <c r="P975" i="2" l="1"/>
  <c r="Q975" i="2"/>
  <c r="Q976" i="2" s="1"/>
  <c r="P976" i="2" l="1"/>
  <c r="P977" i="2" l="1"/>
  <c r="Q977" i="2"/>
  <c r="Q978" i="2" s="1"/>
  <c r="P978" i="2" l="1"/>
  <c r="P979" i="2" l="1"/>
  <c r="Q979" i="2"/>
  <c r="Q980" i="2" s="1"/>
  <c r="P980" i="2" l="1"/>
  <c r="P981" i="2" l="1"/>
  <c r="Q981" i="2"/>
  <c r="Q982" i="2" s="1"/>
  <c r="P982" i="2" l="1"/>
  <c r="P983" i="2" l="1"/>
  <c r="Q983" i="2"/>
  <c r="Q984" i="2" s="1"/>
  <c r="P984" i="2" l="1"/>
  <c r="P985" i="2" l="1"/>
  <c r="Q985" i="2"/>
  <c r="Q986" i="2" s="1"/>
  <c r="P986" i="2" l="1"/>
  <c r="P987" i="2" l="1"/>
  <c r="Q987" i="2"/>
  <c r="Q988" i="2" s="1"/>
  <c r="P988" i="2" l="1"/>
  <c r="P989" i="2" l="1"/>
  <c r="Q989" i="2"/>
  <c r="Q990" i="2" s="1"/>
  <c r="P990" i="2" l="1"/>
  <c r="P991" i="2" l="1"/>
  <c r="Q991" i="2"/>
  <c r="Q992" i="2" s="1"/>
  <c r="P992" i="2" l="1"/>
  <c r="P993" i="2" l="1"/>
  <c r="Q993" i="2"/>
  <c r="Q994" i="2" s="1"/>
  <c r="P994" i="2" l="1"/>
  <c r="P995" i="2" l="1"/>
  <c r="Q995" i="2"/>
  <c r="Q996" i="2" s="1"/>
  <c r="P996" i="2" l="1"/>
  <c r="P997" i="2" l="1"/>
  <c r="Q997" i="2"/>
  <c r="Q998" i="2" s="1"/>
  <c r="P998" i="2" l="1"/>
  <c r="P999" i="2" l="1"/>
  <c r="Q999" i="2"/>
  <c r="Q1000" i="2" l="1"/>
  <c r="P1000" i="2"/>
  <c r="P1001" i="2" l="1"/>
  <c r="Q1001" i="2"/>
  <c r="Q1002" i="2" s="1"/>
  <c r="P1002" i="2" l="1"/>
  <c r="N6" i="2"/>
  <c r="N8" i="2" s="1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<sst xmlns="http://schemas.openxmlformats.org/spreadsheetml/2006/main" count="11" uniqueCount="11">
  <si>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</si>
  <si>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</si>
  <si>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</si>
  <si>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</si>
  <si>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</si>
  <si>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</si>
  <si>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atkRequireCoin</t>
    <phoneticPr fontId="1" type="noConversion"/>
  </si>
  <si>
    <t>criDmgRequireCoin</t>
    <phoneticPr fontId="1" type="noConversion"/>
  </si>
  <si>
    <t>criRateRequireCoin</t>
    <phoneticPr fontId="1" type="noConversion"/>
  </si>
  <si>
    <t>hpRequireCoin</t>
    <phoneticPr fontId="1" type="noConversion"/>
  </si>
  <si>
    <t>defRequireCoin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</si>
</sst>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₩&quot;#,##0_);[Red]\(&quot;₩&quot;#,##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indexed="64"/>
      </right>
      <top style="thin">
        <color rgb="FFC6C6C6"/>
      </top>
      <bottom style="thin">
        <color rgb="FFC6C6C6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3" fillId="3" borderId="4" xfId="0" quotePrefix="1" applyFont="1" applyFill="1" applyBorder="1" applyAlignment="1">
      <alignment horizontal="center"/>
    </xf>
    <xf numFmtId="0" fontId="3" fillId="3" borderId="7" xfId="0" quotePrefix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/>
    <xf numFmtId="176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1002"/>
  <sheetViews>
    <sheetView tabSelected="1" workbookViewId="0">
      <pane ySplit="1" topLeftCell="A2" activePane="bottomLeft" state="frozen"/>
      <selection pane="bottomLeft" activeCell="N17" sqref="N17"/>
    </sheetView>
  </sheetViews>
  <sheetFormatPr defaultColWidth="17.625" defaultRowHeight="17.25" x14ac:dyDescent="0.3"/>
  <cols>
    <col min="1" max="1" width="18.875" style="3" customWidth="1"/>
    <col min="2" max="2" width="19" style="6" customWidth="1"/>
    <col min="3" max="3" width="19" style="9" customWidth="1"/>
    <col min="4" max="4" width="19" style="6" customWidth="1"/>
    <col min="5" max="5" width="19" style="9" customWidth="1"/>
    <col min="6" max="7" width="19" style="3" customWidth="1"/>
    <col min="8" max="8" width="19" style="6" customWidth="1"/>
    <col min="9" max="9" width="19" style="9" customWidth="1"/>
    <col min="10" max="10" width="19" style="6" customWidth="1"/>
    <col min="11" max="11" width="18.375" style="9" customWidth="1"/>
    <col min="12" max="12" width="5.125" style="1" bestFit="1" customWidth="1"/>
    <col min="13" max="13" width="9.625" style="1" bestFit="1" customWidth="1"/>
    <col min="14" max="14" width="17.375" bestFit="1" customWidth="1"/>
    <col min="15" max="15" width="7.375" bestFit="1" customWidth="1"/>
    <col min="16" max="16" width="32.625" customWidth="1"/>
    <col min="17" max="17" width="17.5" style="1" customWidth="1"/>
    <col min="18" max="16384" width="17.625" style="1"/>
  </cols>
  <sheetData>
    <row r="1" spans="1:17" x14ac:dyDescent="0.3">
      <c r="A1" s="4" t="s">
        <v>0</v>
      </c>
      <c r="B1" s="5" t="s">
        <v>1</v>
      </c>
      <c r="C1" s="8" t="s">
        <v>6</v>
      </c>
      <c r="D1" s="5" t="s">
        <v>3</v>
      </c>
      <c r="E1" s="8" t="s">
        <v>10</v>
      </c>
      <c r="F1" s="7" t="s">
        <v>4</v>
      </c>
      <c r="G1" s="4" t="s">
        <v>9</v>
      </c>
      <c r="H1" s="5" t="s">
        <v>5</v>
      </c>
      <c r="I1" s="8" t="s">
        <v>8</v>
      </c>
      <c r="J1" s="5" t="s">
        <v>2</v>
      </c>
      <c r="K1" s="8" t="s">
        <v>7</v>
      </c>
    </row>
    <row r="2" spans="1:17" x14ac:dyDescent="0.3">
      <c r="A2" s="2">
        <v>0</v>
      </c>
      <c r="B2" s="6">
        <v>0</v>
      </c>
      <c r="C2" s="9">
        <v>0</v>
      </c>
      <c r="D2" s="6">
        <v>0</v>
      </c>
      <c r="E2" s="9">
        <v>0</v>
      </c>
      <c r="F2" s="3">
        <v>0</v>
      </c>
      <c r="G2" s="3">
        <v>0</v>
      </c>
      <c r="H2" s="6">
        <v>0</v>
      </c>
      <c r="I2" s="9">
        <v>0</v>
      </c>
      <c r="J2" s="10">
        <v>0</v>
      </c>
      <c r="K2" s="11">
        <v>0</v>
      </c>
      <c r="N2" s="22">
        <f>SUM(C:C)</f>
        <v>238676671</v>
      </c>
      <c r="O2" s="1"/>
      <c r="P2" s="1"/>
    </row>
    <row r="3" spans="1:17" x14ac:dyDescent="0.3">
      <c r="A3" s="2">
        <v>1</v>
      </c>
      <c r="B3" s="6">
        <v>1</v>
      </c>
      <c r="C3" s="9">
        <f>ROUND(200 + (5500-200) * SIN( (A3-1) / 99 * PI() / 2 ), 0)</f>
        <v>200</v>
      </c>
      <c r="D3" s="6">
        <v>1</v>
      </c>
      <c r="E3" s="9">
        <f>ROUND(200 + (5500-200) * SIN( (A3-1) / 99 * PI() / 2 ), 0)</f>
        <v>200</v>
      </c>
      <c r="F3" s="3">
        <v>20</v>
      </c>
      <c r="G3" s="3">
        <f>ROUND(200 + (5500-200) * SIN( (A3-1) / 99 * PI() / 2 ), 0)</f>
        <v>200</v>
      </c>
      <c r="H3" s="6">
        <f>H2+0.025</f>
        <v>2.5000000000000001E-2</v>
      </c>
      <c r="I3" s="9">
        <f t="shared" ref="I3:I21" si="0">ROUND(200 + (155000-200) * SIN( (A3-1) / 20 * PI() / 2 ), 0)</f>
        <v>200</v>
      </c>
      <c r="J3" s="10">
        <v>2.5000000000000001E-2</v>
      </c>
      <c r="K3" s="11">
        <f t="shared" ref="K3:K66" si="1">ROUND(200 + (5500-200) * SIN( (A3-1) / 80 * PI() / 2 ), 0)</f>
        <v>200</v>
      </c>
      <c r="N3" s="22">
        <f>SUM(E:E)</f>
        <v>127290671</v>
      </c>
      <c r="O3" s="1"/>
      <c r="P3" s="1">
        <f t="shared" ref="P3:P34" si="2">K3</f>
        <v>200</v>
      </c>
      <c r="Q3" s="1">
        <f>K2+K3</f>
        <v>200</v>
      </c>
    </row>
    <row r="4" spans="1:17" x14ac:dyDescent="0.3">
      <c r="A4" s="2">
        <f>A3+1</f>
        <v>2</v>
      </c>
      <c r="B4" s="6">
        <f>B3+1</f>
        <v>2</v>
      </c>
      <c r="C4" s="9">
        <f t="shared" ref="C4:C67" si="3">ROUND(200 + (5500-200) * SIN( (A4-1) / 99 * PI() / 2 ), 0)</f>
        <v>284</v>
      </c>
      <c r="D4" s="6">
        <f>D3+1</f>
        <v>2</v>
      </c>
      <c r="E4" s="9">
        <f t="shared" ref="E4:E67" si="4">ROUND(200 + (5500-200) * SIN( (A4-1) / 99 * PI() / 2 ), 0)</f>
        <v>284</v>
      </c>
      <c r="F4" s="3">
        <f>F3+2</f>
        <v>22</v>
      </c>
      <c r="G4" s="3">
        <f t="shared" ref="G4:G67" si="5">ROUND(200 + (5500-200) * SIN( (A4-1) / 99 * PI() / 2 ), 0)</f>
        <v>284</v>
      </c>
      <c r="H4" s="6">
        <f t="shared" ref="H4:H22" si="6">H3+0.025</f>
        <v>0.05</v>
      </c>
      <c r="I4" s="9">
        <f t="shared" si="0"/>
        <v>12345</v>
      </c>
      <c r="J4" s="6">
        <f>J3+0.025</f>
        <v>0.05</v>
      </c>
      <c r="K4" s="11">
        <f t="shared" si="1"/>
        <v>304</v>
      </c>
      <c r="N4" s="22">
        <f>SUM(G:G)</f>
        <v>104229671</v>
      </c>
      <c r="O4" s="1"/>
      <c r="P4" s="1">
        <f t="shared" si="2"/>
        <v>304</v>
      </c>
      <c r="Q4" s="1">
        <f t="shared" ref="Q4:Q16" si="7">Q3+K4</f>
        <v>504</v>
      </c>
    </row>
    <row r="5" spans="1:17" x14ac:dyDescent="0.3">
      <c r="A5" s="2">
        <f t="shared" ref="A5:A68" si="8">A4+1</f>
        <v>3</v>
      </c>
      <c r="B5" s="6">
        <f t="shared" ref="B5:B42" si="9">B4+1</f>
        <v>3</v>
      </c>
      <c r="C5" s="9">
        <f t="shared" si="3"/>
        <v>368</v>
      </c>
      <c r="D5" s="6">
        <f t="shared" ref="D5" si="10">D4+1</f>
        <v>3</v>
      </c>
      <c r="E5" s="9">
        <f t="shared" si="4"/>
        <v>368</v>
      </c>
      <c r="F5" s="3">
        <f t="shared" ref="F5:F11" si="11">F4+2</f>
        <v>24</v>
      </c>
      <c r="G5" s="3">
        <f t="shared" si="5"/>
        <v>368</v>
      </c>
      <c r="H5" s="6">
        <f t="shared" si="6"/>
        <v>7.5000000000000011E-2</v>
      </c>
      <c r="I5" s="9">
        <f t="shared" si="0"/>
        <v>24416</v>
      </c>
      <c r="J5" s="6">
        <f t="shared" ref="J5:J68" si="12">J4+0.025</f>
        <v>7.5000000000000011E-2</v>
      </c>
      <c r="K5" s="11">
        <f t="shared" si="1"/>
        <v>408</v>
      </c>
      <c r="N5" s="22">
        <f>SUM(I:I)</f>
        <v>26047682</v>
      </c>
      <c r="O5" s="1"/>
      <c r="P5" s="1">
        <f t="shared" si="2"/>
        <v>408</v>
      </c>
      <c r="Q5" s="1">
        <f t="shared" si="7"/>
        <v>912</v>
      </c>
    </row>
    <row r="6" spans="1:17" x14ac:dyDescent="0.3">
      <c r="A6" s="2">
        <f t="shared" si="8"/>
        <v>4</v>
      </c>
      <c r="B6" s="6">
        <f t="shared" si="9"/>
        <v>4</v>
      </c>
      <c r="C6" s="9">
        <f t="shared" si="3"/>
        <v>452</v>
      </c>
      <c r="D6" s="6">
        <f t="shared" ref="D6" si="13">D5+1</f>
        <v>4</v>
      </c>
      <c r="E6" s="9">
        <f t="shared" si="4"/>
        <v>452</v>
      </c>
      <c r="F6" s="3">
        <f t="shared" si="11"/>
        <v>26</v>
      </c>
      <c r="G6" s="3">
        <f t="shared" si="5"/>
        <v>452</v>
      </c>
      <c r="H6" s="6">
        <f t="shared" si="6"/>
        <v>0.1</v>
      </c>
      <c r="I6" s="9">
        <f t="shared" si="0"/>
        <v>36337</v>
      </c>
      <c r="J6" s="6">
        <f t="shared" si="12"/>
        <v>0.1</v>
      </c>
      <c r="K6" s="11">
        <f t="shared" si="1"/>
        <v>512</v>
      </c>
      <c r="N6" s="22">
        <f>SUM(K:K)</f>
        <v>455273367</v>
      </c>
      <c r="O6" s="1"/>
      <c r="P6" s="1">
        <f t="shared" si="2"/>
        <v>512</v>
      </c>
      <c r="Q6" s="1">
        <f t="shared" si="7"/>
        <v>1424</v>
      </c>
    </row>
    <row r="7" spans="1:17" x14ac:dyDescent="0.3">
      <c r="A7" s="2">
        <f t="shared" si="8"/>
        <v>5</v>
      </c>
      <c r="B7" s="6">
        <f t="shared" si="9"/>
        <v>5</v>
      </c>
      <c r="C7" s="9">
        <f t="shared" si="3"/>
        <v>536</v>
      </c>
      <c r="D7" s="6">
        <f t="shared" ref="D7" si="14">D6+1</f>
        <v>5</v>
      </c>
      <c r="E7" s="9">
        <f t="shared" si="4"/>
        <v>536</v>
      </c>
      <c r="F7" s="3">
        <f t="shared" si="11"/>
        <v>28</v>
      </c>
      <c r="G7" s="3">
        <f t="shared" si="5"/>
        <v>536</v>
      </c>
      <c r="H7" s="6">
        <f t="shared" si="6"/>
        <v>0.125</v>
      </c>
      <c r="I7" s="9">
        <f t="shared" si="0"/>
        <v>48036</v>
      </c>
      <c r="J7" s="6">
        <f t="shared" si="12"/>
        <v>0.125</v>
      </c>
      <c r="K7" s="11">
        <f t="shared" si="1"/>
        <v>616</v>
      </c>
      <c r="N7" s="22"/>
      <c r="O7" s="1"/>
      <c r="P7" s="1">
        <f t="shared" si="2"/>
        <v>616</v>
      </c>
      <c r="Q7" s="1">
        <f t="shared" si="7"/>
        <v>2040</v>
      </c>
    </row>
    <row r="8" spans="1:17" x14ac:dyDescent="0.3">
      <c r="A8" s="2">
        <f t="shared" si="8"/>
        <v>6</v>
      </c>
      <c r="B8" s="6">
        <f t="shared" si="9"/>
        <v>6</v>
      </c>
      <c r="C8" s="9">
        <f t="shared" si="3"/>
        <v>620</v>
      </c>
      <c r="D8" s="6">
        <f t="shared" ref="D8" si="15">D7+1</f>
        <v>6</v>
      </c>
      <c r="E8" s="9">
        <f t="shared" si="4"/>
        <v>620</v>
      </c>
      <c r="F8" s="3">
        <f t="shared" si="11"/>
        <v>30</v>
      </c>
      <c r="G8" s="3">
        <f t="shared" si="5"/>
        <v>620</v>
      </c>
      <c r="H8" s="6">
        <f t="shared" si="6"/>
        <v>0.15</v>
      </c>
      <c r="I8" s="9">
        <f t="shared" si="0"/>
        <v>59439</v>
      </c>
      <c r="J8" s="6">
        <f t="shared" si="12"/>
        <v>0.15</v>
      </c>
      <c r="K8" s="11">
        <f t="shared" si="1"/>
        <v>719</v>
      </c>
      <c r="N8" s="22">
        <f>SUM(N2:N6)</f>
        <v>951518062</v>
      </c>
      <c r="O8" s="1"/>
      <c r="P8" s="1">
        <f t="shared" si="2"/>
        <v>719</v>
      </c>
      <c r="Q8" s="1">
        <f t="shared" si="7"/>
        <v>2759</v>
      </c>
    </row>
    <row r="9" spans="1:17" x14ac:dyDescent="0.3">
      <c r="A9" s="2">
        <f t="shared" si="8"/>
        <v>7</v>
      </c>
      <c r="B9" s="6">
        <f t="shared" si="9"/>
        <v>7</v>
      </c>
      <c r="C9" s="9">
        <f t="shared" si="3"/>
        <v>704</v>
      </c>
      <c r="D9" s="6">
        <f t="shared" ref="D9" si="16">D8+1</f>
        <v>7</v>
      </c>
      <c r="E9" s="9">
        <f t="shared" si="4"/>
        <v>704</v>
      </c>
      <c r="F9" s="3">
        <f t="shared" si="11"/>
        <v>32</v>
      </c>
      <c r="G9" s="3">
        <f t="shared" si="5"/>
        <v>704</v>
      </c>
      <c r="H9" s="6">
        <f t="shared" si="6"/>
        <v>0.17499999999999999</v>
      </c>
      <c r="I9" s="9">
        <f t="shared" si="0"/>
        <v>70478</v>
      </c>
      <c r="J9" s="6">
        <f t="shared" si="12"/>
        <v>0.17499999999999999</v>
      </c>
      <c r="K9" s="11">
        <f t="shared" si="1"/>
        <v>823</v>
      </c>
      <c r="N9" s="1"/>
      <c r="O9" s="1"/>
      <c r="P9" s="1">
        <f t="shared" si="2"/>
        <v>823</v>
      </c>
      <c r="Q9" s="1">
        <f t="shared" si="7"/>
        <v>3582</v>
      </c>
    </row>
    <row r="10" spans="1:17" x14ac:dyDescent="0.3">
      <c r="A10" s="2">
        <f t="shared" si="8"/>
        <v>8</v>
      </c>
      <c r="B10" s="6">
        <f t="shared" si="9"/>
        <v>8</v>
      </c>
      <c r="C10" s="9">
        <f t="shared" si="3"/>
        <v>787</v>
      </c>
      <c r="D10" s="6">
        <f t="shared" ref="D10" si="17">D9+1</f>
        <v>8</v>
      </c>
      <c r="E10" s="9">
        <f t="shared" si="4"/>
        <v>787</v>
      </c>
      <c r="F10" s="3">
        <f t="shared" si="11"/>
        <v>34</v>
      </c>
      <c r="G10" s="3">
        <f t="shared" si="5"/>
        <v>787</v>
      </c>
      <c r="H10" s="6">
        <f t="shared" si="6"/>
        <v>0.19999999999999998</v>
      </c>
      <c r="I10" s="9">
        <f t="shared" si="0"/>
        <v>81083</v>
      </c>
      <c r="J10" s="6">
        <f t="shared" si="12"/>
        <v>0.19999999999999998</v>
      </c>
      <c r="K10" s="11">
        <f t="shared" si="1"/>
        <v>926</v>
      </c>
      <c r="N10" s="1"/>
      <c r="O10" s="1"/>
      <c r="P10" s="1">
        <f t="shared" si="2"/>
        <v>926</v>
      </c>
      <c r="Q10" s="1">
        <f t="shared" si="7"/>
        <v>4508</v>
      </c>
    </row>
    <row r="11" spans="1:17" x14ac:dyDescent="0.3">
      <c r="A11" s="2">
        <f t="shared" si="8"/>
        <v>9</v>
      </c>
      <c r="B11" s="6">
        <f t="shared" si="9"/>
        <v>9</v>
      </c>
      <c r="C11" s="9">
        <f t="shared" si="3"/>
        <v>871</v>
      </c>
      <c r="D11" s="6">
        <f t="shared" ref="D11" si="18">D10+1</f>
        <v>9</v>
      </c>
      <c r="E11" s="9">
        <f t="shared" si="4"/>
        <v>871</v>
      </c>
      <c r="F11" s="3">
        <f t="shared" si="11"/>
        <v>36</v>
      </c>
      <c r="G11" s="3">
        <f t="shared" si="5"/>
        <v>871</v>
      </c>
      <c r="H11" s="6">
        <f t="shared" si="6"/>
        <v>0.22499999999999998</v>
      </c>
      <c r="I11" s="9">
        <f t="shared" si="0"/>
        <v>91189</v>
      </c>
      <c r="J11" s="6">
        <f t="shared" si="12"/>
        <v>0.22499999999999998</v>
      </c>
      <c r="K11" s="11">
        <f t="shared" si="1"/>
        <v>1029</v>
      </c>
      <c r="N11" s="1"/>
      <c r="O11" s="1"/>
      <c r="P11" s="1">
        <f t="shared" si="2"/>
        <v>1029</v>
      </c>
      <c r="Q11" s="1">
        <f t="shared" si="7"/>
        <v>5537</v>
      </c>
    </row>
    <row r="12" spans="1:17" x14ac:dyDescent="0.3">
      <c r="A12" s="2">
        <f t="shared" si="8"/>
        <v>10</v>
      </c>
      <c r="B12" s="6">
        <f t="shared" si="9"/>
        <v>10</v>
      </c>
      <c r="C12" s="9">
        <f t="shared" si="3"/>
        <v>954</v>
      </c>
      <c r="D12" s="6">
        <f t="shared" ref="D12" si="19">D11+1</f>
        <v>10</v>
      </c>
      <c r="E12" s="9">
        <f t="shared" si="4"/>
        <v>954</v>
      </c>
      <c r="F12" s="3">
        <f>F11+3</f>
        <v>39</v>
      </c>
      <c r="G12" s="3">
        <f t="shared" si="5"/>
        <v>954</v>
      </c>
      <c r="H12" s="6">
        <f t="shared" si="6"/>
        <v>0.24999999999999997</v>
      </c>
      <c r="I12" s="9">
        <f t="shared" si="0"/>
        <v>100735</v>
      </c>
      <c r="J12" s="6">
        <f t="shared" si="12"/>
        <v>0.24999999999999997</v>
      </c>
      <c r="K12" s="11">
        <f t="shared" si="1"/>
        <v>1132</v>
      </c>
      <c r="N12" s="1"/>
      <c r="O12" s="1"/>
      <c r="P12" s="1">
        <f t="shared" si="2"/>
        <v>1132</v>
      </c>
      <c r="Q12" s="1">
        <f t="shared" si="7"/>
        <v>6669</v>
      </c>
    </row>
    <row r="13" spans="1:17" x14ac:dyDescent="0.3">
      <c r="A13" s="2">
        <f t="shared" si="8"/>
        <v>11</v>
      </c>
      <c r="B13" s="6">
        <f t="shared" si="9"/>
        <v>11</v>
      </c>
      <c r="C13" s="9">
        <f t="shared" si="3"/>
        <v>1037</v>
      </c>
      <c r="D13" s="6">
        <f t="shared" ref="D13" si="20">D12+1</f>
        <v>11</v>
      </c>
      <c r="E13" s="9">
        <f t="shared" si="4"/>
        <v>1037</v>
      </c>
      <c r="F13" s="3">
        <f t="shared" ref="F13:F21" si="21">F12+3</f>
        <v>42</v>
      </c>
      <c r="G13" s="3">
        <f t="shared" si="5"/>
        <v>1037</v>
      </c>
      <c r="H13" s="6">
        <f t="shared" si="6"/>
        <v>0.27499999999999997</v>
      </c>
      <c r="I13" s="9">
        <f t="shared" si="0"/>
        <v>109660</v>
      </c>
      <c r="J13" s="6">
        <f t="shared" si="12"/>
        <v>0.27499999999999997</v>
      </c>
      <c r="K13" s="11">
        <f t="shared" si="1"/>
        <v>1234</v>
      </c>
      <c r="N13" s="1"/>
      <c r="O13" s="1"/>
      <c r="P13" s="1">
        <f t="shared" si="2"/>
        <v>1234</v>
      </c>
      <c r="Q13" s="1">
        <f t="shared" si="7"/>
        <v>7903</v>
      </c>
    </row>
    <row r="14" spans="1:17" x14ac:dyDescent="0.3">
      <c r="A14" s="2">
        <f t="shared" si="8"/>
        <v>12</v>
      </c>
      <c r="B14" s="6">
        <f t="shared" si="9"/>
        <v>12</v>
      </c>
      <c r="C14" s="9">
        <f t="shared" si="3"/>
        <v>1120</v>
      </c>
      <c r="D14" s="6">
        <f t="shared" ref="D14" si="22">D13+1</f>
        <v>12</v>
      </c>
      <c r="E14" s="9">
        <f t="shared" si="4"/>
        <v>1120</v>
      </c>
      <c r="F14" s="3">
        <f t="shared" si="21"/>
        <v>45</v>
      </c>
      <c r="G14" s="3">
        <f t="shared" si="5"/>
        <v>1120</v>
      </c>
      <c r="H14" s="6">
        <f t="shared" si="6"/>
        <v>0.3</v>
      </c>
      <c r="I14" s="9">
        <f t="shared" si="0"/>
        <v>117911</v>
      </c>
      <c r="J14" s="6">
        <f t="shared" si="12"/>
        <v>0.3</v>
      </c>
      <c r="K14" s="11">
        <f t="shared" si="1"/>
        <v>1336</v>
      </c>
      <c r="N14" s="1"/>
      <c r="O14" s="1"/>
      <c r="P14" s="1">
        <f t="shared" si="2"/>
        <v>1336</v>
      </c>
      <c r="Q14" s="1">
        <f t="shared" si="7"/>
        <v>9239</v>
      </c>
    </row>
    <row r="15" spans="1:17" x14ac:dyDescent="0.3">
      <c r="A15" s="2">
        <f t="shared" si="8"/>
        <v>13</v>
      </c>
      <c r="B15" s="6">
        <f t="shared" si="9"/>
        <v>13</v>
      </c>
      <c r="C15" s="9">
        <f t="shared" si="3"/>
        <v>1203</v>
      </c>
      <c r="D15" s="6">
        <f t="shared" ref="D15" si="23">D14+1</f>
        <v>13</v>
      </c>
      <c r="E15" s="9">
        <f t="shared" si="4"/>
        <v>1203</v>
      </c>
      <c r="F15" s="3">
        <f t="shared" si="21"/>
        <v>48</v>
      </c>
      <c r="G15" s="3">
        <f t="shared" si="5"/>
        <v>1203</v>
      </c>
      <c r="H15" s="6">
        <f t="shared" si="6"/>
        <v>0.32500000000000001</v>
      </c>
      <c r="I15" s="9">
        <f t="shared" si="0"/>
        <v>125436</v>
      </c>
      <c r="J15" s="6">
        <f t="shared" si="12"/>
        <v>0.32500000000000001</v>
      </c>
      <c r="K15" s="11">
        <f t="shared" si="1"/>
        <v>1437</v>
      </c>
      <c r="N15" s="1"/>
      <c r="O15" s="1"/>
      <c r="P15" s="1">
        <f t="shared" si="2"/>
        <v>1437</v>
      </c>
      <c r="Q15" s="1">
        <f t="shared" si="7"/>
        <v>10676</v>
      </c>
    </row>
    <row r="16" spans="1:17" x14ac:dyDescent="0.3">
      <c r="A16" s="2">
        <f t="shared" si="8"/>
        <v>14</v>
      </c>
      <c r="B16" s="6">
        <f t="shared" si="9"/>
        <v>14</v>
      </c>
      <c r="C16" s="9">
        <f t="shared" si="3"/>
        <v>1285</v>
      </c>
      <c r="D16" s="6">
        <f t="shared" ref="D16" si="24">D15+1</f>
        <v>14</v>
      </c>
      <c r="E16" s="9">
        <f t="shared" si="4"/>
        <v>1285</v>
      </c>
      <c r="F16" s="3">
        <f t="shared" si="21"/>
        <v>51</v>
      </c>
      <c r="G16" s="3">
        <f t="shared" si="5"/>
        <v>1285</v>
      </c>
      <c r="H16" s="6">
        <f t="shared" si="6"/>
        <v>0.35000000000000003</v>
      </c>
      <c r="I16" s="9">
        <f t="shared" si="0"/>
        <v>132189</v>
      </c>
      <c r="J16" s="6">
        <f t="shared" si="12"/>
        <v>0.35000000000000003</v>
      </c>
      <c r="K16" s="11">
        <f t="shared" si="1"/>
        <v>1538</v>
      </c>
      <c r="N16" s="1"/>
      <c r="O16" s="1"/>
      <c r="P16" s="1">
        <f t="shared" si="2"/>
        <v>1538</v>
      </c>
      <c r="Q16" s="1">
        <f t="shared" si="7"/>
        <v>12214</v>
      </c>
    </row>
    <row r="17" spans="1:17" x14ac:dyDescent="0.3">
      <c r="A17" s="2">
        <f t="shared" si="8"/>
        <v>15</v>
      </c>
      <c r="B17" s="6">
        <f t="shared" si="9"/>
        <v>15</v>
      </c>
      <c r="C17" s="9">
        <f t="shared" si="3"/>
        <v>1368</v>
      </c>
      <c r="D17" s="6">
        <f t="shared" ref="D17" si="25">D16+1</f>
        <v>15</v>
      </c>
      <c r="E17" s="9">
        <f t="shared" si="4"/>
        <v>1368</v>
      </c>
      <c r="F17" s="3">
        <f t="shared" si="21"/>
        <v>54</v>
      </c>
      <c r="G17" s="3">
        <f t="shared" si="5"/>
        <v>1368</v>
      </c>
      <c r="H17" s="6">
        <f t="shared" si="6"/>
        <v>0.37500000000000006</v>
      </c>
      <c r="I17" s="9">
        <f t="shared" si="0"/>
        <v>138128</v>
      </c>
      <c r="J17" s="6">
        <f t="shared" si="12"/>
        <v>0.37500000000000006</v>
      </c>
      <c r="K17" s="11">
        <f t="shared" si="1"/>
        <v>1639</v>
      </c>
      <c r="N17" s="1"/>
      <c r="O17" s="1"/>
      <c r="P17" s="1">
        <f t="shared" si="2"/>
        <v>1639</v>
      </c>
      <c r="Q17" s="1">
        <f t="shared" ref="Q17:Q48" si="26">Q16+K17</f>
        <v>13853</v>
      </c>
    </row>
    <row r="18" spans="1:17" x14ac:dyDescent="0.3">
      <c r="A18" s="2">
        <f t="shared" si="8"/>
        <v>16</v>
      </c>
      <c r="B18" s="6">
        <f t="shared" si="9"/>
        <v>16</v>
      </c>
      <c r="C18" s="9">
        <f t="shared" si="3"/>
        <v>1450</v>
      </c>
      <c r="D18" s="6">
        <f t="shared" ref="D18" si="27">D17+1</f>
        <v>16</v>
      </c>
      <c r="E18" s="9">
        <f t="shared" si="4"/>
        <v>1450</v>
      </c>
      <c r="F18" s="3">
        <f t="shared" si="21"/>
        <v>57</v>
      </c>
      <c r="G18" s="3">
        <f t="shared" si="5"/>
        <v>1450</v>
      </c>
      <c r="H18" s="6">
        <f t="shared" si="6"/>
        <v>0.40000000000000008</v>
      </c>
      <c r="I18" s="9">
        <f t="shared" si="0"/>
        <v>143217</v>
      </c>
      <c r="J18" s="6">
        <f t="shared" si="12"/>
        <v>0.40000000000000008</v>
      </c>
      <c r="K18" s="11">
        <f t="shared" si="1"/>
        <v>1739</v>
      </c>
      <c r="N18" s="1"/>
      <c r="O18" s="1"/>
      <c r="P18" s="1">
        <f t="shared" si="2"/>
        <v>1739</v>
      </c>
      <c r="Q18" s="1">
        <f t="shared" si="26"/>
        <v>15592</v>
      </c>
    </row>
    <row r="19" spans="1:17" x14ac:dyDescent="0.3">
      <c r="A19" s="2">
        <f t="shared" si="8"/>
        <v>17</v>
      </c>
      <c r="B19" s="6">
        <f t="shared" si="9"/>
        <v>17</v>
      </c>
      <c r="C19" s="9">
        <f t="shared" si="3"/>
        <v>1531</v>
      </c>
      <c r="D19" s="6">
        <f t="shared" ref="D19" si="28">D18+1</f>
        <v>17</v>
      </c>
      <c r="E19" s="9">
        <f t="shared" si="4"/>
        <v>1531</v>
      </c>
      <c r="F19" s="3">
        <f t="shared" si="21"/>
        <v>60</v>
      </c>
      <c r="G19" s="3">
        <f t="shared" si="5"/>
        <v>1531</v>
      </c>
      <c r="H19" s="6">
        <f t="shared" si="6"/>
        <v>0.4250000000000001</v>
      </c>
      <c r="I19" s="9">
        <f t="shared" si="0"/>
        <v>147424</v>
      </c>
      <c r="J19" s="6">
        <f t="shared" si="12"/>
        <v>0.4250000000000001</v>
      </c>
      <c r="K19" s="11">
        <f t="shared" si="1"/>
        <v>1838</v>
      </c>
      <c r="N19" s="1"/>
      <c r="O19" s="1"/>
      <c r="P19" s="1">
        <f t="shared" si="2"/>
        <v>1838</v>
      </c>
      <c r="Q19" s="1">
        <f t="shared" si="26"/>
        <v>17430</v>
      </c>
    </row>
    <row r="20" spans="1:17" x14ac:dyDescent="0.3">
      <c r="A20" s="2">
        <f t="shared" si="8"/>
        <v>18</v>
      </c>
      <c r="B20" s="6">
        <f t="shared" si="9"/>
        <v>18</v>
      </c>
      <c r="C20" s="9">
        <f t="shared" si="3"/>
        <v>1612</v>
      </c>
      <c r="D20" s="6">
        <f t="shared" ref="D20" si="29">D19+1</f>
        <v>18</v>
      </c>
      <c r="E20" s="9">
        <f t="shared" si="4"/>
        <v>1612</v>
      </c>
      <c r="F20" s="3">
        <f t="shared" si="21"/>
        <v>63</v>
      </c>
      <c r="G20" s="3">
        <f t="shared" si="5"/>
        <v>1612</v>
      </c>
      <c r="H20" s="6">
        <f t="shared" si="6"/>
        <v>0.45000000000000012</v>
      </c>
      <c r="I20" s="9">
        <f t="shared" si="0"/>
        <v>150723</v>
      </c>
      <c r="J20" s="6">
        <f t="shared" si="12"/>
        <v>0.45000000000000012</v>
      </c>
      <c r="K20" s="11">
        <f t="shared" si="1"/>
        <v>1936</v>
      </c>
      <c r="N20" s="1"/>
      <c r="O20" s="1"/>
      <c r="P20" s="1">
        <f t="shared" si="2"/>
        <v>1936</v>
      </c>
      <c r="Q20" s="1">
        <f t="shared" si="26"/>
        <v>19366</v>
      </c>
    </row>
    <row r="21" spans="1:17" x14ac:dyDescent="0.3">
      <c r="A21" s="2">
        <f t="shared" si="8"/>
        <v>19</v>
      </c>
      <c r="B21" s="6">
        <f t="shared" si="9"/>
        <v>19</v>
      </c>
      <c r="C21" s="9">
        <f t="shared" si="3"/>
        <v>1693</v>
      </c>
      <c r="D21" s="6">
        <f t="shared" ref="D21" si="30">D20+1</f>
        <v>19</v>
      </c>
      <c r="E21" s="9">
        <f t="shared" si="4"/>
        <v>1693</v>
      </c>
      <c r="F21" s="3">
        <f t="shared" si="21"/>
        <v>66</v>
      </c>
      <c r="G21" s="3">
        <f t="shared" si="5"/>
        <v>1693</v>
      </c>
      <c r="H21" s="6">
        <f t="shared" si="6"/>
        <v>0.47500000000000014</v>
      </c>
      <c r="I21" s="9">
        <f t="shared" si="0"/>
        <v>153094</v>
      </c>
      <c r="J21" s="6">
        <f t="shared" si="12"/>
        <v>0.47500000000000014</v>
      </c>
      <c r="K21" s="11">
        <f t="shared" si="1"/>
        <v>2034</v>
      </c>
      <c r="N21" s="1"/>
      <c r="O21" s="1"/>
      <c r="P21" s="1">
        <f t="shared" si="2"/>
        <v>2034</v>
      </c>
      <c r="Q21" s="1">
        <f t="shared" si="26"/>
        <v>21400</v>
      </c>
    </row>
    <row r="22" spans="1:17" x14ac:dyDescent="0.3">
      <c r="A22" s="2">
        <f t="shared" si="8"/>
        <v>20</v>
      </c>
      <c r="B22" s="6">
        <f t="shared" si="9"/>
        <v>20</v>
      </c>
      <c r="C22" s="9">
        <f t="shared" si="3"/>
        <v>1774</v>
      </c>
      <c r="D22" s="6">
        <f t="shared" ref="D22" si="31">D21+1</f>
        <v>20</v>
      </c>
      <c r="E22" s="9">
        <f t="shared" si="4"/>
        <v>1774</v>
      </c>
      <c r="F22" s="3">
        <f>F21+4</f>
        <v>70</v>
      </c>
      <c r="G22" s="3">
        <f t="shared" si="5"/>
        <v>1774</v>
      </c>
      <c r="H22" s="6">
        <f t="shared" si="6"/>
        <v>0.50000000000000011</v>
      </c>
      <c r="I22" s="9">
        <f>ROUND(200 + (155000-200) * SIN( (A22-1) / 20 * PI() / 2 ), 0)</f>
        <v>154523</v>
      </c>
      <c r="J22" s="6">
        <f t="shared" si="12"/>
        <v>0.50000000000000011</v>
      </c>
      <c r="K22" s="11">
        <f t="shared" si="1"/>
        <v>2132</v>
      </c>
      <c r="N22" s="1"/>
      <c r="O22" s="1"/>
      <c r="P22" s="1">
        <f t="shared" si="2"/>
        <v>2132</v>
      </c>
      <c r="Q22" s="1">
        <f t="shared" si="26"/>
        <v>23532</v>
      </c>
    </row>
    <row r="23" spans="1:17" x14ac:dyDescent="0.3">
      <c r="A23" s="2">
        <f t="shared" si="8"/>
        <v>21</v>
      </c>
      <c r="B23" s="6">
        <f t="shared" si="9"/>
        <v>21</v>
      </c>
      <c r="C23" s="9">
        <f t="shared" si="3"/>
        <v>1854</v>
      </c>
      <c r="D23" s="6">
        <f t="shared" ref="D23" si="32">D22+1</f>
        <v>21</v>
      </c>
      <c r="E23" s="9">
        <f t="shared" si="4"/>
        <v>1854</v>
      </c>
      <c r="F23" s="3">
        <f t="shared" ref="F23:F31" si="33">F22+4</f>
        <v>74</v>
      </c>
      <c r="G23" s="3">
        <f t="shared" si="5"/>
        <v>1854</v>
      </c>
      <c r="H23" s="6">
        <f>H22+0.01</f>
        <v>0.51000000000000012</v>
      </c>
      <c r="I23" s="9">
        <f>160000</f>
        <v>160000</v>
      </c>
      <c r="J23" s="6">
        <f t="shared" si="12"/>
        <v>0.52500000000000013</v>
      </c>
      <c r="K23" s="11">
        <f t="shared" si="1"/>
        <v>2228</v>
      </c>
      <c r="N23" s="1"/>
      <c r="O23" s="1"/>
      <c r="P23" s="1">
        <f t="shared" si="2"/>
        <v>2228</v>
      </c>
      <c r="Q23" s="1">
        <f t="shared" si="26"/>
        <v>25760</v>
      </c>
    </row>
    <row r="24" spans="1:17" x14ac:dyDescent="0.3">
      <c r="A24" s="2">
        <f t="shared" si="8"/>
        <v>22</v>
      </c>
      <c r="B24" s="6">
        <f t="shared" si="9"/>
        <v>22</v>
      </c>
      <c r="C24" s="9">
        <f t="shared" si="3"/>
        <v>1933</v>
      </c>
      <c r="D24" s="6">
        <f t="shared" ref="D24" si="34">D23+1</f>
        <v>22</v>
      </c>
      <c r="E24" s="9">
        <f t="shared" si="4"/>
        <v>1933</v>
      </c>
      <c r="F24" s="3">
        <f t="shared" si="33"/>
        <v>78</v>
      </c>
      <c r="G24" s="3">
        <f t="shared" si="5"/>
        <v>1933</v>
      </c>
      <c r="H24" s="6">
        <f t="shared" ref="H24" si="35">H23+0.01</f>
        <v>0.52000000000000013</v>
      </c>
      <c r="I24" s="9">
        <f>I23+13870</f>
        <v>173870</v>
      </c>
      <c r="J24" s="6">
        <f t="shared" si="12"/>
        <v>0.55000000000000016</v>
      </c>
      <c r="K24" s="11">
        <f t="shared" si="1"/>
        <v>2324</v>
      </c>
      <c r="N24" s="1"/>
      <c r="O24" s="1"/>
      <c r="P24" s="1">
        <f t="shared" si="2"/>
        <v>2324</v>
      </c>
      <c r="Q24" s="1">
        <f t="shared" si="26"/>
        <v>28084</v>
      </c>
    </row>
    <row r="25" spans="1:17" x14ac:dyDescent="0.3">
      <c r="A25" s="2">
        <f t="shared" si="8"/>
        <v>23</v>
      </c>
      <c r="B25" s="6">
        <f t="shared" si="9"/>
        <v>23</v>
      </c>
      <c r="C25" s="9">
        <f t="shared" si="3"/>
        <v>2013</v>
      </c>
      <c r="D25" s="6">
        <f t="shared" ref="D25" si="36">D24+1</f>
        <v>23</v>
      </c>
      <c r="E25" s="9">
        <f t="shared" si="4"/>
        <v>2013</v>
      </c>
      <c r="F25" s="3">
        <f t="shared" si="33"/>
        <v>82</v>
      </c>
      <c r="G25" s="3">
        <f t="shared" si="5"/>
        <v>2013</v>
      </c>
      <c r="H25" s="6">
        <f t="shared" ref="H25:H72" si="37">H24+0.01</f>
        <v>0.53000000000000014</v>
      </c>
      <c r="I25" s="9">
        <f t="shared" ref="I25:I71" si="38">I24+13870</f>
        <v>187740</v>
      </c>
      <c r="J25" s="6">
        <f t="shared" si="12"/>
        <v>0.57500000000000018</v>
      </c>
      <c r="K25" s="11">
        <f t="shared" si="1"/>
        <v>2419</v>
      </c>
      <c r="N25" s="1"/>
      <c r="O25" s="1"/>
      <c r="P25" s="1">
        <f t="shared" si="2"/>
        <v>2419</v>
      </c>
      <c r="Q25" s="1">
        <f t="shared" si="26"/>
        <v>30503</v>
      </c>
    </row>
    <row r="26" spans="1:17" x14ac:dyDescent="0.3">
      <c r="A26" s="2">
        <f t="shared" si="8"/>
        <v>24</v>
      </c>
      <c r="B26" s="6">
        <f t="shared" si="9"/>
        <v>24</v>
      </c>
      <c r="C26" s="9">
        <f t="shared" si="3"/>
        <v>2091</v>
      </c>
      <c r="D26" s="6">
        <f t="shared" ref="D26" si="39">D25+1</f>
        <v>24</v>
      </c>
      <c r="E26" s="9">
        <f t="shared" si="4"/>
        <v>2091</v>
      </c>
      <c r="F26" s="3">
        <f t="shared" si="33"/>
        <v>86</v>
      </c>
      <c r="G26" s="3">
        <f t="shared" si="5"/>
        <v>2091</v>
      </c>
      <c r="H26" s="6">
        <f t="shared" si="37"/>
        <v>0.54000000000000015</v>
      </c>
      <c r="I26" s="9">
        <f t="shared" si="38"/>
        <v>201610</v>
      </c>
      <c r="J26" s="6">
        <f t="shared" si="12"/>
        <v>0.6000000000000002</v>
      </c>
      <c r="K26" s="11">
        <f t="shared" si="1"/>
        <v>2513</v>
      </c>
      <c r="N26" s="1"/>
      <c r="O26" s="1"/>
      <c r="P26" s="1">
        <f t="shared" si="2"/>
        <v>2513</v>
      </c>
      <c r="Q26" s="1">
        <f t="shared" si="26"/>
        <v>33016</v>
      </c>
    </row>
    <row r="27" spans="1:17" x14ac:dyDescent="0.3">
      <c r="A27" s="2">
        <f t="shared" si="8"/>
        <v>25</v>
      </c>
      <c r="B27" s="6">
        <f t="shared" si="9"/>
        <v>25</v>
      </c>
      <c r="C27" s="9">
        <f t="shared" si="3"/>
        <v>2170</v>
      </c>
      <c r="D27" s="6">
        <f t="shared" ref="D27" si="40">D26+1</f>
        <v>25</v>
      </c>
      <c r="E27" s="9">
        <f t="shared" si="4"/>
        <v>2170</v>
      </c>
      <c r="F27" s="3">
        <f t="shared" si="33"/>
        <v>90</v>
      </c>
      <c r="G27" s="3">
        <f t="shared" si="5"/>
        <v>2170</v>
      </c>
      <c r="H27" s="6">
        <f t="shared" si="37"/>
        <v>0.55000000000000016</v>
      </c>
      <c r="I27" s="9">
        <f t="shared" si="38"/>
        <v>215480</v>
      </c>
      <c r="J27" s="6">
        <f t="shared" si="12"/>
        <v>0.62500000000000022</v>
      </c>
      <c r="K27" s="11">
        <f t="shared" si="1"/>
        <v>2606</v>
      </c>
      <c r="N27" s="1"/>
      <c r="O27" s="1"/>
      <c r="P27" s="1">
        <f t="shared" si="2"/>
        <v>2606</v>
      </c>
      <c r="Q27" s="1">
        <f t="shared" si="26"/>
        <v>35622</v>
      </c>
    </row>
    <row r="28" spans="1:17" x14ac:dyDescent="0.3">
      <c r="A28" s="2">
        <f t="shared" si="8"/>
        <v>26</v>
      </c>
      <c r="B28" s="6">
        <f t="shared" si="9"/>
        <v>26</v>
      </c>
      <c r="C28" s="9">
        <f t="shared" si="3"/>
        <v>2248</v>
      </c>
      <c r="D28" s="6">
        <f t="shared" ref="D28" si="41">D27+1</f>
        <v>26</v>
      </c>
      <c r="E28" s="9">
        <f t="shared" si="4"/>
        <v>2248</v>
      </c>
      <c r="F28" s="3">
        <f t="shared" si="33"/>
        <v>94</v>
      </c>
      <c r="G28" s="3">
        <f t="shared" si="5"/>
        <v>2248</v>
      </c>
      <c r="H28" s="6">
        <f t="shared" si="37"/>
        <v>0.56000000000000016</v>
      </c>
      <c r="I28" s="9">
        <f t="shared" si="38"/>
        <v>229350</v>
      </c>
      <c r="J28" s="6">
        <f t="shared" si="12"/>
        <v>0.65000000000000024</v>
      </c>
      <c r="K28" s="11">
        <f t="shared" si="1"/>
        <v>2698</v>
      </c>
      <c r="N28" s="1"/>
      <c r="O28" s="1"/>
      <c r="P28" s="1">
        <f t="shared" si="2"/>
        <v>2698</v>
      </c>
      <c r="Q28" s="1">
        <f t="shared" si="26"/>
        <v>38320</v>
      </c>
    </row>
    <row r="29" spans="1:17" x14ac:dyDescent="0.3">
      <c r="A29" s="2">
        <f t="shared" si="8"/>
        <v>27</v>
      </c>
      <c r="B29" s="6">
        <f t="shared" si="9"/>
        <v>27</v>
      </c>
      <c r="C29" s="9">
        <f t="shared" si="3"/>
        <v>2325</v>
      </c>
      <c r="D29" s="6">
        <f t="shared" ref="D29" si="42">D28+1</f>
        <v>27</v>
      </c>
      <c r="E29" s="9">
        <f t="shared" si="4"/>
        <v>2325</v>
      </c>
      <c r="F29" s="3">
        <f t="shared" si="33"/>
        <v>98</v>
      </c>
      <c r="G29" s="3">
        <f t="shared" si="5"/>
        <v>2325</v>
      </c>
      <c r="H29" s="6">
        <f t="shared" si="37"/>
        <v>0.57000000000000017</v>
      </c>
      <c r="I29" s="9">
        <f t="shared" si="38"/>
        <v>243220</v>
      </c>
      <c r="J29" s="6">
        <f t="shared" si="12"/>
        <v>0.67500000000000027</v>
      </c>
      <c r="K29" s="11">
        <f t="shared" si="1"/>
        <v>2790</v>
      </c>
      <c r="N29" s="1"/>
      <c r="O29" s="1"/>
      <c r="P29" s="1">
        <f t="shared" si="2"/>
        <v>2790</v>
      </c>
      <c r="Q29" s="1">
        <f t="shared" si="26"/>
        <v>41110</v>
      </c>
    </row>
    <row r="30" spans="1:17" x14ac:dyDescent="0.3">
      <c r="A30" s="2">
        <f t="shared" si="8"/>
        <v>28</v>
      </c>
      <c r="B30" s="6">
        <f t="shared" si="9"/>
        <v>28</v>
      </c>
      <c r="C30" s="9">
        <f t="shared" si="3"/>
        <v>2402</v>
      </c>
      <c r="D30" s="6">
        <f t="shared" ref="D30" si="43">D29+1</f>
        <v>28</v>
      </c>
      <c r="E30" s="9">
        <f t="shared" si="4"/>
        <v>2402</v>
      </c>
      <c r="F30" s="3">
        <f t="shared" si="33"/>
        <v>102</v>
      </c>
      <c r="G30" s="3">
        <f t="shared" si="5"/>
        <v>2402</v>
      </c>
      <c r="H30" s="6">
        <f t="shared" si="37"/>
        <v>0.58000000000000018</v>
      </c>
      <c r="I30" s="9">
        <f t="shared" si="38"/>
        <v>257090</v>
      </c>
      <c r="J30" s="6">
        <f t="shared" si="12"/>
        <v>0.70000000000000029</v>
      </c>
      <c r="K30" s="11">
        <f t="shared" si="1"/>
        <v>2880</v>
      </c>
      <c r="N30" s="1"/>
      <c r="O30" s="1"/>
      <c r="P30" s="1">
        <f t="shared" si="2"/>
        <v>2880</v>
      </c>
      <c r="Q30" s="1">
        <f t="shared" si="26"/>
        <v>43990</v>
      </c>
    </row>
    <row r="31" spans="1:17" x14ac:dyDescent="0.3">
      <c r="A31" s="2">
        <f t="shared" si="8"/>
        <v>29</v>
      </c>
      <c r="B31" s="6">
        <f t="shared" si="9"/>
        <v>29</v>
      </c>
      <c r="C31" s="9">
        <f t="shared" si="3"/>
        <v>2478</v>
      </c>
      <c r="D31" s="6">
        <f t="shared" ref="D31" si="44">D30+1</f>
        <v>29</v>
      </c>
      <c r="E31" s="9">
        <f t="shared" si="4"/>
        <v>2478</v>
      </c>
      <c r="F31" s="3">
        <f t="shared" si="33"/>
        <v>106</v>
      </c>
      <c r="G31" s="3">
        <f t="shared" si="5"/>
        <v>2478</v>
      </c>
      <c r="H31" s="6">
        <f t="shared" si="37"/>
        <v>0.59000000000000019</v>
      </c>
      <c r="I31" s="9">
        <f t="shared" si="38"/>
        <v>270960</v>
      </c>
      <c r="J31" s="6">
        <f t="shared" si="12"/>
        <v>0.72500000000000031</v>
      </c>
      <c r="K31" s="11">
        <f t="shared" si="1"/>
        <v>2969</v>
      </c>
      <c r="N31" s="1"/>
      <c r="O31" s="1"/>
      <c r="P31" s="1">
        <f t="shared" si="2"/>
        <v>2969</v>
      </c>
      <c r="Q31" s="1">
        <f t="shared" si="26"/>
        <v>46959</v>
      </c>
    </row>
    <row r="32" spans="1:17" x14ac:dyDescent="0.3">
      <c r="A32" s="2">
        <f t="shared" si="8"/>
        <v>30</v>
      </c>
      <c r="B32" s="6">
        <f t="shared" si="9"/>
        <v>30</v>
      </c>
      <c r="C32" s="9">
        <f t="shared" si="3"/>
        <v>2554</v>
      </c>
      <c r="D32" s="6">
        <f t="shared" ref="D32" si="45">D31+1</f>
        <v>30</v>
      </c>
      <c r="E32" s="9">
        <f t="shared" si="4"/>
        <v>2554</v>
      </c>
      <c r="F32" s="3">
        <f>F31+5</f>
        <v>111</v>
      </c>
      <c r="G32" s="3">
        <f t="shared" si="5"/>
        <v>2554</v>
      </c>
      <c r="H32" s="6">
        <f t="shared" si="37"/>
        <v>0.6000000000000002</v>
      </c>
      <c r="I32" s="9">
        <f t="shared" si="38"/>
        <v>284830</v>
      </c>
      <c r="J32" s="6">
        <f t="shared" si="12"/>
        <v>0.75000000000000033</v>
      </c>
      <c r="K32" s="11">
        <f t="shared" si="1"/>
        <v>3057</v>
      </c>
      <c r="N32" s="1"/>
      <c r="O32" s="1"/>
      <c r="P32" s="1">
        <f t="shared" si="2"/>
        <v>3057</v>
      </c>
      <c r="Q32" s="1">
        <f t="shared" si="26"/>
        <v>50016</v>
      </c>
    </row>
    <row r="33" spans="1:17" x14ac:dyDescent="0.3">
      <c r="A33" s="2">
        <f t="shared" si="8"/>
        <v>31</v>
      </c>
      <c r="B33" s="6">
        <f t="shared" si="9"/>
        <v>31</v>
      </c>
      <c r="C33" s="9">
        <f t="shared" si="3"/>
        <v>2629</v>
      </c>
      <c r="D33" s="6">
        <f t="shared" ref="D33" si="46">D32+1</f>
        <v>31</v>
      </c>
      <c r="E33" s="9">
        <f t="shared" si="4"/>
        <v>2629</v>
      </c>
      <c r="F33" s="3">
        <f t="shared" ref="F33:F41" si="47">F32+5</f>
        <v>116</v>
      </c>
      <c r="G33" s="3">
        <f t="shared" si="5"/>
        <v>2629</v>
      </c>
      <c r="H33" s="6">
        <f t="shared" si="37"/>
        <v>0.61000000000000021</v>
      </c>
      <c r="I33" s="9">
        <f t="shared" si="38"/>
        <v>298700</v>
      </c>
      <c r="J33" s="6">
        <f t="shared" si="12"/>
        <v>0.77500000000000036</v>
      </c>
      <c r="K33" s="11">
        <f t="shared" si="1"/>
        <v>3145</v>
      </c>
      <c r="N33" s="1"/>
      <c r="O33" s="1"/>
      <c r="P33" s="1">
        <f t="shared" si="2"/>
        <v>3145</v>
      </c>
      <c r="Q33" s="1">
        <f t="shared" si="26"/>
        <v>53161</v>
      </c>
    </row>
    <row r="34" spans="1:17" x14ac:dyDescent="0.3">
      <c r="A34" s="2">
        <f t="shared" si="8"/>
        <v>32</v>
      </c>
      <c r="B34" s="6">
        <f t="shared" si="9"/>
        <v>32</v>
      </c>
      <c r="C34" s="9">
        <f t="shared" si="3"/>
        <v>2703</v>
      </c>
      <c r="D34" s="6">
        <f t="shared" ref="D34" si="48">D33+1</f>
        <v>32</v>
      </c>
      <c r="E34" s="9">
        <f t="shared" si="4"/>
        <v>2703</v>
      </c>
      <c r="F34" s="3">
        <f t="shared" si="47"/>
        <v>121</v>
      </c>
      <c r="G34" s="3">
        <f t="shared" si="5"/>
        <v>2703</v>
      </c>
      <c r="H34" s="6">
        <f t="shared" si="37"/>
        <v>0.62000000000000022</v>
      </c>
      <c r="I34" s="9">
        <f t="shared" si="38"/>
        <v>312570</v>
      </c>
      <c r="J34" s="6">
        <f t="shared" si="12"/>
        <v>0.80000000000000038</v>
      </c>
      <c r="K34" s="11">
        <f t="shared" si="1"/>
        <v>3230</v>
      </c>
      <c r="N34" s="1"/>
      <c r="O34" s="1"/>
      <c r="P34" s="1">
        <f t="shared" si="2"/>
        <v>3230</v>
      </c>
      <c r="Q34" s="1">
        <f t="shared" si="26"/>
        <v>56391</v>
      </c>
    </row>
    <row r="35" spans="1:17" x14ac:dyDescent="0.3">
      <c r="A35" s="2">
        <f t="shared" si="8"/>
        <v>33</v>
      </c>
      <c r="B35" s="6">
        <f t="shared" si="9"/>
        <v>33</v>
      </c>
      <c r="C35" s="9">
        <f t="shared" si="3"/>
        <v>2777</v>
      </c>
      <c r="D35" s="6">
        <f t="shared" ref="D35" si="49">D34+1</f>
        <v>33</v>
      </c>
      <c r="E35" s="9">
        <f t="shared" si="4"/>
        <v>2777</v>
      </c>
      <c r="F35" s="3">
        <f t="shared" si="47"/>
        <v>126</v>
      </c>
      <c r="G35" s="3">
        <f t="shared" si="5"/>
        <v>2777</v>
      </c>
      <c r="H35" s="6">
        <f t="shared" si="37"/>
        <v>0.63000000000000023</v>
      </c>
      <c r="I35" s="9">
        <f t="shared" si="38"/>
        <v>326440</v>
      </c>
      <c r="J35" s="6">
        <f t="shared" si="12"/>
        <v>0.8250000000000004</v>
      </c>
      <c r="K35" s="11">
        <f t="shared" si="1"/>
        <v>3315</v>
      </c>
      <c r="N35" s="1"/>
      <c r="O35" s="1"/>
      <c r="P35" s="1">
        <f t="shared" ref="P35:P66" si="50">K35</f>
        <v>3315</v>
      </c>
      <c r="Q35" s="1">
        <f t="shared" si="26"/>
        <v>59706</v>
      </c>
    </row>
    <row r="36" spans="1:17" x14ac:dyDescent="0.3">
      <c r="A36" s="2">
        <f t="shared" si="8"/>
        <v>34</v>
      </c>
      <c r="B36" s="6">
        <f t="shared" si="9"/>
        <v>34</v>
      </c>
      <c r="C36" s="9">
        <f t="shared" si="3"/>
        <v>2850</v>
      </c>
      <c r="D36" s="6">
        <f t="shared" ref="D36" si="51">D35+1</f>
        <v>34</v>
      </c>
      <c r="E36" s="9">
        <f t="shared" si="4"/>
        <v>2850</v>
      </c>
      <c r="F36" s="3">
        <f t="shared" si="47"/>
        <v>131</v>
      </c>
      <c r="G36" s="3">
        <f t="shared" si="5"/>
        <v>2850</v>
      </c>
      <c r="H36" s="6">
        <f t="shared" si="37"/>
        <v>0.64000000000000024</v>
      </c>
      <c r="I36" s="9">
        <f t="shared" si="38"/>
        <v>340310</v>
      </c>
      <c r="J36" s="6">
        <f t="shared" si="12"/>
        <v>0.85000000000000042</v>
      </c>
      <c r="K36" s="11">
        <f t="shared" si="1"/>
        <v>3399</v>
      </c>
      <c r="N36" s="1"/>
      <c r="O36" s="1"/>
      <c r="P36" s="1">
        <f t="shared" si="50"/>
        <v>3399</v>
      </c>
      <c r="Q36" s="1">
        <f t="shared" si="26"/>
        <v>63105</v>
      </c>
    </row>
    <row r="37" spans="1:17" x14ac:dyDescent="0.3">
      <c r="A37" s="2">
        <f t="shared" si="8"/>
        <v>35</v>
      </c>
      <c r="B37" s="6">
        <f t="shared" si="9"/>
        <v>35</v>
      </c>
      <c r="C37" s="9">
        <f t="shared" si="3"/>
        <v>2922</v>
      </c>
      <c r="D37" s="6">
        <f t="shared" ref="D37" si="52">D36+1</f>
        <v>35</v>
      </c>
      <c r="E37" s="9">
        <f t="shared" si="4"/>
        <v>2922</v>
      </c>
      <c r="F37" s="3">
        <f t="shared" si="47"/>
        <v>136</v>
      </c>
      <c r="G37" s="3">
        <f t="shared" si="5"/>
        <v>2922</v>
      </c>
      <c r="H37" s="6">
        <f t="shared" si="37"/>
        <v>0.65000000000000024</v>
      </c>
      <c r="I37" s="9">
        <f t="shared" si="38"/>
        <v>354180</v>
      </c>
      <c r="J37" s="6">
        <f t="shared" si="12"/>
        <v>0.87500000000000044</v>
      </c>
      <c r="K37" s="11">
        <f t="shared" si="1"/>
        <v>3481</v>
      </c>
      <c r="N37" s="1"/>
      <c r="O37" s="1"/>
      <c r="P37" s="1">
        <f t="shared" si="50"/>
        <v>3481</v>
      </c>
      <c r="Q37" s="1">
        <f t="shared" si="26"/>
        <v>66586</v>
      </c>
    </row>
    <row r="38" spans="1:17" x14ac:dyDescent="0.3">
      <c r="A38" s="2">
        <f t="shared" si="8"/>
        <v>36</v>
      </c>
      <c r="B38" s="6">
        <f t="shared" si="9"/>
        <v>36</v>
      </c>
      <c r="C38" s="9">
        <f t="shared" si="3"/>
        <v>2994</v>
      </c>
      <c r="D38" s="6">
        <f t="shared" ref="D38" si="53">D37+1</f>
        <v>36</v>
      </c>
      <c r="E38" s="9">
        <f t="shared" si="4"/>
        <v>2994</v>
      </c>
      <c r="F38" s="3">
        <f t="shared" si="47"/>
        <v>141</v>
      </c>
      <c r="G38" s="3">
        <f t="shared" si="5"/>
        <v>2994</v>
      </c>
      <c r="H38" s="6">
        <f t="shared" si="37"/>
        <v>0.66000000000000025</v>
      </c>
      <c r="I38" s="9">
        <f t="shared" si="38"/>
        <v>368050</v>
      </c>
      <c r="J38" s="6">
        <f t="shared" si="12"/>
        <v>0.90000000000000047</v>
      </c>
      <c r="K38" s="11">
        <f t="shared" si="1"/>
        <v>3562</v>
      </c>
      <c r="N38" s="1"/>
      <c r="O38" s="1"/>
      <c r="P38" s="1">
        <f t="shared" si="50"/>
        <v>3562</v>
      </c>
      <c r="Q38" s="1">
        <f t="shared" si="26"/>
        <v>70148</v>
      </c>
    </row>
    <row r="39" spans="1:17" x14ac:dyDescent="0.3">
      <c r="A39" s="2">
        <f t="shared" si="8"/>
        <v>37</v>
      </c>
      <c r="B39" s="6">
        <f t="shared" si="9"/>
        <v>37</v>
      </c>
      <c r="C39" s="9">
        <f t="shared" si="3"/>
        <v>3065</v>
      </c>
      <c r="D39" s="6">
        <f t="shared" ref="D39" si="54">D38+1</f>
        <v>37</v>
      </c>
      <c r="E39" s="9">
        <f t="shared" si="4"/>
        <v>3065</v>
      </c>
      <c r="F39" s="3">
        <f t="shared" si="47"/>
        <v>146</v>
      </c>
      <c r="G39" s="3">
        <f t="shared" si="5"/>
        <v>3065</v>
      </c>
      <c r="H39" s="6">
        <f t="shared" si="37"/>
        <v>0.67000000000000026</v>
      </c>
      <c r="I39" s="9">
        <f t="shared" si="38"/>
        <v>381920</v>
      </c>
      <c r="J39" s="6">
        <f t="shared" si="12"/>
        <v>0.92500000000000049</v>
      </c>
      <c r="K39" s="11">
        <f t="shared" si="1"/>
        <v>3642</v>
      </c>
      <c r="N39" s="1"/>
      <c r="O39" s="1"/>
      <c r="P39" s="1">
        <f t="shared" si="50"/>
        <v>3642</v>
      </c>
      <c r="Q39" s="1">
        <f t="shared" si="26"/>
        <v>73790</v>
      </c>
    </row>
    <row r="40" spans="1:17" x14ac:dyDescent="0.3">
      <c r="A40" s="2">
        <f t="shared" si="8"/>
        <v>38</v>
      </c>
      <c r="B40" s="6">
        <f t="shared" si="9"/>
        <v>38</v>
      </c>
      <c r="C40" s="9">
        <f t="shared" si="3"/>
        <v>3136</v>
      </c>
      <c r="D40" s="6">
        <f t="shared" ref="D40" si="55">D39+1</f>
        <v>38</v>
      </c>
      <c r="E40" s="9">
        <f t="shared" si="4"/>
        <v>3136</v>
      </c>
      <c r="F40" s="3">
        <f t="shared" si="47"/>
        <v>151</v>
      </c>
      <c r="G40" s="3">
        <f t="shared" si="5"/>
        <v>3136</v>
      </c>
      <c r="H40" s="6">
        <f t="shared" si="37"/>
        <v>0.68000000000000027</v>
      </c>
      <c r="I40" s="9">
        <f t="shared" si="38"/>
        <v>395790</v>
      </c>
      <c r="J40" s="6">
        <f t="shared" si="12"/>
        <v>0.95000000000000051</v>
      </c>
      <c r="K40" s="11">
        <f t="shared" si="1"/>
        <v>3721</v>
      </c>
      <c r="N40" s="1"/>
      <c r="O40" s="1"/>
      <c r="P40" s="1">
        <f t="shared" si="50"/>
        <v>3721</v>
      </c>
      <c r="Q40" s="1">
        <f t="shared" si="26"/>
        <v>77511</v>
      </c>
    </row>
    <row r="41" spans="1:17" x14ac:dyDescent="0.3">
      <c r="A41" s="2">
        <f t="shared" si="8"/>
        <v>39</v>
      </c>
      <c r="B41" s="6">
        <f t="shared" si="9"/>
        <v>39</v>
      </c>
      <c r="C41" s="9">
        <f t="shared" si="3"/>
        <v>3205</v>
      </c>
      <c r="D41" s="6">
        <f t="shared" ref="D41" si="56">D40+1</f>
        <v>39</v>
      </c>
      <c r="E41" s="9">
        <f t="shared" si="4"/>
        <v>3205</v>
      </c>
      <c r="F41" s="3">
        <f t="shared" si="47"/>
        <v>156</v>
      </c>
      <c r="G41" s="3">
        <f t="shared" si="5"/>
        <v>3205</v>
      </c>
      <c r="H41" s="6">
        <f t="shared" si="37"/>
        <v>0.69000000000000028</v>
      </c>
      <c r="I41" s="9">
        <f t="shared" si="38"/>
        <v>409660</v>
      </c>
      <c r="J41" s="6">
        <f t="shared" si="12"/>
        <v>0.97500000000000053</v>
      </c>
      <c r="K41" s="11">
        <f t="shared" si="1"/>
        <v>3798</v>
      </c>
      <c r="N41" s="1"/>
      <c r="O41" s="1"/>
      <c r="P41" s="1">
        <f t="shared" si="50"/>
        <v>3798</v>
      </c>
      <c r="Q41" s="1">
        <f t="shared" si="26"/>
        <v>81309</v>
      </c>
    </row>
    <row r="42" spans="1:17" x14ac:dyDescent="0.3">
      <c r="A42" s="2">
        <f t="shared" si="8"/>
        <v>40</v>
      </c>
      <c r="B42" s="6">
        <f t="shared" si="9"/>
        <v>40</v>
      </c>
      <c r="C42" s="9">
        <f t="shared" si="3"/>
        <v>3274</v>
      </c>
      <c r="D42" s="6">
        <f t="shared" ref="D42" si="57">D41+1</f>
        <v>40</v>
      </c>
      <c r="E42" s="9">
        <f t="shared" si="4"/>
        <v>3274</v>
      </c>
      <c r="F42" s="3">
        <f>F41+6</f>
        <v>162</v>
      </c>
      <c r="G42" s="3">
        <f t="shared" si="5"/>
        <v>3274</v>
      </c>
      <c r="H42" s="6">
        <f t="shared" si="37"/>
        <v>0.70000000000000029</v>
      </c>
      <c r="I42" s="9">
        <f t="shared" si="38"/>
        <v>423530</v>
      </c>
      <c r="J42" s="6">
        <f t="shared" si="12"/>
        <v>1.0000000000000004</v>
      </c>
      <c r="K42" s="11">
        <f t="shared" si="1"/>
        <v>3873</v>
      </c>
      <c r="N42" s="1"/>
      <c r="O42" s="1"/>
      <c r="P42" s="1">
        <f t="shared" si="50"/>
        <v>3873</v>
      </c>
      <c r="Q42" s="1">
        <f t="shared" si="26"/>
        <v>85182</v>
      </c>
    </row>
    <row r="43" spans="1:17" x14ac:dyDescent="0.3">
      <c r="A43" s="2">
        <f t="shared" si="8"/>
        <v>41</v>
      </c>
      <c r="B43" s="6">
        <f>B42+2</f>
        <v>42</v>
      </c>
      <c r="C43" s="9">
        <f t="shared" si="3"/>
        <v>3342</v>
      </c>
      <c r="D43" s="6">
        <f>D42+2</f>
        <v>42</v>
      </c>
      <c r="E43" s="9">
        <f t="shared" si="4"/>
        <v>3342</v>
      </c>
      <c r="F43" s="3">
        <f t="shared" ref="F43:F51" si="58">F42+6</f>
        <v>168</v>
      </c>
      <c r="G43" s="3">
        <f t="shared" si="5"/>
        <v>3342</v>
      </c>
      <c r="H43" s="6">
        <f t="shared" si="37"/>
        <v>0.7100000000000003</v>
      </c>
      <c r="I43" s="9">
        <f t="shared" si="38"/>
        <v>437400</v>
      </c>
      <c r="J43" s="6">
        <f t="shared" si="12"/>
        <v>1.0250000000000004</v>
      </c>
      <c r="K43" s="11">
        <f t="shared" si="1"/>
        <v>3948</v>
      </c>
      <c r="N43" s="1"/>
      <c r="O43" s="1"/>
      <c r="P43" s="1">
        <f t="shared" si="50"/>
        <v>3948</v>
      </c>
      <c r="Q43" s="1">
        <f t="shared" si="26"/>
        <v>89130</v>
      </c>
    </row>
    <row r="44" spans="1:17" x14ac:dyDescent="0.3">
      <c r="A44" s="2">
        <f t="shared" si="8"/>
        <v>42</v>
      </c>
      <c r="B44" s="6">
        <f t="shared" ref="B44:D61" si="59">B43+2</f>
        <v>44</v>
      </c>
      <c r="C44" s="9">
        <f t="shared" si="3"/>
        <v>3410</v>
      </c>
      <c r="D44" s="6">
        <f t="shared" si="59"/>
        <v>44</v>
      </c>
      <c r="E44" s="9">
        <f t="shared" si="4"/>
        <v>3410</v>
      </c>
      <c r="F44" s="3">
        <f t="shared" si="58"/>
        <v>174</v>
      </c>
      <c r="G44" s="3">
        <f t="shared" si="5"/>
        <v>3410</v>
      </c>
      <c r="H44" s="6">
        <f t="shared" si="37"/>
        <v>0.72000000000000031</v>
      </c>
      <c r="I44" s="9">
        <f t="shared" si="38"/>
        <v>451270</v>
      </c>
      <c r="J44" s="6">
        <f t="shared" si="12"/>
        <v>1.0500000000000003</v>
      </c>
      <c r="K44" s="11">
        <f t="shared" si="1"/>
        <v>4021</v>
      </c>
      <c r="N44" s="1"/>
      <c r="O44" s="1"/>
      <c r="P44" s="1">
        <f t="shared" si="50"/>
        <v>4021</v>
      </c>
      <c r="Q44" s="1">
        <f t="shared" si="26"/>
        <v>93151</v>
      </c>
    </row>
    <row r="45" spans="1:17" x14ac:dyDescent="0.3">
      <c r="A45" s="2">
        <f t="shared" si="8"/>
        <v>43</v>
      </c>
      <c r="B45" s="6">
        <f t="shared" si="59"/>
        <v>46</v>
      </c>
      <c r="C45" s="9">
        <f t="shared" si="3"/>
        <v>3476</v>
      </c>
      <c r="D45" s="6">
        <f t="shared" si="59"/>
        <v>46</v>
      </c>
      <c r="E45" s="9">
        <f t="shared" si="4"/>
        <v>3476</v>
      </c>
      <c r="F45" s="3">
        <f t="shared" si="58"/>
        <v>180</v>
      </c>
      <c r="G45" s="3">
        <f t="shared" si="5"/>
        <v>3476</v>
      </c>
      <c r="H45" s="6">
        <f t="shared" si="37"/>
        <v>0.73000000000000032</v>
      </c>
      <c r="I45" s="9">
        <f t="shared" si="38"/>
        <v>465140</v>
      </c>
      <c r="J45" s="6">
        <f t="shared" si="12"/>
        <v>1.0750000000000002</v>
      </c>
      <c r="K45" s="11">
        <f t="shared" si="1"/>
        <v>4092</v>
      </c>
      <c r="N45" s="1"/>
      <c r="O45" s="1"/>
      <c r="P45" s="1">
        <f t="shared" si="50"/>
        <v>4092</v>
      </c>
      <c r="Q45" s="1">
        <f t="shared" si="26"/>
        <v>97243</v>
      </c>
    </row>
    <row r="46" spans="1:17" x14ac:dyDescent="0.3">
      <c r="A46" s="2">
        <f t="shared" si="8"/>
        <v>44</v>
      </c>
      <c r="B46" s="6">
        <f t="shared" si="59"/>
        <v>48</v>
      </c>
      <c r="C46" s="9">
        <f t="shared" si="3"/>
        <v>3542</v>
      </c>
      <c r="D46" s="6">
        <f t="shared" si="59"/>
        <v>48</v>
      </c>
      <c r="E46" s="9">
        <f t="shared" si="4"/>
        <v>3542</v>
      </c>
      <c r="F46" s="3">
        <f t="shared" si="58"/>
        <v>186</v>
      </c>
      <c r="G46" s="3">
        <f t="shared" si="5"/>
        <v>3542</v>
      </c>
      <c r="H46" s="6">
        <f t="shared" si="37"/>
        <v>0.74000000000000032</v>
      </c>
      <c r="I46" s="9">
        <f t="shared" si="38"/>
        <v>479010</v>
      </c>
      <c r="J46" s="6">
        <f t="shared" si="12"/>
        <v>1.1000000000000001</v>
      </c>
      <c r="K46" s="11">
        <f t="shared" si="1"/>
        <v>4162</v>
      </c>
      <c r="N46" s="1"/>
      <c r="O46" s="1"/>
      <c r="P46" s="1">
        <f t="shared" si="50"/>
        <v>4162</v>
      </c>
      <c r="Q46" s="1">
        <f t="shared" si="26"/>
        <v>101405</v>
      </c>
    </row>
    <row r="47" spans="1:17" x14ac:dyDescent="0.3">
      <c r="A47" s="2">
        <f t="shared" si="8"/>
        <v>45</v>
      </c>
      <c r="B47" s="6">
        <f t="shared" si="59"/>
        <v>50</v>
      </c>
      <c r="C47" s="9">
        <f t="shared" si="3"/>
        <v>3607</v>
      </c>
      <c r="D47" s="6">
        <f t="shared" si="59"/>
        <v>50</v>
      </c>
      <c r="E47" s="9">
        <f t="shared" si="4"/>
        <v>3607</v>
      </c>
      <c r="F47" s="3">
        <f t="shared" si="58"/>
        <v>192</v>
      </c>
      <c r="G47" s="3">
        <f t="shared" si="5"/>
        <v>3607</v>
      </c>
      <c r="H47" s="6">
        <f t="shared" si="37"/>
        <v>0.75000000000000033</v>
      </c>
      <c r="I47" s="9">
        <f t="shared" si="38"/>
        <v>492880</v>
      </c>
      <c r="J47" s="6">
        <f t="shared" si="12"/>
        <v>1.125</v>
      </c>
      <c r="K47" s="11">
        <f t="shared" si="1"/>
        <v>4230</v>
      </c>
      <c r="N47" s="1"/>
      <c r="O47" s="1"/>
      <c r="P47" s="1">
        <f t="shared" si="50"/>
        <v>4230</v>
      </c>
      <c r="Q47" s="1">
        <f t="shared" si="26"/>
        <v>105635</v>
      </c>
    </row>
    <row r="48" spans="1:17" x14ac:dyDescent="0.3">
      <c r="A48" s="2">
        <f t="shared" si="8"/>
        <v>46</v>
      </c>
      <c r="B48" s="6">
        <f t="shared" si="59"/>
        <v>52</v>
      </c>
      <c r="C48" s="9">
        <f t="shared" si="3"/>
        <v>3671</v>
      </c>
      <c r="D48" s="6">
        <f t="shared" si="59"/>
        <v>52</v>
      </c>
      <c r="E48" s="9">
        <f t="shared" si="4"/>
        <v>3671</v>
      </c>
      <c r="F48" s="3">
        <f t="shared" si="58"/>
        <v>198</v>
      </c>
      <c r="G48" s="3">
        <f t="shared" si="5"/>
        <v>3671</v>
      </c>
      <c r="H48" s="6">
        <f t="shared" si="37"/>
        <v>0.76000000000000034</v>
      </c>
      <c r="I48" s="9">
        <f t="shared" si="38"/>
        <v>506750</v>
      </c>
      <c r="J48" s="6">
        <f t="shared" si="12"/>
        <v>1.1499999999999999</v>
      </c>
      <c r="K48" s="11">
        <f t="shared" si="1"/>
        <v>4297</v>
      </c>
      <c r="N48" s="1"/>
      <c r="O48" s="1"/>
      <c r="P48" s="1">
        <f t="shared" si="50"/>
        <v>4297</v>
      </c>
      <c r="Q48" s="1">
        <f t="shared" si="26"/>
        <v>109932</v>
      </c>
    </row>
    <row r="49" spans="1:17" x14ac:dyDescent="0.3">
      <c r="A49" s="2">
        <f t="shared" si="8"/>
        <v>47</v>
      </c>
      <c r="B49" s="6">
        <f t="shared" si="59"/>
        <v>54</v>
      </c>
      <c r="C49" s="9">
        <f t="shared" si="3"/>
        <v>3734</v>
      </c>
      <c r="D49" s="6">
        <f t="shared" si="59"/>
        <v>54</v>
      </c>
      <c r="E49" s="9">
        <f t="shared" si="4"/>
        <v>3734</v>
      </c>
      <c r="F49" s="3">
        <f t="shared" si="58"/>
        <v>204</v>
      </c>
      <c r="G49" s="3">
        <f t="shared" si="5"/>
        <v>3734</v>
      </c>
      <c r="H49" s="6">
        <f t="shared" si="37"/>
        <v>0.77000000000000035</v>
      </c>
      <c r="I49" s="9">
        <f t="shared" si="38"/>
        <v>520620</v>
      </c>
      <c r="J49" s="6">
        <f t="shared" si="12"/>
        <v>1.1749999999999998</v>
      </c>
      <c r="K49" s="11">
        <f t="shared" si="1"/>
        <v>4362</v>
      </c>
      <c r="N49" s="1"/>
      <c r="O49" s="1"/>
      <c r="P49" s="1">
        <f t="shared" si="50"/>
        <v>4362</v>
      </c>
      <c r="Q49" s="1">
        <f t="shared" ref="Q49:Q80" si="60">Q48+K49</f>
        <v>114294</v>
      </c>
    </row>
    <row r="50" spans="1:17" x14ac:dyDescent="0.3">
      <c r="A50" s="2">
        <f t="shared" si="8"/>
        <v>48</v>
      </c>
      <c r="B50" s="6">
        <f t="shared" si="59"/>
        <v>56</v>
      </c>
      <c r="C50" s="9">
        <f t="shared" si="3"/>
        <v>3796</v>
      </c>
      <c r="D50" s="6">
        <f t="shared" si="59"/>
        <v>56</v>
      </c>
      <c r="E50" s="9">
        <f t="shared" si="4"/>
        <v>3796</v>
      </c>
      <c r="F50" s="3">
        <f t="shared" si="58"/>
        <v>210</v>
      </c>
      <c r="G50" s="3">
        <f t="shared" si="5"/>
        <v>3796</v>
      </c>
      <c r="H50" s="6">
        <f t="shared" si="37"/>
        <v>0.78000000000000036</v>
      </c>
      <c r="I50" s="9">
        <f t="shared" si="38"/>
        <v>534490</v>
      </c>
      <c r="J50" s="6">
        <f t="shared" si="12"/>
        <v>1.1999999999999997</v>
      </c>
      <c r="K50" s="11">
        <f t="shared" si="1"/>
        <v>4426</v>
      </c>
      <c r="N50" s="1"/>
      <c r="O50" s="1"/>
      <c r="P50" s="1">
        <f t="shared" si="50"/>
        <v>4426</v>
      </c>
      <c r="Q50" s="1">
        <f t="shared" si="60"/>
        <v>118720</v>
      </c>
    </row>
    <row r="51" spans="1:17" x14ac:dyDescent="0.3">
      <c r="A51" s="2">
        <f t="shared" si="8"/>
        <v>49</v>
      </c>
      <c r="B51" s="6">
        <f t="shared" si="59"/>
        <v>58</v>
      </c>
      <c r="C51" s="9">
        <f t="shared" si="3"/>
        <v>3857</v>
      </c>
      <c r="D51" s="6">
        <f t="shared" si="59"/>
        <v>58</v>
      </c>
      <c r="E51" s="9">
        <f t="shared" si="4"/>
        <v>3857</v>
      </c>
      <c r="F51" s="3">
        <f t="shared" si="58"/>
        <v>216</v>
      </c>
      <c r="G51" s="3">
        <f t="shared" si="5"/>
        <v>3857</v>
      </c>
      <c r="H51" s="6">
        <f t="shared" si="37"/>
        <v>0.79000000000000037</v>
      </c>
      <c r="I51" s="9">
        <f t="shared" si="38"/>
        <v>548360</v>
      </c>
      <c r="J51" s="6">
        <f t="shared" si="12"/>
        <v>1.2249999999999996</v>
      </c>
      <c r="K51" s="11">
        <f t="shared" si="1"/>
        <v>4488</v>
      </c>
      <c r="N51" s="1"/>
      <c r="O51" s="1"/>
      <c r="P51" s="1">
        <f t="shared" si="50"/>
        <v>4488</v>
      </c>
      <c r="Q51" s="1">
        <f t="shared" si="60"/>
        <v>123208</v>
      </c>
    </row>
    <row r="52" spans="1:17" x14ac:dyDescent="0.3">
      <c r="A52" s="2">
        <f t="shared" si="8"/>
        <v>50</v>
      </c>
      <c r="B52" s="6">
        <f t="shared" si="59"/>
        <v>60</v>
      </c>
      <c r="C52" s="9">
        <f t="shared" si="3"/>
        <v>3918</v>
      </c>
      <c r="D52" s="6">
        <f t="shared" si="59"/>
        <v>60</v>
      </c>
      <c r="E52" s="9">
        <f t="shared" si="4"/>
        <v>3918</v>
      </c>
      <c r="F52" s="3">
        <f>F51+7</f>
        <v>223</v>
      </c>
      <c r="G52" s="3">
        <f t="shared" si="5"/>
        <v>3918</v>
      </c>
      <c r="H52" s="6">
        <f t="shared" si="37"/>
        <v>0.80000000000000038</v>
      </c>
      <c r="I52" s="9">
        <f t="shared" si="38"/>
        <v>562230</v>
      </c>
      <c r="J52" s="6">
        <f t="shared" si="12"/>
        <v>1.2499999999999996</v>
      </c>
      <c r="K52" s="11">
        <f t="shared" si="1"/>
        <v>4548</v>
      </c>
      <c r="N52" s="1"/>
      <c r="O52" s="1"/>
      <c r="P52" s="1">
        <f t="shared" si="50"/>
        <v>4548</v>
      </c>
      <c r="Q52" s="1">
        <f t="shared" si="60"/>
        <v>127756</v>
      </c>
    </row>
    <row r="53" spans="1:17" x14ac:dyDescent="0.3">
      <c r="A53" s="2">
        <f t="shared" si="8"/>
        <v>51</v>
      </c>
      <c r="B53" s="6">
        <f t="shared" si="59"/>
        <v>62</v>
      </c>
      <c r="C53" s="9">
        <f t="shared" si="3"/>
        <v>3977</v>
      </c>
      <c r="D53" s="6">
        <f t="shared" si="59"/>
        <v>62</v>
      </c>
      <c r="E53" s="9">
        <f t="shared" si="4"/>
        <v>3977</v>
      </c>
      <c r="F53" s="3">
        <f t="shared" ref="F53:F61" si="61">F52+7</f>
        <v>230</v>
      </c>
      <c r="G53" s="3">
        <f t="shared" si="5"/>
        <v>3977</v>
      </c>
      <c r="H53" s="6">
        <f t="shared" si="37"/>
        <v>0.81000000000000039</v>
      </c>
      <c r="I53" s="9">
        <f t="shared" si="38"/>
        <v>576100</v>
      </c>
      <c r="J53" s="6">
        <f t="shared" si="12"/>
        <v>1.2749999999999995</v>
      </c>
      <c r="K53" s="11">
        <f t="shared" si="1"/>
        <v>4607</v>
      </c>
      <c r="N53" s="1"/>
      <c r="O53" s="1"/>
      <c r="P53" s="1">
        <f t="shared" si="50"/>
        <v>4607</v>
      </c>
      <c r="Q53" s="1">
        <f t="shared" si="60"/>
        <v>132363</v>
      </c>
    </row>
    <row r="54" spans="1:17" x14ac:dyDescent="0.3">
      <c r="A54" s="2">
        <f t="shared" si="8"/>
        <v>52</v>
      </c>
      <c r="B54" s="6">
        <f t="shared" si="59"/>
        <v>64</v>
      </c>
      <c r="C54" s="9">
        <f t="shared" si="3"/>
        <v>4036</v>
      </c>
      <c r="D54" s="6">
        <f t="shared" si="59"/>
        <v>64</v>
      </c>
      <c r="E54" s="9">
        <f t="shared" si="4"/>
        <v>4036</v>
      </c>
      <c r="F54" s="3">
        <f t="shared" si="61"/>
        <v>237</v>
      </c>
      <c r="G54" s="3">
        <f t="shared" si="5"/>
        <v>4036</v>
      </c>
      <c r="H54" s="6">
        <f t="shared" si="37"/>
        <v>0.8200000000000004</v>
      </c>
      <c r="I54" s="9">
        <f t="shared" si="38"/>
        <v>589970</v>
      </c>
      <c r="J54" s="6">
        <f t="shared" si="12"/>
        <v>1.2999999999999994</v>
      </c>
      <c r="K54" s="11">
        <f t="shared" si="1"/>
        <v>4664</v>
      </c>
      <c r="N54" s="1"/>
      <c r="O54" s="1"/>
      <c r="P54" s="1">
        <f t="shared" si="50"/>
        <v>4664</v>
      </c>
      <c r="Q54" s="1">
        <f t="shared" si="60"/>
        <v>137027</v>
      </c>
    </row>
    <row r="55" spans="1:17" x14ac:dyDescent="0.3">
      <c r="A55" s="2">
        <f t="shared" si="8"/>
        <v>53</v>
      </c>
      <c r="B55" s="6">
        <f t="shared" si="59"/>
        <v>66</v>
      </c>
      <c r="C55" s="9">
        <f t="shared" si="3"/>
        <v>4093</v>
      </c>
      <c r="D55" s="6">
        <f t="shared" si="59"/>
        <v>66</v>
      </c>
      <c r="E55" s="9">
        <f t="shared" si="4"/>
        <v>4093</v>
      </c>
      <c r="F55" s="3">
        <f t="shared" si="61"/>
        <v>244</v>
      </c>
      <c r="G55" s="3">
        <f t="shared" si="5"/>
        <v>4093</v>
      </c>
      <c r="H55" s="6">
        <f t="shared" si="37"/>
        <v>0.8300000000000004</v>
      </c>
      <c r="I55" s="9">
        <f t="shared" si="38"/>
        <v>603840</v>
      </c>
      <c r="J55" s="6">
        <f t="shared" si="12"/>
        <v>1.3249999999999993</v>
      </c>
      <c r="K55" s="11">
        <f t="shared" si="1"/>
        <v>4719</v>
      </c>
      <c r="N55" s="1"/>
      <c r="O55" s="1"/>
      <c r="P55" s="1">
        <f t="shared" si="50"/>
        <v>4719</v>
      </c>
      <c r="Q55" s="1">
        <f t="shared" si="60"/>
        <v>141746</v>
      </c>
    </row>
    <row r="56" spans="1:17" x14ac:dyDescent="0.3">
      <c r="A56" s="2">
        <f t="shared" si="8"/>
        <v>54</v>
      </c>
      <c r="B56" s="6">
        <f t="shared" si="59"/>
        <v>68</v>
      </c>
      <c r="C56" s="9">
        <f t="shared" si="3"/>
        <v>4150</v>
      </c>
      <c r="D56" s="6">
        <f t="shared" si="59"/>
        <v>68</v>
      </c>
      <c r="E56" s="9">
        <f t="shared" si="4"/>
        <v>4150</v>
      </c>
      <c r="F56" s="3">
        <f t="shared" si="61"/>
        <v>251</v>
      </c>
      <c r="G56" s="3">
        <f t="shared" si="5"/>
        <v>4150</v>
      </c>
      <c r="H56" s="6">
        <f t="shared" si="37"/>
        <v>0.84000000000000041</v>
      </c>
      <c r="I56" s="9">
        <f t="shared" si="38"/>
        <v>617710</v>
      </c>
      <c r="J56" s="6">
        <f t="shared" si="12"/>
        <v>1.3499999999999992</v>
      </c>
      <c r="K56" s="11">
        <f t="shared" si="1"/>
        <v>4772</v>
      </c>
      <c r="N56" s="1"/>
      <c r="O56" s="1"/>
      <c r="P56" s="1">
        <f t="shared" si="50"/>
        <v>4772</v>
      </c>
      <c r="Q56" s="1">
        <f t="shared" si="60"/>
        <v>146518</v>
      </c>
    </row>
    <row r="57" spans="1:17" x14ac:dyDescent="0.3">
      <c r="A57" s="2">
        <f t="shared" si="8"/>
        <v>55</v>
      </c>
      <c r="B57" s="6">
        <f t="shared" si="59"/>
        <v>70</v>
      </c>
      <c r="C57" s="9">
        <f t="shared" si="3"/>
        <v>4205</v>
      </c>
      <c r="D57" s="6">
        <f t="shared" si="59"/>
        <v>70</v>
      </c>
      <c r="E57" s="9">
        <f t="shared" si="4"/>
        <v>4205</v>
      </c>
      <c r="F57" s="3">
        <f t="shared" si="61"/>
        <v>258</v>
      </c>
      <c r="G57" s="3">
        <f t="shared" si="5"/>
        <v>4205</v>
      </c>
      <c r="H57" s="6">
        <f t="shared" si="37"/>
        <v>0.85000000000000042</v>
      </c>
      <c r="I57" s="9">
        <f t="shared" si="38"/>
        <v>631580</v>
      </c>
      <c r="J57" s="6">
        <f t="shared" si="12"/>
        <v>1.3749999999999991</v>
      </c>
      <c r="K57" s="11">
        <f t="shared" si="1"/>
        <v>4824</v>
      </c>
      <c r="N57" s="1"/>
      <c r="O57" s="1"/>
      <c r="P57" s="1">
        <f t="shared" si="50"/>
        <v>4824</v>
      </c>
      <c r="Q57" s="1">
        <f t="shared" si="60"/>
        <v>151342</v>
      </c>
    </row>
    <row r="58" spans="1:17" x14ac:dyDescent="0.3">
      <c r="A58" s="2">
        <f t="shared" si="8"/>
        <v>56</v>
      </c>
      <c r="B58" s="6">
        <f t="shared" si="59"/>
        <v>72</v>
      </c>
      <c r="C58" s="9">
        <f t="shared" si="3"/>
        <v>4260</v>
      </c>
      <c r="D58" s="6">
        <f t="shared" si="59"/>
        <v>72</v>
      </c>
      <c r="E58" s="9">
        <f t="shared" si="4"/>
        <v>4260</v>
      </c>
      <c r="F58" s="3">
        <f t="shared" si="61"/>
        <v>265</v>
      </c>
      <c r="G58" s="3">
        <f t="shared" si="5"/>
        <v>4260</v>
      </c>
      <c r="H58" s="6">
        <f t="shared" si="37"/>
        <v>0.86000000000000043</v>
      </c>
      <c r="I58" s="9">
        <f t="shared" si="38"/>
        <v>645450</v>
      </c>
      <c r="J58" s="6">
        <f t="shared" si="12"/>
        <v>1.399999999999999</v>
      </c>
      <c r="K58" s="11">
        <f t="shared" si="1"/>
        <v>4874</v>
      </c>
      <c r="N58" s="1"/>
      <c r="O58" s="1"/>
      <c r="P58" s="1">
        <f t="shared" si="50"/>
        <v>4874</v>
      </c>
      <c r="Q58" s="1">
        <f t="shared" si="60"/>
        <v>156216</v>
      </c>
    </row>
    <row r="59" spans="1:17" x14ac:dyDescent="0.3">
      <c r="A59" s="2">
        <f t="shared" si="8"/>
        <v>57</v>
      </c>
      <c r="B59" s="6">
        <f t="shared" si="59"/>
        <v>74</v>
      </c>
      <c r="C59" s="9">
        <f t="shared" si="3"/>
        <v>4314</v>
      </c>
      <c r="D59" s="6">
        <f t="shared" si="59"/>
        <v>74</v>
      </c>
      <c r="E59" s="9">
        <f t="shared" si="4"/>
        <v>4314</v>
      </c>
      <c r="F59" s="3">
        <f t="shared" si="61"/>
        <v>272</v>
      </c>
      <c r="G59" s="3">
        <f t="shared" si="5"/>
        <v>4314</v>
      </c>
      <c r="H59" s="6">
        <f t="shared" si="37"/>
        <v>0.87000000000000044</v>
      </c>
      <c r="I59" s="9">
        <f t="shared" si="38"/>
        <v>659320</v>
      </c>
      <c r="J59" s="6">
        <f t="shared" si="12"/>
        <v>1.4249999999999989</v>
      </c>
      <c r="K59" s="11">
        <f t="shared" si="1"/>
        <v>4922</v>
      </c>
      <c r="N59" s="1"/>
      <c r="O59" s="1"/>
      <c r="P59" s="1">
        <f t="shared" si="50"/>
        <v>4922</v>
      </c>
      <c r="Q59" s="1">
        <f t="shared" si="60"/>
        <v>161138</v>
      </c>
    </row>
    <row r="60" spans="1:17" x14ac:dyDescent="0.3">
      <c r="A60" s="2">
        <f t="shared" si="8"/>
        <v>58</v>
      </c>
      <c r="B60" s="6">
        <f t="shared" si="59"/>
        <v>76</v>
      </c>
      <c r="C60" s="9">
        <f t="shared" si="3"/>
        <v>4366</v>
      </c>
      <c r="D60" s="6">
        <f t="shared" si="59"/>
        <v>76</v>
      </c>
      <c r="E60" s="9">
        <f t="shared" si="4"/>
        <v>4366</v>
      </c>
      <c r="F60" s="3">
        <f t="shared" si="61"/>
        <v>279</v>
      </c>
      <c r="G60" s="3">
        <f t="shared" si="5"/>
        <v>4366</v>
      </c>
      <c r="H60" s="6">
        <f t="shared" si="37"/>
        <v>0.88000000000000045</v>
      </c>
      <c r="I60" s="9">
        <f t="shared" si="38"/>
        <v>673190</v>
      </c>
      <c r="J60" s="6">
        <f t="shared" si="12"/>
        <v>1.4499999999999988</v>
      </c>
      <c r="K60" s="11">
        <f t="shared" si="1"/>
        <v>4969</v>
      </c>
      <c r="N60" s="1"/>
      <c r="O60" s="1"/>
      <c r="P60" s="1">
        <f t="shared" si="50"/>
        <v>4969</v>
      </c>
      <c r="Q60" s="1">
        <f t="shared" si="60"/>
        <v>166107</v>
      </c>
    </row>
    <row r="61" spans="1:17" x14ac:dyDescent="0.3">
      <c r="A61" s="2">
        <f t="shared" si="8"/>
        <v>59</v>
      </c>
      <c r="B61" s="6">
        <f t="shared" si="59"/>
        <v>78</v>
      </c>
      <c r="C61" s="9">
        <f t="shared" si="3"/>
        <v>4418</v>
      </c>
      <c r="D61" s="6">
        <f t="shared" si="59"/>
        <v>78</v>
      </c>
      <c r="E61" s="9">
        <f t="shared" si="4"/>
        <v>4418</v>
      </c>
      <c r="F61" s="3">
        <f t="shared" si="61"/>
        <v>286</v>
      </c>
      <c r="G61" s="3">
        <f t="shared" si="5"/>
        <v>4418</v>
      </c>
      <c r="H61" s="6">
        <f t="shared" si="37"/>
        <v>0.89000000000000046</v>
      </c>
      <c r="I61" s="9">
        <f t="shared" si="38"/>
        <v>687060</v>
      </c>
      <c r="J61" s="6">
        <f t="shared" si="12"/>
        <v>1.4749999999999988</v>
      </c>
      <c r="K61" s="11">
        <f t="shared" si="1"/>
        <v>5013</v>
      </c>
      <c r="N61" s="1"/>
      <c r="O61" s="1"/>
      <c r="P61" s="1">
        <f t="shared" si="50"/>
        <v>5013</v>
      </c>
      <c r="Q61" s="1">
        <f t="shared" si="60"/>
        <v>171120</v>
      </c>
    </row>
    <row r="62" spans="1:17" x14ac:dyDescent="0.3">
      <c r="A62" s="2">
        <f t="shared" si="8"/>
        <v>60</v>
      </c>
      <c r="B62" s="6">
        <f>B61+2</f>
        <v>80</v>
      </c>
      <c r="C62" s="9">
        <f t="shared" si="3"/>
        <v>4468</v>
      </c>
      <c r="D62" s="6">
        <f>D61+2</f>
        <v>80</v>
      </c>
      <c r="E62" s="9">
        <f t="shared" si="4"/>
        <v>4468</v>
      </c>
      <c r="F62" s="3">
        <f>F61+8</f>
        <v>294</v>
      </c>
      <c r="G62" s="3">
        <f t="shared" si="5"/>
        <v>4468</v>
      </c>
      <c r="H62" s="6">
        <f t="shared" si="37"/>
        <v>0.90000000000000047</v>
      </c>
      <c r="I62" s="9">
        <f t="shared" si="38"/>
        <v>700930</v>
      </c>
      <c r="J62" s="6">
        <f t="shared" si="12"/>
        <v>1.4999999999999987</v>
      </c>
      <c r="K62" s="11">
        <f t="shared" si="1"/>
        <v>5056</v>
      </c>
      <c r="N62" s="1"/>
      <c r="O62" s="1"/>
      <c r="P62" s="1">
        <f t="shared" si="50"/>
        <v>5056</v>
      </c>
      <c r="Q62" s="1">
        <f t="shared" si="60"/>
        <v>176176</v>
      </c>
    </row>
    <row r="63" spans="1:17" x14ac:dyDescent="0.3">
      <c r="A63" s="2">
        <f t="shared" si="8"/>
        <v>61</v>
      </c>
      <c r="B63" s="6">
        <f>B62+3</f>
        <v>83</v>
      </c>
      <c r="C63" s="9">
        <f t="shared" si="3"/>
        <v>4517</v>
      </c>
      <c r="D63" s="6">
        <f>D62+3</f>
        <v>83</v>
      </c>
      <c r="E63" s="9">
        <f t="shared" si="4"/>
        <v>4517</v>
      </c>
      <c r="F63" s="3">
        <f t="shared" ref="F63:F71" si="62">F62+8</f>
        <v>302</v>
      </c>
      <c r="G63" s="3">
        <f t="shared" si="5"/>
        <v>4517</v>
      </c>
      <c r="H63" s="6">
        <f t="shared" si="37"/>
        <v>0.91000000000000048</v>
      </c>
      <c r="I63" s="9">
        <f t="shared" si="38"/>
        <v>714800</v>
      </c>
      <c r="J63" s="6">
        <f t="shared" si="12"/>
        <v>1.5249999999999986</v>
      </c>
      <c r="K63" s="11">
        <f t="shared" si="1"/>
        <v>5097</v>
      </c>
      <c r="N63" s="1"/>
      <c r="O63" s="1"/>
      <c r="P63" s="1">
        <f t="shared" si="50"/>
        <v>5097</v>
      </c>
      <c r="Q63" s="1">
        <f t="shared" si="60"/>
        <v>181273</v>
      </c>
    </row>
    <row r="64" spans="1:17" x14ac:dyDescent="0.3">
      <c r="A64" s="2">
        <f t="shared" si="8"/>
        <v>62</v>
      </c>
      <c r="B64" s="6">
        <f t="shared" ref="B64:D82" si="63">B63+3</f>
        <v>86</v>
      </c>
      <c r="C64" s="9">
        <f t="shared" si="3"/>
        <v>4565</v>
      </c>
      <c r="D64" s="6">
        <f t="shared" si="63"/>
        <v>86</v>
      </c>
      <c r="E64" s="9">
        <f t="shared" si="4"/>
        <v>4565</v>
      </c>
      <c r="F64" s="3">
        <f t="shared" si="62"/>
        <v>310</v>
      </c>
      <c r="G64" s="3">
        <f t="shared" si="5"/>
        <v>4565</v>
      </c>
      <c r="H64" s="6">
        <f t="shared" si="37"/>
        <v>0.92000000000000048</v>
      </c>
      <c r="I64" s="9">
        <f t="shared" si="38"/>
        <v>728670</v>
      </c>
      <c r="J64" s="6">
        <f t="shared" si="12"/>
        <v>1.5499999999999985</v>
      </c>
      <c r="K64" s="11">
        <f t="shared" si="1"/>
        <v>5135</v>
      </c>
      <c r="N64" s="1"/>
      <c r="O64" s="1"/>
      <c r="P64" s="1">
        <f t="shared" si="50"/>
        <v>5135</v>
      </c>
      <c r="Q64" s="1">
        <f t="shared" si="60"/>
        <v>186408</v>
      </c>
    </row>
    <row r="65" spans="1:17" x14ac:dyDescent="0.3">
      <c r="A65" s="2">
        <f t="shared" si="8"/>
        <v>63</v>
      </c>
      <c r="B65" s="6">
        <f t="shared" si="63"/>
        <v>89</v>
      </c>
      <c r="C65" s="9">
        <f t="shared" si="3"/>
        <v>4613</v>
      </c>
      <c r="D65" s="6">
        <f t="shared" si="63"/>
        <v>89</v>
      </c>
      <c r="E65" s="9">
        <f t="shared" si="4"/>
        <v>4613</v>
      </c>
      <c r="F65" s="3">
        <f t="shared" si="62"/>
        <v>318</v>
      </c>
      <c r="G65" s="3">
        <f t="shared" si="5"/>
        <v>4613</v>
      </c>
      <c r="H65" s="6">
        <f t="shared" si="37"/>
        <v>0.93000000000000049</v>
      </c>
      <c r="I65" s="9">
        <f t="shared" si="38"/>
        <v>742540</v>
      </c>
      <c r="J65" s="6">
        <f t="shared" si="12"/>
        <v>1.5749999999999984</v>
      </c>
      <c r="K65" s="11">
        <f t="shared" si="1"/>
        <v>5172</v>
      </c>
      <c r="N65" s="1"/>
      <c r="O65" s="1"/>
      <c r="P65" s="1">
        <f t="shared" si="50"/>
        <v>5172</v>
      </c>
      <c r="Q65" s="1">
        <f t="shared" si="60"/>
        <v>191580</v>
      </c>
    </row>
    <row r="66" spans="1:17" x14ac:dyDescent="0.3">
      <c r="A66" s="2">
        <f t="shared" si="8"/>
        <v>64</v>
      </c>
      <c r="B66" s="6">
        <f t="shared" si="63"/>
        <v>92</v>
      </c>
      <c r="C66" s="9">
        <f t="shared" si="3"/>
        <v>4659</v>
      </c>
      <c r="D66" s="6">
        <f t="shared" si="63"/>
        <v>92</v>
      </c>
      <c r="E66" s="9">
        <f t="shared" si="4"/>
        <v>4659</v>
      </c>
      <c r="F66" s="3">
        <f t="shared" si="62"/>
        <v>326</v>
      </c>
      <c r="G66" s="3">
        <f t="shared" si="5"/>
        <v>4659</v>
      </c>
      <c r="H66" s="6">
        <f t="shared" si="37"/>
        <v>0.9400000000000005</v>
      </c>
      <c r="I66" s="9">
        <f t="shared" si="38"/>
        <v>756410</v>
      </c>
      <c r="J66" s="6">
        <f t="shared" si="12"/>
        <v>1.5999999999999983</v>
      </c>
      <c r="K66" s="11">
        <f t="shared" si="1"/>
        <v>5207</v>
      </c>
      <c r="N66" s="1"/>
      <c r="O66" s="1"/>
      <c r="P66" s="1">
        <f t="shared" si="50"/>
        <v>5207</v>
      </c>
      <c r="Q66" s="1">
        <f t="shared" si="60"/>
        <v>196787</v>
      </c>
    </row>
    <row r="67" spans="1:17" x14ac:dyDescent="0.3">
      <c r="A67" s="2">
        <f t="shared" si="8"/>
        <v>65</v>
      </c>
      <c r="B67" s="6">
        <f t="shared" si="63"/>
        <v>95</v>
      </c>
      <c r="C67" s="9">
        <f t="shared" si="3"/>
        <v>4704</v>
      </c>
      <c r="D67" s="6">
        <f t="shared" si="63"/>
        <v>95</v>
      </c>
      <c r="E67" s="9">
        <f t="shared" si="4"/>
        <v>4704</v>
      </c>
      <c r="F67" s="3">
        <f t="shared" si="62"/>
        <v>334</v>
      </c>
      <c r="G67" s="3">
        <f t="shared" si="5"/>
        <v>4704</v>
      </c>
      <c r="H67" s="6">
        <f t="shared" si="37"/>
        <v>0.95000000000000051</v>
      </c>
      <c r="I67" s="9">
        <f t="shared" si="38"/>
        <v>770280</v>
      </c>
      <c r="J67" s="6">
        <f t="shared" si="12"/>
        <v>1.6249999999999982</v>
      </c>
      <c r="K67" s="11">
        <f t="shared" ref="K67:K81" si="64">ROUND(200 + (5500-200) * SIN( (A67-1) / 80 * PI() / 2 ), 0)</f>
        <v>5241</v>
      </c>
      <c r="N67" s="1"/>
      <c r="O67" s="1"/>
      <c r="P67" s="1">
        <f t="shared" ref="P67:P101" si="65">K67</f>
        <v>5241</v>
      </c>
      <c r="Q67" s="1">
        <f t="shared" si="60"/>
        <v>202028</v>
      </c>
    </row>
    <row r="68" spans="1:17" x14ac:dyDescent="0.3">
      <c r="A68" s="2">
        <f t="shared" si="8"/>
        <v>66</v>
      </c>
      <c r="B68" s="6">
        <f t="shared" si="63"/>
        <v>98</v>
      </c>
      <c r="C68" s="9">
        <f t="shared" ref="C68:C101" si="66">ROUND(200 + (5500-200) * SIN( (A68-1) / 99 * PI() / 2 ), 0)</f>
        <v>4747</v>
      </c>
      <c r="D68" s="6">
        <f t="shared" si="63"/>
        <v>98</v>
      </c>
      <c r="E68" s="9">
        <f t="shared" ref="E68:E101" si="67">ROUND(200 + (5500-200) * SIN( (A68-1) / 99 * PI() / 2 ), 0)</f>
        <v>4747</v>
      </c>
      <c r="F68" s="3">
        <f t="shared" si="62"/>
        <v>342</v>
      </c>
      <c r="G68" s="3">
        <f t="shared" ref="G68:G101" si="68">ROUND(200 + (5500-200) * SIN( (A68-1) / 99 * PI() / 2 ), 0)</f>
        <v>4747</v>
      </c>
      <c r="H68" s="6">
        <f t="shared" si="37"/>
        <v>0.96000000000000052</v>
      </c>
      <c r="I68" s="9">
        <f t="shared" si="38"/>
        <v>784150</v>
      </c>
      <c r="J68" s="6">
        <f t="shared" si="12"/>
        <v>1.6499999999999981</v>
      </c>
      <c r="K68" s="11">
        <f t="shared" si="64"/>
        <v>5272</v>
      </c>
      <c r="N68" s="1"/>
      <c r="O68" s="1"/>
      <c r="P68" s="1">
        <f t="shared" si="65"/>
        <v>5272</v>
      </c>
      <c r="Q68" s="1">
        <f t="shared" si="60"/>
        <v>207300</v>
      </c>
    </row>
    <row r="69" spans="1:17" x14ac:dyDescent="0.3">
      <c r="A69" s="2">
        <f t="shared" ref="A69:A132" si="69">A68+1</f>
        <v>67</v>
      </c>
      <c r="B69" s="6">
        <f t="shared" si="63"/>
        <v>101</v>
      </c>
      <c r="C69" s="9">
        <f t="shared" si="66"/>
        <v>4790</v>
      </c>
      <c r="D69" s="6">
        <f t="shared" si="63"/>
        <v>101</v>
      </c>
      <c r="E69" s="9">
        <f t="shared" si="67"/>
        <v>4790</v>
      </c>
      <c r="F69" s="3">
        <f t="shared" si="62"/>
        <v>350</v>
      </c>
      <c r="G69" s="3">
        <f t="shared" si="68"/>
        <v>4790</v>
      </c>
      <c r="H69" s="6">
        <f t="shared" si="37"/>
        <v>0.97000000000000053</v>
      </c>
      <c r="I69" s="9">
        <f t="shared" si="38"/>
        <v>798020</v>
      </c>
      <c r="J69" s="6">
        <f t="shared" ref="J69:J82" si="70">J68+0.025</f>
        <v>1.674999999999998</v>
      </c>
      <c r="K69" s="11">
        <f t="shared" si="64"/>
        <v>5301</v>
      </c>
      <c r="N69" s="1"/>
      <c r="O69" s="1"/>
      <c r="P69" s="1">
        <f t="shared" si="65"/>
        <v>5301</v>
      </c>
      <c r="Q69" s="1">
        <f t="shared" si="60"/>
        <v>212601</v>
      </c>
    </row>
    <row r="70" spans="1:17" x14ac:dyDescent="0.3">
      <c r="A70" s="2">
        <f t="shared" si="69"/>
        <v>68</v>
      </c>
      <c r="B70" s="6">
        <f t="shared" si="63"/>
        <v>104</v>
      </c>
      <c r="C70" s="9">
        <f t="shared" si="66"/>
        <v>4831</v>
      </c>
      <c r="D70" s="6">
        <f t="shared" si="63"/>
        <v>104</v>
      </c>
      <c r="E70" s="9">
        <f t="shared" si="67"/>
        <v>4831</v>
      </c>
      <c r="F70" s="3">
        <f t="shared" si="62"/>
        <v>358</v>
      </c>
      <c r="G70" s="3">
        <f t="shared" si="68"/>
        <v>4831</v>
      </c>
      <c r="H70" s="6">
        <f t="shared" si="37"/>
        <v>0.98000000000000054</v>
      </c>
      <c r="I70" s="9">
        <f t="shared" si="38"/>
        <v>811890</v>
      </c>
      <c r="J70" s="6">
        <f t="shared" si="70"/>
        <v>1.699999999999998</v>
      </c>
      <c r="K70" s="11">
        <f t="shared" si="64"/>
        <v>5328</v>
      </c>
      <c r="N70" s="1"/>
      <c r="O70" s="1"/>
      <c r="P70" s="1">
        <f t="shared" si="65"/>
        <v>5328</v>
      </c>
      <c r="Q70" s="1">
        <f t="shared" si="60"/>
        <v>217929</v>
      </c>
    </row>
    <row r="71" spans="1:17" x14ac:dyDescent="0.3">
      <c r="A71" s="2">
        <f t="shared" si="69"/>
        <v>69</v>
      </c>
      <c r="B71" s="6">
        <f t="shared" si="63"/>
        <v>107</v>
      </c>
      <c r="C71" s="9">
        <f t="shared" si="66"/>
        <v>4872</v>
      </c>
      <c r="D71" s="6">
        <f t="shared" si="63"/>
        <v>107</v>
      </c>
      <c r="E71" s="9">
        <f t="shared" si="67"/>
        <v>4872</v>
      </c>
      <c r="F71" s="3">
        <f t="shared" si="62"/>
        <v>366</v>
      </c>
      <c r="G71" s="3">
        <f t="shared" si="68"/>
        <v>4872</v>
      </c>
      <c r="H71" s="6">
        <f t="shared" si="37"/>
        <v>0.99000000000000055</v>
      </c>
      <c r="I71" s="9">
        <f t="shared" si="38"/>
        <v>825760</v>
      </c>
      <c r="J71" s="6">
        <f t="shared" si="70"/>
        <v>1.7249999999999979</v>
      </c>
      <c r="K71" s="11">
        <f t="shared" si="64"/>
        <v>5354</v>
      </c>
      <c r="N71" s="1"/>
      <c r="O71" s="1"/>
      <c r="P71" s="1">
        <f t="shared" si="65"/>
        <v>5354</v>
      </c>
      <c r="Q71" s="1">
        <f t="shared" si="60"/>
        <v>223283</v>
      </c>
    </row>
    <row r="72" spans="1:17" x14ac:dyDescent="0.3">
      <c r="A72" s="2">
        <f t="shared" si="69"/>
        <v>70</v>
      </c>
      <c r="B72" s="6">
        <f t="shared" si="63"/>
        <v>110</v>
      </c>
      <c r="C72" s="9">
        <f t="shared" si="66"/>
        <v>4911</v>
      </c>
      <c r="D72" s="6">
        <f t="shared" si="63"/>
        <v>110</v>
      </c>
      <c r="E72" s="9">
        <f t="shared" si="67"/>
        <v>4911</v>
      </c>
      <c r="F72" s="3">
        <f>F71+9</f>
        <v>375</v>
      </c>
      <c r="G72" s="3">
        <f t="shared" si="68"/>
        <v>4911</v>
      </c>
      <c r="H72" s="6">
        <f t="shared" si="37"/>
        <v>1.0000000000000004</v>
      </c>
      <c r="I72" s="9">
        <v>-1</v>
      </c>
      <c r="J72" s="6">
        <f t="shared" si="70"/>
        <v>1.7499999999999978</v>
      </c>
      <c r="K72" s="11">
        <f t="shared" si="64"/>
        <v>5377</v>
      </c>
      <c r="N72" s="1"/>
      <c r="O72" s="1"/>
      <c r="P72" s="1">
        <f t="shared" si="65"/>
        <v>5377</v>
      </c>
      <c r="Q72" s="1">
        <f t="shared" si="60"/>
        <v>228660</v>
      </c>
    </row>
    <row r="73" spans="1:17" x14ac:dyDescent="0.3">
      <c r="A73" s="2">
        <f t="shared" si="69"/>
        <v>71</v>
      </c>
      <c r="B73" s="6">
        <f t="shared" si="63"/>
        <v>113</v>
      </c>
      <c r="C73" s="9">
        <f t="shared" si="66"/>
        <v>4949</v>
      </c>
      <c r="D73" s="6">
        <f t="shared" si="63"/>
        <v>113</v>
      </c>
      <c r="E73" s="9">
        <f t="shared" si="67"/>
        <v>4949</v>
      </c>
      <c r="F73" s="3">
        <f t="shared" ref="F73:F81" si="71">F72+9</f>
        <v>384</v>
      </c>
      <c r="G73" s="3">
        <f t="shared" si="68"/>
        <v>4949</v>
      </c>
      <c r="J73" s="6">
        <f t="shared" si="70"/>
        <v>1.7749999999999977</v>
      </c>
      <c r="K73" s="11">
        <f t="shared" si="64"/>
        <v>5398</v>
      </c>
      <c r="N73" s="1"/>
      <c r="O73" s="1"/>
      <c r="P73" s="1">
        <f t="shared" si="65"/>
        <v>5398</v>
      </c>
      <c r="Q73" s="1">
        <f t="shared" si="60"/>
        <v>234058</v>
      </c>
    </row>
    <row r="74" spans="1:17" x14ac:dyDescent="0.3">
      <c r="A74" s="2">
        <f t="shared" si="69"/>
        <v>72</v>
      </c>
      <c r="B74" s="6">
        <f t="shared" si="63"/>
        <v>116</v>
      </c>
      <c r="C74" s="9">
        <f t="shared" si="66"/>
        <v>4986</v>
      </c>
      <c r="D74" s="6">
        <f t="shared" si="63"/>
        <v>116</v>
      </c>
      <c r="E74" s="9">
        <f t="shared" si="67"/>
        <v>4986</v>
      </c>
      <c r="F74" s="3">
        <f t="shared" si="71"/>
        <v>393</v>
      </c>
      <c r="G74" s="3">
        <f t="shared" si="68"/>
        <v>4986</v>
      </c>
      <c r="J74" s="6">
        <f t="shared" si="70"/>
        <v>1.7999999999999976</v>
      </c>
      <c r="K74" s="11">
        <f t="shared" si="64"/>
        <v>5417</v>
      </c>
      <c r="N74" s="1"/>
      <c r="O74" s="1"/>
      <c r="P74" s="1">
        <f t="shared" si="65"/>
        <v>5417</v>
      </c>
      <c r="Q74" s="1">
        <f t="shared" si="60"/>
        <v>239475</v>
      </c>
    </row>
    <row r="75" spans="1:17" x14ac:dyDescent="0.3">
      <c r="A75" s="2">
        <f t="shared" si="69"/>
        <v>73</v>
      </c>
      <c r="B75" s="6">
        <f t="shared" si="63"/>
        <v>119</v>
      </c>
      <c r="C75" s="9">
        <f t="shared" si="66"/>
        <v>5021</v>
      </c>
      <c r="D75" s="6">
        <f t="shared" si="63"/>
        <v>119</v>
      </c>
      <c r="E75" s="9">
        <f t="shared" si="67"/>
        <v>5021</v>
      </c>
      <c r="F75" s="3">
        <f t="shared" si="71"/>
        <v>402</v>
      </c>
      <c r="G75" s="3">
        <f t="shared" si="68"/>
        <v>5021</v>
      </c>
      <c r="J75" s="6">
        <f t="shared" si="70"/>
        <v>1.8249999999999975</v>
      </c>
      <c r="K75" s="11">
        <f t="shared" si="64"/>
        <v>5435</v>
      </c>
      <c r="N75" s="1"/>
      <c r="O75" s="1"/>
      <c r="P75" s="1">
        <f t="shared" si="65"/>
        <v>5435</v>
      </c>
      <c r="Q75" s="1">
        <f t="shared" si="60"/>
        <v>244910</v>
      </c>
    </row>
    <row r="76" spans="1:17" x14ac:dyDescent="0.3">
      <c r="A76" s="2">
        <f t="shared" si="69"/>
        <v>74</v>
      </c>
      <c r="B76" s="6">
        <f t="shared" si="63"/>
        <v>122</v>
      </c>
      <c r="C76" s="9">
        <f t="shared" si="66"/>
        <v>5055</v>
      </c>
      <c r="D76" s="6">
        <f t="shared" si="63"/>
        <v>122</v>
      </c>
      <c r="E76" s="9">
        <f t="shared" si="67"/>
        <v>5055</v>
      </c>
      <c r="F76" s="3">
        <f t="shared" si="71"/>
        <v>411</v>
      </c>
      <c r="G76" s="3">
        <f t="shared" si="68"/>
        <v>5055</v>
      </c>
      <c r="J76" s="6">
        <f t="shared" si="70"/>
        <v>1.8499999999999974</v>
      </c>
      <c r="K76" s="11">
        <f t="shared" si="64"/>
        <v>5450</v>
      </c>
      <c r="N76" s="1"/>
      <c r="O76" s="1"/>
      <c r="P76" s="1">
        <f t="shared" si="65"/>
        <v>5450</v>
      </c>
      <c r="Q76" s="1">
        <f t="shared" si="60"/>
        <v>250360</v>
      </c>
    </row>
    <row r="77" spans="1:17" x14ac:dyDescent="0.3">
      <c r="A77" s="2">
        <f t="shared" si="69"/>
        <v>75</v>
      </c>
      <c r="B77" s="6">
        <f t="shared" si="63"/>
        <v>125</v>
      </c>
      <c r="C77" s="9">
        <f t="shared" si="66"/>
        <v>5088</v>
      </c>
      <c r="D77" s="6">
        <f t="shared" si="63"/>
        <v>125</v>
      </c>
      <c r="E77" s="9">
        <f t="shared" si="67"/>
        <v>5088</v>
      </c>
      <c r="F77" s="3">
        <f t="shared" si="71"/>
        <v>420</v>
      </c>
      <c r="G77" s="3">
        <f t="shared" si="68"/>
        <v>5088</v>
      </c>
      <c r="J77" s="6">
        <f t="shared" si="70"/>
        <v>1.8749999999999973</v>
      </c>
      <c r="K77" s="11">
        <f t="shared" si="64"/>
        <v>5463</v>
      </c>
      <c r="N77" s="1"/>
      <c r="O77" s="1"/>
      <c r="P77" s="1">
        <f t="shared" si="65"/>
        <v>5463</v>
      </c>
      <c r="Q77" s="1">
        <f t="shared" si="60"/>
        <v>255823</v>
      </c>
    </row>
    <row r="78" spans="1:17" x14ac:dyDescent="0.3">
      <c r="A78" s="2">
        <f t="shared" si="69"/>
        <v>76</v>
      </c>
      <c r="B78" s="6">
        <f t="shared" si="63"/>
        <v>128</v>
      </c>
      <c r="C78" s="9">
        <f t="shared" si="66"/>
        <v>5120</v>
      </c>
      <c r="D78" s="6">
        <f t="shared" si="63"/>
        <v>128</v>
      </c>
      <c r="E78" s="9">
        <f t="shared" si="67"/>
        <v>5120</v>
      </c>
      <c r="F78" s="3">
        <f t="shared" si="71"/>
        <v>429</v>
      </c>
      <c r="G78" s="3">
        <f t="shared" si="68"/>
        <v>5120</v>
      </c>
      <c r="J78" s="6">
        <f t="shared" si="70"/>
        <v>1.8999999999999972</v>
      </c>
      <c r="K78" s="11">
        <f t="shared" si="64"/>
        <v>5474</v>
      </c>
      <c r="N78" s="1"/>
      <c r="O78" s="1"/>
      <c r="P78" s="1">
        <f t="shared" si="65"/>
        <v>5474</v>
      </c>
      <c r="Q78" s="1">
        <f t="shared" si="60"/>
        <v>261297</v>
      </c>
    </row>
    <row r="79" spans="1:17" x14ac:dyDescent="0.3">
      <c r="A79" s="2">
        <f t="shared" si="69"/>
        <v>77</v>
      </c>
      <c r="B79" s="6">
        <f t="shared" si="63"/>
        <v>131</v>
      </c>
      <c r="C79" s="9">
        <f t="shared" si="66"/>
        <v>5151</v>
      </c>
      <c r="D79" s="6">
        <f t="shared" si="63"/>
        <v>131</v>
      </c>
      <c r="E79" s="9">
        <f t="shared" si="67"/>
        <v>5151</v>
      </c>
      <c r="F79" s="3">
        <f t="shared" si="71"/>
        <v>438</v>
      </c>
      <c r="G79" s="3">
        <f t="shared" si="68"/>
        <v>5151</v>
      </c>
      <c r="J79" s="6">
        <f t="shared" si="70"/>
        <v>1.9249999999999972</v>
      </c>
      <c r="K79" s="11">
        <f t="shared" si="64"/>
        <v>5484</v>
      </c>
      <c r="N79" s="1"/>
      <c r="O79" s="1"/>
      <c r="P79" s="1">
        <f t="shared" si="65"/>
        <v>5484</v>
      </c>
      <c r="Q79" s="1">
        <f t="shared" si="60"/>
        <v>266781</v>
      </c>
    </row>
    <row r="80" spans="1:17" x14ac:dyDescent="0.3">
      <c r="A80" s="2">
        <f t="shared" si="69"/>
        <v>78</v>
      </c>
      <c r="B80" s="6">
        <f t="shared" si="63"/>
        <v>134</v>
      </c>
      <c r="C80" s="9">
        <f t="shared" si="66"/>
        <v>5180</v>
      </c>
      <c r="D80" s="6">
        <f t="shared" si="63"/>
        <v>134</v>
      </c>
      <c r="E80" s="9">
        <f t="shared" si="67"/>
        <v>5180</v>
      </c>
      <c r="F80" s="3">
        <f t="shared" si="71"/>
        <v>447</v>
      </c>
      <c r="G80" s="3">
        <f t="shared" si="68"/>
        <v>5180</v>
      </c>
      <c r="J80" s="6">
        <f t="shared" si="70"/>
        <v>1.9499999999999971</v>
      </c>
      <c r="K80" s="11">
        <f t="shared" si="64"/>
        <v>5491</v>
      </c>
      <c r="N80" s="1"/>
      <c r="O80" s="1"/>
      <c r="P80" s="1">
        <f t="shared" si="65"/>
        <v>5491</v>
      </c>
      <c r="Q80" s="1">
        <f t="shared" si="60"/>
        <v>272272</v>
      </c>
    </row>
    <row r="81" spans="1:17" x14ac:dyDescent="0.3">
      <c r="A81" s="2">
        <f t="shared" si="69"/>
        <v>79</v>
      </c>
      <c r="B81" s="6">
        <f t="shared" si="63"/>
        <v>137</v>
      </c>
      <c r="C81" s="9">
        <f t="shared" si="66"/>
        <v>5209</v>
      </c>
      <c r="D81" s="6">
        <f t="shared" si="63"/>
        <v>137</v>
      </c>
      <c r="E81" s="9">
        <f t="shared" si="67"/>
        <v>5209</v>
      </c>
      <c r="F81" s="3">
        <f t="shared" si="71"/>
        <v>456</v>
      </c>
      <c r="G81" s="3">
        <f t="shared" si="68"/>
        <v>5209</v>
      </c>
      <c r="J81" s="6">
        <f t="shared" si="70"/>
        <v>1.974999999999997</v>
      </c>
      <c r="K81" s="11">
        <f t="shared" si="64"/>
        <v>5496</v>
      </c>
      <c r="N81" s="1"/>
      <c r="O81" s="1"/>
      <c r="P81" s="1">
        <f t="shared" si="65"/>
        <v>5496</v>
      </c>
      <c r="Q81" s="1">
        <f t="shared" ref="Q81:Q101" si="72">Q80+K81</f>
        <v>277768</v>
      </c>
    </row>
    <row r="82" spans="1:17" x14ac:dyDescent="0.3">
      <c r="A82" s="2">
        <f t="shared" si="69"/>
        <v>80</v>
      </c>
      <c r="B82" s="6">
        <f t="shared" si="63"/>
        <v>140</v>
      </c>
      <c r="C82" s="9">
        <f t="shared" si="66"/>
        <v>5235</v>
      </c>
      <c r="D82" s="6">
        <f t="shared" si="63"/>
        <v>140</v>
      </c>
      <c r="E82" s="9">
        <f t="shared" si="67"/>
        <v>5235</v>
      </c>
      <c r="F82" s="3">
        <f>F81+10</f>
        <v>466</v>
      </c>
      <c r="G82" s="3">
        <f t="shared" si="68"/>
        <v>5235</v>
      </c>
      <c r="J82" s="17">
        <f t="shared" si="70"/>
        <v>1.9999999999999969</v>
      </c>
      <c r="K82" s="18">
        <v>5500</v>
      </c>
      <c r="N82" s="1"/>
      <c r="O82" s="1"/>
      <c r="P82" s="1">
        <f t="shared" si="65"/>
        <v>5500</v>
      </c>
      <c r="Q82" s="1">
        <f t="shared" si="72"/>
        <v>283268</v>
      </c>
    </row>
    <row r="83" spans="1:17" x14ac:dyDescent="0.3">
      <c r="A83" s="2">
        <f t="shared" si="69"/>
        <v>81</v>
      </c>
      <c r="B83" s="6">
        <f>B82+4</f>
        <v>144</v>
      </c>
      <c r="C83" s="9">
        <f t="shared" si="66"/>
        <v>5261</v>
      </c>
      <c r="D83" s="6">
        <f>D82+4</f>
        <v>144</v>
      </c>
      <c r="E83" s="9">
        <f t="shared" si="67"/>
        <v>5261</v>
      </c>
      <c r="F83" s="3">
        <f t="shared" ref="F83:F92" si="73">F82+10</f>
        <v>476</v>
      </c>
      <c r="G83" s="3">
        <f t="shared" si="68"/>
        <v>5261</v>
      </c>
      <c r="J83" s="6">
        <f>J82+0.01</f>
        <v>2.0099999999999967</v>
      </c>
      <c r="K83" s="11">
        <f>K82+190</f>
        <v>5690</v>
      </c>
      <c r="N83" s="1"/>
      <c r="O83" s="1"/>
      <c r="P83" s="1">
        <f t="shared" si="65"/>
        <v>5690</v>
      </c>
      <c r="Q83" s="1">
        <f t="shared" si="72"/>
        <v>288958</v>
      </c>
    </row>
    <row r="84" spans="1:17" x14ac:dyDescent="0.3">
      <c r="A84" s="2">
        <f t="shared" si="69"/>
        <v>82</v>
      </c>
      <c r="B84" s="6">
        <f t="shared" ref="B84:D101" si="74">B83+4</f>
        <v>148</v>
      </c>
      <c r="C84" s="9">
        <f t="shared" si="66"/>
        <v>5285</v>
      </c>
      <c r="D84" s="6">
        <f t="shared" si="74"/>
        <v>148</v>
      </c>
      <c r="E84" s="9">
        <f t="shared" si="67"/>
        <v>5285</v>
      </c>
      <c r="F84" s="3">
        <f t="shared" si="73"/>
        <v>486</v>
      </c>
      <c r="G84" s="3">
        <f t="shared" si="68"/>
        <v>5285</v>
      </c>
      <c r="J84" s="6">
        <f t="shared" ref="J84:J147" si="75">J83+0.01</f>
        <v>2.0199999999999965</v>
      </c>
      <c r="K84" s="11">
        <f t="shared" ref="K84:K147" si="76">K83+190</f>
        <v>5880</v>
      </c>
      <c r="N84" s="1"/>
      <c r="O84" s="1"/>
      <c r="P84" s="1">
        <f t="shared" si="65"/>
        <v>5880</v>
      </c>
      <c r="Q84" s="1">
        <f t="shared" si="72"/>
        <v>294838</v>
      </c>
    </row>
    <row r="85" spans="1:17" x14ac:dyDescent="0.3">
      <c r="A85" s="2">
        <f t="shared" si="69"/>
        <v>83</v>
      </c>
      <c r="B85" s="6">
        <f t="shared" si="74"/>
        <v>152</v>
      </c>
      <c r="C85" s="9">
        <f t="shared" si="66"/>
        <v>5308</v>
      </c>
      <c r="D85" s="6">
        <f t="shared" si="74"/>
        <v>152</v>
      </c>
      <c r="E85" s="9">
        <f t="shared" si="67"/>
        <v>5308</v>
      </c>
      <c r="F85" s="3">
        <f t="shared" si="73"/>
        <v>496</v>
      </c>
      <c r="G85" s="3">
        <f t="shared" si="68"/>
        <v>5308</v>
      </c>
      <c r="J85" s="6">
        <f t="shared" si="75"/>
        <v>2.0299999999999963</v>
      </c>
      <c r="K85" s="11">
        <f t="shared" si="76"/>
        <v>6070</v>
      </c>
      <c r="N85" s="1"/>
      <c r="O85" s="1"/>
      <c r="P85" s="1">
        <f t="shared" si="65"/>
        <v>6070</v>
      </c>
      <c r="Q85" s="1">
        <f t="shared" si="72"/>
        <v>300908</v>
      </c>
    </row>
    <row r="86" spans="1:17" x14ac:dyDescent="0.3">
      <c r="A86" s="2">
        <f t="shared" si="69"/>
        <v>84</v>
      </c>
      <c r="B86" s="6">
        <f t="shared" si="74"/>
        <v>156</v>
      </c>
      <c r="C86" s="9">
        <f t="shared" si="66"/>
        <v>5330</v>
      </c>
      <c r="D86" s="6">
        <f t="shared" si="74"/>
        <v>156</v>
      </c>
      <c r="E86" s="9">
        <f t="shared" si="67"/>
        <v>5330</v>
      </c>
      <c r="F86" s="3">
        <f t="shared" si="73"/>
        <v>506</v>
      </c>
      <c r="G86" s="3">
        <f t="shared" si="68"/>
        <v>5330</v>
      </c>
      <c r="J86" s="6">
        <f t="shared" si="75"/>
        <v>2.039999999999996</v>
      </c>
      <c r="K86" s="11">
        <f t="shared" si="76"/>
        <v>6260</v>
      </c>
      <c r="N86" s="1"/>
      <c r="O86" s="1"/>
      <c r="P86" s="1">
        <f t="shared" si="65"/>
        <v>6260</v>
      </c>
      <c r="Q86" s="1">
        <f t="shared" si="72"/>
        <v>307168</v>
      </c>
    </row>
    <row r="87" spans="1:17" x14ac:dyDescent="0.3">
      <c r="A87" s="2">
        <f t="shared" si="69"/>
        <v>85</v>
      </c>
      <c r="B87" s="6">
        <f t="shared" si="74"/>
        <v>160</v>
      </c>
      <c r="C87" s="9">
        <f t="shared" si="66"/>
        <v>5351</v>
      </c>
      <c r="D87" s="6">
        <f t="shared" si="74"/>
        <v>160</v>
      </c>
      <c r="E87" s="9">
        <f t="shared" si="67"/>
        <v>5351</v>
      </c>
      <c r="F87" s="3">
        <f t="shared" si="73"/>
        <v>516</v>
      </c>
      <c r="G87" s="3">
        <f t="shared" si="68"/>
        <v>5351</v>
      </c>
      <c r="J87" s="6">
        <f t="shared" si="75"/>
        <v>2.0499999999999958</v>
      </c>
      <c r="K87" s="11">
        <f t="shared" si="76"/>
        <v>6450</v>
      </c>
      <c r="N87" s="1"/>
      <c r="O87" s="1"/>
      <c r="P87" s="1">
        <f t="shared" si="65"/>
        <v>6450</v>
      </c>
      <c r="Q87" s="1">
        <f t="shared" si="72"/>
        <v>313618</v>
      </c>
    </row>
    <row r="88" spans="1:17" x14ac:dyDescent="0.3">
      <c r="A88" s="2">
        <f t="shared" si="69"/>
        <v>86</v>
      </c>
      <c r="B88" s="6">
        <f t="shared" si="74"/>
        <v>164</v>
      </c>
      <c r="C88" s="9">
        <f t="shared" si="66"/>
        <v>5370</v>
      </c>
      <c r="D88" s="6">
        <f t="shared" si="74"/>
        <v>164</v>
      </c>
      <c r="E88" s="9">
        <f t="shared" si="67"/>
        <v>5370</v>
      </c>
      <c r="F88" s="3">
        <f t="shared" si="73"/>
        <v>526</v>
      </c>
      <c r="G88" s="3">
        <f t="shared" si="68"/>
        <v>5370</v>
      </c>
      <c r="J88" s="6">
        <f t="shared" si="75"/>
        <v>2.0599999999999956</v>
      </c>
      <c r="K88" s="11">
        <f t="shared" si="76"/>
        <v>6640</v>
      </c>
      <c r="N88" s="1"/>
      <c r="O88" s="1"/>
      <c r="P88" s="1">
        <f t="shared" si="65"/>
        <v>6640</v>
      </c>
      <c r="Q88" s="1">
        <f t="shared" si="72"/>
        <v>320258</v>
      </c>
    </row>
    <row r="89" spans="1:17" x14ac:dyDescent="0.3">
      <c r="A89" s="2">
        <f t="shared" si="69"/>
        <v>87</v>
      </c>
      <c r="B89" s="6">
        <f t="shared" si="74"/>
        <v>168</v>
      </c>
      <c r="C89" s="9">
        <f t="shared" si="66"/>
        <v>5388</v>
      </c>
      <c r="D89" s="6">
        <f t="shared" si="74"/>
        <v>168</v>
      </c>
      <c r="E89" s="9">
        <f t="shared" si="67"/>
        <v>5388</v>
      </c>
      <c r="F89" s="3">
        <f t="shared" si="73"/>
        <v>536</v>
      </c>
      <c r="G89" s="3">
        <f t="shared" si="68"/>
        <v>5388</v>
      </c>
      <c r="J89" s="6">
        <f t="shared" si="75"/>
        <v>2.0699999999999954</v>
      </c>
      <c r="K89" s="11">
        <f t="shared" si="76"/>
        <v>6830</v>
      </c>
      <c r="N89" s="1"/>
      <c r="O89" s="1"/>
      <c r="P89" s="1">
        <f t="shared" si="65"/>
        <v>6830</v>
      </c>
      <c r="Q89" s="1">
        <f t="shared" si="72"/>
        <v>327088</v>
      </c>
    </row>
    <row r="90" spans="1:17" x14ac:dyDescent="0.3">
      <c r="A90" s="2">
        <f t="shared" si="69"/>
        <v>88</v>
      </c>
      <c r="B90" s="6">
        <f t="shared" si="74"/>
        <v>172</v>
      </c>
      <c r="C90" s="9">
        <f t="shared" si="66"/>
        <v>5404</v>
      </c>
      <c r="D90" s="6">
        <f t="shared" si="74"/>
        <v>172</v>
      </c>
      <c r="E90" s="9">
        <f t="shared" si="67"/>
        <v>5404</v>
      </c>
      <c r="F90" s="3">
        <f t="shared" si="73"/>
        <v>546</v>
      </c>
      <c r="G90" s="3">
        <f t="shared" si="68"/>
        <v>5404</v>
      </c>
      <c r="J90" s="6">
        <f t="shared" si="75"/>
        <v>2.0799999999999952</v>
      </c>
      <c r="K90" s="11">
        <f t="shared" si="76"/>
        <v>7020</v>
      </c>
      <c r="N90" s="1"/>
      <c r="O90" s="1"/>
      <c r="P90" s="1">
        <f t="shared" si="65"/>
        <v>7020</v>
      </c>
      <c r="Q90" s="1">
        <f t="shared" si="72"/>
        <v>334108</v>
      </c>
    </row>
    <row r="91" spans="1:17" x14ac:dyDescent="0.3">
      <c r="A91" s="2">
        <f t="shared" si="69"/>
        <v>89</v>
      </c>
      <c r="B91" s="6">
        <f t="shared" si="74"/>
        <v>176</v>
      </c>
      <c r="C91" s="9">
        <f t="shared" si="66"/>
        <v>5419</v>
      </c>
      <c r="D91" s="6">
        <f t="shared" si="74"/>
        <v>176</v>
      </c>
      <c r="E91" s="9">
        <f t="shared" si="67"/>
        <v>5419</v>
      </c>
      <c r="F91" s="3">
        <f t="shared" si="73"/>
        <v>556</v>
      </c>
      <c r="G91" s="3">
        <f t="shared" si="68"/>
        <v>5419</v>
      </c>
      <c r="J91" s="6">
        <f t="shared" si="75"/>
        <v>2.089999999999995</v>
      </c>
      <c r="K91" s="11">
        <f t="shared" si="76"/>
        <v>7210</v>
      </c>
      <c r="N91" s="1"/>
      <c r="O91" s="1"/>
      <c r="P91" s="1">
        <f t="shared" si="65"/>
        <v>7210</v>
      </c>
      <c r="Q91" s="1">
        <f t="shared" si="72"/>
        <v>341318</v>
      </c>
    </row>
    <row r="92" spans="1:17" x14ac:dyDescent="0.3">
      <c r="A92" s="2">
        <f t="shared" si="69"/>
        <v>90</v>
      </c>
      <c r="B92" s="6">
        <f t="shared" si="74"/>
        <v>180</v>
      </c>
      <c r="C92" s="9">
        <f t="shared" si="66"/>
        <v>5433</v>
      </c>
      <c r="D92" s="6">
        <f t="shared" si="74"/>
        <v>180</v>
      </c>
      <c r="E92" s="9">
        <f t="shared" si="67"/>
        <v>5433</v>
      </c>
      <c r="F92" s="3">
        <f t="shared" si="73"/>
        <v>566</v>
      </c>
      <c r="G92" s="3">
        <f t="shared" si="68"/>
        <v>5433</v>
      </c>
      <c r="J92" s="6">
        <f t="shared" si="75"/>
        <v>2.0999999999999948</v>
      </c>
      <c r="K92" s="11">
        <f t="shared" si="76"/>
        <v>7400</v>
      </c>
      <c r="N92" s="1"/>
      <c r="O92" s="1"/>
      <c r="P92" s="1">
        <f t="shared" si="65"/>
        <v>7400</v>
      </c>
      <c r="Q92" s="1">
        <f t="shared" si="72"/>
        <v>348718</v>
      </c>
    </row>
    <row r="93" spans="1:17" x14ac:dyDescent="0.3">
      <c r="A93" s="2">
        <f t="shared" si="69"/>
        <v>91</v>
      </c>
      <c r="B93" s="6">
        <f t="shared" si="74"/>
        <v>184</v>
      </c>
      <c r="C93" s="9">
        <f t="shared" si="66"/>
        <v>5446</v>
      </c>
      <c r="D93" s="6">
        <f t="shared" si="74"/>
        <v>184</v>
      </c>
      <c r="E93" s="9">
        <f t="shared" si="67"/>
        <v>5446</v>
      </c>
      <c r="F93" s="3">
        <f>F92+11</f>
        <v>577</v>
      </c>
      <c r="G93" s="3">
        <f t="shared" si="68"/>
        <v>5446</v>
      </c>
      <c r="J93" s="6">
        <f t="shared" si="75"/>
        <v>2.1099999999999945</v>
      </c>
      <c r="K93" s="11">
        <f t="shared" si="76"/>
        <v>7590</v>
      </c>
      <c r="N93" s="1"/>
      <c r="O93" s="1"/>
      <c r="P93" s="1">
        <f t="shared" si="65"/>
        <v>7590</v>
      </c>
      <c r="Q93" s="1">
        <f t="shared" si="72"/>
        <v>356308</v>
      </c>
    </row>
    <row r="94" spans="1:17" x14ac:dyDescent="0.3">
      <c r="A94" s="2">
        <f t="shared" si="69"/>
        <v>92</v>
      </c>
      <c r="B94" s="6">
        <f t="shared" si="74"/>
        <v>188</v>
      </c>
      <c r="C94" s="9">
        <f t="shared" si="66"/>
        <v>5457</v>
      </c>
      <c r="D94" s="6">
        <f t="shared" si="74"/>
        <v>188</v>
      </c>
      <c r="E94" s="9">
        <f t="shared" si="67"/>
        <v>5457</v>
      </c>
      <c r="F94" s="3">
        <f t="shared" ref="F94:F97" si="77">F93+11</f>
        <v>588</v>
      </c>
      <c r="G94" s="3">
        <f t="shared" si="68"/>
        <v>5457</v>
      </c>
      <c r="J94" s="6">
        <f t="shared" si="75"/>
        <v>2.1199999999999943</v>
      </c>
      <c r="K94" s="11">
        <f t="shared" si="76"/>
        <v>7780</v>
      </c>
      <c r="N94" s="1"/>
      <c r="O94" s="1"/>
      <c r="P94" s="1">
        <f t="shared" si="65"/>
        <v>7780</v>
      </c>
      <c r="Q94" s="1">
        <f t="shared" si="72"/>
        <v>364088</v>
      </c>
    </row>
    <row r="95" spans="1:17" x14ac:dyDescent="0.3">
      <c r="A95" s="2">
        <f t="shared" si="69"/>
        <v>93</v>
      </c>
      <c r="B95" s="6">
        <f t="shared" si="74"/>
        <v>192</v>
      </c>
      <c r="C95" s="9">
        <f t="shared" si="66"/>
        <v>5467</v>
      </c>
      <c r="D95" s="6">
        <f t="shared" si="74"/>
        <v>192</v>
      </c>
      <c r="E95" s="9">
        <f t="shared" si="67"/>
        <v>5467</v>
      </c>
      <c r="F95" s="3">
        <f t="shared" si="77"/>
        <v>599</v>
      </c>
      <c r="G95" s="3">
        <f t="shared" si="68"/>
        <v>5467</v>
      </c>
      <c r="J95" s="6">
        <f t="shared" si="75"/>
        <v>2.1299999999999941</v>
      </c>
      <c r="K95" s="11">
        <f t="shared" si="76"/>
        <v>7970</v>
      </c>
      <c r="N95" s="1"/>
      <c r="O95" s="1"/>
      <c r="P95" s="1">
        <f t="shared" si="65"/>
        <v>7970</v>
      </c>
      <c r="Q95" s="1">
        <f t="shared" si="72"/>
        <v>372058</v>
      </c>
    </row>
    <row r="96" spans="1:17" x14ac:dyDescent="0.3">
      <c r="A96" s="2">
        <f t="shared" si="69"/>
        <v>94</v>
      </c>
      <c r="B96" s="6">
        <f t="shared" si="74"/>
        <v>196</v>
      </c>
      <c r="C96" s="9">
        <f t="shared" si="66"/>
        <v>5476</v>
      </c>
      <c r="D96" s="6">
        <f t="shared" si="74"/>
        <v>196</v>
      </c>
      <c r="E96" s="9">
        <f t="shared" si="67"/>
        <v>5476</v>
      </c>
      <c r="F96" s="3">
        <f t="shared" si="77"/>
        <v>610</v>
      </c>
      <c r="G96" s="3">
        <f t="shared" si="68"/>
        <v>5476</v>
      </c>
      <c r="J96" s="6">
        <f t="shared" si="75"/>
        <v>2.1399999999999939</v>
      </c>
      <c r="K96" s="11">
        <f t="shared" si="76"/>
        <v>8160</v>
      </c>
      <c r="N96" s="1"/>
      <c r="O96" s="1"/>
      <c r="P96" s="1">
        <f t="shared" si="65"/>
        <v>8160</v>
      </c>
      <c r="Q96" s="1">
        <f t="shared" si="72"/>
        <v>380218</v>
      </c>
    </row>
    <row r="97" spans="1:17" x14ac:dyDescent="0.3">
      <c r="A97" s="2">
        <f t="shared" si="69"/>
        <v>95</v>
      </c>
      <c r="B97" s="6">
        <f t="shared" si="74"/>
        <v>200</v>
      </c>
      <c r="C97" s="9">
        <f t="shared" si="66"/>
        <v>5483</v>
      </c>
      <c r="D97" s="6">
        <f t="shared" si="74"/>
        <v>200</v>
      </c>
      <c r="E97" s="9">
        <f t="shared" si="67"/>
        <v>5483</v>
      </c>
      <c r="F97" s="3">
        <f t="shared" si="77"/>
        <v>621</v>
      </c>
      <c r="G97" s="3">
        <f t="shared" si="68"/>
        <v>5483</v>
      </c>
      <c r="J97" s="6">
        <f t="shared" si="75"/>
        <v>2.1499999999999937</v>
      </c>
      <c r="K97" s="11">
        <f t="shared" si="76"/>
        <v>8350</v>
      </c>
      <c r="N97" s="1"/>
      <c r="O97" s="1"/>
      <c r="P97" s="1">
        <f t="shared" si="65"/>
        <v>8350</v>
      </c>
      <c r="Q97" s="1">
        <f t="shared" si="72"/>
        <v>388568</v>
      </c>
    </row>
    <row r="98" spans="1:17" x14ac:dyDescent="0.3">
      <c r="A98" s="2">
        <f t="shared" si="69"/>
        <v>96</v>
      </c>
      <c r="B98" s="6">
        <f t="shared" si="74"/>
        <v>204</v>
      </c>
      <c r="C98" s="9">
        <f t="shared" si="66"/>
        <v>5489</v>
      </c>
      <c r="D98" s="6">
        <f t="shared" si="74"/>
        <v>204</v>
      </c>
      <c r="E98" s="9">
        <f t="shared" si="67"/>
        <v>5489</v>
      </c>
      <c r="F98" s="3">
        <f>F97+12</f>
        <v>633</v>
      </c>
      <c r="G98" s="3">
        <f t="shared" si="68"/>
        <v>5489</v>
      </c>
      <c r="J98" s="6">
        <f t="shared" si="75"/>
        <v>2.1599999999999935</v>
      </c>
      <c r="K98" s="11">
        <f t="shared" si="76"/>
        <v>8540</v>
      </c>
      <c r="N98" s="1"/>
      <c r="O98" s="1"/>
      <c r="P98" s="1">
        <f t="shared" si="65"/>
        <v>8540</v>
      </c>
      <c r="Q98" s="1">
        <f t="shared" si="72"/>
        <v>397108</v>
      </c>
    </row>
    <row r="99" spans="1:17" x14ac:dyDescent="0.3">
      <c r="A99" s="2">
        <f t="shared" si="69"/>
        <v>97</v>
      </c>
      <c r="B99" s="6">
        <f t="shared" si="74"/>
        <v>208</v>
      </c>
      <c r="C99" s="9">
        <f t="shared" si="66"/>
        <v>5494</v>
      </c>
      <c r="D99" s="6">
        <f t="shared" si="74"/>
        <v>208</v>
      </c>
      <c r="E99" s="9">
        <f t="shared" si="67"/>
        <v>5494</v>
      </c>
      <c r="F99" s="3">
        <f t="shared" ref="F99:F100" si="78">F98+12</f>
        <v>645</v>
      </c>
      <c r="G99" s="3">
        <f t="shared" si="68"/>
        <v>5494</v>
      </c>
      <c r="J99" s="6">
        <f t="shared" si="75"/>
        <v>2.1699999999999933</v>
      </c>
      <c r="K99" s="11">
        <f t="shared" si="76"/>
        <v>8730</v>
      </c>
      <c r="N99" s="1"/>
      <c r="O99" s="1"/>
      <c r="P99" s="1">
        <f t="shared" si="65"/>
        <v>8730</v>
      </c>
      <c r="Q99" s="1">
        <f t="shared" si="72"/>
        <v>405838</v>
      </c>
    </row>
    <row r="100" spans="1:17" x14ac:dyDescent="0.3">
      <c r="A100" s="2">
        <f t="shared" si="69"/>
        <v>98</v>
      </c>
      <c r="B100" s="6">
        <f t="shared" si="74"/>
        <v>212</v>
      </c>
      <c r="C100" s="9">
        <f t="shared" si="66"/>
        <v>5497</v>
      </c>
      <c r="D100" s="6">
        <f t="shared" si="74"/>
        <v>212</v>
      </c>
      <c r="E100" s="9">
        <f t="shared" si="67"/>
        <v>5497</v>
      </c>
      <c r="F100" s="3">
        <f t="shared" si="78"/>
        <v>657</v>
      </c>
      <c r="G100" s="3">
        <f t="shared" si="68"/>
        <v>5497</v>
      </c>
      <c r="J100" s="6">
        <f t="shared" si="75"/>
        <v>2.1799999999999931</v>
      </c>
      <c r="K100" s="11">
        <f t="shared" si="76"/>
        <v>8920</v>
      </c>
      <c r="N100" s="1"/>
      <c r="O100" s="1"/>
      <c r="P100" s="1">
        <f t="shared" si="65"/>
        <v>8920</v>
      </c>
      <c r="Q100" s="1">
        <f t="shared" si="72"/>
        <v>414758</v>
      </c>
    </row>
    <row r="101" spans="1:17" x14ac:dyDescent="0.3">
      <c r="A101" s="2">
        <f t="shared" si="69"/>
        <v>99</v>
      </c>
      <c r="B101" s="6">
        <f t="shared" si="74"/>
        <v>216</v>
      </c>
      <c r="C101" s="9">
        <f t="shared" si="66"/>
        <v>5499</v>
      </c>
      <c r="D101" s="6">
        <f t="shared" si="74"/>
        <v>216</v>
      </c>
      <c r="E101" s="9">
        <f t="shared" si="67"/>
        <v>5499</v>
      </c>
      <c r="F101" s="3">
        <f>F100+13</f>
        <v>670</v>
      </c>
      <c r="G101" s="3">
        <f t="shared" si="68"/>
        <v>5499</v>
      </c>
      <c r="J101" s="6">
        <f t="shared" si="75"/>
        <v>2.1899999999999928</v>
      </c>
      <c r="K101" s="11">
        <f t="shared" si="76"/>
        <v>9110</v>
      </c>
      <c r="N101" s="1"/>
      <c r="O101" s="1"/>
      <c r="P101" s="1">
        <f t="shared" si="65"/>
        <v>9110</v>
      </c>
      <c r="Q101" s="1">
        <f t="shared" si="72"/>
        <v>423868</v>
      </c>
    </row>
    <row r="102" spans="1:17" x14ac:dyDescent="0.3">
      <c r="A102" s="12">
        <f t="shared" si="69"/>
        <v>100</v>
      </c>
      <c r="B102" s="13">
        <v>250</v>
      </c>
      <c r="C102" s="14">
        <v>5500</v>
      </c>
      <c r="D102" s="13">
        <v>250</v>
      </c>
      <c r="E102" s="14">
        <v>5500</v>
      </c>
      <c r="F102" s="15">
        <v>700</v>
      </c>
      <c r="G102" s="16">
        <v>5500</v>
      </c>
      <c r="J102" s="6">
        <f t="shared" si="75"/>
        <v>2.1999999999999926</v>
      </c>
      <c r="K102" s="11">
        <f t="shared" si="76"/>
        <v>9300</v>
      </c>
      <c r="N102" s="1"/>
      <c r="O102" s="1"/>
      <c r="P102" s="1">
        <f t="shared" ref="P102:P165" si="79">K102</f>
        <v>9300</v>
      </c>
      <c r="Q102" s="1">
        <f t="shared" ref="Q102:Q165" si="80">Q101+K102</f>
        <v>433168</v>
      </c>
    </row>
    <row r="103" spans="1:17" x14ac:dyDescent="0.3">
      <c r="A103" s="2">
        <f t="shared" si="69"/>
        <v>101</v>
      </c>
      <c r="B103" s="6">
        <f>B102+2</f>
        <v>252</v>
      </c>
      <c r="C103" s="9">
        <f>C102+110</f>
        <v>5610</v>
      </c>
      <c r="D103" s="6">
        <f>D102+1</f>
        <v>251</v>
      </c>
      <c r="E103" s="9">
        <f>E102+90</f>
        <v>5590</v>
      </c>
      <c r="F103" s="3">
        <f>F102+1</f>
        <v>701</v>
      </c>
      <c r="G103" s="3">
        <f>G102+70</f>
        <v>5570</v>
      </c>
      <c r="J103" s="6">
        <f t="shared" si="75"/>
        <v>2.2099999999999924</v>
      </c>
      <c r="K103" s="11">
        <f t="shared" si="76"/>
        <v>9490</v>
      </c>
      <c r="P103" s="1">
        <f t="shared" si="79"/>
        <v>9490</v>
      </c>
      <c r="Q103" s="1">
        <f t="shared" si="80"/>
        <v>442658</v>
      </c>
    </row>
    <row r="104" spans="1:17" x14ac:dyDescent="0.3">
      <c r="A104" s="2">
        <f t="shared" si="69"/>
        <v>102</v>
      </c>
      <c r="B104" s="6">
        <f t="shared" ref="B104:B167" si="81">B103+2</f>
        <v>254</v>
      </c>
      <c r="C104" s="9">
        <f t="shared" ref="C104:C167" si="82">C103+110</f>
        <v>5720</v>
      </c>
      <c r="D104" s="6">
        <f t="shared" ref="D104:D167" si="83">D103+1</f>
        <v>252</v>
      </c>
      <c r="E104" s="9">
        <f t="shared" ref="E104:E167" si="84">E103+90</f>
        <v>5680</v>
      </c>
      <c r="F104" s="3">
        <f t="shared" ref="F104:F167" si="85">F103+1</f>
        <v>702</v>
      </c>
      <c r="G104" s="3">
        <f t="shared" ref="G104:G167" si="86">G103+70</f>
        <v>5640</v>
      </c>
      <c r="J104" s="6">
        <f t="shared" si="75"/>
        <v>2.2199999999999922</v>
      </c>
      <c r="K104" s="11">
        <f t="shared" si="76"/>
        <v>9680</v>
      </c>
      <c r="P104" s="1">
        <f t="shared" si="79"/>
        <v>9680</v>
      </c>
      <c r="Q104" s="1">
        <f t="shared" si="80"/>
        <v>452338</v>
      </c>
    </row>
    <row r="105" spans="1:17" x14ac:dyDescent="0.3">
      <c r="A105" s="2">
        <f t="shared" si="69"/>
        <v>103</v>
      </c>
      <c r="B105" s="6">
        <f t="shared" si="81"/>
        <v>256</v>
      </c>
      <c r="C105" s="9">
        <f t="shared" si="82"/>
        <v>5830</v>
      </c>
      <c r="D105" s="6">
        <f t="shared" si="83"/>
        <v>253</v>
      </c>
      <c r="E105" s="9">
        <f t="shared" si="84"/>
        <v>5770</v>
      </c>
      <c r="F105" s="3">
        <f t="shared" si="85"/>
        <v>703</v>
      </c>
      <c r="G105" s="3">
        <f t="shared" si="86"/>
        <v>5710</v>
      </c>
      <c r="J105" s="6">
        <f t="shared" si="75"/>
        <v>2.229999999999992</v>
      </c>
      <c r="K105" s="11">
        <f t="shared" si="76"/>
        <v>9870</v>
      </c>
      <c r="P105" s="1">
        <f t="shared" si="79"/>
        <v>9870</v>
      </c>
      <c r="Q105" s="1">
        <f t="shared" si="80"/>
        <v>462208</v>
      </c>
    </row>
    <row r="106" spans="1:17" x14ac:dyDescent="0.3">
      <c r="A106" s="2">
        <f t="shared" si="69"/>
        <v>104</v>
      </c>
      <c r="B106" s="6">
        <f t="shared" si="81"/>
        <v>258</v>
      </c>
      <c r="C106" s="9">
        <f t="shared" si="82"/>
        <v>5940</v>
      </c>
      <c r="D106" s="6">
        <f t="shared" si="83"/>
        <v>254</v>
      </c>
      <c r="E106" s="9">
        <f t="shared" si="84"/>
        <v>5860</v>
      </c>
      <c r="F106" s="3">
        <f t="shared" si="85"/>
        <v>704</v>
      </c>
      <c r="G106" s="3">
        <f t="shared" si="86"/>
        <v>5780</v>
      </c>
      <c r="J106" s="6">
        <f t="shared" si="75"/>
        <v>2.2399999999999918</v>
      </c>
      <c r="K106" s="11">
        <f t="shared" si="76"/>
        <v>10060</v>
      </c>
      <c r="P106" s="1">
        <f t="shared" si="79"/>
        <v>10060</v>
      </c>
      <c r="Q106" s="1">
        <f t="shared" si="80"/>
        <v>472268</v>
      </c>
    </row>
    <row r="107" spans="1:17" x14ac:dyDescent="0.3">
      <c r="A107" s="2">
        <f t="shared" si="69"/>
        <v>105</v>
      </c>
      <c r="B107" s="6">
        <f t="shared" si="81"/>
        <v>260</v>
      </c>
      <c r="C107" s="9">
        <f t="shared" si="82"/>
        <v>6050</v>
      </c>
      <c r="D107" s="6">
        <f t="shared" si="83"/>
        <v>255</v>
      </c>
      <c r="E107" s="9">
        <f t="shared" si="84"/>
        <v>5950</v>
      </c>
      <c r="F107" s="3">
        <f t="shared" si="85"/>
        <v>705</v>
      </c>
      <c r="G107" s="3">
        <f t="shared" si="86"/>
        <v>5850</v>
      </c>
      <c r="J107" s="6">
        <f t="shared" si="75"/>
        <v>2.2499999999999916</v>
      </c>
      <c r="K107" s="11">
        <f t="shared" si="76"/>
        <v>10250</v>
      </c>
      <c r="P107" s="1">
        <f t="shared" si="79"/>
        <v>10250</v>
      </c>
      <c r="Q107" s="1">
        <f t="shared" si="80"/>
        <v>482518</v>
      </c>
    </row>
    <row r="108" spans="1:17" x14ac:dyDescent="0.3">
      <c r="A108" s="2">
        <f t="shared" si="69"/>
        <v>106</v>
      </c>
      <c r="B108" s="6">
        <f t="shared" si="81"/>
        <v>262</v>
      </c>
      <c r="C108" s="9">
        <f t="shared" si="82"/>
        <v>6160</v>
      </c>
      <c r="D108" s="6">
        <f t="shared" si="83"/>
        <v>256</v>
      </c>
      <c r="E108" s="9">
        <f t="shared" si="84"/>
        <v>6040</v>
      </c>
      <c r="F108" s="3">
        <f t="shared" si="85"/>
        <v>706</v>
      </c>
      <c r="G108" s="3">
        <f t="shared" si="86"/>
        <v>5920</v>
      </c>
      <c r="J108" s="6">
        <f t="shared" si="75"/>
        <v>2.2599999999999913</v>
      </c>
      <c r="K108" s="11">
        <f t="shared" si="76"/>
        <v>10440</v>
      </c>
      <c r="P108" s="1">
        <f t="shared" si="79"/>
        <v>10440</v>
      </c>
      <c r="Q108" s="1">
        <f t="shared" si="80"/>
        <v>492958</v>
      </c>
    </row>
    <row r="109" spans="1:17" x14ac:dyDescent="0.3">
      <c r="A109" s="2">
        <f t="shared" si="69"/>
        <v>107</v>
      </c>
      <c r="B109" s="6">
        <f t="shared" si="81"/>
        <v>264</v>
      </c>
      <c r="C109" s="9">
        <f t="shared" si="82"/>
        <v>6270</v>
      </c>
      <c r="D109" s="6">
        <f t="shared" si="83"/>
        <v>257</v>
      </c>
      <c r="E109" s="9">
        <f t="shared" si="84"/>
        <v>6130</v>
      </c>
      <c r="F109" s="3">
        <f t="shared" si="85"/>
        <v>707</v>
      </c>
      <c r="G109" s="3">
        <f t="shared" si="86"/>
        <v>5990</v>
      </c>
      <c r="J109" s="6">
        <f t="shared" si="75"/>
        <v>2.2699999999999911</v>
      </c>
      <c r="K109" s="11">
        <f t="shared" si="76"/>
        <v>10630</v>
      </c>
      <c r="P109" s="1">
        <f t="shared" si="79"/>
        <v>10630</v>
      </c>
      <c r="Q109" s="1">
        <f t="shared" si="80"/>
        <v>503588</v>
      </c>
    </row>
    <row r="110" spans="1:17" x14ac:dyDescent="0.3">
      <c r="A110" s="2">
        <f t="shared" si="69"/>
        <v>108</v>
      </c>
      <c r="B110" s="6">
        <f t="shared" si="81"/>
        <v>266</v>
      </c>
      <c r="C110" s="9">
        <f t="shared" si="82"/>
        <v>6380</v>
      </c>
      <c r="D110" s="6">
        <f t="shared" si="83"/>
        <v>258</v>
      </c>
      <c r="E110" s="9">
        <f t="shared" si="84"/>
        <v>6220</v>
      </c>
      <c r="F110" s="3">
        <f t="shared" si="85"/>
        <v>708</v>
      </c>
      <c r="G110" s="3">
        <f t="shared" si="86"/>
        <v>6060</v>
      </c>
      <c r="J110" s="6">
        <f t="shared" si="75"/>
        <v>2.2799999999999909</v>
      </c>
      <c r="K110" s="11">
        <f t="shared" si="76"/>
        <v>10820</v>
      </c>
      <c r="P110" s="1">
        <f t="shared" si="79"/>
        <v>10820</v>
      </c>
      <c r="Q110" s="1">
        <f t="shared" si="80"/>
        <v>514408</v>
      </c>
    </row>
    <row r="111" spans="1:17" x14ac:dyDescent="0.3">
      <c r="A111" s="2">
        <f t="shared" si="69"/>
        <v>109</v>
      </c>
      <c r="B111" s="6">
        <f t="shared" si="81"/>
        <v>268</v>
      </c>
      <c r="C111" s="9">
        <f t="shared" si="82"/>
        <v>6490</v>
      </c>
      <c r="D111" s="6">
        <f t="shared" si="83"/>
        <v>259</v>
      </c>
      <c r="E111" s="9">
        <f t="shared" si="84"/>
        <v>6310</v>
      </c>
      <c r="F111" s="3">
        <f t="shared" si="85"/>
        <v>709</v>
      </c>
      <c r="G111" s="3">
        <f t="shared" si="86"/>
        <v>6130</v>
      </c>
      <c r="J111" s="6">
        <f t="shared" si="75"/>
        <v>2.2899999999999907</v>
      </c>
      <c r="K111" s="11">
        <f t="shared" si="76"/>
        <v>11010</v>
      </c>
      <c r="P111" s="1">
        <f t="shared" si="79"/>
        <v>11010</v>
      </c>
      <c r="Q111" s="1">
        <f t="shared" si="80"/>
        <v>525418</v>
      </c>
    </row>
    <row r="112" spans="1:17" x14ac:dyDescent="0.3">
      <c r="A112" s="2">
        <f t="shared" si="69"/>
        <v>110</v>
      </c>
      <c r="B112" s="6">
        <f t="shared" si="81"/>
        <v>270</v>
      </c>
      <c r="C112" s="9">
        <f t="shared" si="82"/>
        <v>6600</v>
      </c>
      <c r="D112" s="6">
        <f t="shared" si="83"/>
        <v>260</v>
      </c>
      <c r="E112" s="9">
        <f t="shared" si="84"/>
        <v>6400</v>
      </c>
      <c r="F112" s="3">
        <f t="shared" si="85"/>
        <v>710</v>
      </c>
      <c r="G112" s="3">
        <f t="shared" si="86"/>
        <v>6200</v>
      </c>
      <c r="J112" s="6">
        <f t="shared" si="75"/>
        <v>2.2999999999999905</v>
      </c>
      <c r="K112" s="11">
        <f t="shared" si="76"/>
        <v>11200</v>
      </c>
      <c r="P112" s="1">
        <f t="shared" si="79"/>
        <v>11200</v>
      </c>
      <c r="Q112" s="1">
        <f t="shared" si="80"/>
        <v>536618</v>
      </c>
    </row>
    <row r="113" spans="1:17" x14ac:dyDescent="0.3">
      <c r="A113" s="2">
        <f t="shared" si="69"/>
        <v>111</v>
      </c>
      <c r="B113" s="6">
        <f t="shared" si="81"/>
        <v>272</v>
      </c>
      <c r="C113" s="9">
        <f t="shared" si="82"/>
        <v>6710</v>
      </c>
      <c r="D113" s="6">
        <f t="shared" si="83"/>
        <v>261</v>
      </c>
      <c r="E113" s="9">
        <f t="shared" si="84"/>
        <v>6490</v>
      </c>
      <c r="F113" s="3">
        <f t="shared" si="85"/>
        <v>711</v>
      </c>
      <c r="G113" s="3">
        <f t="shared" si="86"/>
        <v>6270</v>
      </c>
      <c r="J113" s="6">
        <f t="shared" si="75"/>
        <v>2.3099999999999903</v>
      </c>
      <c r="K113" s="11">
        <f t="shared" si="76"/>
        <v>11390</v>
      </c>
      <c r="P113" s="1">
        <f t="shared" si="79"/>
        <v>11390</v>
      </c>
      <c r="Q113" s="1">
        <f t="shared" si="80"/>
        <v>548008</v>
      </c>
    </row>
    <row r="114" spans="1:17" x14ac:dyDescent="0.3">
      <c r="A114" s="2">
        <f t="shared" si="69"/>
        <v>112</v>
      </c>
      <c r="B114" s="6">
        <f t="shared" si="81"/>
        <v>274</v>
      </c>
      <c r="C114" s="9">
        <f t="shared" si="82"/>
        <v>6820</v>
      </c>
      <c r="D114" s="6">
        <f t="shared" si="83"/>
        <v>262</v>
      </c>
      <c r="E114" s="9">
        <f t="shared" si="84"/>
        <v>6580</v>
      </c>
      <c r="F114" s="3">
        <f t="shared" si="85"/>
        <v>712</v>
      </c>
      <c r="G114" s="3">
        <f t="shared" si="86"/>
        <v>6340</v>
      </c>
      <c r="J114" s="6">
        <f t="shared" si="75"/>
        <v>2.3199999999999901</v>
      </c>
      <c r="K114" s="11">
        <f t="shared" si="76"/>
        <v>11580</v>
      </c>
      <c r="P114" s="1">
        <f t="shared" si="79"/>
        <v>11580</v>
      </c>
      <c r="Q114" s="1">
        <f t="shared" si="80"/>
        <v>559588</v>
      </c>
    </row>
    <row r="115" spans="1:17" x14ac:dyDescent="0.3">
      <c r="A115" s="2">
        <f t="shared" si="69"/>
        <v>113</v>
      </c>
      <c r="B115" s="6">
        <f t="shared" si="81"/>
        <v>276</v>
      </c>
      <c r="C115" s="9">
        <f t="shared" si="82"/>
        <v>6930</v>
      </c>
      <c r="D115" s="6">
        <f t="shared" si="83"/>
        <v>263</v>
      </c>
      <c r="E115" s="9">
        <f t="shared" si="84"/>
        <v>6670</v>
      </c>
      <c r="F115" s="3">
        <f t="shared" si="85"/>
        <v>713</v>
      </c>
      <c r="G115" s="3">
        <f t="shared" si="86"/>
        <v>6410</v>
      </c>
      <c r="J115" s="6">
        <f t="shared" si="75"/>
        <v>2.3299999999999899</v>
      </c>
      <c r="K115" s="11">
        <f t="shared" si="76"/>
        <v>11770</v>
      </c>
      <c r="P115" s="1">
        <f t="shared" si="79"/>
        <v>11770</v>
      </c>
      <c r="Q115" s="1">
        <f t="shared" si="80"/>
        <v>571358</v>
      </c>
    </row>
    <row r="116" spans="1:17" x14ac:dyDescent="0.3">
      <c r="A116" s="2">
        <f t="shared" si="69"/>
        <v>114</v>
      </c>
      <c r="B116" s="6">
        <f t="shared" si="81"/>
        <v>278</v>
      </c>
      <c r="C116" s="9">
        <f t="shared" si="82"/>
        <v>7040</v>
      </c>
      <c r="D116" s="6">
        <f t="shared" si="83"/>
        <v>264</v>
      </c>
      <c r="E116" s="9">
        <f t="shared" si="84"/>
        <v>6760</v>
      </c>
      <c r="F116" s="3">
        <f t="shared" si="85"/>
        <v>714</v>
      </c>
      <c r="G116" s="3">
        <f t="shared" si="86"/>
        <v>6480</v>
      </c>
      <c r="J116" s="6">
        <f t="shared" si="75"/>
        <v>2.3399999999999896</v>
      </c>
      <c r="K116" s="11">
        <f t="shared" si="76"/>
        <v>11960</v>
      </c>
      <c r="P116" s="1">
        <f t="shared" si="79"/>
        <v>11960</v>
      </c>
      <c r="Q116" s="1">
        <f t="shared" si="80"/>
        <v>583318</v>
      </c>
    </row>
    <row r="117" spans="1:17" x14ac:dyDescent="0.3">
      <c r="A117" s="2">
        <f t="shared" si="69"/>
        <v>115</v>
      </c>
      <c r="B117" s="6">
        <f t="shared" si="81"/>
        <v>280</v>
      </c>
      <c r="C117" s="9">
        <f t="shared" si="82"/>
        <v>7150</v>
      </c>
      <c r="D117" s="6">
        <f t="shared" si="83"/>
        <v>265</v>
      </c>
      <c r="E117" s="9">
        <f t="shared" si="84"/>
        <v>6850</v>
      </c>
      <c r="F117" s="3">
        <f t="shared" si="85"/>
        <v>715</v>
      </c>
      <c r="G117" s="3">
        <f t="shared" si="86"/>
        <v>6550</v>
      </c>
      <c r="J117" s="6">
        <f t="shared" si="75"/>
        <v>2.3499999999999894</v>
      </c>
      <c r="K117" s="11">
        <f t="shared" si="76"/>
        <v>12150</v>
      </c>
      <c r="P117" s="1">
        <f t="shared" si="79"/>
        <v>12150</v>
      </c>
      <c r="Q117" s="1">
        <f t="shared" si="80"/>
        <v>595468</v>
      </c>
    </row>
    <row r="118" spans="1:17" x14ac:dyDescent="0.3">
      <c r="A118" s="2">
        <f t="shared" si="69"/>
        <v>116</v>
      </c>
      <c r="B118" s="6">
        <f t="shared" si="81"/>
        <v>282</v>
      </c>
      <c r="C118" s="9">
        <f t="shared" si="82"/>
        <v>7260</v>
      </c>
      <c r="D118" s="6">
        <f t="shared" si="83"/>
        <v>266</v>
      </c>
      <c r="E118" s="9">
        <f t="shared" si="84"/>
        <v>6940</v>
      </c>
      <c r="F118" s="3">
        <f t="shared" si="85"/>
        <v>716</v>
      </c>
      <c r="G118" s="3">
        <f t="shared" si="86"/>
        <v>6620</v>
      </c>
      <c r="J118" s="6">
        <f t="shared" si="75"/>
        <v>2.3599999999999892</v>
      </c>
      <c r="K118" s="11">
        <f t="shared" si="76"/>
        <v>12340</v>
      </c>
      <c r="P118" s="1">
        <f t="shared" si="79"/>
        <v>12340</v>
      </c>
      <c r="Q118" s="1">
        <f t="shared" si="80"/>
        <v>607808</v>
      </c>
    </row>
    <row r="119" spans="1:17" x14ac:dyDescent="0.3">
      <c r="A119" s="2">
        <f t="shared" si="69"/>
        <v>117</v>
      </c>
      <c r="B119" s="6">
        <f t="shared" si="81"/>
        <v>284</v>
      </c>
      <c r="C119" s="9">
        <f t="shared" si="82"/>
        <v>7370</v>
      </c>
      <c r="D119" s="6">
        <f t="shared" si="83"/>
        <v>267</v>
      </c>
      <c r="E119" s="9">
        <f t="shared" si="84"/>
        <v>7030</v>
      </c>
      <c r="F119" s="3">
        <f t="shared" si="85"/>
        <v>717</v>
      </c>
      <c r="G119" s="3">
        <f t="shared" si="86"/>
        <v>6690</v>
      </c>
      <c r="J119" s="6">
        <f t="shared" si="75"/>
        <v>2.369999999999989</v>
      </c>
      <c r="K119" s="11">
        <f t="shared" si="76"/>
        <v>12530</v>
      </c>
      <c r="P119" s="1">
        <f t="shared" si="79"/>
        <v>12530</v>
      </c>
      <c r="Q119" s="1">
        <f t="shared" si="80"/>
        <v>620338</v>
      </c>
    </row>
    <row r="120" spans="1:17" x14ac:dyDescent="0.3">
      <c r="A120" s="2">
        <f t="shared" si="69"/>
        <v>118</v>
      </c>
      <c r="B120" s="6">
        <f t="shared" si="81"/>
        <v>286</v>
      </c>
      <c r="C120" s="9">
        <f t="shared" si="82"/>
        <v>7480</v>
      </c>
      <c r="D120" s="6">
        <f t="shared" si="83"/>
        <v>268</v>
      </c>
      <c r="E120" s="9">
        <f t="shared" si="84"/>
        <v>7120</v>
      </c>
      <c r="F120" s="3">
        <f t="shared" si="85"/>
        <v>718</v>
      </c>
      <c r="G120" s="3">
        <f t="shared" si="86"/>
        <v>6760</v>
      </c>
      <c r="J120" s="6">
        <f t="shared" si="75"/>
        <v>2.3799999999999888</v>
      </c>
      <c r="K120" s="11">
        <f t="shared" si="76"/>
        <v>12720</v>
      </c>
      <c r="P120" s="1">
        <f t="shared" si="79"/>
        <v>12720</v>
      </c>
      <c r="Q120" s="1">
        <f t="shared" si="80"/>
        <v>633058</v>
      </c>
    </row>
    <row r="121" spans="1:17" x14ac:dyDescent="0.3">
      <c r="A121" s="2">
        <f t="shared" si="69"/>
        <v>119</v>
      </c>
      <c r="B121" s="6">
        <f t="shared" si="81"/>
        <v>288</v>
      </c>
      <c r="C121" s="9">
        <f t="shared" si="82"/>
        <v>7590</v>
      </c>
      <c r="D121" s="6">
        <f t="shared" si="83"/>
        <v>269</v>
      </c>
      <c r="E121" s="9">
        <f t="shared" si="84"/>
        <v>7210</v>
      </c>
      <c r="F121" s="3">
        <f t="shared" si="85"/>
        <v>719</v>
      </c>
      <c r="G121" s="3">
        <f t="shared" si="86"/>
        <v>6830</v>
      </c>
      <c r="J121" s="6">
        <f t="shared" si="75"/>
        <v>2.3899999999999886</v>
      </c>
      <c r="K121" s="11">
        <f t="shared" si="76"/>
        <v>12910</v>
      </c>
      <c r="P121" s="1">
        <f t="shared" si="79"/>
        <v>12910</v>
      </c>
      <c r="Q121" s="1">
        <f t="shared" si="80"/>
        <v>645968</v>
      </c>
    </row>
    <row r="122" spans="1:17" x14ac:dyDescent="0.3">
      <c r="A122" s="2">
        <f t="shared" si="69"/>
        <v>120</v>
      </c>
      <c r="B122" s="6">
        <f t="shared" si="81"/>
        <v>290</v>
      </c>
      <c r="C122" s="9">
        <f t="shared" si="82"/>
        <v>7700</v>
      </c>
      <c r="D122" s="6">
        <f t="shared" si="83"/>
        <v>270</v>
      </c>
      <c r="E122" s="9">
        <f t="shared" si="84"/>
        <v>7300</v>
      </c>
      <c r="F122" s="3">
        <f t="shared" si="85"/>
        <v>720</v>
      </c>
      <c r="G122" s="3">
        <f t="shared" si="86"/>
        <v>6900</v>
      </c>
      <c r="J122" s="6">
        <f t="shared" si="75"/>
        <v>2.3999999999999884</v>
      </c>
      <c r="K122" s="11">
        <f t="shared" si="76"/>
        <v>13100</v>
      </c>
      <c r="P122" s="1">
        <f t="shared" si="79"/>
        <v>13100</v>
      </c>
      <c r="Q122" s="1">
        <f t="shared" si="80"/>
        <v>659068</v>
      </c>
    </row>
    <row r="123" spans="1:17" x14ac:dyDescent="0.3">
      <c r="A123" s="2">
        <f t="shared" si="69"/>
        <v>121</v>
      </c>
      <c r="B123" s="6">
        <f t="shared" si="81"/>
        <v>292</v>
      </c>
      <c r="C123" s="9">
        <f t="shared" si="82"/>
        <v>7810</v>
      </c>
      <c r="D123" s="6">
        <f t="shared" si="83"/>
        <v>271</v>
      </c>
      <c r="E123" s="9">
        <f t="shared" si="84"/>
        <v>7390</v>
      </c>
      <c r="F123" s="3">
        <f t="shared" si="85"/>
        <v>721</v>
      </c>
      <c r="G123" s="3">
        <f t="shared" si="86"/>
        <v>6970</v>
      </c>
      <c r="J123" s="6">
        <f t="shared" si="75"/>
        <v>2.4099999999999882</v>
      </c>
      <c r="K123" s="11">
        <f t="shared" si="76"/>
        <v>13290</v>
      </c>
      <c r="P123" s="1">
        <f t="shared" si="79"/>
        <v>13290</v>
      </c>
      <c r="Q123" s="1">
        <f t="shared" si="80"/>
        <v>672358</v>
      </c>
    </row>
    <row r="124" spans="1:17" x14ac:dyDescent="0.3">
      <c r="A124" s="2">
        <f t="shared" si="69"/>
        <v>122</v>
      </c>
      <c r="B124" s="6">
        <f t="shared" si="81"/>
        <v>294</v>
      </c>
      <c r="C124" s="9">
        <f t="shared" si="82"/>
        <v>7920</v>
      </c>
      <c r="D124" s="6">
        <f t="shared" si="83"/>
        <v>272</v>
      </c>
      <c r="E124" s="9">
        <f t="shared" si="84"/>
        <v>7480</v>
      </c>
      <c r="F124" s="3">
        <f t="shared" si="85"/>
        <v>722</v>
      </c>
      <c r="G124" s="3">
        <f t="shared" si="86"/>
        <v>7040</v>
      </c>
      <c r="J124" s="6">
        <f t="shared" si="75"/>
        <v>2.4199999999999879</v>
      </c>
      <c r="K124" s="11">
        <f t="shared" si="76"/>
        <v>13480</v>
      </c>
      <c r="P124" s="1">
        <f t="shared" si="79"/>
        <v>13480</v>
      </c>
      <c r="Q124" s="1">
        <f t="shared" si="80"/>
        <v>685838</v>
      </c>
    </row>
    <row r="125" spans="1:17" x14ac:dyDescent="0.3">
      <c r="A125" s="2">
        <f t="shared" si="69"/>
        <v>123</v>
      </c>
      <c r="B125" s="6">
        <f t="shared" si="81"/>
        <v>296</v>
      </c>
      <c r="C125" s="9">
        <f t="shared" si="82"/>
        <v>8030</v>
      </c>
      <c r="D125" s="6">
        <f t="shared" si="83"/>
        <v>273</v>
      </c>
      <c r="E125" s="9">
        <f t="shared" si="84"/>
        <v>7570</v>
      </c>
      <c r="F125" s="3">
        <f t="shared" si="85"/>
        <v>723</v>
      </c>
      <c r="G125" s="3">
        <f t="shared" si="86"/>
        <v>7110</v>
      </c>
      <c r="J125" s="6">
        <f t="shared" si="75"/>
        <v>2.4299999999999877</v>
      </c>
      <c r="K125" s="11">
        <f t="shared" si="76"/>
        <v>13670</v>
      </c>
      <c r="P125" s="1">
        <f t="shared" si="79"/>
        <v>13670</v>
      </c>
      <c r="Q125" s="1">
        <f t="shared" si="80"/>
        <v>699508</v>
      </c>
    </row>
    <row r="126" spans="1:17" x14ac:dyDescent="0.3">
      <c r="A126" s="2">
        <f t="shared" si="69"/>
        <v>124</v>
      </c>
      <c r="B126" s="6">
        <f t="shared" si="81"/>
        <v>298</v>
      </c>
      <c r="C126" s="9">
        <f t="shared" si="82"/>
        <v>8140</v>
      </c>
      <c r="D126" s="6">
        <f t="shared" si="83"/>
        <v>274</v>
      </c>
      <c r="E126" s="9">
        <f t="shared" si="84"/>
        <v>7660</v>
      </c>
      <c r="F126" s="3">
        <f t="shared" si="85"/>
        <v>724</v>
      </c>
      <c r="G126" s="3">
        <f t="shared" si="86"/>
        <v>7180</v>
      </c>
      <c r="J126" s="6">
        <f t="shared" si="75"/>
        <v>2.4399999999999875</v>
      </c>
      <c r="K126" s="11">
        <f t="shared" si="76"/>
        <v>13860</v>
      </c>
      <c r="P126" s="1">
        <f t="shared" si="79"/>
        <v>13860</v>
      </c>
      <c r="Q126" s="1">
        <f t="shared" si="80"/>
        <v>713368</v>
      </c>
    </row>
    <row r="127" spans="1:17" x14ac:dyDescent="0.3">
      <c r="A127" s="2">
        <f t="shared" si="69"/>
        <v>125</v>
      </c>
      <c r="B127" s="6">
        <f t="shared" si="81"/>
        <v>300</v>
      </c>
      <c r="C127" s="9">
        <f t="shared" si="82"/>
        <v>8250</v>
      </c>
      <c r="D127" s="6">
        <f t="shared" si="83"/>
        <v>275</v>
      </c>
      <c r="E127" s="9">
        <f t="shared" si="84"/>
        <v>7750</v>
      </c>
      <c r="F127" s="3">
        <f t="shared" si="85"/>
        <v>725</v>
      </c>
      <c r="G127" s="3">
        <f t="shared" si="86"/>
        <v>7250</v>
      </c>
      <c r="J127" s="6">
        <f t="shared" si="75"/>
        <v>2.4499999999999873</v>
      </c>
      <c r="K127" s="11">
        <f t="shared" si="76"/>
        <v>14050</v>
      </c>
      <c r="P127" s="1">
        <f t="shared" si="79"/>
        <v>14050</v>
      </c>
      <c r="Q127" s="1">
        <f t="shared" si="80"/>
        <v>727418</v>
      </c>
    </row>
    <row r="128" spans="1:17" x14ac:dyDescent="0.3">
      <c r="A128" s="2">
        <f t="shared" si="69"/>
        <v>126</v>
      </c>
      <c r="B128" s="6">
        <f t="shared" si="81"/>
        <v>302</v>
      </c>
      <c r="C128" s="9">
        <f t="shared" si="82"/>
        <v>8360</v>
      </c>
      <c r="D128" s="6">
        <f t="shared" si="83"/>
        <v>276</v>
      </c>
      <c r="E128" s="9">
        <f t="shared" si="84"/>
        <v>7840</v>
      </c>
      <c r="F128" s="3">
        <f t="shared" si="85"/>
        <v>726</v>
      </c>
      <c r="G128" s="3">
        <f t="shared" si="86"/>
        <v>7320</v>
      </c>
      <c r="J128" s="6">
        <f t="shared" si="75"/>
        <v>2.4599999999999871</v>
      </c>
      <c r="K128" s="11">
        <f t="shared" si="76"/>
        <v>14240</v>
      </c>
      <c r="P128" s="1">
        <f t="shared" si="79"/>
        <v>14240</v>
      </c>
      <c r="Q128" s="1">
        <f t="shared" si="80"/>
        <v>741658</v>
      </c>
    </row>
    <row r="129" spans="1:17" x14ac:dyDescent="0.3">
      <c r="A129" s="2">
        <f t="shared" si="69"/>
        <v>127</v>
      </c>
      <c r="B129" s="6">
        <f t="shared" si="81"/>
        <v>304</v>
      </c>
      <c r="C129" s="9">
        <f t="shared" si="82"/>
        <v>8470</v>
      </c>
      <c r="D129" s="6">
        <f t="shared" si="83"/>
        <v>277</v>
      </c>
      <c r="E129" s="9">
        <f t="shared" si="84"/>
        <v>7930</v>
      </c>
      <c r="F129" s="3">
        <f t="shared" si="85"/>
        <v>727</v>
      </c>
      <c r="G129" s="3">
        <f t="shared" si="86"/>
        <v>7390</v>
      </c>
      <c r="J129" s="6">
        <f t="shared" si="75"/>
        <v>2.4699999999999869</v>
      </c>
      <c r="K129" s="11">
        <f t="shared" si="76"/>
        <v>14430</v>
      </c>
      <c r="P129" s="1">
        <f t="shared" si="79"/>
        <v>14430</v>
      </c>
      <c r="Q129" s="1">
        <f t="shared" si="80"/>
        <v>756088</v>
      </c>
    </row>
    <row r="130" spans="1:17" x14ac:dyDescent="0.3">
      <c r="A130" s="2">
        <f t="shared" si="69"/>
        <v>128</v>
      </c>
      <c r="B130" s="6">
        <f t="shared" si="81"/>
        <v>306</v>
      </c>
      <c r="C130" s="9">
        <f t="shared" si="82"/>
        <v>8580</v>
      </c>
      <c r="D130" s="6">
        <f t="shared" si="83"/>
        <v>278</v>
      </c>
      <c r="E130" s="9">
        <f t="shared" si="84"/>
        <v>8020</v>
      </c>
      <c r="F130" s="3">
        <f t="shared" si="85"/>
        <v>728</v>
      </c>
      <c r="G130" s="3">
        <f t="shared" si="86"/>
        <v>7460</v>
      </c>
      <c r="J130" s="6">
        <f t="shared" si="75"/>
        <v>2.4799999999999867</v>
      </c>
      <c r="K130" s="11">
        <f t="shared" si="76"/>
        <v>14620</v>
      </c>
      <c r="P130" s="1">
        <f t="shared" si="79"/>
        <v>14620</v>
      </c>
      <c r="Q130" s="1">
        <f t="shared" si="80"/>
        <v>770708</v>
      </c>
    </row>
    <row r="131" spans="1:17" x14ac:dyDescent="0.3">
      <c r="A131" s="2">
        <f t="shared" si="69"/>
        <v>129</v>
      </c>
      <c r="B131" s="6">
        <f t="shared" si="81"/>
        <v>308</v>
      </c>
      <c r="C131" s="9">
        <f t="shared" si="82"/>
        <v>8690</v>
      </c>
      <c r="D131" s="6">
        <f t="shared" si="83"/>
        <v>279</v>
      </c>
      <c r="E131" s="9">
        <f t="shared" si="84"/>
        <v>8110</v>
      </c>
      <c r="F131" s="3">
        <f t="shared" si="85"/>
        <v>729</v>
      </c>
      <c r="G131" s="3">
        <f t="shared" si="86"/>
        <v>7530</v>
      </c>
      <c r="J131" s="6">
        <f t="shared" si="75"/>
        <v>2.4899999999999864</v>
      </c>
      <c r="K131" s="11">
        <f t="shared" si="76"/>
        <v>14810</v>
      </c>
      <c r="P131" s="1">
        <f t="shared" si="79"/>
        <v>14810</v>
      </c>
      <c r="Q131" s="1">
        <f t="shared" si="80"/>
        <v>785518</v>
      </c>
    </row>
    <row r="132" spans="1:17" x14ac:dyDescent="0.3">
      <c r="A132" s="2">
        <f t="shared" si="69"/>
        <v>130</v>
      </c>
      <c r="B132" s="6">
        <f t="shared" si="81"/>
        <v>310</v>
      </c>
      <c r="C132" s="9">
        <f t="shared" si="82"/>
        <v>8800</v>
      </c>
      <c r="D132" s="6">
        <f t="shared" si="83"/>
        <v>280</v>
      </c>
      <c r="E132" s="9">
        <f t="shared" si="84"/>
        <v>8200</v>
      </c>
      <c r="F132" s="3">
        <f t="shared" si="85"/>
        <v>730</v>
      </c>
      <c r="G132" s="3">
        <f t="shared" si="86"/>
        <v>7600</v>
      </c>
      <c r="J132" s="6">
        <f t="shared" si="75"/>
        <v>2.4999999999999862</v>
      </c>
      <c r="K132" s="11">
        <f t="shared" si="76"/>
        <v>15000</v>
      </c>
      <c r="P132" s="1">
        <f t="shared" si="79"/>
        <v>15000</v>
      </c>
      <c r="Q132" s="1">
        <f t="shared" si="80"/>
        <v>800518</v>
      </c>
    </row>
    <row r="133" spans="1:17" x14ac:dyDescent="0.3">
      <c r="A133" s="2">
        <f t="shared" ref="A133:A196" si="87">A132+1</f>
        <v>131</v>
      </c>
      <c r="B133" s="6">
        <f t="shared" si="81"/>
        <v>312</v>
      </c>
      <c r="C133" s="9">
        <f t="shared" si="82"/>
        <v>8910</v>
      </c>
      <c r="D133" s="6">
        <f t="shared" si="83"/>
        <v>281</v>
      </c>
      <c r="E133" s="9">
        <f t="shared" si="84"/>
        <v>8290</v>
      </c>
      <c r="F133" s="3">
        <f t="shared" si="85"/>
        <v>731</v>
      </c>
      <c r="G133" s="3">
        <f t="shared" si="86"/>
        <v>7670</v>
      </c>
      <c r="J133" s="6">
        <f t="shared" si="75"/>
        <v>2.509999999999986</v>
      </c>
      <c r="K133" s="11">
        <f t="shared" si="76"/>
        <v>15190</v>
      </c>
      <c r="P133" s="1">
        <f t="shared" si="79"/>
        <v>15190</v>
      </c>
      <c r="Q133" s="1">
        <f t="shared" si="80"/>
        <v>815708</v>
      </c>
    </row>
    <row r="134" spans="1:17" x14ac:dyDescent="0.3">
      <c r="A134" s="2">
        <f t="shared" si="87"/>
        <v>132</v>
      </c>
      <c r="B134" s="6">
        <f t="shared" si="81"/>
        <v>314</v>
      </c>
      <c r="C134" s="9">
        <f t="shared" si="82"/>
        <v>9020</v>
      </c>
      <c r="D134" s="6">
        <f t="shared" si="83"/>
        <v>282</v>
      </c>
      <c r="E134" s="9">
        <f t="shared" si="84"/>
        <v>8380</v>
      </c>
      <c r="F134" s="3">
        <f t="shared" si="85"/>
        <v>732</v>
      </c>
      <c r="G134" s="3">
        <f t="shared" si="86"/>
        <v>7740</v>
      </c>
      <c r="J134" s="6">
        <f t="shared" si="75"/>
        <v>2.5199999999999858</v>
      </c>
      <c r="K134" s="11">
        <f t="shared" si="76"/>
        <v>15380</v>
      </c>
      <c r="P134" s="1">
        <f t="shared" si="79"/>
        <v>15380</v>
      </c>
      <c r="Q134" s="1">
        <f t="shared" si="80"/>
        <v>831088</v>
      </c>
    </row>
    <row r="135" spans="1:17" x14ac:dyDescent="0.3">
      <c r="A135" s="2">
        <f t="shared" si="87"/>
        <v>133</v>
      </c>
      <c r="B135" s="6">
        <f t="shared" si="81"/>
        <v>316</v>
      </c>
      <c r="C135" s="9">
        <f t="shared" si="82"/>
        <v>9130</v>
      </c>
      <c r="D135" s="6">
        <f t="shared" si="83"/>
        <v>283</v>
      </c>
      <c r="E135" s="9">
        <f t="shared" si="84"/>
        <v>8470</v>
      </c>
      <c r="F135" s="3">
        <f t="shared" si="85"/>
        <v>733</v>
      </c>
      <c r="G135" s="3">
        <f t="shared" si="86"/>
        <v>7810</v>
      </c>
      <c r="J135" s="6">
        <f t="shared" si="75"/>
        <v>2.5299999999999856</v>
      </c>
      <c r="K135" s="11">
        <f t="shared" si="76"/>
        <v>15570</v>
      </c>
      <c r="P135" s="1">
        <f t="shared" si="79"/>
        <v>15570</v>
      </c>
      <c r="Q135" s="1">
        <f t="shared" si="80"/>
        <v>846658</v>
      </c>
    </row>
    <row r="136" spans="1:17" x14ac:dyDescent="0.3">
      <c r="A136" s="2">
        <f t="shared" si="87"/>
        <v>134</v>
      </c>
      <c r="B136" s="6">
        <f t="shared" si="81"/>
        <v>318</v>
      </c>
      <c r="C136" s="9">
        <f t="shared" si="82"/>
        <v>9240</v>
      </c>
      <c r="D136" s="6">
        <f t="shared" si="83"/>
        <v>284</v>
      </c>
      <c r="E136" s="9">
        <f t="shared" si="84"/>
        <v>8560</v>
      </c>
      <c r="F136" s="3">
        <f t="shared" si="85"/>
        <v>734</v>
      </c>
      <c r="G136" s="3">
        <f t="shared" si="86"/>
        <v>7880</v>
      </c>
      <c r="J136" s="6">
        <f t="shared" si="75"/>
        <v>2.5399999999999854</v>
      </c>
      <c r="K136" s="11">
        <f t="shared" si="76"/>
        <v>15760</v>
      </c>
      <c r="P136" s="1">
        <f t="shared" si="79"/>
        <v>15760</v>
      </c>
      <c r="Q136" s="1">
        <f t="shared" si="80"/>
        <v>862418</v>
      </c>
    </row>
    <row r="137" spans="1:17" x14ac:dyDescent="0.3">
      <c r="A137" s="2">
        <f t="shared" si="87"/>
        <v>135</v>
      </c>
      <c r="B137" s="6">
        <f t="shared" si="81"/>
        <v>320</v>
      </c>
      <c r="C137" s="9">
        <f t="shared" si="82"/>
        <v>9350</v>
      </c>
      <c r="D137" s="6">
        <f t="shared" si="83"/>
        <v>285</v>
      </c>
      <c r="E137" s="9">
        <f t="shared" si="84"/>
        <v>8650</v>
      </c>
      <c r="F137" s="3">
        <f t="shared" si="85"/>
        <v>735</v>
      </c>
      <c r="G137" s="3">
        <f t="shared" si="86"/>
        <v>7950</v>
      </c>
      <c r="J137" s="6">
        <f t="shared" si="75"/>
        <v>2.5499999999999852</v>
      </c>
      <c r="K137" s="11">
        <f t="shared" si="76"/>
        <v>15950</v>
      </c>
      <c r="P137" s="1">
        <f t="shared" si="79"/>
        <v>15950</v>
      </c>
      <c r="Q137" s="1">
        <f t="shared" si="80"/>
        <v>878368</v>
      </c>
    </row>
    <row r="138" spans="1:17" x14ac:dyDescent="0.3">
      <c r="A138" s="2">
        <f t="shared" si="87"/>
        <v>136</v>
      </c>
      <c r="B138" s="6">
        <f t="shared" si="81"/>
        <v>322</v>
      </c>
      <c r="C138" s="9">
        <f t="shared" si="82"/>
        <v>9460</v>
      </c>
      <c r="D138" s="6">
        <f t="shared" si="83"/>
        <v>286</v>
      </c>
      <c r="E138" s="9">
        <f t="shared" si="84"/>
        <v>8740</v>
      </c>
      <c r="F138" s="3">
        <f t="shared" si="85"/>
        <v>736</v>
      </c>
      <c r="G138" s="3">
        <f t="shared" si="86"/>
        <v>8020</v>
      </c>
      <c r="J138" s="6">
        <f t="shared" si="75"/>
        <v>2.559999999999985</v>
      </c>
      <c r="K138" s="11">
        <f t="shared" si="76"/>
        <v>16140</v>
      </c>
      <c r="P138" s="1">
        <f t="shared" si="79"/>
        <v>16140</v>
      </c>
      <c r="Q138" s="1">
        <f t="shared" si="80"/>
        <v>894508</v>
      </c>
    </row>
    <row r="139" spans="1:17" x14ac:dyDescent="0.3">
      <c r="A139" s="2">
        <f t="shared" si="87"/>
        <v>137</v>
      </c>
      <c r="B139" s="6">
        <f t="shared" si="81"/>
        <v>324</v>
      </c>
      <c r="C139" s="9">
        <f t="shared" si="82"/>
        <v>9570</v>
      </c>
      <c r="D139" s="6">
        <f t="shared" si="83"/>
        <v>287</v>
      </c>
      <c r="E139" s="9">
        <f t="shared" si="84"/>
        <v>8830</v>
      </c>
      <c r="F139" s="3">
        <f t="shared" si="85"/>
        <v>737</v>
      </c>
      <c r="G139" s="3">
        <f t="shared" si="86"/>
        <v>8090</v>
      </c>
      <c r="J139" s="6">
        <f t="shared" si="75"/>
        <v>2.5699999999999847</v>
      </c>
      <c r="K139" s="11">
        <f t="shared" si="76"/>
        <v>16330</v>
      </c>
      <c r="P139" s="1">
        <f t="shared" si="79"/>
        <v>16330</v>
      </c>
      <c r="Q139" s="1">
        <f t="shared" si="80"/>
        <v>910838</v>
      </c>
    </row>
    <row r="140" spans="1:17" x14ac:dyDescent="0.3">
      <c r="A140" s="2">
        <f t="shared" si="87"/>
        <v>138</v>
      </c>
      <c r="B140" s="6">
        <f t="shared" si="81"/>
        <v>326</v>
      </c>
      <c r="C140" s="9">
        <f t="shared" si="82"/>
        <v>9680</v>
      </c>
      <c r="D140" s="6">
        <f t="shared" si="83"/>
        <v>288</v>
      </c>
      <c r="E140" s="9">
        <f t="shared" si="84"/>
        <v>8920</v>
      </c>
      <c r="F140" s="3">
        <f t="shared" si="85"/>
        <v>738</v>
      </c>
      <c r="G140" s="3">
        <f t="shared" si="86"/>
        <v>8160</v>
      </c>
      <c r="J140" s="6">
        <f t="shared" si="75"/>
        <v>2.5799999999999845</v>
      </c>
      <c r="K140" s="11">
        <f t="shared" si="76"/>
        <v>16520</v>
      </c>
      <c r="P140" s="1">
        <f t="shared" si="79"/>
        <v>16520</v>
      </c>
      <c r="Q140" s="1">
        <f t="shared" si="80"/>
        <v>927358</v>
      </c>
    </row>
    <row r="141" spans="1:17" x14ac:dyDescent="0.3">
      <c r="A141" s="2">
        <f t="shared" si="87"/>
        <v>139</v>
      </c>
      <c r="B141" s="6">
        <f t="shared" si="81"/>
        <v>328</v>
      </c>
      <c r="C141" s="9">
        <f t="shared" si="82"/>
        <v>9790</v>
      </c>
      <c r="D141" s="6">
        <f t="shared" si="83"/>
        <v>289</v>
      </c>
      <c r="E141" s="9">
        <f t="shared" si="84"/>
        <v>9010</v>
      </c>
      <c r="F141" s="3">
        <f t="shared" si="85"/>
        <v>739</v>
      </c>
      <c r="G141" s="3">
        <f t="shared" si="86"/>
        <v>8230</v>
      </c>
      <c r="J141" s="6">
        <f t="shared" si="75"/>
        <v>2.5899999999999843</v>
      </c>
      <c r="K141" s="11">
        <f t="shared" si="76"/>
        <v>16710</v>
      </c>
      <c r="P141" s="1">
        <f t="shared" si="79"/>
        <v>16710</v>
      </c>
      <c r="Q141" s="1">
        <f t="shared" si="80"/>
        <v>944068</v>
      </c>
    </row>
    <row r="142" spans="1:17" x14ac:dyDescent="0.3">
      <c r="A142" s="2">
        <f t="shared" si="87"/>
        <v>140</v>
      </c>
      <c r="B142" s="6">
        <f t="shared" si="81"/>
        <v>330</v>
      </c>
      <c r="C142" s="9">
        <f t="shared" si="82"/>
        <v>9900</v>
      </c>
      <c r="D142" s="6">
        <f t="shared" si="83"/>
        <v>290</v>
      </c>
      <c r="E142" s="9">
        <f t="shared" si="84"/>
        <v>9100</v>
      </c>
      <c r="F142" s="3">
        <f t="shared" si="85"/>
        <v>740</v>
      </c>
      <c r="G142" s="3">
        <f t="shared" si="86"/>
        <v>8300</v>
      </c>
      <c r="J142" s="6">
        <f t="shared" si="75"/>
        <v>2.5999999999999841</v>
      </c>
      <c r="K142" s="11">
        <f t="shared" si="76"/>
        <v>16900</v>
      </c>
      <c r="P142" s="1">
        <f t="shared" si="79"/>
        <v>16900</v>
      </c>
      <c r="Q142" s="1">
        <f t="shared" si="80"/>
        <v>960968</v>
      </c>
    </row>
    <row r="143" spans="1:17" x14ac:dyDescent="0.3">
      <c r="A143" s="2">
        <f t="shared" si="87"/>
        <v>141</v>
      </c>
      <c r="B143" s="6">
        <f t="shared" si="81"/>
        <v>332</v>
      </c>
      <c r="C143" s="9">
        <f t="shared" si="82"/>
        <v>10010</v>
      </c>
      <c r="D143" s="6">
        <f t="shared" si="83"/>
        <v>291</v>
      </c>
      <c r="E143" s="9">
        <f t="shared" si="84"/>
        <v>9190</v>
      </c>
      <c r="F143" s="3">
        <f t="shared" si="85"/>
        <v>741</v>
      </c>
      <c r="G143" s="3">
        <f t="shared" si="86"/>
        <v>8370</v>
      </c>
      <c r="J143" s="6">
        <f t="shared" si="75"/>
        <v>2.6099999999999839</v>
      </c>
      <c r="K143" s="11">
        <f t="shared" si="76"/>
        <v>17090</v>
      </c>
      <c r="P143" s="1">
        <f t="shared" si="79"/>
        <v>17090</v>
      </c>
      <c r="Q143" s="1">
        <f t="shared" si="80"/>
        <v>978058</v>
      </c>
    </row>
    <row r="144" spans="1:17" x14ac:dyDescent="0.3">
      <c r="A144" s="2">
        <f t="shared" si="87"/>
        <v>142</v>
      </c>
      <c r="B144" s="6">
        <f t="shared" si="81"/>
        <v>334</v>
      </c>
      <c r="C144" s="9">
        <f t="shared" si="82"/>
        <v>10120</v>
      </c>
      <c r="D144" s="6">
        <f t="shared" si="83"/>
        <v>292</v>
      </c>
      <c r="E144" s="9">
        <f t="shared" si="84"/>
        <v>9280</v>
      </c>
      <c r="F144" s="3">
        <f t="shared" si="85"/>
        <v>742</v>
      </c>
      <c r="G144" s="3">
        <f t="shared" si="86"/>
        <v>8440</v>
      </c>
      <c r="J144" s="6">
        <f t="shared" si="75"/>
        <v>2.6199999999999837</v>
      </c>
      <c r="K144" s="11">
        <f t="shared" si="76"/>
        <v>17280</v>
      </c>
      <c r="P144" s="1">
        <f t="shared" si="79"/>
        <v>17280</v>
      </c>
      <c r="Q144" s="1">
        <f t="shared" si="80"/>
        <v>995338</v>
      </c>
    </row>
    <row r="145" spans="1:17" x14ac:dyDescent="0.3">
      <c r="A145" s="2">
        <f t="shared" si="87"/>
        <v>143</v>
      </c>
      <c r="B145" s="6">
        <f t="shared" si="81"/>
        <v>336</v>
      </c>
      <c r="C145" s="9">
        <f t="shared" si="82"/>
        <v>10230</v>
      </c>
      <c r="D145" s="6">
        <f t="shared" si="83"/>
        <v>293</v>
      </c>
      <c r="E145" s="9">
        <f t="shared" si="84"/>
        <v>9370</v>
      </c>
      <c r="F145" s="3">
        <f t="shared" si="85"/>
        <v>743</v>
      </c>
      <c r="G145" s="3">
        <f t="shared" si="86"/>
        <v>8510</v>
      </c>
      <c r="J145" s="6">
        <f t="shared" si="75"/>
        <v>2.6299999999999835</v>
      </c>
      <c r="K145" s="11">
        <f t="shared" si="76"/>
        <v>17470</v>
      </c>
      <c r="P145" s="1">
        <f t="shared" si="79"/>
        <v>17470</v>
      </c>
      <c r="Q145" s="1">
        <f t="shared" si="80"/>
        <v>1012808</v>
      </c>
    </row>
    <row r="146" spans="1:17" x14ac:dyDescent="0.3">
      <c r="A146" s="2">
        <f t="shared" si="87"/>
        <v>144</v>
      </c>
      <c r="B146" s="6">
        <f t="shared" si="81"/>
        <v>338</v>
      </c>
      <c r="C146" s="9">
        <f t="shared" si="82"/>
        <v>10340</v>
      </c>
      <c r="D146" s="6">
        <f t="shared" si="83"/>
        <v>294</v>
      </c>
      <c r="E146" s="9">
        <f t="shared" si="84"/>
        <v>9460</v>
      </c>
      <c r="F146" s="3">
        <f t="shared" si="85"/>
        <v>744</v>
      </c>
      <c r="G146" s="3">
        <f t="shared" si="86"/>
        <v>8580</v>
      </c>
      <c r="J146" s="6">
        <f t="shared" si="75"/>
        <v>2.6399999999999832</v>
      </c>
      <c r="K146" s="11">
        <f t="shared" si="76"/>
        <v>17660</v>
      </c>
      <c r="P146" s="1">
        <f t="shared" si="79"/>
        <v>17660</v>
      </c>
      <c r="Q146" s="1">
        <f t="shared" si="80"/>
        <v>1030468</v>
      </c>
    </row>
    <row r="147" spans="1:17" x14ac:dyDescent="0.3">
      <c r="A147" s="2">
        <f t="shared" si="87"/>
        <v>145</v>
      </c>
      <c r="B147" s="6">
        <f t="shared" si="81"/>
        <v>340</v>
      </c>
      <c r="C147" s="9">
        <f t="shared" si="82"/>
        <v>10450</v>
      </c>
      <c r="D147" s="6">
        <f t="shared" si="83"/>
        <v>295</v>
      </c>
      <c r="E147" s="9">
        <f t="shared" si="84"/>
        <v>9550</v>
      </c>
      <c r="F147" s="3">
        <f t="shared" si="85"/>
        <v>745</v>
      </c>
      <c r="G147" s="3">
        <f t="shared" si="86"/>
        <v>8650</v>
      </c>
      <c r="J147" s="6">
        <f t="shared" si="75"/>
        <v>2.649999999999983</v>
      </c>
      <c r="K147" s="11">
        <f t="shared" si="76"/>
        <v>17850</v>
      </c>
      <c r="P147" s="1">
        <f t="shared" si="79"/>
        <v>17850</v>
      </c>
      <c r="Q147" s="1">
        <f t="shared" si="80"/>
        <v>1048318</v>
      </c>
    </row>
    <row r="148" spans="1:17" x14ac:dyDescent="0.3">
      <c r="A148" s="2">
        <f t="shared" si="87"/>
        <v>146</v>
      </c>
      <c r="B148" s="6">
        <f t="shared" si="81"/>
        <v>342</v>
      </c>
      <c r="C148" s="9">
        <f t="shared" si="82"/>
        <v>10560</v>
      </c>
      <c r="D148" s="6">
        <f t="shared" si="83"/>
        <v>296</v>
      </c>
      <c r="E148" s="9">
        <f t="shared" si="84"/>
        <v>9640</v>
      </c>
      <c r="F148" s="3">
        <f t="shared" si="85"/>
        <v>746</v>
      </c>
      <c r="G148" s="3">
        <f t="shared" si="86"/>
        <v>8720</v>
      </c>
      <c r="J148" s="6">
        <f t="shared" ref="J148:J211" si="88">J147+0.01</f>
        <v>2.6599999999999828</v>
      </c>
      <c r="K148" s="11">
        <f t="shared" ref="K148:K211" si="89">K147+190</f>
        <v>18040</v>
      </c>
      <c r="P148" s="1">
        <f t="shared" si="79"/>
        <v>18040</v>
      </c>
      <c r="Q148" s="1">
        <f t="shared" si="80"/>
        <v>1066358</v>
      </c>
    </row>
    <row r="149" spans="1:17" x14ac:dyDescent="0.3">
      <c r="A149" s="2">
        <f t="shared" si="87"/>
        <v>147</v>
      </c>
      <c r="B149" s="6">
        <f t="shared" si="81"/>
        <v>344</v>
      </c>
      <c r="C149" s="9">
        <f t="shared" si="82"/>
        <v>10670</v>
      </c>
      <c r="D149" s="6">
        <f t="shared" si="83"/>
        <v>297</v>
      </c>
      <c r="E149" s="9">
        <f t="shared" si="84"/>
        <v>9730</v>
      </c>
      <c r="F149" s="3">
        <f t="shared" si="85"/>
        <v>747</v>
      </c>
      <c r="G149" s="3">
        <f t="shared" si="86"/>
        <v>8790</v>
      </c>
      <c r="J149" s="6">
        <f t="shared" si="88"/>
        <v>2.6699999999999826</v>
      </c>
      <c r="K149" s="11">
        <f t="shared" si="89"/>
        <v>18230</v>
      </c>
      <c r="P149" s="1">
        <f t="shared" si="79"/>
        <v>18230</v>
      </c>
      <c r="Q149" s="1">
        <f t="shared" si="80"/>
        <v>1084588</v>
      </c>
    </row>
    <row r="150" spans="1:17" x14ac:dyDescent="0.3">
      <c r="A150" s="2">
        <f t="shared" si="87"/>
        <v>148</v>
      </c>
      <c r="B150" s="6">
        <f t="shared" si="81"/>
        <v>346</v>
      </c>
      <c r="C150" s="9">
        <f t="shared" si="82"/>
        <v>10780</v>
      </c>
      <c r="D150" s="6">
        <f t="shared" si="83"/>
        <v>298</v>
      </c>
      <c r="E150" s="9">
        <f t="shared" si="84"/>
        <v>9820</v>
      </c>
      <c r="F150" s="3">
        <f t="shared" si="85"/>
        <v>748</v>
      </c>
      <c r="G150" s="3">
        <f t="shared" si="86"/>
        <v>8860</v>
      </c>
      <c r="J150" s="6">
        <f t="shared" si="88"/>
        <v>2.6799999999999824</v>
      </c>
      <c r="K150" s="11">
        <f t="shared" si="89"/>
        <v>18420</v>
      </c>
      <c r="P150" s="1">
        <f t="shared" si="79"/>
        <v>18420</v>
      </c>
      <c r="Q150" s="1">
        <f t="shared" si="80"/>
        <v>1103008</v>
      </c>
    </row>
    <row r="151" spans="1:17" x14ac:dyDescent="0.3">
      <c r="A151" s="2">
        <f t="shared" si="87"/>
        <v>149</v>
      </c>
      <c r="B151" s="6">
        <f t="shared" si="81"/>
        <v>348</v>
      </c>
      <c r="C151" s="9">
        <f t="shared" si="82"/>
        <v>10890</v>
      </c>
      <c r="D151" s="6">
        <f t="shared" si="83"/>
        <v>299</v>
      </c>
      <c r="E151" s="9">
        <f t="shared" si="84"/>
        <v>9910</v>
      </c>
      <c r="F151" s="3">
        <f t="shared" si="85"/>
        <v>749</v>
      </c>
      <c r="G151" s="3">
        <f t="shared" si="86"/>
        <v>8930</v>
      </c>
      <c r="J151" s="6">
        <f t="shared" si="88"/>
        <v>2.6899999999999822</v>
      </c>
      <c r="K151" s="11">
        <f t="shared" si="89"/>
        <v>18610</v>
      </c>
      <c r="P151" s="1">
        <f t="shared" si="79"/>
        <v>18610</v>
      </c>
      <c r="Q151" s="1">
        <f t="shared" si="80"/>
        <v>1121618</v>
      </c>
    </row>
    <row r="152" spans="1:17" x14ac:dyDescent="0.3">
      <c r="A152" s="2">
        <f t="shared" si="87"/>
        <v>150</v>
      </c>
      <c r="B152" s="6">
        <f t="shared" si="81"/>
        <v>350</v>
      </c>
      <c r="C152" s="9">
        <f t="shared" si="82"/>
        <v>11000</v>
      </c>
      <c r="D152" s="6">
        <f t="shared" si="83"/>
        <v>300</v>
      </c>
      <c r="E152" s="9">
        <f t="shared" si="84"/>
        <v>10000</v>
      </c>
      <c r="F152" s="3">
        <f t="shared" si="85"/>
        <v>750</v>
      </c>
      <c r="G152" s="3">
        <f t="shared" si="86"/>
        <v>9000</v>
      </c>
      <c r="J152" s="6">
        <f t="shared" si="88"/>
        <v>2.699999999999982</v>
      </c>
      <c r="K152" s="11">
        <f t="shared" si="89"/>
        <v>18800</v>
      </c>
      <c r="P152" s="1">
        <f t="shared" si="79"/>
        <v>18800</v>
      </c>
      <c r="Q152" s="1">
        <f t="shared" si="80"/>
        <v>1140418</v>
      </c>
    </row>
    <row r="153" spans="1:17" x14ac:dyDescent="0.3">
      <c r="A153" s="2">
        <f t="shared" si="87"/>
        <v>151</v>
      </c>
      <c r="B153" s="6">
        <f t="shared" si="81"/>
        <v>352</v>
      </c>
      <c r="C153" s="9">
        <f t="shared" si="82"/>
        <v>11110</v>
      </c>
      <c r="D153" s="6">
        <f t="shared" si="83"/>
        <v>301</v>
      </c>
      <c r="E153" s="9">
        <f t="shared" si="84"/>
        <v>10090</v>
      </c>
      <c r="F153" s="3">
        <f t="shared" si="85"/>
        <v>751</v>
      </c>
      <c r="G153" s="3">
        <f t="shared" si="86"/>
        <v>9070</v>
      </c>
      <c r="J153" s="6">
        <f t="shared" si="88"/>
        <v>2.7099999999999818</v>
      </c>
      <c r="K153" s="11">
        <f t="shared" si="89"/>
        <v>18990</v>
      </c>
      <c r="P153" s="1">
        <f t="shared" si="79"/>
        <v>18990</v>
      </c>
      <c r="Q153" s="1">
        <f t="shared" si="80"/>
        <v>1159408</v>
      </c>
    </row>
    <row r="154" spans="1:17" x14ac:dyDescent="0.3">
      <c r="A154" s="2">
        <f t="shared" si="87"/>
        <v>152</v>
      </c>
      <c r="B154" s="6">
        <f t="shared" si="81"/>
        <v>354</v>
      </c>
      <c r="C154" s="9">
        <f t="shared" si="82"/>
        <v>11220</v>
      </c>
      <c r="D154" s="6">
        <f t="shared" si="83"/>
        <v>302</v>
      </c>
      <c r="E154" s="9">
        <f t="shared" si="84"/>
        <v>10180</v>
      </c>
      <c r="F154" s="3">
        <f t="shared" si="85"/>
        <v>752</v>
      </c>
      <c r="G154" s="3">
        <f t="shared" si="86"/>
        <v>9140</v>
      </c>
      <c r="J154" s="6">
        <f t="shared" si="88"/>
        <v>2.7199999999999815</v>
      </c>
      <c r="K154" s="11">
        <f t="shared" si="89"/>
        <v>19180</v>
      </c>
      <c r="P154" s="1">
        <f t="shared" si="79"/>
        <v>19180</v>
      </c>
      <c r="Q154" s="1">
        <f t="shared" si="80"/>
        <v>1178588</v>
      </c>
    </row>
    <row r="155" spans="1:17" x14ac:dyDescent="0.3">
      <c r="A155" s="2">
        <f t="shared" si="87"/>
        <v>153</v>
      </c>
      <c r="B155" s="6">
        <f t="shared" si="81"/>
        <v>356</v>
      </c>
      <c r="C155" s="9">
        <f t="shared" si="82"/>
        <v>11330</v>
      </c>
      <c r="D155" s="6">
        <f t="shared" si="83"/>
        <v>303</v>
      </c>
      <c r="E155" s="9">
        <f t="shared" si="84"/>
        <v>10270</v>
      </c>
      <c r="F155" s="3">
        <f t="shared" si="85"/>
        <v>753</v>
      </c>
      <c r="G155" s="3">
        <f t="shared" si="86"/>
        <v>9210</v>
      </c>
      <c r="J155" s="6">
        <f t="shared" si="88"/>
        <v>2.7299999999999813</v>
      </c>
      <c r="K155" s="11">
        <f t="shared" si="89"/>
        <v>19370</v>
      </c>
      <c r="P155" s="1">
        <f t="shared" si="79"/>
        <v>19370</v>
      </c>
      <c r="Q155" s="1">
        <f t="shared" si="80"/>
        <v>1197958</v>
      </c>
    </row>
    <row r="156" spans="1:17" x14ac:dyDescent="0.3">
      <c r="A156" s="2">
        <f t="shared" si="87"/>
        <v>154</v>
      </c>
      <c r="B156" s="6">
        <f t="shared" si="81"/>
        <v>358</v>
      </c>
      <c r="C156" s="9">
        <f t="shared" si="82"/>
        <v>11440</v>
      </c>
      <c r="D156" s="6">
        <f t="shared" si="83"/>
        <v>304</v>
      </c>
      <c r="E156" s="9">
        <f t="shared" si="84"/>
        <v>10360</v>
      </c>
      <c r="F156" s="3">
        <f t="shared" si="85"/>
        <v>754</v>
      </c>
      <c r="G156" s="3">
        <f t="shared" si="86"/>
        <v>9280</v>
      </c>
      <c r="J156" s="6">
        <f t="shared" si="88"/>
        <v>2.7399999999999811</v>
      </c>
      <c r="K156" s="11">
        <f t="shared" si="89"/>
        <v>19560</v>
      </c>
      <c r="P156" s="1">
        <f t="shared" si="79"/>
        <v>19560</v>
      </c>
      <c r="Q156" s="1">
        <f t="shared" si="80"/>
        <v>1217518</v>
      </c>
    </row>
    <row r="157" spans="1:17" x14ac:dyDescent="0.3">
      <c r="A157" s="2">
        <f t="shared" si="87"/>
        <v>155</v>
      </c>
      <c r="B157" s="6">
        <f t="shared" si="81"/>
        <v>360</v>
      </c>
      <c r="C157" s="9">
        <f t="shared" si="82"/>
        <v>11550</v>
      </c>
      <c r="D157" s="6">
        <f t="shared" si="83"/>
        <v>305</v>
      </c>
      <c r="E157" s="9">
        <f t="shared" si="84"/>
        <v>10450</v>
      </c>
      <c r="F157" s="3">
        <f t="shared" si="85"/>
        <v>755</v>
      </c>
      <c r="G157" s="3">
        <f t="shared" si="86"/>
        <v>9350</v>
      </c>
      <c r="J157" s="6">
        <f t="shared" si="88"/>
        <v>2.7499999999999809</v>
      </c>
      <c r="K157" s="11">
        <f t="shared" si="89"/>
        <v>19750</v>
      </c>
      <c r="P157" s="1">
        <f t="shared" si="79"/>
        <v>19750</v>
      </c>
      <c r="Q157" s="1">
        <f t="shared" si="80"/>
        <v>1237268</v>
      </c>
    </row>
    <row r="158" spans="1:17" x14ac:dyDescent="0.3">
      <c r="A158" s="2">
        <f t="shared" si="87"/>
        <v>156</v>
      </c>
      <c r="B158" s="6">
        <f t="shared" si="81"/>
        <v>362</v>
      </c>
      <c r="C158" s="9">
        <f t="shared" si="82"/>
        <v>11660</v>
      </c>
      <c r="D158" s="6">
        <f t="shared" si="83"/>
        <v>306</v>
      </c>
      <c r="E158" s="9">
        <f t="shared" si="84"/>
        <v>10540</v>
      </c>
      <c r="F158" s="3">
        <f t="shared" si="85"/>
        <v>756</v>
      </c>
      <c r="G158" s="3">
        <f t="shared" si="86"/>
        <v>9420</v>
      </c>
      <c r="J158" s="6">
        <f t="shared" si="88"/>
        <v>2.7599999999999807</v>
      </c>
      <c r="K158" s="11">
        <f t="shared" si="89"/>
        <v>19940</v>
      </c>
      <c r="P158" s="1">
        <f t="shared" si="79"/>
        <v>19940</v>
      </c>
      <c r="Q158" s="1">
        <f t="shared" si="80"/>
        <v>1257208</v>
      </c>
    </row>
    <row r="159" spans="1:17" x14ac:dyDescent="0.3">
      <c r="A159" s="2">
        <f t="shared" si="87"/>
        <v>157</v>
      </c>
      <c r="B159" s="6">
        <f t="shared" si="81"/>
        <v>364</v>
      </c>
      <c r="C159" s="9">
        <f t="shared" si="82"/>
        <v>11770</v>
      </c>
      <c r="D159" s="6">
        <f t="shared" si="83"/>
        <v>307</v>
      </c>
      <c r="E159" s="9">
        <f t="shared" si="84"/>
        <v>10630</v>
      </c>
      <c r="F159" s="3">
        <f t="shared" si="85"/>
        <v>757</v>
      </c>
      <c r="G159" s="3">
        <f t="shared" si="86"/>
        <v>9490</v>
      </c>
      <c r="J159" s="6">
        <f t="shared" si="88"/>
        <v>2.7699999999999805</v>
      </c>
      <c r="K159" s="11">
        <f t="shared" si="89"/>
        <v>20130</v>
      </c>
      <c r="P159" s="1">
        <f t="shared" si="79"/>
        <v>20130</v>
      </c>
      <c r="Q159" s="1">
        <f t="shared" si="80"/>
        <v>1277338</v>
      </c>
    </row>
    <row r="160" spans="1:17" x14ac:dyDescent="0.3">
      <c r="A160" s="2">
        <f t="shared" si="87"/>
        <v>158</v>
      </c>
      <c r="B160" s="6">
        <f t="shared" si="81"/>
        <v>366</v>
      </c>
      <c r="C160" s="9">
        <f t="shared" si="82"/>
        <v>11880</v>
      </c>
      <c r="D160" s="6">
        <f t="shared" si="83"/>
        <v>308</v>
      </c>
      <c r="E160" s="9">
        <f t="shared" si="84"/>
        <v>10720</v>
      </c>
      <c r="F160" s="3">
        <f t="shared" si="85"/>
        <v>758</v>
      </c>
      <c r="G160" s="3">
        <f t="shared" si="86"/>
        <v>9560</v>
      </c>
      <c r="J160" s="6">
        <f t="shared" si="88"/>
        <v>2.7799999999999803</v>
      </c>
      <c r="K160" s="11">
        <f t="shared" si="89"/>
        <v>20320</v>
      </c>
      <c r="P160" s="1">
        <f t="shared" si="79"/>
        <v>20320</v>
      </c>
      <c r="Q160" s="1">
        <f t="shared" si="80"/>
        <v>1297658</v>
      </c>
    </row>
    <row r="161" spans="1:17" x14ac:dyDescent="0.3">
      <c r="A161" s="2">
        <f t="shared" si="87"/>
        <v>159</v>
      </c>
      <c r="B161" s="6">
        <f t="shared" si="81"/>
        <v>368</v>
      </c>
      <c r="C161" s="9">
        <f t="shared" si="82"/>
        <v>11990</v>
      </c>
      <c r="D161" s="6">
        <f t="shared" si="83"/>
        <v>309</v>
      </c>
      <c r="E161" s="9">
        <f t="shared" si="84"/>
        <v>10810</v>
      </c>
      <c r="F161" s="3">
        <f t="shared" si="85"/>
        <v>759</v>
      </c>
      <c r="G161" s="3">
        <f t="shared" si="86"/>
        <v>9630</v>
      </c>
      <c r="J161" s="6">
        <f t="shared" si="88"/>
        <v>2.7899999999999801</v>
      </c>
      <c r="K161" s="11">
        <f t="shared" si="89"/>
        <v>20510</v>
      </c>
      <c r="P161" s="1">
        <f t="shared" si="79"/>
        <v>20510</v>
      </c>
      <c r="Q161" s="1">
        <f t="shared" si="80"/>
        <v>1318168</v>
      </c>
    </row>
    <row r="162" spans="1:17" x14ac:dyDescent="0.3">
      <c r="A162" s="2">
        <f t="shared" si="87"/>
        <v>160</v>
      </c>
      <c r="B162" s="6">
        <f t="shared" si="81"/>
        <v>370</v>
      </c>
      <c r="C162" s="9">
        <f t="shared" si="82"/>
        <v>12100</v>
      </c>
      <c r="D162" s="6">
        <f t="shared" si="83"/>
        <v>310</v>
      </c>
      <c r="E162" s="9">
        <f t="shared" si="84"/>
        <v>10900</v>
      </c>
      <c r="F162" s="3">
        <f t="shared" si="85"/>
        <v>760</v>
      </c>
      <c r="G162" s="3">
        <f t="shared" si="86"/>
        <v>9700</v>
      </c>
      <c r="J162" s="6">
        <f t="shared" si="88"/>
        <v>2.7999999999999798</v>
      </c>
      <c r="K162" s="11">
        <f t="shared" si="89"/>
        <v>20700</v>
      </c>
      <c r="P162" s="1">
        <f t="shared" si="79"/>
        <v>20700</v>
      </c>
      <c r="Q162" s="1">
        <f t="shared" si="80"/>
        <v>1338868</v>
      </c>
    </row>
    <row r="163" spans="1:17" x14ac:dyDescent="0.3">
      <c r="A163" s="2">
        <f t="shared" si="87"/>
        <v>161</v>
      </c>
      <c r="B163" s="6">
        <f t="shared" si="81"/>
        <v>372</v>
      </c>
      <c r="C163" s="9">
        <f t="shared" si="82"/>
        <v>12210</v>
      </c>
      <c r="D163" s="6">
        <f t="shared" si="83"/>
        <v>311</v>
      </c>
      <c r="E163" s="9">
        <f t="shared" si="84"/>
        <v>10990</v>
      </c>
      <c r="F163" s="3">
        <f t="shared" si="85"/>
        <v>761</v>
      </c>
      <c r="G163" s="3">
        <f t="shared" si="86"/>
        <v>9770</v>
      </c>
      <c r="J163" s="6">
        <f t="shared" si="88"/>
        <v>2.8099999999999796</v>
      </c>
      <c r="K163" s="11">
        <f t="shared" si="89"/>
        <v>20890</v>
      </c>
      <c r="P163" s="1">
        <f t="shared" si="79"/>
        <v>20890</v>
      </c>
      <c r="Q163" s="1">
        <f t="shared" si="80"/>
        <v>1359758</v>
      </c>
    </row>
    <row r="164" spans="1:17" x14ac:dyDescent="0.3">
      <c r="A164" s="2">
        <f t="shared" si="87"/>
        <v>162</v>
      </c>
      <c r="B164" s="6">
        <f t="shared" si="81"/>
        <v>374</v>
      </c>
      <c r="C164" s="9">
        <f t="shared" si="82"/>
        <v>12320</v>
      </c>
      <c r="D164" s="6">
        <f t="shared" si="83"/>
        <v>312</v>
      </c>
      <c r="E164" s="9">
        <f t="shared" si="84"/>
        <v>11080</v>
      </c>
      <c r="F164" s="3">
        <f t="shared" si="85"/>
        <v>762</v>
      </c>
      <c r="G164" s="3">
        <f t="shared" si="86"/>
        <v>9840</v>
      </c>
      <c r="J164" s="6">
        <f t="shared" si="88"/>
        <v>2.8199999999999794</v>
      </c>
      <c r="K164" s="11">
        <f t="shared" si="89"/>
        <v>21080</v>
      </c>
      <c r="P164" s="1">
        <f t="shared" si="79"/>
        <v>21080</v>
      </c>
      <c r="Q164" s="1">
        <f t="shared" si="80"/>
        <v>1380838</v>
      </c>
    </row>
    <row r="165" spans="1:17" x14ac:dyDescent="0.3">
      <c r="A165" s="2">
        <f t="shared" si="87"/>
        <v>163</v>
      </c>
      <c r="B165" s="6">
        <f t="shared" si="81"/>
        <v>376</v>
      </c>
      <c r="C165" s="9">
        <f t="shared" si="82"/>
        <v>12430</v>
      </c>
      <c r="D165" s="6">
        <f t="shared" si="83"/>
        <v>313</v>
      </c>
      <c r="E165" s="9">
        <f t="shared" si="84"/>
        <v>11170</v>
      </c>
      <c r="F165" s="3">
        <f t="shared" si="85"/>
        <v>763</v>
      </c>
      <c r="G165" s="3">
        <f t="shared" si="86"/>
        <v>9910</v>
      </c>
      <c r="J165" s="6">
        <f t="shared" si="88"/>
        <v>2.8299999999999792</v>
      </c>
      <c r="K165" s="11">
        <f t="shared" si="89"/>
        <v>21270</v>
      </c>
      <c r="P165" s="1">
        <f t="shared" si="79"/>
        <v>21270</v>
      </c>
      <c r="Q165" s="1">
        <f t="shared" si="80"/>
        <v>1402108</v>
      </c>
    </row>
    <row r="166" spans="1:17" x14ac:dyDescent="0.3">
      <c r="A166" s="2">
        <f t="shared" si="87"/>
        <v>164</v>
      </c>
      <c r="B166" s="6">
        <f t="shared" si="81"/>
        <v>378</v>
      </c>
      <c r="C166" s="9">
        <f t="shared" si="82"/>
        <v>12540</v>
      </c>
      <c r="D166" s="6">
        <f t="shared" si="83"/>
        <v>314</v>
      </c>
      <c r="E166" s="9">
        <f t="shared" si="84"/>
        <v>11260</v>
      </c>
      <c r="F166" s="3">
        <f t="shared" si="85"/>
        <v>764</v>
      </c>
      <c r="G166" s="3">
        <f t="shared" si="86"/>
        <v>9980</v>
      </c>
      <c r="J166" s="6">
        <f t="shared" si="88"/>
        <v>2.839999999999979</v>
      </c>
      <c r="K166" s="11">
        <f t="shared" si="89"/>
        <v>21460</v>
      </c>
      <c r="P166" s="1">
        <f t="shared" ref="P166:P229" si="90">K166</f>
        <v>21460</v>
      </c>
      <c r="Q166" s="1">
        <f t="shared" ref="Q166:Q229" si="91">Q165+K166</f>
        <v>1423568</v>
      </c>
    </row>
    <row r="167" spans="1:17" x14ac:dyDescent="0.3">
      <c r="A167" s="2">
        <f t="shared" si="87"/>
        <v>165</v>
      </c>
      <c r="B167" s="6">
        <f t="shared" si="81"/>
        <v>380</v>
      </c>
      <c r="C167" s="9">
        <f t="shared" si="82"/>
        <v>12650</v>
      </c>
      <c r="D167" s="6">
        <f t="shared" si="83"/>
        <v>315</v>
      </c>
      <c r="E167" s="9">
        <f t="shared" si="84"/>
        <v>11350</v>
      </c>
      <c r="F167" s="3">
        <f t="shared" si="85"/>
        <v>765</v>
      </c>
      <c r="G167" s="3">
        <f t="shared" si="86"/>
        <v>10050</v>
      </c>
      <c r="J167" s="6">
        <f t="shared" si="88"/>
        <v>2.8499999999999788</v>
      </c>
      <c r="K167" s="11">
        <f t="shared" si="89"/>
        <v>21650</v>
      </c>
      <c r="P167" s="1">
        <f t="shared" si="90"/>
        <v>21650</v>
      </c>
      <c r="Q167" s="1">
        <f t="shared" si="91"/>
        <v>1445218</v>
      </c>
    </row>
    <row r="168" spans="1:17" x14ac:dyDescent="0.3">
      <c r="A168" s="2">
        <f t="shared" si="87"/>
        <v>166</v>
      </c>
      <c r="B168" s="6">
        <f t="shared" ref="B168:B231" si="92">B167+2</f>
        <v>382</v>
      </c>
      <c r="C168" s="9">
        <f t="shared" ref="C168:C231" si="93">C167+110</f>
        <v>12760</v>
      </c>
      <c r="D168" s="6">
        <f t="shared" ref="D168:D231" si="94">D167+1</f>
        <v>316</v>
      </c>
      <c r="E168" s="9">
        <f t="shared" ref="E168:E231" si="95">E167+90</f>
        <v>11440</v>
      </c>
      <c r="F168" s="3">
        <f t="shared" ref="F168:F231" si="96">F167+1</f>
        <v>766</v>
      </c>
      <c r="G168" s="3">
        <f t="shared" ref="G168:G231" si="97">G167+70</f>
        <v>10120</v>
      </c>
      <c r="J168" s="6">
        <f t="shared" si="88"/>
        <v>2.8599999999999786</v>
      </c>
      <c r="K168" s="11">
        <f t="shared" si="89"/>
        <v>21840</v>
      </c>
      <c r="P168" s="1">
        <f t="shared" si="90"/>
        <v>21840</v>
      </c>
      <c r="Q168" s="1">
        <f t="shared" si="91"/>
        <v>1467058</v>
      </c>
    </row>
    <row r="169" spans="1:17" x14ac:dyDescent="0.3">
      <c r="A169" s="2">
        <f t="shared" si="87"/>
        <v>167</v>
      </c>
      <c r="B169" s="6">
        <f t="shared" si="92"/>
        <v>384</v>
      </c>
      <c r="C169" s="9">
        <f t="shared" si="93"/>
        <v>12870</v>
      </c>
      <c r="D169" s="6">
        <f t="shared" si="94"/>
        <v>317</v>
      </c>
      <c r="E169" s="9">
        <f t="shared" si="95"/>
        <v>11530</v>
      </c>
      <c r="F169" s="3">
        <f t="shared" si="96"/>
        <v>767</v>
      </c>
      <c r="G169" s="3">
        <f t="shared" si="97"/>
        <v>10190</v>
      </c>
      <c r="J169" s="6">
        <f t="shared" si="88"/>
        <v>2.8699999999999783</v>
      </c>
      <c r="K169" s="11">
        <f t="shared" si="89"/>
        <v>22030</v>
      </c>
      <c r="P169" s="1">
        <f t="shared" si="90"/>
        <v>22030</v>
      </c>
      <c r="Q169" s="1">
        <f t="shared" si="91"/>
        <v>1489088</v>
      </c>
    </row>
    <row r="170" spans="1:17" x14ac:dyDescent="0.3">
      <c r="A170" s="2">
        <f t="shared" si="87"/>
        <v>168</v>
      </c>
      <c r="B170" s="6">
        <f t="shared" si="92"/>
        <v>386</v>
      </c>
      <c r="C170" s="9">
        <f t="shared" si="93"/>
        <v>12980</v>
      </c>
      <c r="D170" s="6">
        <f t="shared" si="94"/>
        <v>318</v>
      </c>
      <c r="E170" s="9">
        <f t="shared" si="95"/>
        <v>11620</v>
      </c>
      <c r="F170" s="3">
        <f t="shared" si="96"/>
        <v>768</v>
      </c>
      <c r="G170" s="3">
        <f t="shared" si="97"/>
        <v>10260</v>
      </c>
      <c r="J170" s="6">
        <f t="shared" si="88"/>
        <v>2.8799999999999781</v>
      </c>
      <c r="K170" s="11">
        <f t="shared" si="89"/>
        <v>22220</v>
      </c>
      <c r="P170" s="1">
        <f t="shared" si="90"/>
        <v>22220</v>
      </c>
      <c r="Q170" s="1">
        <f t="shared" si="91"/>
        <v>1511308</v>
      </c>
    </row>
    <row r="171" spans="1:17" x14ac:dyDescent="0.3">
      <c r="A171" s="2">
        <f t="shared" si="87"/>
        <v>169</v>
      </c>
      <c r="B171" s="6">
        <f t="shared" si="92"/>
        <v>388</v>
      </c>
      <c r="C171" s="9">
        <f t="shared" si="93"/>
        <v>13090</v>
      </c>
      <c r="D171" s="6">
        <f t="shared" si="94"/>
        <v>319</v>
      </c>
      <c r="E171" s="9">
        <f t="shared" si="95"/>
        <v>11710</v>
      </c>
      <c r="F171" s="3">
        <f t="shared" si="96"/>
        <v>769</v>
      </c>
      <c r="G171" s="3">
        <f t="shared" si="97"/>
        <v>10330</v>
      </c>
      <c r="J171" s="6">
        <f t="shared" si="88"/>
        <v>2.8899999999999779</v>
      </c>
      <c r="K171" s="11">
        <f t="shared" si="89"/>
        <v>22410</v>
      </c>
      <c r="P171" s="1">
        <f t="shared" si="90"/>
        <v>22410</v>
      </c>
      <c r="Q171" s="1">
        <f t="shared" si="91"/>
        <v>1533718</v>
      </c>
    </row>
    <row r="172" spans="1:17" x14ac:dyDescent="0.3">
      <c r="A172" s="2">
        <f t="shared" si="87"/>
        <v>170</v>
      </c>
      <c r="B172" s="6">
        <f t="shared" si="92"/>
        <v>390</v>
      </c>
      <c r="C172" s="9">
        <f t="shared" si="93"/>
        <v>13200</v>
      </c>
      <c r="D172" s="6">
        <f t="shared" si="94"/>
        <v>320</v>
      </c>
      <c r="E172" s="9">
        <f t="shared" si="95"/>
        <v>11800</v>
      </c>
      <c r="F172" s="3">
        <f t="shared" si="96"/>
        <v>770</v>
      </c>
      <c r="G172" s="3">
        <f t="shared" si="97"/>
        <v>10400</v>
      </c>
      <c r="J172" s="6">
        <f t="shared" si="88"/>
        <v>2.8999999999999777</v>
      </c>
      <c r="K172" s="11">
        <f t="shared" si="89"/>
        <v>22600</v>
      </c>
      <c r="P172" s="1">
        <f t="shared" si="90"/>
        <v>22600</v>
      </c>
      <c r="Q172" s="1">
        <f t="shared" si="91"/>
        <v>1556318</v>
      </c>
    </row>
    <row r="173" spans="1:17" x14ac:dyDescent="0.3">
      <c r="A173" s="2">
        <f t="shared" si="87"/>
        <v>171</v>
      </c>
      <c r="B173" s="6">
        <f t="shared" si="92"/>
        <v>392</v>
      </c>
      <c r="C173" s="9">
        <f t="shared" si="93"/>
        <v>13310</v>
      </c>
      <c r="D173" s="6">
        <f t="shared" si="94"/>
        <v>321</v>
      </c>
      <c r="E173" s="9">
        <f t="shared" si="95"/>
        <v>11890</v>
      </c>
      <c r="F173" s="3">
        <f t="shared" si="96"/>
        <v>771</v>
      </c>
      <c r="G173" s="3">
        <f t="shared" si="97"/>
        <v>10470</v>
      </c>
      <c r="J173" s="6">
        <f t="shared" si="88"/>
        <v>2.9099999999999775</v>
      </c>
      <c r="K173" s="11">
        <f t="shared" si="89"/>
        <v>22790</v>
      </c>
      <c r="P173" s="1">
        <f t="shared" si="90"/>
        <v>22790</v>
      </c>
      <c r="Q173" s="1">
        <f t="shared" si="91"/>
        <v>1579108</v>
      </c>
    </row>
    <row r="174" spans="1:17" x14ac:dyDescent="0.3">
      <c r="A174" s="2">
        <f t="shared" si="87"/>
        <v>172</v>
      </c>
      <c r="B174" s="6">
        <f t="shared" si="92"/>
        <v>394</v>
      </c>
      <c r="C174" s="9">
        <f t="shared" si="93"/>
        <v>13420</v>
      </c>
      <c r="D174" s="6">
        <f t="shared" si="94"/>
        <v>322</v>
      </c>
      <c r="E174" s="9">
        <f t="shared" si="95"/>
        <v>11980</v>
      </c>
      <c r="F174" s="3">
        <f t="shared" si="96"/>
        <v>772</v>
      </c>
      <c r="G174" s="3">
        <f t="shared" si="97"/>
        <v>10540</v>
      </c>
      <c r="J174" s="6">
        <f t="shared" si="88"/>
        <v>2.9199999999999773</v>
      </c>
      <c r="K174" s="11">
        <f t="shared" si="89"/>
        <v>22980</v>
      </c>
      <c r="P174" s="1">
        <f t="shared" si="90"/>
        <v>22980</v>
      </c>
      <c r="Q174" s="1">
        <f t="shared" si="91"/>
        <v>1602088</v>
      </c>
    </row>
    <row r="175" spans="1:17" x14ac:dyDescent="0.3">
      <c r="A175" s="2">
        <f t="shared" si="87"/>
        <v>173</v>
      </c>
      <c r="B175" s="6">
        <f t="shared" si="92"/>
        <v>396</v>
      </c>
      <c r="C175" s="9">
        <f t="shared" si="93"/>
        <v>13530</v>
      </c>
      <c r="D175" s="6">
        <f t="shared" si="94"/>
        <v>323</v>
      </c>
      <c r="E175" s="9">
        <f t="shared" si="95"/>
        <v>12070</v>
      </c>
      <c r="F175" s="3">
        <f t="shared" si="96"/>
        <v>773</v>
      </c>
      <c r="G175" s="3">
        <f t="shared" si="97"/>
        <v>10610</v>
      </c>
      <c r="J175" s="6">
        <f t="shared" si="88"/>
        <v>2.9299999999999771</v>
      </c>
      <c r="K175" s="11">
        <f t="shared" si="89"/>
        <v>23170</v>
      </c>
      <c r="P175" s="1">
        <f t="shared" si="90"/>
        <v>23170</v>
      </c>
      <c r="Q175" s="1">
        <f t="shared" si="91"/>
        <v>1625258</v>
      </c>
    </row>
    <row r="176" spans="1:17" x14ac:dyDescent="0.3">
      <c r="A176" s="2">
        <f t="shared" si="87"/>
        <v>174</v>
      </c>
      <c r="B176" s="6">
        <f t="shared" si="92"/>
        <v>398</v>
      </c>
      <c r="C176" s="9">
        <f t="shared" si="93"/>
        <v>13640</v>
      </c>
      <c r="D176" s="6">
        <f t="shared" si="94"/>
        <v>324</v>
      </c>
      <c r="E176" s="9">
        <f t="shared" si="95"/>
        <v>12160</v>
      </c>
      <c r="F176" s="3">
        <f t="shared" si="96"/>
        <v>774</v>
      </c>
      <c r="G176" s="3">
        <f t="shared" si="97"/>
        <v>10680</v>
      </c>
      <c r="J176" s="6">
        <f t="shared" si="88"/>
        <v>2.9399999999999769</v>
      </c>
      <c r="K176" s="11">
        <f t="shared" si="89"/>
        <v>23360</v>
      </c>
      <c r="P176" s="1">
        <f t="shared" si="90"/>
        <v>23360</v>
      </c>
      <c r="Q176" s="1">
        <f t="shared" si="91"/>
        <v>1648618</v>
      </c>
    </row>
    <row r="177" spans="1:17" x14ac:dyDescent="0.3">
      <c r="A177" s="2">
        <f t="shared" si="87"/>
        <v>175</v>
      </c>
      <c r="B177" s="6">
        <f t="shared" si="92"/>
        <v>400</v>
      </c>
      <c r="C177" s="9">
        <f t="shared" si="93"/>
        <v>13750</v>
      </c>
      <c r="D177" s="6">
        <f t="shared" si="94"/>
        <v>325</v>
      </c>
      <c r="E177" s="9">
        <f t="shared" si="95"/>
        <v>12250</v>
      </c>
      <c r="F177" s="3">
        <f t="shared" si="96"/>
        <v>775</v>
      </c>
      <c r="G177" s="3">
        <f t="shared" si="97"/>
        <v>10750</v>
      </c>
      <c r="J177" s="6">
        <f t="shared" si="88"/>
        <v>2.9499999999999766</v>
      </c>
      <c r="K177" s="11">
        <f t="shared" si="89"/>
        <v>23550</v>
      </c>
      <c r="P177" s="1">
        <f t="shared" si="90"/>
        <v>23550</v>
      </c>
      <c r="Q177" s="1">
        <f t="shared" si="91"/>
        <v>1672168</v>
      </c>
    </row>
    <row r="178" spans="1:17" x14ac:dyDescent="0.3">
      <c r="A178" s="2">
        <f t="shared" si="87"/>
        <v>176</v>
      </c>
      <c r="B178" s="6">
        <f t="shared" si="92"/>
        <v>402</v>
      </c>
      <c r="C178" s="9">
        <f t="shared" si="93"/>
        <v>13860</v>
      </c>
      <c r="D178" s="6">
        <f t="shared" si="94"/>
        <v>326</v>
      </c>
      <c r="E178" s="9">
        <f t="shared" si="95"/>
        <v>12340</v>
      </c>
      <c r="F178" s="3">
        <f t="shared" si="96"/>
        <v>776</v>
      </c>
      <c r="G178" s="3">
        <f t="shared" si="97"/>
        <v>10820</v>
      </c>
      <c r="J178" s="6">
        <f t="shared" si="88"/>
        <v>2.9599999999999764</v>
      </c>
      <c r="K178" s="11">
        <f t="shared" si="89"/>
        <v>23740</v>
      </c>
      <c r="P178" s="1">
        <f t="shared" si="90"/>
        <v>23740</v>
      </c>
      <c r="Q178" s="1">
        <f t="shared" si="91"/>
        <v>1695908</v>
      </c>
    </row>
    <row r="179" spans="1:17" x14ac:dyDescent="0.3">
      <c r="A179" s="2">
        <f t="shared" si="87"/>
        <v>177</v>
      </c>
      <c r="B179" s="6">
        <f t="shared" si="92"/>
        <v>404</v>
      </c>
      <c r="C179" s="9">
        <f t="shared" si="93"/>
        <v>13970</v>
      </c>
      <c r="D179" s="6">
        <f t="shared" si="94"/>
        <v>327</v>
      </c>
      <c r="E179" s="9">
        <f t="shared" si="95"/>
        <v>12430</v>
      </c>
      <c r="F179" s="3">
        <f t="shared" si="96"/>
        <v>777</v>
      </c>
      <c r="G179" s="3">
        <f t="shared" si="97"/>
        <v>10890</v>
      </c>
      <c r="J179" s="6">
        <f t="shared" si="88"/>
        <v>2.9699999999999762</v>
      </c>
      <c r="K179" s="11">
        <f t="shared" si="89"/>
        <v>23930</v>
      </c>
      <c r="P179" s="1">
        <f t="shared" si="90"/>
        <v>23930</v>
      </c>
      <c r="Q179" s="1">
        <f t="shared" si="91"/>
        <v>1719838</v>
      </c>
    </row>
    <row r="180" spans="1:17" x14ac:dyDescent="0.3">
      <c r="A180" s="2">
        <f t="shared" si="87"/>
        <v>178</v>
      </c>
      <c r="B180" s="6">
        <f t="shared" si="92"/>
        <v>406</v>
      </c>
      <c r="C180" s="9">
        <f t="shared" si="93"/>
        <v>14080</v>
      </c>
      <c r="D180" s="6">
        <f t="shared" si="94"/>
        <v>328</v>
      </c>
      <c r="E180" s="9">
        <f t="shared" si="95"/>
        <v>12520</v>
      </c>
      <c r="F180" s="3">
        <f t="shared" si="96"/>
        <v>778</v>
      </c>
      <c r="G180" s="3">
        <f t="shared" si="97"/>
        <v>10960</v>
      </c>
      <c r="J180" s="6">
        <f t="shared" si="88"/>
        <v>2.979999999999976</v>
      </c>
      <c r="K180" s="11">
        <f t="shared" si="89"/>
        <v>24120</v>
      </c>
      <c r="P180" s="1">
        <f t="shared" si="90"/>
        <v>24120</v>
      </c>
      <c r="Q180" s="1">
        <f t="shared" si="91"/>
        <v>1743958</v>
      </c>
    </row>
    <row r="181" spans="1:17" x14ac:dyDescent="0.3">
      <c r="A181" s="2">
        <f t="shared" si="87"/>
        <v>179</v>
      </c>
      <c r="B181" s="6">
        <f t="shared" si="92"/>
        <v>408</v>
      </c>
      <c r="C181" s="9">
        <f t="shared" si="93"/>
        <v>14190</v>
      </c>
      <c r="D181" s="6">
        <f t="shared" si="94"/>
        <v>329</v>
      </c>
      <c r="E181" s="9">
        <f t="shared" si="95"/>
        <v>12610</v>
      </c>
      <c r="F181" s="3">
        <f t="shared" si="96"/>
        <v>779</v>
      </c>
      <c r="G181" s="3">
        <f t="shared" si="97"/>
        <v>11030</v>
      </c>
      <c r="J181" s="6">
        <f t="shared" si="88"/>
        <v>2.9899999999999758</v>
      </c>
      <c r="K181" s="11">
        <f t="shared" si="89"/>
        <v>24310</v>
      </c>
      <c r="P181" s="1">
        <f t="shared" si="90"/>
        <v>24310</v>
      </c>
      <c r="Q181" s="1">
        <f t="shared" si="91"/>
        <v>1768268</v>
      </c>
    </row>
    <row r="182" spans="1:17" x14ac:dyDescent="0.3">
      <c r="A182" s="2">
        <f t="shared" si="87"/>
        <v>180</v>
      </c>
      <c r="B182" s="6">
        <f t="shared" si="92"/>
        <v>410</v>
      </c>
      <c r="C182" s="9">
        <f t="shared" si="93"/>
        <v>14300</v>
      </c>
      <c r="D182" s="6">
        <f t="shared" si="94"/>
        <v>330</v>
      </c>
      <c r="E182" s="9">
        <f t="shared" si="95"/>
        <v>12700</v>
      </c>
      <c r="F182" s="3">
        <f t="shared" si="96"/>
        <v>780</v>
      </c>
      <c r="G182" s="3">
        <f t="shared" si="97"/>
        <v>11100</v>
      </c>
      <c r="J182" s="6">
        <f t="shared" si="88"/>
        <v>2.9999999999999756</v>
      </c>
      <c r="K182" s="11">
        <f t="shared" si="89"/>
        <v>24500</v>
      </c>
      <c r="P182" s="1">
        <f t="shared" si="90"/>
        <v>24500</v>
      </c>
      <c r="Q182" s="1">
        <f t="shared" si="91"/>
        <v>1792768</v>
      </c>
    </row>
    <row r="183" spans="1:17" x14ac:dyDescent="0.3">
      <c r="A183" s="2">
        <f t="shared" si="87"/>
        <v>181</v>
      </c>
      <c r="B183" s="6">
        <f t="shared" si="92"/>
        <v>412</v>
      </c>
      <c r="C183" s="9">
        <f t="shared" si="93"/>
        <v>14410</v>
      </c>
      <c r="D183" s="6">
        <f t="shared" si="94"/>
        <v>331</v>
      </c>
      <c r="E183" s="9">
        <f t="shared" si="95"/>
        <v>12790</v>
      </c>
      <c r="F183" s="3">
        <f t="shared" si="96"/>
        <v>781</v>
      </c>
      <c r="G183" s="3">
        <f t="shared" si="97"/>
        <v>11170</v>
      </c>
      <c r="J183" s="6">
        <f t="shared" si="88"/>
        <v>3.0099999999999754</v>
      </c>
      <c r="K183" s="11">
        <f t="shared" si="89"/>
        <v>24690</v>
      </c>
      <c r="P183" s="1">
        <f t="shared" si="90"/>
        <v>24690</v>
      </c>
      <c r="Q183" s="1">
        <f t="shared" si="91"/>
        <v>1817458</v>
      </c>
    </row>
    <row r="184" spans="1:17" x14ac:dyDescent="0.3">
      <c r="A184" s="2">
        <f t="shared" si="87"/>
        <v>182</v>
      </c>
      <c r="B184" s="6">
        <f t="shared" si="92"/>
        <v>414</v>
      </c>
      <c r="C184" s="9">
        <f t="shared" si="93"/>
        <v>14520</v>
      </c>
      <c r="D184" s="6">
        <f t="shared" si="94"/>
        <v>332</v>
      </c>
      <c r="E184" s="9">
        <f t="shared" si="95"/>
        <v>12880</v>
      </c>
      <c r="F184" s="3">
        <f t="shared" si="96"/>
        <v>782</v>
      </c>
      <c r="G184" s="3">
        <f t="shared" si="97"/>
        <v>11240</v>
      </c>
      <c r="J184" s="6">
        <f t="shared" si="88"/>
        <v>3.0199999999999751</v>
      </c>
      <c r="K184" s="11">
        <f t="shared" si="89"/>
        <v>24880</v>
      </c>
      <c r="P184" s="1">
        <f t="shared" si="90"/>
        <v>24880</v>
      </c>
      <c r="Q184" s="1">
        <f t="shared" si="91"/>
        <v>1842338</v>
      </c>
    </row>
    <row r="185" spans="1:17" x14ac:dyDescent="0.3">
      <c r="A185" s="2">
        <f t="shared" si="87"/>
        <v>183</v>
      </c>
      <c r="B185" s="6">
        <f t="shared" si="92"/>
        <v>416</v>
      </c>
      <c r="C185" s="9">
        <f t="shared" si="93"/>
        <v>14630</v>
      </c>
      <c r="D185" s="6">
        <f t="shared" si="94"/>
        <v>333</v>
      </c>
      <c r="E185" s="9">
        <f t="shared" si="95"/>
        <v>12970</v>
      </c>
      <c r="F185" s="3">
        <f t="shared" si="96"/>
        <v>783</v>
      </c>
      <c r="G185" s="3">
        <f t="shared" si="97"/>
        <v>11310</v>
      </c>
      <c r="J185" s="6">
        <f t="shared" si="88"/>
        <v>3.0299999999999749</v>
      </c>
      <c r="K185" s="11">
        <f t="shared" si="89"/>
        <v>25070</v>
      </c>
      <c r="P185" s="1">
        <f t="shared" si="90"/>
        <v>25070</v>
      </c>
      <c r="Q185" s="1">
        <f t="shared" si="91"/>
        <v>1867408</v>
      </c>
    </row>
    <row r="186" spans="1:17" x14ac:dyDescent="0.3">
      <c r="A186" s="2">
        <f t="shared" si="87"/>
        <v>184</v>
      </c>
      <c r="B186" s="6">
        <f t="shared" si="92"/>
        <v>418</v>
      </c>
      <c r="C186" s="9">
        <f t="shared" si="93"/>
        <v>14740</v>
      </c>
      <c r="D186" s="6">
        <f t="shared" si="94"/>
        <v>334</v>
      </c>
      <c r="E186" s="9">
        <f t="shared" si="95"/>
        <v>13060</v>
      </c>
      <c r="F186" s="3">
        <f t="shared" si="96"/>
        <v>784</v>
      </c>
      <c r="G186" s="3">
        <f t="shared" si="97"/>
        <v>11380</v>
      </c>
      <c r="J186" s="6">
        <f t="shared" si="88"/>
        <v>3.0399999999999747</v>
      </c>
      <c r="K186" s="11">
        <f t="shared" si="89"/>
        <v>25260</v>
      </c>
      <c r="P186" s="1">
        <f t="shared" si="90"/>
        <v>25260</v>
      </c>
      <c r="Q186" s="1">
        <f t="shared" si="91"/>
        <v>1892668</v>
      </c>
    </row>
    <row r="187" spans="1:17" x14ac:dyDescent="0.3">
      <c r="A187" s="2">
        <f t="shared" si="87"/>
        <v>185</v>
      </c>
      <c r="B187" s="6">
        <f t="shared" si="92"/>
        <v>420</v>
      </c>
      <c r="C187" s="9">
        <f t="shared" si="93"/>
        <v>14850</v>
      </c>
      <c r="D187" s="6">
        <f t="shared" si="94"/>
        <v>335</v>
      </c>
      <c r="E187" s="9">
        <f t="shared" si="95"/>
        <v>13150</v>
      </c>
      <c r="F187" s="3">
        <f t="shared" si="96"/>
        <v>785</v>
      </c>
      <c r="G187" s="3">
        <f t="shared" si="97"/>
        <v>11450</v>
      </c>
      <c r="J187" s="6">
        <f t="shared" si="88"/>
        <v>3.0499999999999745</v>
      </c>
      <c r="K187" s="11">
        <f t="shared" si="89"/>
        <v>25450</v>
      </c>
      <c r="P187" s="1">
        <f t="shared" si="90"/>
        <v>25450</v>
      </c>
      <c r="Q187" s="1">
        <f t="shared" si="91"/>
        <v>1918118</v>
      </c>
    </row>
    <row r="188" spans="1:17" x14ac:dyDescent="0.3">
      <c r="A188" s="2">
        <f t="shared" si="87"/>
        <v>186</v>
      </c>
      <c r="B188" s="6">
        <f t="shared" si="92"/>
        <v>422</v>
      </c>
      <c r="C188" s="9">
        <f t="shared" si="93"/>
        <v>14960</v>
      </c>
      <c r="D188" s="6">
        <f t="shared" si="94"/>
        <v>336</v>
      </c>
      <c r="E188" s="9">
        <f t="shared" si="95"/>
        <v>13240</v>
      </c>
      <c r="F188" s="3">
        <f t="shared" si="96"/>
        <v>786</v>
      </c>
      <c r="G188" s="3">
        <f t="shared" si="97"/>
        <v>11520</v>
      </c>
      <c r="J188" s="6">
        <f t="shared" si="88"/>
        <v>3.0599999999999743</v>
      </c>
      <c r="K188" s="11">
        <f t="shared" si="89"/>
        <v>25640</v>
      </c>
      <c r="P188" s="1">
        <f t="shared" si="90"/>
        <v>25640</v>
      </c>
      <c r="Q188" s="1">
        <f t="shared" si="91"/>
        <v>1943758</v>
      </c>
    </row>
    <row r="189" spans="1:17" x14ac:dyDescent="0.3">
      <c r="A189" s="2">
        <f t="shared" si="87"/>
        <v>187</v>
      </c>
      <c r="B189" s="6">
        <f t="shared" si="92"/>
        <v>424</v>
      </c>
      <c r="C189" s="9">
        <f t="shared" si="93"/>
        <v>15070</v>
      </c>
      <c r="D189" s="6">
        <f t="shared" si="94"/>
        <v>337</v>
      </c>
      <c r="E189" s="9">
        <f t="shared" si="95"/>
        <v>13330</v>
      </c>
      <c r="F189" s="3">
        <f t="shared" si="96"/>
        <v>787</v>
      </c>
      <c r="G189" s="3">
        <f t="shared" si="97"/>
        <v>11590</v>
      </c>
      <c r="J189" s="6">
        <f t="shared" si="88"/>
        <v>3.0699999999999741</v>
      </c>
      <c r="K189" s="11">
        <f t="shared" si="89"/>
        <v>25830</v>
      </c>
      <c r="P189" s="1">
        <f t="shared" si="90"/>
        <v>25830</v>
      </c>
      <c r="Q189" s="1">
        <f t="shared" si="91"/>
        <v>1969588</v>
      </c>
    </row>
    <row r="190" spans="1:17" x14ac:dyDescent="0.3">
      <c r="A190" s="2">
        <f t="shared" si="87"/>
        <v>188</v>
      </c>
      <c r="B190" s="6">
        <f t="shared" si="92"/>
        <v>426</v>
      </c>
      <c r="C190" s="9">
        <f t="shared" si="93"/>
        <v>15180</v>
      </c>
      <c r="D190" s="6">
        <f t="shared" si="94"/>
        <v>338</v>
      </c>
      <c r="E190" s="9">
        <f t="shared" si="95"/>
        <v>13420</v>
      </c>
      <c r="F190" s="3">
        <f t="shared" si="96"/>
        <v>788</v>
      </c>
      <c r="G190" s="3">
        <f t="shared" si="97"/>
        <v>11660</v>
      </c>
      <c r="J190" s="6">
        <f t="shared" si="88"/>
        <v>3.0799999999999739</v>
      </c>
      <c r="K190" s="11">
        <f t="shared" si="89"/>
        <v>26020</v>
      </c>
      <c r="P190" s="1">
        <f t="shared" si="90"/>
        <v>26020</v>
      </c>
      <c r="Q190" s="1">
        <f t="shared" si="91"/>
        <v>1995608</v>
      </c>
    </row>
    <row r="191" spans="1:17" x14ac:dyDescent="0.3">
      <c r="A191" s="2">
        <f t="shared" si="87"/>
        <v>189</v>
      </c>
      <c r="B191" s="6">
        <f t="shared" si="92"/>
        <v>428</v>
      </c>
      <c r="C191" s="9">
        <f t="shared" si="93"/>
        <v>15290</v>
      </c>
      <c r="D191" s="6">
        <f t="shared" si="94"/>
        <v>339</v>
      </c>
      <c r="E191" s="9">
        <f t="shared" si="95"/>
        <v>13510</v>
      </c>
      <c r="F191" s="3">
        <f t="shared" si="96"/>
        <v>789</v>
      </c>
      <c r="G191" s="3">
        <f t="shared" si="97"/>
        <v>11730</v>
      </c>
      <c r="J191" s="6">
        <f t="shared" si="88"/>
        <v>3.0899999999999737</v>
      </c>
      <c r="K191" s="11">
        <f t="shared" si="89"/>
        <v>26210</v>
      </c>
      <c r="P191" s="1">
        <f t="shared" si="90"/>
        <v>26210</v>
      </c>
      <c r="Q191" s="1">
        <f t="shared" si="91"/>
        <v>2021818</v>
      </c>
    </row>
    <row r="192" spans="1:17" x14ac:dyDescent="0.3">
      <c r="A192" s="2">
        <f t="shared" si="87"/>
        <v>190</v>
      </c>
      <c r="B192" s="6">
        <f t="shared" si="92"/>
        <v>430</v>
      </c>
      <c r="C192" s="9">
        <f t="shared" si="93"/>
        <v>15400</v>
      </c>
      <c r="D192" s="6">
        <f t="shared" si="94"/>
        <v>340</v>
      </c>
      <c r="E192" s="9">
        <f t="shared" si="95"/>
        <v>13600</v>
      </c>
      <c r="F192" s="3">
        <f t="shared" si="96"/>
        <v>790</v>
      </c>
      <c r="G192" s="3">
        <f t="shared" si="97"/>
        <v>11800</v>
      </c>
      <c r="J192" s="6">
        <f t="shared" si="88"/>
        <v>3.0999999999999734</v>
      </c>
      <c r="K192" s="11">
        <f t="shared" si="89"/>
        <v>26400</v>
      </c>
      <c r="P192" s="1">
        <f t="shared" si="90"/>
        <v>26400</v>
      </c>
      <c r="Q192" s="1">
        <f t="shared" si="91"/>
        <v>2048218</v>
      </c>
    </row>
    <row r="193" spans="1:17" x14ac:dyDescent="0.3">
      <c r="A193" s="2">
        <f t="shared" si="87"/>
        <v>191</v>
      </c>
      <c r="B193" s="6">
        <f t="shared" si="92"/>
        <v>432</v>
      </c>
      <c r="C193" s="9">
        <f t="shared" si="93"/>
        <v>15510</v>
      </c>
      <c r="D193" s="6">
        <f t="shared" si="94"/>
        <v>341</v>
      </c>
      <c r="E193" s="9">
        <f t="shared" si="95"/>
        <v>13690</v>
      </c>
      <c r="F193" s="3">
        <f t="shared" si="96"/>
        <v>791</v>
      </c>
      <c r="G193" s="3">
        <f t="shared" si="97"/>
        <v>11870</v>
      </c>
      <c r="J193" s="6">
        <f t="shared" si="88"/>
        <v>3.1099999999999732</v>
      </c>
      <c r="K193" s="11">
        <f t="shared" si="89"/>
        <v>26590</v>
      </c>
      <c r="P193" s="1">
        <f t="shared" si="90"/>
        <v>26590</v>
      </c>
      <c r="Q193" s="1">
        <f t="shared" si="91"/>
        <v>2074808</v>
      </c>
    </row>
    <row r="194" spans="1:17" x14ac:dyDescent="0.3">
      <c r="A194" s="2">
        <f t="shared" si="87"/>
        <v>192</v>
      </c>
      <c r="B194" s="6">
        <f t="shared" si="92"/>
        <v>434</v>
      </c>
      <c r="C194" s="9">
        <f t="shared" si="93"/>
        <v>15620</v>
      </c>
      <c r="D194" s="6">
        <f t="shared" si="94"/>
        <v>342</v>
      </c>
      <c r="E194" s="9">
        <f t="shared" si="95"/>
        <v>13780</v>
      </c>
      <c r="F194" s="3">
        <f t="shared" si="96"/>
        <v>792</v>
      </c>
      <c r="G194" s="3">
        <f t="shared" si="97"/>
        <v>11940</v>
      </c>
      <c r="J194" s="6">
        <f t="shared" si="88"/>
        <v>3.119999999999973</v>
      </c>
      <c r="K194" s="11">
        <f t="shared" si="89"/>
        <v>26780</v>
      </c>
      <c r="P194" s="1">
        <f t="shared" si="90"/>
        <v>26780</v>
      </c>
      <c r="Q194" s="1">
        <f t="shared" si="91"/>
        <v>2101588</v>
      </c>
    </row>
    <row r="195" spans="1:17" x14ac:dyDescent="0.3">
      <c r="A195" s="2">
        <f t="shared" si="87"/>
        <v>193</v>
      </c>
      <c r="B195" s="6">
        <f t="shared" si="92"/>
        <v>436</v>
      </c>
      <c r="C195" s="9">
        <f t="shared" si="93"/>
        <v>15730</v>
      </c>
      <c r="D195" s="6">
        <f t="shared" si="94"/>
        <v>343</v>
      </c>
      <c r="E195" s="9">
        <f t="shared" si="95"/>
        <v>13870</v>
      </c>
      <c r="F195" s="3">
        <f t="shared" si="96"/>
        <v>793</v>
      </c>
      <c r="G195" s="3">
        <f t="shared" si="97"/>
        <v>12010</v>
      </c>
      <c r="J195" s="6">
        <f t="shared" si="88"/>
        <v>3.1299999999999728</v>
      </c>
      <c r="K195" s="11">
        <f t="shared" si="89"/>
        <v>26970</v>
      </c>
      <c r="P195" s="1">
        <f t="shared" si="90"/>
        <v>26970</v>
      </c>
      <c r="Q195" s="1">
        <f t="shared" si="91"/>
        <v>2128558</v>
      </c>
    </row>
    <row r="196" spans="1:17" x14ac:dyDescent="0.3">
      <c r="A196" s="2">
        <f t="shared" si="87"/>
        <v>194</v>
      </c>
      <c r="B196" s="6">
        <f t="shared" si="92"/>
        <v>438</v>
      </c>
      <c r="C196" s="9">
        <f t="shared" si="93"/>
        <v>15840</v>
      </c>
      <c r="D196" s="6">
        <f t="shared" si="94"/>
        <v>344</v>
      </c>
      <c r="E196" s="9">
        <f t="shared" si="95"/>
        <v>13960</v>
      </c>
      <c r="F196" s="3">
        <f t="shared" si="96"/>
        <v>794</v>
      </c>
      <c r="G196" s="3">
        <f t="shared" si="97"/>
        <v>12080</v>
      </c>
      <c r="J196" s="6">
        <f t="shared" si="88"/>
        <v>3.1399999999999726</v>
      </c>
      <c r="K196" s="11">
        <f t="shared" si="89"/>
        <v>27160</v>
      </c>
      <c r="P196" s="1">
        <f t="shared" si="90"/>
        <v>27160</v>
      </c>
      <c r="Q196" s="1">
        <f t="shared" si="91"/>
        <v>2155718</v>
      </c>
    </row>
    <row r="197" spans="1:17" x14ac:dyDescent="0.3">
      <c r="A197" s="2">
        <f t="shared" ref="A197:A260" si="98">A196+1</f>
        <v>195</v>
      </c>
      <c r="B197" s="6">
        <f t="shared" si="92"/>
        <v>440</v>
      </c>
      <c r="C197" s="9">
        <f t="shared" si="93"/>
        <v>15950</v>
      </c>
      <c r="D197" s="6">
        <f t="shared" si="94"/>
        <v>345</v>
      </c>
      <c r="E197" s="9">
        <f t="shared" si="95"/>
        <v>14050</v>
      </c>
      <c r="F197" s="3">
        <f t="shared" si="96"/>
        <v>795</v>
      </c>
      <c r="G197" s="3">
        <f t="shared" si="97"/>
        <v>12150</v>
      </c>
      <c r="J197" s="6">
        <f t="shared" si="88"/>
        <v>3.1499999999999724</v>
      </c>
      <c r="K197" s="11">
        <f t="shared" si="89"/>
        <v>27350</v>
      </c>
      <c r="P197" s="1">
        <f t="shared" si="90"/>
        <v>27350</v>
      </c>
      <c r="Q197" s="1">
        <f t="shared" si="91"/>
        <v>2183068</v>
      </c>
    </row>
    <row r="198" spans="1:17" x14ac:dyDescent="0.3">
      <c r="A198" s="2">
        <f t="shared" si="98"/>
        <v>196</v>
      </c>
      <c r="B198" s="6">
        <f t="shared" si="92"/>
        <v>442</v>
      </c>
      <c r="C198" s="9">
        <f t="shared" si="93"/>
        <v>16060</v>
      </c>
      <c r="D198" s="6">
        <f t="shared" si="94"/>
        <v>346</v>
      </c>
      <c r="E198" s="9">
        <f t="shared" si="95"/>
        <v>14140</v>
      </c>
      <c r="F198" s="3">
        <f t="shared" si="96"/>
        <v>796</v>
      </c>
      <c r="G198" s="3">
        <f t="shared" si="97"/>
        <v>12220</v>
      </c>
      <c r="J198" s="6">
        <f t="shared" si="88"/>
        <v>3.1599999999999722</v>
      </c>
      <c r="K198" s="11">
        <f t="shared" si="89"/>
        <v>27540</v>
      </c>
      <c r="P198" s="1">
        <f t="shared" si="90"/>
        <v>27540</v>
      </c>
      <c r="Q198" s="1">
        <f t="shared" si="91"/>
        <v>2210608</v>
      </c>
    </row>
    <row r="199" spans="1:17" x14ac:dyDescent="0.3">
      <c r="A199" s="2">
        <f t="shared" si="98"/>
        <v>197</v>
      </c>
      <c r="B199" s="6">
        <f t="shared" si="92"/>
        <v>444</v>
      </c>
      <c r="C199" s="9">
        <f t="shared" si="93"/>
        <v>16170</v>
      </c>
      <c r="D199" s="6">
        <f t="shared" si="94"/>
        <v>347</v>
      </c>
      <c r="E199" s="9">
        <f t="shared" si="95"/>
        <v>14230</v>
      </c>
      <c r="F199" s="3">
        <f t="shared" si="96"/>
        <v>797</v>
      </c>
      <c r="G199" s="3">
        <f t="shared" si="97"/>
        <v>12290</v>
      </c>
      <c r="J199" s="6">
        <f t="shared" si="88"/>
        <v>3.169999999999972</v>
      </c>
      <c r="K199" s="11">
        <f t="shared" si="89"/>
        <v>27730</v>
      </c>
      <c r="P199" s="1">
        <f t="shared" si="90"/>
        <v>27730</v>
      </c>
      <c r="Q199" s="1">
        <f t="shared" si="91"/>
        <v>2238338</v>
      </c>
    </row>
    <row r="200" spans="1:17" x14ac:dyDescent="0.3">
      <c r="A200" s="2">
        <f t="shared" si="98"/>
        <v>198</v>
      </c>
      <c r="B200" s="6">
        <f t="shared" si="92"/>
        <v>446</v>
      </c>
      <c r="C200" s="9">
        <f t="shared" si="93"/>
        <v>16280</v>
      </c>
      <c r="D200" s="6">
        <f t="shared" si="94"/>
        <v>348</v>
      </c>
      <c r="E200" s="9">
        <f t="shared" si="95"/>
        <v>14320</v>
      </c>
      <c r="F200" s="3">
        <f t="shared" si="96"/>
        <v>798</v>
      </c>
      <c r="G200" s="3">
        <f t="shared" si="97"/>
        <v>12360</v>
      </c>
      <c r="J200" s="6">
        <f t="shared" si="88"/>
        <v>3.1799999999999717</v>
      </c>
      <c r="K200" s="11">
        <f t="shared" si="89"/>
        <v>27920</v>
      </c>
      <c r="P200" s="1">
        <f t="shared" si="90"/>
        <v>27920</v>
      </c>
      <c r="Q200" s="1">
        <f t="shared" si="91"/>
        <v>2266258</v>
      </c>
    </row>
    <row r="201" spans="1:17" x14ac:dyDescent="0.3">
      <c r="A201" s="2">
        <f t="shared" si="98"/>
        <v>199</v>
      </c>
      <c r="B201" s="6">
        <f t="shared" si="92"/>
        <v>448</v>
      </c>
      <c r="C201" s="9">
        <f t="shared" si="93"/>
        <v>16390</v>
      </c>
      <c r="D201" s="6">
        <f t="shared" si="94"/>
        <v>349</v>
      </c>
      <c r="E201" s="9">
        <f t="shared" si="95"/>
        <v>14410</v>
      </c>
      <c r="F201" s="3">
        <f t="shared" si="96"/>
        <v>799</v>
      </c>
      <c r="G201" s="3">
        <f t="shared" si="97"/>
        <v>12430</v>
      </c>
      <c r="J201" s="6">
        <f t="shared" si="88"/>
        <v>3.1899999999999715</v>
      </c>
      <c r="K201" s="11">
        <f t="shared" si="89"/>
        <v>28110</v>
      </c>
      <c r="P201" s="1">
        <f t="shared" si="90"/>
        <v>28110</v>
      </c>
      <c r="Q201" s="1">
        <f t="shared" si="91"/>
        <v>2294368</v>
      </c>
    </row>
    <row r="202" spans="1:17" x14ac:dyDescent="0.3">
      <c r="A202" s="2">
        <f t="shared" si="98"/>
        <v>200</v>
      </c>
      <c r="B202" s="6">
        <f t="shared" si="92"/>
        <v>450</v>
      </c>
      <c r="C202" s="9">
        <f t="shared" si="93"/>
        <v>16500</v>
      </c>
      <c r="D202" s="6">
        <f t="shared" si="94"/>
        <v>350</v>
      </c>
      <c r="E202" s="9">
        <f t="shared" si="95"/>
        <v>14500</v>
      </c>
      <c r="F202" s="3">
        <f t="shared" si="96"/>
        <v>800</v>
      </c>
      <c r="G202" s="3">
        <f t="shared" si="97"/>
        <v>12500</v>
      </c>
      <c r="J202" s="6">
        <f t="shared" si="88"/>
        <v>3.1999999999999713</v>
      </c>
      <c r="K202" s="11">
        <f t="shared" si="89"/>
        <v>28300</v>
      </c>
      <c r="P202" s="1">
        <f t="shared" si="90"/>
        <v>28300</v>
      </c>
      <c r="Q202" s="1">
        <f t="shared" si="91"/>
        <v>2322668</v>
      </c>
    </row>
    <row r="203" spans="1:17" x14ac:dyDescent="0.3">
      <c r="A203" s="2">
        <f t="shared" si="98"/>
        <v>201</v>
      </c>
      <c r="B203" s="6">
        <f t="shared" si="92"/>
        <v>452</v>
      </c>
      <c r="C203" s="9">
        <f t="shared" si="93"/>
        <v>16610</v>
      </c>
      <c r="D203" s="6">
        <f t="shared" si="94"/>
        <v>351</v>
      </c>
      <c r="E203" s="9">
        <f t="shared" si="95"/>
        <v>14590</v>
      </c>
      <c r="F203" s="3">
        <f t="shared" si="96"/>
        <v>801</v>
      </c>
      <c r="G203" s="3">
        <f t="shared" si="97"/>
        <v>12570</v>
      </c>
      <c r="J203" s="6">
        <f t="shared" si="88"/>
        <v>3.2099999999999711</v>
      </c>
      <c r="K203" s="11">
        <f t="shared" si="89"/>
        <v>28490</v>
      </c>
      <c r="P203" s="1">
        <f t="shared" si="90"/>
        <v>28490</v>
      </c>
      <c r="Q203" s="1">
        <f t="shared" si="91"/>
        <v>2351158</v>
      </c>
    </row>
    <row r="204" spans="1:17" x14ac:dyDescent="0.3">
      <c r="A204" s="2">
        <f t="shared" si="98"/>
        <v>202</v>
      </c>
      <c r="B204" s="6">
        <f t="shared" si="92"/>
        <v>454</v>
      </c>
      <c r="C204" s="9">
        <f t="shared" si="93"/>
        <v>16720</v>
      </c>
      <c r="D204" s="6">
        <f t="shared" si="94"/>
        <v>352</v>
      </c>
      <c r="E204" s="9">
        <f t="shared" si="95"/>
        <v>14680</v>
      </c>
      <c r="F204" s="3">
        <f t="shared" si="96"/>
        <v>802</v>
      </c>
      <c r="G204" s="3">
        <f t="shared" si="97"/>
        <v>12640</v>
      </c>
      <c r="J204" s="6">
        <f t="shared" si="88"/>
        <v>3.2199999999999709</v>
      </c>
      <c r="K204" s="11">
        <f t="shared" si="89"/>
        <v>28680</v>
      </c>
      <c r="P204" s="1">
        <f t="shared" si="90"/>
        <v>28680</v>
      </c>
      <c r="Q204" s="1">
        <f t="shared" si="91"/>
        <v>2379838</v>
      </c>
    </row>
    <row r="205" spans="1:17" x14ac:dyDescent="0.3">
      <c r="A205" s="2">
        <f t="shared" si="98"/>
        <v>203</v>
      </c>
      <c r="B205" s="6">
        <f t="shared" si="92"/>
        <v>456</v>
      </c>
      <c r="C205" s="9">
        <f t="shared" si="93"/>
        <v>16830</v>
      </c>
      <c r="D205" s="6">
        <f t="shared" si="94"/>
        <v>353</v>
      </c>
      <c r="E205" s="9">
        <f t="shared" si="95"/>
        <v>14770</v>
      </c>
      <c r="F205" s="3">
        <f t="shared" si="96"/>
        <v>803</v>
      </c>
      <c r="G205" s="3">
        <f t="shared" si="97"/>
        <v>12710</v>
      </c>
      <c r="J205" s="6">
        <f t="shared" si="88"/>
        <v>3.2299999999999707</v>
      </c>
      <c r="K205" s="11">
        <f t="shared" si="89"/>
        <v>28870</v>
      </c>
      <c r="P205" s="1">
        <f t="shared" si="90"/>
        <v>28870</v>
      </c>
      <c r="Q205" s="1">
        <f t="shared" si="91"/>
        <v>2408708</v>
      </c>
    </row>
    <row r="206" spans="1:17" x14ac:dyDescent="0.3">
      <c r="A206" s="2">
        <f t="shared" si="98"/>
        <v>204</v>
      </c>
      <c r="B206" s="6">
        <f t="shared" si="92"/>
        <v>458</v>
      </c>
      <c r="C206" s="9">
        <f t="shared" si="93"/>
        <v>16940</v>
      </c>
      <c r="D206" s="6">
        <f t="shared" si="94"/>
        <v>354</v>
      </c>
      <c r="E206" s="9">
        <f t="shared" si="95"/>
        <v>14860</v>
      </c>
      <c r="F206" s="3">
        <f t="shared" si="96"/>
        <v>804</v>
      </c>
      <c r="G206" s="3">
        <f t="shared" si="97"/>
        <v>12780</v>
      </c>
      <c r="J206" s="6">
        <f t="shared" si="88"/>
        <v>3.2399999999999705</v>
      </c>
      <c r="K206" s="11">
        <f t="shared" si="89"/>
        <v>29060</v>
      </c>
      <c r="P206" s="1">
        <f t="shared" si="90"/>
        <v>29060</v>
      </c>
      <c r="Q206" s="1">
        <f t="shared" si="91"/>
        <v>2437768</v>
      </c>
    </row>
    <row r="207" spans="1:17" x14ac:dyDescent="0.3">
      <c r="A207" s="2">
        <f t="shared" si="98"/>
        <v>205</v>
      </c>
      <c r="B207" s="6">
        <f t="shared" si="92"/>
        <v>460</v>
      </c>
      <c r="C207" s="9">
        <f t="shared" si="93"/>
        <v>17050</v>
      </c>
      <c r="D207" s="6">
        <f t="shared" si="94"/>
        <v>355</v>
      </c>
      <c r="E207" s="9">
        <f t="shared" si="95"/>
        <v>14950</v>
      </c>
      <c r="F207" s="3">
        <f t="shared" si="96"/>
        <v>805</v>
      </c>
      <c r="G207" s="3">
        <f t="shared" si="97"/>
        <v>12850</v>
      </c>
      <c r="J207" s="6">
        <f t="shared" si="88"/>
        <v>3.2499999999999702</v>
      </c>
      <c r="K207" s="11">
        <f t="shared" si="89"/>
        <v>29250</v>
      </c>
      <c r="P207" s="1">
        <f t="shared" si="90"/>
        <v>29250</v>
      </c>
      <c r="Q207" s="1">
        <f t="shared" si="91"/>
        <v>2467018</v>
      </c>
    </row>
    <row r="208" spans="1:17" x14ac:dyDescent="0.3">
      <c r="A208" s="2">
        <f t="shared" si="98"/>
        <v>206</v>
      </c>
      <c r="B208" s="6">
        <f t="shared" si="92"/>
        <v>462</v>
      </c>
      <c r="C208" s="9">
        <f t="shared" si="93"/>
        <v>17160</v>
      </c>
      <c r="D208" s="6">
        <f t="shared" si="94"/>
        <v>356</v>
      </c>
      <c r="E208" s="9">
        <f t="shared" si="95"/>
        <v>15040</v>
      </c>
      <c r="F208" s="3">
        <f t="shared" si="96"/>
        <v>806</v>
      </c>
      <c r="G208" s="3">
        <f t="shared" si="97"/>
        <v>12920</v>
      </c>
      <c r="J208" s="6">
        <f t="shared" si="88"/>
        <v>3.25999999999997</v>
      </c>
      <c r="K208" s="11">
        <f t="shared" si="89"/>
        <v>29440</v>
      </c>
      <c r="P208" s="1">
        <f t="shared" si="90"/>
        <v>29440</v>
      </c>
      <c r="Q208" s="1">
        <f t="shared" si="91"/>
        <v>2496458</v>
      </c>
    </row>
    <row r="209" spans="1:17" x14ac:dyDescent="0.3">
      <c r="A209" s="2">
        <f t="shared" si="98"/>
        <v>207</v>
      </c>
      <c r="B209" s="6">
        <f t="shared" si="92"/>
        <v>464</v>
      </c>
      <c r="C209" s="9">
        <f t="shared" si="93"/>
        <v>17270</v>
      </c>
      <c r="D209" s="6">
        <f t="shared" si="94"/>
        <v>357</v>
      </c>
      <c r="E209" s="9">
        <f t="shared" si="95"/>
        <v>15130</v>
      </c>
      <c r="F209" s="3">
        <f t="shared" si="96"/>
        <v>807</v>
      </c>
      <c r="G209" s="3">
        <f t="shared" si="97"/>
        <v>12990</v>
      </c>
      <c r="J209" s="6">
        <f t="shared" si="88"/>
        <v>3.2699999999999698</v>
      </c>
      <c r="K209" s="11">
        <f t="shared" si="89"/>
        <v>29630</v>
      </c>
      <c r="P209" s="1">
        <f t="shared" si="90"/>
        <v>29630</v>
      </c>
      <c r="Q209" s="1">
        <f t="shared" si="91"/>
        <v>2526088</v>
      </c>
    </row>
    <row r="210" spans="1:17" x14ac:dyDescent="0.3">
      <c r="A210" s="2">
        <f t="shared" si="98"/>
        <v>208</v>
      </c>
      <c r="B210" s="6">
        <f t="shared" si="92"/>
        <v>466</v>
      </c>
      <c r="C210" s="9">
        <f t="shared" si="93"/>
        <v>17380</v>
      </c>
      <c r="D210" s="6">
        <f t="shared" si="94"/>
        <v>358</v>
      </c>
      <c r="E210" s="9">
        <f t="shared" si="95"/>
        <v>15220</v>
      </c>
      <c r="F210" s="3">
        <f t="shared" si="96"/>
        <v>808</v>
      </c>
      <c r="G210" s="3">
        <f t="shared" si="97"/>
        <v>13060</v>
      </c>
      <c r="J210" s="6">
        <f t="shared" si="88"/>
        <v>3.2799999999999696</v>
      </c>
      <c r="K210" s="11">
        <f t="shared" si="89"/>
        <v>29820</v>
      </c>
      <c r="P210" s="1">
        <f t="shared" si="90"/>
        <v>29820</v>
      </c>
      <c r="Q210" s="1">
        <f t="shared" si="91"/>
        <v>2555908</v>
      </c>
    </row>
    <row r="211" spans="1:17" x14ac:dyDescent="0.3">
      <c r="A211" s="2">
        <f t="shared" si="98"/>
        <v>209</v>
      </c>
      <c r="B211" s="6">
        <f t="shared" si="92"/>
        <v>468</v>
      </c>
      <c r="C211" s="9">
        <f t="shared" si="93"/>
        <v>17490</v>
      </c>
      <c r="D211" s="6">
        <f t="shared" si="94"/>
        <v>359</v>
      </c>
      <c r="E211" s="9">
        <f t="shared" si="95"/>
        <v>15310</v>
      </c>
      <c r="F211" s="3">
        <f t="shared" si="96"/>
        <v>809</v>
      </c>
      <c r="G211" s="3">
        <f t="shared" si="97"/>
        <v>13130</v>
      </c>
      <c r="J211" s="6">
        <f t="shared" si="88"/>
        <v>3.2899999999999694</v>
      </c>
      <c r="K211" s="11">
        <f t="shared" si="89"/>
        <v>30010</v>
      </c>
      <c r="P211" s="1">
        <f t="shared" si="90"/>
        <v>30010</v>
      </c>
      <c r="Q211" s="1">
        <f t="shared" si="91"/>
        <v>2585918</v>
      </c>
    </row>
    <row r="212" spans="1:17" x14ac:dyDescent="0.3">
      <c r="A212" s="2">
        <f t="shared" si="98"/>
        <v>210</v>
      </c>
      <c r="B212" s="6">
        <f t="shared" si="92"/>
        <v>470</v>
      </c>
      <c r="C212" s="9">
        <f t="shared" si="93"/>
        <v>17600</v>
      </c>
      <c r="D212" s="6">
        <f t="shared" si="94"/>
        <v>360</v>
      </c>
      <c r="E212" s="9">
        <f t="shared" si="95"/>
        <v>15400</v>
      </c>
      <c r="F212" s="3">
        <f t="shared" si="96"/>
        <v>810</v>
      </c>
      <c r="G212" s="3">
        <f t="shared" si="97"/>
        <v>13200</v>
      </c>
      <c r="J212" s="6">
        <f t="shared" ref="J212:J275" si="99">J211+0.01</f>
        <v>3.2999999999999692</v>
      </c>
      <c r="K212" s="11">
        <f t="shared" ref="K212:K275" si="100">K211+190</f>
        <v>30200</v>
      </c>
      <c r="P212" s="1">
        <f t="shared" si="90"/>
        <v>30200</v>
      </c>
      <c r="Q212" s="1">
        <f t="shared" si="91"/>
        <v>2616118</v>
      </c>
    </row>
    <row r="213" spans="1:17" x14ac:dyDescent="0.3">
      <c r="A213" s="2">
        <f t="shared" si="98"/>
        <v>211</v>
      </c>
      <c r="B213" s="6">
        <f t="shared" si="92"/>
        <v>472</v>
      </c>
      <c r="C213" s="9">
        <f t="shared" si="93"/>
        <v>17710</v>
      </c>
      <c r="D213" s="6">
        <f t="shared" si="94"/>
        <v>361</v>
      </c>
      <c r="E213" s="9">
        <f t="shared" si="95"/>
        <v>15490</v>
      </c>
      <c r="F213" s="3">
        <f t="shared" si="96"/>
        <v>811</v>
      </c>
      <c r="G213" s="3">
        <f t="shared" si="97"/>
        <v>13270</v>
      </c>
      <c r="J213" s="6">
        <f t="shared" si="99"/>
        <v>3.309999999999969</v>
      </c>
      <c r="K213" s="11">
        <f t="shared" si="100"/>
        <v>30390</v>
      </c>
      <c r="P213" s="1">
        <f t="shared" si="90"/>
        <v>30390</v>
      </c>
      <c r="Q213" s="1">
        <f t="shared" si="91"/>
        <v>2646508</v>
      </c>
    </row>
    <row r="214" spans="1:17" x14ac:dyDescent="0.3">
      <c r="A214" s="2">
        <f t="shared" si="98"/>
        <v>212</v>
      </c>
      <c r="B214" s="6">
        <f t="shared" si="92"/>
        <v>474</v>
      </c>
      <c r="C214" s="9">
        <f t="shared" si="93"/>
        <v>17820</v>
      </c>
      <c r="D214" s="6">
        <f t="shared" si="94"/>
        <v>362</v>
      </c>
      <c r="E214" s="9">
        <f t="shared" si="95"/>
        <v>15580</v>
      </c>
      <c r="F214" s="3">
        <f t="shared" si="96"/>
        <v>812</v>
      </c>
      <c r="G214" s="3">
        <f t="shared" si="97"/>
        <v>13340</v>
      </c>
      <c r="J214" s="6">
        <f t="shared" si="99"/>
        <v>3.3199999999999688</v>
      </c>
      <c r="K214" s="11">
        <f t="shared" si="100"/>
        <v>30580</v>
      </c>
      <c r="P214" s="1">
        <f t="shared" si="90"/>
        <v>30580</v>
      </c>
      <c r="Q214" s="1">
        <f t="shared" si="91"/>
        <v>2677088</v>
      </c>
    </row>
    <row r="215" spans="1:17" x14ac:dyDescent="0.3">
      <c r="A215" s="2">
        <f t="shared" si="98"/>
        <v>213</v>
      </c>
      <c r="B215" s="6">
        <f t="shared" si="92"/>
        <v>476</v>
      </c>
      <c r="C215" s="9">
        <f t="shared" si="93"/>
        <v>17930</v>
      </c>
      <c r="D215" s="6">
        <f t="shared" si="94"/>
        <v>363</v>
      </c>
      <c r="E215" s="9">
        <f t="shared" si="95"/>
        <v>15670</v>
      </c>
      <c r="F215" s="3">
        <f t="shared" si="96"/>
        <v>813</v>
      </c>
      <c r="G215" s="3">
        <f t="shared" si="97"/>
        <v>13410</v>
      </c>
      <c r="J215" s="6">
        <f t="shared" si="99"/>
        <v>3.3299999999999685</v>
      </c>
      <c r="K215" s="11">
        <f t="shared" si="100"/>
        <v>30770</v>
      </c>
      <c r="P215" s="1">
        <f t="shared" si="90"/>
        <v>30770</v>
      </c>
      <c r="Q215" s="1">
        <f t="shared" si="91"/>
        <v>2707858</v>
      </c>
    </row>
    <row r="216" spans="1:17" x14ac:dyDescent="0.3">
      <c r="A216" s="2">
        <f t="shared" si="98"/>
        <v>214</v>
      </c>
      <c r="B216" s="6">
        <f t="shared" si="92"/>
        <v>478</v>
      </c>
      <c r="C216" s="9">
        <f t="shared" si="93"/>
        <v>18040</v>
      </c>
      <c r="D216" s="6">
        <f t="shared" si="94"/>
        <v>364</v>
      </c>
      <c r="E216" s="9">
        <f t="shared" si="95"/>
        <v>15760</v>
      </c>
      <c r="F216" s="3">
        <f t="shared" si="96"/>
        <v>814</v>
      </c>
      <c r="G216" s="3">
        <f t="shared" si="97"/>
        <v>13480</v>
      </c>
      <c r="J216" s="6">
        <f t="shared" si="99"/>
        <v>3.3399999999999683</v>
      </c>
      <c r="K216" s="11">
        <f t="shared" si="100"/>
        <v>30960</v>
      </c>
      <c r="P216" s="1">
        <f t="shared" si="90"/>
        <v>30960</v>
      </c>
      <c r="Q216" s="1">
        <f t="shared" si="91"/>
        <v>2738818</v>
      </c>
    </row>
    <row r="217" spans="1:17" x14ac:dyDescent="0.3">
      <c r="A217" s="2">
        <f t="shared" si="98"/>
        <v>215</v>
      </c>
      <c r="B217" s="6">
        <f t="shared" si="92"/>
        <v>480</v>
      </c>
      <c r="C217" s="9">
        <f t="shared" si="93"/>
        <v>18150</v>
      </c>
      <c r="D217" s="6">
        <f t="shared" si="94"/>
        <v>365</v>
      </c>
      <c r="E217" s="9">
        <f t="shared" si="95"/>
        <v>15850</v>
      </c>
      <c r="F217" s="3">
        <f t="shared" si="96"/>
        <v>815</v>
      </c>
      <c r="G217" s="3">
        <f t="shared" si="97"/>
        <v>13550</v>
      </c>
      <c r="J217" s="6">
        <f t="shared" si="99"/>
        <v>3.3499999999999681</v>
      </c>
      <c r="K217" s="11">
        <f t="shared" si="100"/>
        <v>31150</v>
      </c>
      <c r="P217" s="1">
        <f t="shared" si="90"/>
        <v>31150</v>
      </c>
      <c r="Q217" s="1">
        <f t="shared" si="91"/>
        <v>2769968</v>
      </c>
    </row>
    <row r="218" spans="1:17" x14ac:dyDescent="0.3">
      <c r="A218" s="2">
        <f t="shared" si="98"/>
        <v>216</v>
      </c>
      <c r="B218" s="6">
        <f t="shared" si="92"/>
        <v>482</v>
      </c>
      <c r="C218" s="9">
        <f t="shared" si="93"/>
        <v>18260</v>
      </c>
      <c r="D218" s="6">
        <f t="shared" si="94"/>
        <v>366</v>
      </c>
      <c r="E218" s="9">
        <f t="shared" si="95"/>
        <v>15940</v>
      </c>
      <c r="F218" s="3">
        <f t="shared" si="96"/>
        <v>816</v>
      </c>
      <c r="G218" s="3">
        <f t="shared" si="97"/>
        <v>13620</v>
      </c>
      <c r="J218" s="6">
        <f t="shared" si="99"/>
        <v>3.3599999999999679</v>
      </c>
      <c r="K218" s="11">
        <f t="shared" si="100"/>
        <v>31340</v>
      </c>
      <c r="P218" s="1">
        <f t="shared" si="90"/>
        <v>31340</v>
      </c>
      <c r="Q218" s="1">
        <f t="shared" si="91"/>
        <v>2801308</v>
      </c>
    </row>
    <row r="219" spans="1:17" x14ac:dyDescent="0.3">
      <c r="A219" s="2">
        <f t="shared" si="98"/>
        <v>217</v>
      </c>
      <c r="B219" s="6">
        <f t="shared" si="92"/>
        <v>484</v>
      </c>
      <c r="C219" s="9">
        <f t="shared" si="93"/>
        <v>18370</v>
      </c>
      <c r="D219" s="6">
        <f t="shared" si="94"/>
        <v>367</v>
      </c>
      <c r="E219" s="9">
        <f t="shared" si="95"/>
        <v>16030</v>
      </c>
      <c r="F219" s="3">
        <f t="shared" si="96"/>
        <v>817</v>
      </c>
      <c r="G219" s="3">
        <f t="shared" si="97"/>
        <v>13690</v>
      </c>
      <c r="J219" s="6">
        <f t="shared" si="99"/>
        <v>3.3699999999999677</v>
      </c>
      <c r="K219" s="11">
        <f t="shared" si="100"/>
        <v>31530</v>
      </c>
      <c r="P219" s="1">
        <f t="shared" si="90"/>
        <v>31530</v>
      </c>
      <c r="Q219" s="1">
        <f t="shared" si="91"/>
        <v>2832838</v>
      </c>
    </row>
    <row r="220" spans="1:17" x14ac:dyDescent="0.3">
      <c r="A220" s="2">
        <f t="shared" si="98"/>
        <v>218</v>
      </c>
      <c r="B220" s="6">
        <f t="shared" si="92"/>
        <v>486</v>
      </c>
      <c r="C220" s="9">
        <f t="shared" si="93"/>
        <v>18480</v>
      </c>
      <c r="D220" s="6">
        <f t="shared" si="94"/>
        <v>368</v>
      </c>
      <c r="E220" s="9">
        <f t="shared" si="95"/>
        <v>16120</v>
      </c>
      <c r="F220" s="3">
        <f t="shared" si="96"/>
        <v>818</v>
      </c>
      <c r="G220" s="3">
        <f t="shared" si="97"/>
        <v>13760</v>
      </c>
      <c r="J220" s="6">
        <f t="shared" si="99"/>
        <v>3.3799999999999675</v>
      </c>
      <c r="K220" s="11">
        <f t="shared" si="100"/>
        <v>31720</v>
      </c>
      <c r="P220" s="1">
        <f t="shared" si="90"/>
        <v>31720</v>
      </c>
      <c r="Q220" s="1">
        <f t="shared" si="91"/>
        <v>2864558</v>
      </c>
    </row>
    <row r="221" spans="1:17" x14ac:dyDescent="0.3">
      <c r="A221" s="2">
        <f t="shared" si="98"/>
        <v>219</v>
      </c>
      <c r="B221" s="6">
        <f t="shared" si="92"/>
        <v>488</v>
      </c>
      <c r="C221" s="9">
        <f t="shared" si="93"/>
        <v>18590</v>
      </c>
      <c r="D221" s="6">
        <f t="shared" si="94"/>
        <v>369</v>
      </c>
      <c r="E221" s="9">
        <f t="shared" si="95"/>
        <v>16210</v>
      </c>
      <c r="F221" s="3">
        <f t="shared" si="96"/>
        <v>819</v>
      </c>
      <c r="G221" s="3">
        <f t="shared" si="97"/>
        <v>13830</v>
      </c>
      <c r="J221" s="6">
        <f t="shared" si="99"/>
        <v>3.3899999999999673</v>
      </c>
      <c r="K221" s="11">
        <f t="shared" si="100"/>
        <v>31910</v>
      </c>
      <c r="P221" s="1">
        <f t="shared" si="90"/>
        <v>31910</v>
      </c>
      <c r="Q221" s="1">
        <f t="shared" si="91"/>
        <v>2896468</v>
      </c>
    </row>
    <row r="222" spans="1:17" x14ac:dyDescent="0.3">
      <c r="A222" s="2">
        <f t="shared" si="98"/>
        <v>220</v>
      </c>
      <c r="B222" s="6">
        <f t="shared" si="92"/>
        <v>490</v>
      </c>
      <c r="C222" s="9">
        <f t="shared" si="93"/>
        <v>18700</v>
      </c>
      <c r="D222" s="6">
        <f t="shared" si="94"/>
        <v>370</v>
      </c>
      <c r="E222" s="9">
        <f t="shared" si="95"/>
        <v>16300</v>
      </c>
      <c r="F222" s="3">
        <f t="shared" si="96"/>
        <v>820</v>
      </c>
      <c r="G222" s="3">
        <f t="shared" si="97"/>
        <v>13900</v>
      </c>
      <c r="J222" s="6">
        <f t="shared" si="99"/>
        <v>3.399999999999967</v>
      </c>
      <c r="K222" s="11">
        <f t="shared" si="100"/>
        <v>32100</v>
      </c>
      <c r="P222" s="1">
        <f t="shared" si="90"/>
        <v>32100</v>
      </c>
      <c r="Q222" s="1">
        <f t="shared" si="91"/>
        <v>2928568</v>
      </c>
    </row>
    <row r="223" spans="1:17" x14ac:dyDescent="0.3">
      <c r="A223" s="2">
        <f t="shared" si="98"/>
        <v>221</v>
      </c>
      <c r="B223" s="6">
        <f t="shared" si="92"/>
        <v>492</v>
      </c>
      <c r="C223" s="9">
        <f t="shared" si="93"/>
        <v>18810</v>
      </c>
      <c r="D223" s="6">
        <f t="shared" si="94"/>
        <v>371</v>
      </c>
      <c r="E223" s="9">
        <f t="shared" si="95"/>
        <v>16390</v>
      </c>
      <c r="F223" s="3">
        <f t="shared" si="96"/>
        <v>821</v>
      </c>
      <c r="G223" s="3">
        <f t="shared" si="97"/>
        <v>13970</v>
      </c>
      <c r="J223" s="6">
        <f t="shared" si="99"/>
        <v>3.4099999999999668</v>
      </c>
      <c r="K223" s="11">
        <f t="shared" si="100"/>
        <v>32290</v>
      </c>
      <c r="P223" s="1">
        <f t="shared" si="90"/>
        <v>32290</v>
      </c>
      <c r="Q223" s="1">
        <f t="shared" si="91"/>
        <v>2960858</v>
      </c>
    </row>
    <row r="224" spans="1:17" x14ac:dyDescent="0.3">
      <c r="A224" s="2">
        <f t="shared" si="98"/>
        <v>222</v>
      </c>
      <c r="B224" s="6">
        <f t="shared" si="92"/>
        <v>494</v>
      </c>
      <c r="C224" s="9">
        <f t="shared" si="93"/>
        <v>18920</v>
      </c>
      <c r="D224" s="6">
        <f t="shared" si="94"/>
        <v>372</v>
      </c>
      <c r="E224" s="9">
        <f t="shared" si="95"/>
        <v>16480</v>
      </c>
      <c r="F224" s="3">
        <f t="shared" si="96"/>
        <v>822</v>
      </c>
      <c r="G224" s="3">
        <f t="shared" si="97"/>
        <v>14040</v>
      </c>
      <c r="J224" s="6">
        <f t="shared" si="99"/>
        <v>3.4199999999999666</v>
      </c>
      <c r="K224" s="11">
        <f t="shared" si="100"/>
        <v>32480</v>
      </c>
      <c r="P224" s="1">
        <f t="shared" si="90"/>
        <v>32480</v>
      </c>
      <c r="Q224" s="1">
        <f t="shared" si="91"/>
        <v>2993338</v>
      </c>
    </row>
    <row r="225" spans="1:17" x14ac:dyDescent="0.3">
      <c r="A225" s="2">
        <f t="shared" si="98"/>
        <v>223</v>
      </c>
      <c r="B225" s="6">
        <f t="shared" si="92"/>
        <v>496</v>
      </c>
      <c r="C225" s="9">
        <f t="shared" si="93"/>
        <v>19030</v>
      </c>
      <c r="D225" s="6">
        <f t="shared" si="94"/>
        <v>373</v>
      </c>
      <c r="E225" s="9">
        <f t="shared" si="95"/>
        <v>16570</v>
      </c>
      <c r="F225" s="3">
        <f t="shared" si="96"/>
        <v>823</v>
      </c>
      <c r="G225" s="3">
        <f t="shared" si="97"/>
        <v>14110</v>
      </c>
      <c r="J225" s="6">
        <f t="shared" si="99"/>
        <v>3.4299999999999664</v>
      </c>
      <c r="K225" s="11">
        <f t="shared" si="100"/>
        <v>32670</v>
      </c>
      <c r="P225" s="1">
        <f t="shared" si="90"/>
        <v>32670</v>
      </c>
      <c r="Q225" s="1">
        <f t="shared" si="91"/>
        <v>3026008</v>
      </c>
    </row>
    <row r="226" spans="1:17" x14ac:dyDescent="0.3">
      <c r="A226" s="2">
        <f t="shared" si="98"/>
        <v>224</v>
      </c>
      <c r="B226" s="6">
        <f t="shared" si="92"/>
        <v>498</v>
      </c>
      <c r="C226" s="9">
        <f t="shared" si="93"/>
        <v>19140</v>
      </c>
      <c r="D226" s="6">
        <f t="shared" si="94"/>
        <v>374</v>
      </c>
      <c r="E226" s="9">
        <f t="shared" si="95"/>
        <v>16660</v>
      </c>
      <c r="F226" s="3">
        <f t="shared" si="96"/>
        <v>824</v>
      </c>
      <c r="G226" s="3">
        <f t="shared" si="97"/>
        <v>14180</v>
      </c>
      <c r="J226" s="6">
        <f t="shared" si="99"/>
        <v>3.4399999999999662</v>
      </c>
      <c r="K226" s="11">
        <f t="shared" si="100"/>
        <v>32860</v>
      </c>
      <c r="P226" s="1">
        <f t="shared" si="90"/>
        <v>32860</v>
      </c>
      <c r="Q226" s="1">
        <f t="shared" si="91"/>
        <v>3058868</v>
      </c>
    </row>
    <row r="227" spans="1:17" x14ac:dyDescent="0.3">
      <c r="A227" s="2">
        <f t="shared" si="98"/>
        <v>225</v>
      </c>
      <c r="B227" s="6">
        <f t="shared" si="92"/>
        <v>500</v>
      </c>
      <c r="C227" s="9">
        <f t="shared" si="93"/>
        <v>19250</v>
      </c>
      <c r="D227" s="6">
        <f t="shared" si="94"/>
        <v>375</v>
      </c>
      <c r="E227" s="9">
        <f t="shared" si="95"/>
        <v>16750</v>
      </c>
      <c r="F227" s="3">
        <f t="shared" si="96"/>
        <v>825</v>
      </c>
      <c r="G227" s="3">
        <f t="shared" si="97"/>
        <v>14250</v>
      </c>
      <c r="J227" s="6">
        <f t="shared" si="99"/>
        <v>3.449999999999966</v>
      </c>
      <c r="K227" s="11">
        <f t="shared" si="100"/>
        <v>33050</v>
      </c>
      <c r="P227" s="1">
        <f t="shared" si="90"/>
        <v>33050</v>
      </c>
      <c r="Q227" s="1">
        <f t="shared" si="91"/>
        <v>3091918</v>
      </c>
    </row>
    <row r="228" spans="1:17" x14ac:dyDescent="0.3">
      <c r="A228" s="2">
        <f t="shared" si="98"/>
        <v>226</v>
      </c>
      <c r="B228" s="6">
        <f t="shared" si="92"/>
        <v>502</v>
      </c>
      <c r="C228" s="9">
        <f t="shared" si="93"/>
        <v>19360</v>
      </c>
      <c r="D228" s="6">
        <f t="shared" si="94"/>
        <v>376</v>
      </c>
      <c r="E228" s="9">
        <f t="shared" si="95"/>
        <v>16840</v>
      </c>
      <c r="F228" s="3">
        <f t="shared" si="96"/>
        <v>826</v>
      </c>
      <c r="G228" s="3">
        <f t="shared" si="97"/>
        <v>14320</v>
      </c>
      <c r="J228" s="6">
        <f t="shared" si="99"/>
        <v>3.4599999999999658</v>
      </c>
      <c r="K228" s="11">
        <f t="shared" si="100"/>
        <v>33240</v>
      </c>
      <c r="P228" s="1">
        <f t="shared" si="90"/>
        <v>33240</v>
      </c>
      <c r="Q228" s="1">
        <f t="shared" si="91"/>
        <v>3125158</v>
      </c>
    </row>
    <row r="229" spans="1:17" x14ac:dyDescent="0.3">
      <c r="A229" s="2">
        <f t="shared" si="98"/>
        <v>227</v>
      </c>
      <c r="B229" s="6">
        <f t="shared" si="92"/>
        <v>504</v>
      </c>
      <c r="C229" s="9">
        <f t="shared" si="93"/>
        <v>19470</v>
      </c>
      <c r="D229" s="6">
        <f t="shared" si="94"/>
        <v>377</v>
      </c>
      <c r="E229" s="9">
        <f t="shared" si="95"/>
        <v>16930</v>
      </c>
      <c r="F229" s="3">
        <f t="shared" si="96"/>
        <v>827</v>
      </c>
      <c r="G229" s="3">
        <f t="shared" si="97"/>
        <v>14390</v>
      </c>
      <c r="J229" s="6">
        <f t="shared" si="99"/>
        <v>3.4699999999999656</v>
      </c>
      <c r="K229" s="11">
        <f t="shared" si="100"/>
        <v>33430</v>
      </c>
      <c r="P229" s="1">
        <f t="shared" si="90"/>
        <v>33430</v>
      </c>
      <c r="Q229" s="1">
        <f t="shared" si="91"/>
        <v>3158588</v>
      </c>
    </row>
    <row r="230" spans="1:17" x14ac:dyDescent="0.3">
      <c r="A230" s="2">
        <f t="shared" si="98"/>
        <v>228</v>
      </c>
      <c r="B230" s="6">
        <f t="shared" si="92"/>
        <v>506</v>
      </c>
      <c r="C230" s="9">
        <f t="shared" si="93"/>
        <v>19580</v>
      </c>
      <c r="D230" s="6">
        <f t="shared" si="94"/>
        <v>378</v>
      </c>
      <c r="E230" s="9">
        <f t="shared" si="95"/>
        <v>17020</v>
      </c>
      <c r="F230" s="3">
        <f t="shared" si="96"/>
        <v>828</v>
      </c>
      <c r="G230" s="3">
        <f t="shared" si="97"/>
        <v>14460</v>
      </c>
      <c r="J230" s="6">
        <f t="shared" si="99"/>
        <v>3.4799999999999653</v>
      </c>
      <c r="K230" s="11">
        <f t="shared" si="100"/>
        <v>33620</v>
      </c>
      <c r="P230" s="1">
        <f t="shared" ref="P230:P293" si="101">K230</f>
        <v>33620</v>
      </c>
      <c r="Q230" s="1">
        <f t="shared" ref="Q230:Q293" si="102">Q229+K230</f>
        <v>3192208</v>
      </c>
    </row>
    <row r="231" spans="1:17" x14ac:dyDescent="0.3">
      <c r="A231" s="2">
        <f t="shared" si="98"/>
        <v>229</v>
      </c>
      <c r="B231" s="6">
        <f t="shared" si="92"/>
        <v>508</v>
      </c>
      <c r="C231" s="9">
        <f t="shared" si="93"/>
        <v>19690</v>
      </c>
      <c r="D231" s="6">
        <f t="shared" si="94"/>
        <v>379</v>
      </c>
      <c r="E231" s="9">
        <f t="shared" si="95"/>
        <v>17110</v>
      </c>
      <c r="F231" s="3">
        <f t="shared" si="96"/>
        <v>829</v>
      </c>
      <c r="G231" s="3">
        <f t="shared" si="97"/>
        <v>14530</v>
      </c>
      <c r="J231" s="6">
        <f t="shared" si="99"/>
        <v>3.4899999999999651</v>
      </c>
      <c r="K231" s="11">
        <f t="shared" si="100"/>
        <v>33810</v>
      </c>
      <c r="P231" s="1">
        <f t="shared" si="101"/>
        <v>33810</v>
      </c>
      <c r="Q231" s="1">
        <f t="shared" si="102"/>
        <v>3226018</v>
      </c>
    </row>
    <row r="232" spans="1:17" x14ac:dyDescent="0.3">
      <c r="A232" s="2">
        <f t="shared" si="98"/>
        <v>230</v>
      </c>
      <c r="B232" s="6">
        <f t="shared" ref="B232:B295" si="103">B231+2</f>
        <v>510</v>
      </c>
      <c r="C232" s="9">
        <f t="shared" ref="C232:C295" si="104">C231+110</f>
        <v>19800</v>
      </c>
      <c r="D232" s="6">
        <f t="shared" ref="D232:D295" si="105">D231+1</f>
        <v>380</v>
      </c>
      <c r="E232" s="9">
        <f t="shared" ref="E232:E295" si="106">E231+90</f>
        <v>17200</v>
      </c>
      <c r="F232" s="3">
        <f t="shared" ref="F232:F295" si="107">F231+1</f>
        <v>830</v>
      </c>
      <c r="G232" s="3">
        <f t="shared" ref="G232:G295" si="108">G231+70</f>
        <v>14600</v>
      </c>
      <c r="J232" s="6">
        <f t="shared" si="99"/>
        <v>3.4999999999999649</v>
      </c>
      <c r="K232" s="11">
        <f t="shared" si="100"/>
        <v>34000</v>
      </c>
      <c r="P232" s="1">
        <f t="shared" si="101"/>
        <v>34000</v>
      </c>
      <c r="Q232" s="1">
        <f t="shared" si="102"/>
        <v>3260018</v>
      </c>
    </row>
    <row r="233" spans="1:17" x14ac:dyDescent="0.3">
      <c r="A233" s="2">
        <f t="shared" si="98"/>
        <v>231</v>
      </c>
      <c r="B233" s="6">
        <f t="shared" si="103"/>
        <v>512</v>
      </c>
      <c r="C233" s="9">
        <f t="shared" si="104"/>
        <v>19910</v>
      </c>
      <c r="D233" s="6">
        <f t="shared" si="105"/>
        <v>381</v>
      </c>
      <c r="E233" s="9">
        <f t="shared" si="106"/>
        <v>17290</v>
      </c>
      <c r="F233" s="3">
        <f t="shared" si="107"/>
        <v>831</v>
      </c>
      <c r="G233" s="3">
        <f t="shared" si="108"/>
        <v>14670</v>
      </c>
      <c r="J233" s="6">
        <f t="shared" si="99"/>
        <v>3.5099999999999647</v>
      </c>
      <c r="K233" s="11">
        <f t="shared" si="100"/>
        <v>34190</v>
      </c>
      <c r="P233" s="1">
        <f t="shared" si="101"/>
        <v>34190</v>
      </c>
      <c r="Q233" s="1">
        <f t="shared" si="102"/>
        <v>3294208</v>
      </c>
    </row>
    <row r="234" spans="1:17" x14ac:dyDescent="0.3">
      <c r="A234" s="2">
        <f t="shared" si="98"/>
        <v>232</v>
      </c>
      <c r="B234" s="6">
        <f t="shared" si="103"/>
        <v>514</v>
      </c>
      <c r="C234" s="9">
        <f t="shared" si="104"/>
        <v>20020</v>
      </c>
      <c r="D234" s="6">
        <f t="shared" si="105"/>
        <v>382</v>
      </c>
      <c r="E234" s="9">
        <f t="shared" si="106"/>
        <v>17380</v>
      </c>
      <c r="F234" s="3">
        <f t="shared" si="107"/>
        <v>832</v>
      </c>
      <c r="G234" s="3">
        <f t="shared" si="108"/>
        <v>14740</v>
      </c>
      <c r="J234" s="6">
        <f t="shared" si="99"/>
        <v>3.5199999999999645</v>
      </c>
      <c r="K234" s="11">
        <f t="shared" si="100"/>
        <v>34380</v>
      </c>
      <c r="P234" s="1">
        <f t="shared" si="101"/>
        <v>34380</v>
      </c>
      <c r="Q234" s="1">
        <f t="shared" si="102"/>
        <v>3328588</v>
      </c>
    </row>
    <row r="235" spans="1:17" x14ac:dyDescent="0.3">
      <c r="A235" s="2">
        <f t="shared" si="98"/>
        <v>233</v>
      </c>
      <c r="B235" s="6">
        <f t="shared" si="103"/>
        <v>516</v>
      </c>
      <c r="C235" s="9">
        <f t="shared" si="104"/>
        <v>20130</v>
      </c>
      <c r="D235" s="6">
        <f t="shared" si="105"/>
        <v>383</v>
      </c>
      <c r="E235" s="9">
        <f t="shared" si="106"/>
        <v>17470</v>
      </c>
      <c r="F235" s="3">
        <f t="shared" si="107"/>
        <v>833</v>
      </c>
      <c r="G235" s="3">
        <f t="shared" si="108"/>
        <v>14810</v>
      </c>
      <c r="J235" s="6">
        <f t="shared" si="99"/>
        <v>3.5299999999999643</v>
      </c>
      <c r="K235" s="11">
        <f t="shared" si="100"/>
        <v>34570</v>
      </c>
      <c r="P235" s="1">
        <f t="shared" si="101"/>
        <v>34570</v>
      </c>
      <c r="Q235" s="1">
        <f t="shared" si="102"/>
        <v>3363158</v>
      </c>
    </row>
    <row r="236" spans="1:17" x14ac:dyDescent="0.3">
      <c r="A236" s="2">
        <f t="shared" si="98"/>
        <v>234</v>
      </c>
      <c r="B236" s="6">
        <f t="shared" si="103"/>
        <v>518</v>
      </c>
      <c r="C236" s="9">
        <f t="shared" si="104"/>
        <v>20240</v>
      </c>
      <c r="D236" s="6">
        <f t="shared" si="105"/>
        <v>384</v>
      </c>
      <c r="E236" s="9">
        <f t="shared" si="106"/>
        <v>17560</v>
      </c>
      <c r="F236" s="3">
        <f t="shared" si="107"/>
        <v>834</v>
      </c>
      <c r="G236" s="3">
        <f t="shared" si="108"/>
        <v>14880</v>
      </c>
      <c r="J236" s="6">
        <f t="shared" si="99"/>
        <v>3.5399999999999641</v>
      </c>
      <c r="K236" s="11">
        <f t="shared" si="100"/>
        <v>34760</v>
      </c>
      <c r="P236" s="1">
        <f t="shared" si="101"/>
        <v>34760</v>
      </c>
      <c r="Q236" s="1">
        <f t="shared" si="102"/>
        <v>3397918</v>
      </c>
    </row>
    <row r="237" spans="1:17" x14ac:dyDescent="0.3">
      <c r="A237" s="2">
        <f t="shared" si="98"/>
        <v>235</v>
      </c>
      <c r="B237" s="6">
        <f t="shared" si="103"/>
        <v>520</v>
      </c>
      <c r="C237" s="9">
        <f t="shared" si="104"/>
        <v>20350</v>
      </c>
      <c r="D237" s="6">
        <f t="shared" si="105"/>
        <v>385</v>
      </c>
      <c r="E237" s="9">
        <f t="shared" si="106"/>
        <v>17650</v>
      </c>
      <c r="F237" s="3">
        <f t="shared" si="107"/>
        <v>835</v>
      </c>
      <c r="G237" s="3">
        <f t="shared" si="108"/>
        <v>14950</v>
      </c>
      <c r="J237" s="6">
        <f t="shared" si="99"/>
        <v>3.5499999999999639</v>
      </c>
      <c r="K237" s="11">
        <f t="shared" si="100"/>
        <v>34950</v>
      </c>
      <c r="P237" s="1">
        <f t="shared" si="101"/>
        <v>34950</v>
      </c>
      <c r="Q237" s="1">
        <f t="shared" si="102"/>
        <v>3432868</v>
      </c>
    </row>
    <row r="238" spans="1:17" x14ac:dyDescent="0.3">
      <c r="A238" s="2">
        <f t="shared" si="98"/>
        <v>236</v>
      </c>
      <c r="B238" s="6">
        <f t="shared" si="103"/>
        <v>522</v>
      </c>
      <c r="C238" s="9">
        <f t="shared" si="104"/>
        <v>20460</v>
      </c>
      <c r="D238" s="6">
        <f t="shared" si="105"/>
        <v>386</v>
      </c>
      <c r="E238" s="9">
        <f t="shared" si="106"/>
        <v>17740</v>
      </c>
      <c r="F238" s="3">
        <f t="shared" si="107"/>
        <v>836</v>
      </c>
      <c r="G238" s="3">
        <f t="shared" si="108"/>
        <v>15020</v>
      </c>
      <c r="J238" s="6">
        <f t="shared" si="99"/>
        <v>3.5599999999999636</v>
      </c>
      <c r="K238" s="11">
        <f t="shared" si="100"/>
        <v>35140</v>
      </c>
      <c r="P238" s="1">
        <f t="shared" si="101"/>
        <v>35140</v>
      </c>
      <c r="Q238" s="1">
        <f t="shared" si="102"/>
        <v>3468008</v>
      </c>
    </row>
    <row r="239" spans="1:17" x14ac:dyDescent="0.3">
      <c r="A239" s="2">
        <f t="shared" si="98"/>
        <v>237</v>
      </c>
      <c r="B239" s="6">
        <f t="shared" si="103"/>
        <v>524</v>
      </c>
      <c r="C239" s="9">
        <f t="shared" si="104"/>
        <v>20570</v>
      </c>
      <c r="D239" s="6">
        <f t="shared" si="105"/>
        <v>387</v>
      </c>
      <c r="E239" s="9">
        <f t="shared" si="106"/>
        <v>17830</v>
      </c>
      <c r="F239" s="3">
        <f t="shared" si="107"/>
        <v>837</v>
      </c>
      <c r="G239" s="3">
        <f t="shared" si="108"/>
        <v>15090</v>
      </c>
      <c r="J239" s="6">
        <f t="shared" si="99"/>
        <v>3.5699999999999634</v>
      </c>
      <c r="K239" s="11">
        <f t="shared" si="100"/>
        <v>35330</v>
      </c>
      <c r="P239" s="1">
        <f t="shared" si="101"/>
        <v>35330</v>
      </c>
      <c r="Q239" s="1">
        <f t="shared" si="102"/>
        <v>3503338</v>
      </c>
    </row>
    <row r="240" spans="1:17" x14ac:dyDescent="0.3">
      <c r="A240" s="2">
        <f t="shared" si="98"/>
        <v>238</v>
      </c>
      <c r="B240" s="6">
        <f t="shared" si="103"/>
        <v>526</v>
      </c>
      <c r="C240" s="9">
        <f t="shared" si="104"/>
        <v>20680</v>
      </c>
      <c r="D240" s="6">
        <f t="shared" si="105"/>
        <v>388</v>
      </c>
      <c r="E240" s="9">
        <f t="shared" si="106"/>
        <v>17920</v>
      </c>
      <c r="F240" s="3">
        <f t="shared" si="107"/>
        <v>838</v>
      </c>
      <c r="G240" s="3">
        <f t="shared" si="108"/>
        <v>15160</v>
      </c>
      <c r="J240" s="6">
        <f t="shared" si="99"/>
        <v>3.5799999999999632</v>
      </c>
      <c r="K240" s="11">
        <f t="shared" si="100"/>
        <v>35520</v>
      </c>
      <c r="P240" s="1">
        <f t="shared" si="101"/>
        <v>35520</v>
      </c>
      <c r="Q240" s="1">
        <f t="shared" si="102"/>
        <v>3538858</v>
      </c>
    </row>
    <row r="241" spans="1:17" x14ac:dyDescent="0.3">
      <c r="A241" s="2">
        <f t="shared" si="98"/>
        <v>239</v>
      </c>
      <c r="B241" s="6">
        <f t="shared" si="103"/>
        <v>528</v>
      </c>
      <c r="C241" s="9">
        <f t="shared" si="104"/>
        <v>20790</v>
      </c>
      <c r="D241" s="6">
        <f t="shared" si="105"/>
        <v>389</v>
      </c>
      <c r="E241" s="9">
        <f t="shared" si="106"/>
        <v>18010</v>
      </c>
      <c r="F241" s="3">
        <f t="shared" si="107"/>
        <v>839</v>
      </c>
      <c r="G241" s="3">
        <f t="shared" si="108"/>
        <v>15230</v>
      </c>
      <c r="J241" s="6">
        <f t="shared" si="99"/>
        <v>3.589999999999963</v>
      </c>
      <c r="K241" s="11">
        <f t="shared" si="100"/>
        <v>35710</v>
      </c>
      <c r="P241" s="1">
        <f t="shared" si="101"/>
        <v>35710</v>
      </c>
      <c r="Q241" s="1">
        <f t="shared" si="102"/>
        <v>3574568</v>
      </c>
    </row>
    <row r="242" spans="1:17" x14ac:dyDescent="0.3">
      <c r="A242" s="2">
        <f t="shared" si="98"/>
        <v>240</v>
      </c>
      <c r="B242" s="6">
        <f t="shared" si="103"/>
        <v>530</v>
      </c>
      <c r="C242" s="9">
        <f t="shared" si="104"/>
        <v>20900</v>
      </c>
      <c r="D242" s="6">
        <f t="shared" si="105"/>
        <v>390</v>
      </c>
      <c r="E242" s="9">
        <f t="shared" si="106"/>
        <v>18100</v>
      </c>
      <c r="F242" s="3">
        <f t="shared" si="107"/>
        <v>840</v>
      </c>
      <c r="G242" s="3">
        <f t="shared" si="108"/>
        <v>15300</v>
      </c>
      <c r="J242" s="6">
        <f t="shared" si="99"/>
        <v>3.5999999999999628</v>
      </c>
      <c r="K242" s="11">
        <f t="shared" si="100"/>
        <v>35900</v>
      </c>
      <c r="P242" s="1">
        <f t="shared" si="101"/>
        <v>35900</v>
      </c>
      <c r="Q242" s="1">
        <f t="shared" si="102"/>
        <v>3610468</v>
      </c>
    </row>
    <row r="243" spans="1:17" x14ac:dyDescent="0.3">
      <c r="A243" s="2">
        <f t="shared" si="98"/>
        <v>241</v>
      </c>
      <c r="B243" s="6">
        <f t="shared" si="103"/>
        <v>532</v>
      </c>
      <c r="C243" s="9">
        <f t="shared" si="104"/>
        <v>21010</v>
      </c>
      <c r="D243" s="6">
        <f t="shared" si="105"/>
        <v>391</v>
      </c>
      <c r="E243" s="9">
        <f t="shared" si="106"/>
        <v>18190</v>
      </c>
      <c r="F243" s="3">
        <f t="shared" si="107"/>
        <v>841</v>
      </c>
      <c r="G243" s="3">
        <f t="shared" si="108"/>
        <v>15370</v>
      </c>
      <c r="J243" s="6">
        <f t="shared" si="99"/>
        <v>3.6099999999999626</v>
      </c>
      <c r="K243" s="11">
        <f t="shared" si="100"/>
        <v>36090</v>
      </c>
      <c r="P243" s="1">
        <f t="shared" si="101"/>
        <v>36090</v>
      </c>
      <c r="Q243" s="1">
        <f t="shared" si="102"/>
        <v>3646558</v>
      </c>
    </row>
    <row r="244" spans="1:17" x14ac:dyDescent="0.3">
      <c r="A244" s="2">
        <f t="shared" si="98"/>
        <v>242</v>
      </c>
      <c r="B244" s="6">
        <f t="shared" si="103"/>
        <v>534</v>
      </c>
      <c r="C244" s="9">
        <f t="shared" si="104"/>
        <v>21120</v>
      </c>
      <c r="D244" s="6">
        <f t="shared" si="105"/>
        <v>392</v>
      </c>
      <c r="E244" s="9">
        <f t="shared" si="106"/>
        <v>18280</v>
      </c>
      <c r="F244" s="3">
        <f t="shared" si="107"/>
        <v>842</v>
      </c>
      <c r="G244" s="3">
        <f t="shared" si="108"/>
        <v>15440</v>
      </c>
      <c r="J244" s="6">
        <f t="shared" si="99"/>
        <v>3.6199999999999624</v>
      </c>
      <c r="K244" s="11">
        <f t="shared" si="100"/>
        <v>36280</v>
      </c>
      <c r="P244" s="1">
        <f t="shared" si="101"/>
        <v>36280</v>
      </c>
      <c r="Q244" s="1">
        <f t="shared" si="102"/>
        <v>3682838</v>
      </c>
    </row>
    <row r="245" spans="1:17" x14ac:dyDescent="0.3">
      <c r="A245" s="2">
        <f t="shared" si="98"/>
        <v>243</v>
      </c>
      <c r="B245" s="6">
        <f t="shared" si="103"/>
        <v>536</v>
      </c>
      <c r="C245" s="9">
        <f t="shared" si="104"/>
        <v>21230</v>
      </c>
      <c r="D245" s="6">
        <f t="shared" si="105"/>
        <v>393</v>
      </c>
      <c r="E245" s="9">
        <f t="shared" si="106"/>
        <v>18370</v>
      </c>
      <c r="F245" s="3">
        <f t="shared" si="107"/>
        <v>843</v>
      </c>
      <c r="G245" s="3">
        <f t="shared" si="108"/>
        <v>15510</v>
      </c>
      <c r="J245" s="6">
        <f t="shared" si="99"/>
        <v>3.6299999999999621</v>
      </c>
      <c r="K245" s="11">
        <f t="shared" si="100"/>
        <v>36470</v>
      </c>
      <c r="P245" s="1">
        <f t="shared" si="101"/>
        <v>36470</v>
      </c>
      <c r="Q245" s="1">
        <f t="shared" si="102"/>
        <v>3719308</v>
      </c>
    </row>
    <row r="246" spans="1:17" x14ac:dyDescent="0.3">
      <c r="A246" s="2">
        <f t="shared" si="98"/>
        <v>244</v>
      </c>
      <c r="B246" s="6">
        <f t="shared" si="103"/>
        <v>538</v>
      </c>
      <c r="C246" s="9">
        <f t="shared" si="104"/>
        <v>21340</v>
      </c>
      <c r="D246" s="6">
        <f t="shared" si="105"/>
        <v>394</v>
      </c>
      <c r="E246" s="9">
        <f t="shared" si="106"/>
        <v>18460</v>
      </c>
      <c r="F246" s="3">
        <f t="shared" si="107"/>
        <v>844</v>
      </c>
      <c r="G246" s="3">
        <f t="shared" si="108"/>
        <v>15580</v>
      </c>
      <c r="J246" s="6">
        <f t="shared" si="99"/>
        <v>3.6399999999999619</v>
      </c>
      <c r="K246" s="11">
        <f t="shared" si="100"/>
        <v>36660</v>
      </c>
      <c r="P246" s="1">
        <f t="shared" si="101"/>
        <v>36660</v>
      </c>
      <c r="Q246" s="1">
        <f t="shared" si="102"/>
        <v>3755968</v>
      </c>
    </row>
    <row r="247" spans="1:17" x14ac:dyDescent="0.3">
      <c r="A247" s="2">
        <f t="shared" si="98"/>
        <v>245</v>
      </c>
      <c r="B247" s="6">
        <f t="shared" si="103"/>
        <v>540</v>
      </c>
      <c r="C247" s="9">
        <f t="shared" si="104"/>
        <v>21450</v>
      </c>
      <c r="D247" s="6">
        <f t="shared" si="105"/>
        <v>395</v>
      </c>
      <c r="E247" s="9">
        <f t="shared" si="106"/>
        <v>18550</v>
      </c>
      <c r="F247" s="3">
        <f t="shared" si="107"/>
        <v>845</v>
      </c>
      <c r="G247" s="3">
        <f t="shared" si="108"/>
        <v>15650</v>
      </c>
      <c r="J247" s="6">
        <f t="shared" si="99"/>
        <v>3.6499999999999617</v>
      </c>
      <c r="K247" s="11">
        <f t="shared" si="100"/>
        <v>36850</v>
      </c>
      <c r="P247" s="1">
        <f t="shared" si="101"/>
        <v>36850</v>
      </c>
      <c r="Q247" s="1">
        <f t="shared" si="102"/>
        <v>3792818</v>
      </c>
    </row>
    <row r="248" spans="1:17" x14ac:dyDescent="0.3">
      <c r="A248" s="2">
        <f t="shared" si="98"/>
        <v>246</v>
      </c>
      <c r="B248" s="6">
        <f t="shared" si="103"/>
        <v>542</v>
      </c>
      <c r="C248" s="9">
        <f t="shared" si="104"/>
        <v>21560</v>
      </c>
      <c r="D248" s="6">
        <f t="shared" si="105"/>
        <v>396</v>
      </c>
      <c r="E248" s="9">
        <f t="shared" si="106"/>
        <v>18640</v>
      </c>
      <c r="F248" s="3">
        <f t="shared" si="107"/>
        <v>846</v>
      </c>
      <c r="G248" s="3">
        <f t="shared" si="108"/>
        <v>15720</v>
      </c>
      <c r="J248" s="6">
        <f t="shared" si="99"/>
        <v>3.6599999999999615</v>
      </c>
      <c r="K248" s="11">
        <f t="shared" si="100"/>
        <v>37040</v>
      </c>
      <c r="P248" s="1">
        <f t="shared" si="101"/>
        <v>37040</v>
      </c>
      <c r="Q248" s="1">
        <f t="shared" si="102"/>
        <v>3829858</v>
      </c>
    </row>
    <row r="249" spans="1:17" x14ac:dyDescent="0.3">
      <c r="A249" s="2">
        <f t="shared" si="98"/>
        <v>247</v>
      </c>
      <c r="B249" s="6">
        <f t="shared" si="103"/>
        <v>544</v>
      </c>
      <c r="C249" s="9">
        <f t="shared" si="104"/>
        <v>21670</v>
      </c>
      <c r="D249" s="6">
        <f t="shared" si="105"/>
        <v>397</v>
      </c>
      <c r="E249" s="9">
        <f t="shared" si="106"/>
        <v>18730</v>
      </c>
      <c r="F249" s="3">
        <f t="shared" si="107"/>
        <v>847</v>
      </c>
      <c r="G249" s="3">
        <f t="shared" si="108"/>
        <v>15790</v>
      </c>
      <c r="J249" s="6">
        <f t="shared" si="99"/>
        <v>3.6699999999999613</v>
      </c>
      <c r="K249" s="11">
        <f t="shared" si="100"/>
        <v>37230</v>
      </c>
      <c r="P249" s="1">
        <f t="shared" si="101"/>
        <v>37230</v>
      </c>
      <c r="Q249" s="1">
        <f t="shared" si="102"/>
        <v>3867088</v>
      </c>
    </row>
    <row r="250" spans="1:17" x14ac:dyDescent="0.3">
      <c r="A250" s="2">
        <f t="shared" si="98"/>
        <v>248</v>
      </c>
      <c r="B250" s="6">
        <f t="shared" si="103"/>
        <v>546</v>
      </c>
      <c r="C250" s="9">
        <f t="shared" si="104"/>
        <v>21780</v>
      </c>
      <c r="D250" s="6">
        <f t="shared" si="105"/>
        <v>398</v>
      </c>
      <c r="E250" s="9">
        <f t="shared" si="106"/>
        <v>18820</v>
      </c>
      <c r="F250" s="3">
        <f t="shared" si="107"/>
        <v>848</v>
      </c>
      <c r="G250" s="3">
        <f t="shared" si="108"/>
        <v>15860</v>
      </c>
      <c r="J250" s="6">
        <f t="shared" si="99"/>
        <v>3.6799999999999611</v>
      </c>
      <c r="K250" s="11">
        <f t="shared" si="100"/>
        <v>37420</v>
      </c>
      <c r="P250" s="1">
        <f t="shared" si="101"/>
        <v>37420</v>
      </c>
      <c r="Q250" s="1">
        <f t="shared" si="102"/>
        <v>3904508</v>
      </c>
    </row>
    <row r="251" spans="1:17" x14ac:dyDescent="0.3">
      <c r="A251" s="2">
        <f t="shared" si="98"/>
        <v>249</v>
      </c>
      <c r="B251" s="6">
        <f t="shared" si="103"/>
        <v>548</v>
      </c>
      <c r="C251" s="9">
        <f t="shared" si="104"/>
        <v>21890</v>
      </c>
      <c r="D251" s="6">
        <f t="shared" si="105"/>
        <v>399</v>
      </c>
      <c r="E251" s="9">
        <f t="shared" si="106"/>
        <v>18910</v>
      </c>
      <c r="F251" s="3">
        <f t="shared" si="107"/>
        <v>849</v>
      </c>
      <c r="G251" s="3">
        <f t="shared" si="108"/>
        <v>15930</v>
      </c>
      <c r="J251" s="6">
        <f t="shared" si="99"/>
        <v>3.6899999999999609</v>
      </c>
      <c r="K251" s="11">
        <f t="shared" si="100"/>
        <v>37610</v>
      </c>
      <c r="P251" s="1">
        <f t="shared" si="101"/>
        <v>37610</v>
      </c>
      <c r="Q251" s="1">
        <f t="shared" si="102"/>
        <v>3942118</v>
      </c>
    </row>
    <row r="252" spans="1:17" x14ac:dyDescent="0.3">
      <c r="A252" s="2">
        <f t="shared" si="98"/>
        <v>250</v>
      </c>
      <c r="B252" s="6">
        <f t="shared" si="103"/>
        <v>550</v>
      </c>
      <c r="C252" s="9">
        <f t="shared" si="104"/>
        <v>22000</v>
      </c>
      <c r="D252" s="6">
        <f t="shared" si="105"/>
        <v>400</v>
      </c>
      <c r="E252" s="9">
        <f t="shared" si="106"/>
        <v>19000</v>
      </c>
      <c r="F252" s="3">
        <f t="shared" si="107"/>
        <v>850</v>
      </c>
      <c r="G252" s="3">
        <f t="shared" si="108"/>
        <v>16000</v>
      </c>
      <c r="J252" s="6">
        <f t="shared" si="99"/>
        <v>3.6999999999999607</v>
      </c>
      <c r="K252" s="11">
        <f t="shared" si="100"/>
        <v>37800</v>
      </c>
      <c r="P252" s="1">
        <f t="shared" si="101"/>
        <v>37800</v>
      </c>
      <c r="Q252" s="1">
        <f t="shared" si="102"/>
        <v>3979918</v>
      </c>
    </row>
    <row r="253" spans="1:17" x14ac:dyDescent="0.3">
      <c r="A253" s="2">
        <f t="shared" si="98"/>
        <v>251</v>
      </c>
      <c r="B253" s="6">
        <f t="shared" si="103"/>
        <v>552</v>
      </c>
      <c r="C253" s="9">
        <f t="shared" si="104"/>
        <v>22110</v>
      </c>
      <c r="D253" s="6">
        <f t="shared" si="105"/>
        <v>401</v>
      </c>
      <c r="E253" s="9">
        <f t="shared" si="106"/>
        <v>19090</v>
      </c>
      <c r="F253" s="3">
        <f t="shared" si="107"/>
        <v>851</v>
      </c>
      <c r="G253" s="3">
        <f t="shared" si="108"/>
        <v>16070</v>
      </c>
      <c r="J253" s="6">
        <f t="shared" si="99"/>
        <v>3.7099999999999604</v>
      </c>
      <c r="K253" s="11">
        <f t="shared" si="100"/>
        <v>37990</v>
      </c>
      <c r="P253" s="1">
        <f t="shared" si="101"/>
        <v>37990</v>
      </c>
      <c r="Q253" s="1">
        <f t="shared" si="102"/>
        <v>4017908</v>
      </c>
    </row>
    <row r="254" spans="1:17" x14ac:dyDescent="0.3">
      <c r="A254" s="2">
        <f t="shared" si="98"/>
        <v>252</v>
      </c>
      <c r="B254" s="6">
        <f t="shared" si="103"/>
        <v>554</v>
      </c>
      <c r="C254" s="9">
        <f t="shared" si="104"/>
        <v>22220</v>
      </c>
      <c r="D254" s="6">
        <f t="shared" si="105"/>
        <v>402</v>
      </c>
      <c r="E254" s="9">
        <f t="shared" si="106"/>
        <v>19180</v>
      </c>
      <c r="F254" s="3">
        <f t="shared" si="107"/>
        <v>852</v>
      </c>
      <c r="G254" s="3">
        <f t="shared" si="108"/>
        <v>16140</v>
      </c>
      <c r="J254" s="6">
        <f t="shared" si="99"/>
        <v>3.7199999999999602</v>
      </c>
      <c r="K254" s="11">
        <f t="shared" si="100"/>
        <v>38180</v>
      </c>
      <c r="P254" s="1">
        <f t="shared" si="101"/>
        <v>38180</v>
      </c>
      <c r="Q254" s="1">
        <f t="shared" si="102"/>
        <v>4056088</v>
      </c>
    </row>
    <row r="255" spans="1:17" x14ac:dyDescent="0.3">
      <c r="A255" s="2">
        <f t="shared" si="98"/>
        <v>253</v>
      </c>
      <c r="B255" s="6">
        <f t="shared" si="103"/>
        <v>556</v>
      </c>
      <c r="C255" s="9">
        <f t="shared" si="104"/>
        <v>22330</v>
      </c>
      <c r="D255" s="6">
        <f t="shared" si="105"/>
        <v>403</v>
      </c>
      <c r="E255" s="9">
        <f t="shared" si="106"/>
        <v>19270</v>
      </c>
      <c r="F255" s="3">
        <f t="shared" si="107"/>
        <v>853</v>
      </c>
      <c r="G255" s="3">
        <f t="shared" si="108"/>
        <v>16210</v>
      </c>
      <c r="J255" s="6">
        <f t="shared" si="99"/>
        <v>3.72999999999996</v>
      </c>
      <c r="K255" s="11">
        <f t="shared" si="100"/>
        <v>38370</v>
      </c>
      <c r="P255" s="1">
        <f t="shared" si="101"/>
        <v>38370</v>
      </c>
      <c r="Q255" s="1">
        <f t="shared" si="102"/>
        <v>4094458</v>
      </c>
    </row>
    <row r="256" spans="1:17" x14ac:dyDescent="0.3">
      <c r="A256" s="2">
        <f t="shared" si="98"/>
        <v>254</v>
      </c>
      <c r="B256" s="6">
        <f t="shared" si="103"/>
        <v>558</v>
      </c>
      <c r="C256" s="9">
        <f t="shared" si="104"/>
        <v>22440</v>
      </c>
      <c r="D256" s="6">
        <f t="shared" si="105"/>
        <v>404</v>
      </c>
      <c r="E256" s="9">
        <f t="shared" si="106"/>
        <v>19360</v>
      </c>
      <c r="F256" s="3">
        <f t="shared" si="107"/>
        <v>854</v>
      </c>
      <c r="G256" s="3">
        <f t="shared" si="108"/>
        <v>16280</v>
      </c>
      <c r="J256" s="6">
        <f t="shared" si="99"/>
        <v>3.7399999999999598</v>
      </c>
      <c r="K256" s="11">
        <f t="shared" si="100"/>
        <v>38560</v>
      </c>
      <c r="P256" s="1">
        <f t="shared" si="101"/>
        <v>38560</v>
      </c>
      <c r="Q256" s="1">
        <f t="shared" si="102"/>
        <v>4133018</v>
      </c>
    </row>
    <row r="257" spans="1:17" x14ac:dyDescent="0.3">
      <c r="A257" s="2">
        <f t="shared" si="98"/>
        <v>255</v>
      </c>
      <c r="B257" s="6">
        <f t="shared" si="103"/>
        <v>560</v>
      </c>
      <c r="C257" s="9">
        <f t="shared" si="104"/>
        <v>22550</v>
      </c>
      <c r="D257" s="6">
        <f t="shared" si="105"/>
        <v>405</v>
      </c>
      <c r="E257" s="9">
        <f t="shared" si="106"/>
        <v>19450</v>
      </c>
      <c r="F257" s="3">
        <f t="shared" si="107"/>
        <v>855</v>
      </c>
      <c r="G257" s="3">
        <f t="shared" si="108"/>
        <v>16350</v>
      </c>
      <c r="J257" s="6">
        <f t="shared" si="99"/>
        <v>3.7499999999999596</v>
      </c>
      <c r="K257" s="11">
        <f t="shared" si="100"/>
        <v>38750</v>
      </c>
      <c r="P257" s="1">
        <f t="shared" si="101"/>
        <v>38750</v>
      </c>
      <c r="Q257" s="1">
        <f t="shared" si="102"/>
        <v>4171768</v>
      </c>
    </row>
    <row r="258" spans="1:17" x14ac:dyDescent="0.3">
      <c r="A258" s="2">
        <f t="shared" si="98"/>
        <v>256</v>
      </c>
      <c r="B258" s="6">
        <f t="shared" si="103"/>
        <v>562</v>
      </c>
      <c r="C258" s="9">
        <f t="shared" si="104"/>
        <v>22660</v>
      </c>
      <c r="D258" s="6">
        <f t="shared" si="105"/>
        <v>406</v>
      </c>
      <c r="E258" s="9">
        <f t="shared" si="106"/>
        <v>19540</v>
      </c>
      <c r="F258" s="3">
        <f t="shared" si="107"/>
        <v>856</v>
      </c>
      <c r="G258" s="3">
        <f t="shared" si="108"/>
        <v>16420</v>
      </c>
      <c r="J258" s="6">
        <f t="shared" si="99"/>
        <v>3.7599999999999594</v>
      </c>
      <c r="K258" s="11">
        <f t="shared" si="100"/>
        <v>38940</v>
      </c>
      <c r="P258" s="1">
        <f t="shared" si="101"/>
        <v>38940</v>
      </c>
      <c r="Q258" s="1">
        <f t="shared" si="102"/>
        <v>4210708</v>
      </c>
    </row>
    <row r="259" spans="1:17" x14ac:dyDescent="0.3">
      <c r="A259" s="2">
        <f t="shared" si="98"/>
        <v>257</v>
      </c>
      <c r="B259" s="6">
        <f t="shared" si="103"/>
        <v>564</v>
      </c>
      <c r="C259" s="9">
        <f t="shared" si="104"/>
        <v>22770</v>
      </c>
      <c r="D259" s="6">
        <f t="shared" si="105"/>
        <v>407</v>
      </c>
      <c r="E259" s="9">
        <f t="shared" si="106"/>
        <v>19630</v>
      </c>
      <c r="F259" s="3">
        <f t="shared" si="107"/>
        <v>857</v>
      </c>
      <c r="G259" s="3">
        <f t="shared" si="108"/>
        <v>16490</v>
      </c>
      <c r="J259" s="6">
        <f t="shared" si="99"/>
        <v>3.7699999999999592</v>
      </c>
      <c r="K259" s="11">
        <f t="shared" si="100"/>
        <v>39130</v>
      </c>
      <c r="P259" s="1">
        <f t="shared" si="101"/>
        <v>39130</v>
      </c>
      <c r="Q259" s="1">
        <f t="shared" si="102"/>
        <v>4249838</v>
      </c>
    </row>
    <row r="260" spans="1:17" x14ac:dyDescent="0.3">
      <c r="A260" s="2">
        <f t="shared" si="98"/>
        <v>258</v>
      </c>
      <c r="B260" s="6">
        <f t="shared" si="103"/>
        <v>566</v>
      </c>
      <c r="C260" s="9">
        <f t="shared" si="104"/>
        <v>22880</v>
      </c>
      <c r="D260" s="6">
        <f t="shared" si="105"/>
        <v>408</v>
      </c>
      <c r="E260" s="9">
        <f t="shared" si="106"/>
        <v>19720</v>
      </c>
      <c r="F260" s="3">
        <f t="shared" si="107"/>
        <v>858</v>
      </c>
      <c r="G260" s="3">
        <f t="shared" si="108"/>
        <v>16560</v>
      </c>
      <c r="J260" s="6">
        <f t="shared" si="99"/>
        <v>3.7799999999999589</v>
      </c>
      <c r="K260" s="11">
        <f t="shared" si="100"/>
        <v>39320</v>
      </c>
      <c r="P260" s="1">
        <f t="shared" si="101"/>
        <v>39320</v>
      </c>
      <c r="Q260" s="1">
        <f t="shared" si="102"/>
        <v>4289158</v>
      </c>
    </row>
    <row r="261" spans="1:17" x14ac:dyDescent="0.3">
      <c r="A261" s="2">
        <f t="shared" ref="A261:A324" si="109">A260+1</f>
        <v>259</v>
      </c>
      <c r="B261" s="6">
        <f t="shared" si="103"/>
        <v>568</v>
      </c>
      <c r="C261" s="9">
        <f t="shared" si="104"/>
        <v>22990</v>
      </c>
      <c r="D261" s="6">
        <f t="shared" si="105"/>
        <v>409</v>
      </c>
      <c r="E261" s="9">
        <f t="shared" si="106"/>
        <v>19810</v>
      </c>
      <c r="F261" s="3">
        <f t="shared" si="107"/>
        <v>859</v>
      </c>
      <c r="G261" s="3">
        <f t="shared" si="108"/>
        <v>16630</v>
      </c>
      <c r="J261" s="6">
        <f t="shared" si="99"/>
        <v>3.7899999999999587</v>
      </c>
      <c r="K261" s="11">
        <f t="shared" si="100"/>
        <v>39510</v>
      </c>
      <c r="P261" s="1">
        <f t="shared" si="101"/>
        <v>39510</v>
      </c>
      <c r="Q261" s="1">
        <f t="shared" si="102"/>
        <v>4328668</v>
      </c>
    </row>
    <row r="262" spans="1:17" x14ac:dyDescent="0.3">
      <c r="A262" s="2">
        <f t="shared" si="109"/>
        <v>260</v>
      </c>
      <c r="B262" s="6">
        <f t="shared" si="103"/>
        <v>570</v>
      </c>
      <c r="C262" s="9">
        <f t="shared" si="104"/>
        <v>23100</v>
      </c>
      <c r="D262" s="6">
        <f t="shared" si="105"/>
        <v>410</v>
      </c>
      <c r="E262" s="9">
        <f t="shared" si="106"/>
        <v>19900</v>
      </c>
      <c r="F262" s="3">
        <f t="shared" si="107"/>
        <v>860</v>
      </c>
      <c r="G262" s="3">
        <f t="shared" si="108"/>
        <v>16700</v>
      </c>
      <c r="J262" s="6">
        <f t="shared" si="99"/>
        <v>3.7999999999999585</v>
      </c>
      <c r="K262" s="11">
        <f t="shared" si="100"/>
        <v>39700</v>
      </c>
      <c r="P262" s="1">
        <f t="shared" si="101"/>
        <v>39700</v>
      </c>
      <c r="Q262" s="1">
        <f t="shared" si="102"/>
        <v>4368368</v>
      </c>
    </row>
    <row r="263" spans="1:17" x14ac:dyDescent="0.3">
      <c r="A263" s="2">
        <f t="shared" si="109"/>
        <v>261</v>
      </c>
      <c r="B263" s="6">
        <f t="shared" si="103"/>
        <v>572</v>
      </c>
      <c r="C263" s="9">
        <f t="shared" si="104"/>
        <v>23210</v>
      </c>
      <c r="D263" s="6">
        <f t="shared" si="105"/>
        <v>411</v>
      </c>
      <c r="E263" s="9">
        <f t="shared" si="106"/>
        <v>19990</v>
      </c>
      <c r="F263" s="3">
        <f t="shared" si="107"/>
        <v>861</v>
      </c>
      <c r="G263" s="3">
        <f t="shared" si="108"/>
        <v>16770</v>
      </c>
      <c r="J263" s="6">
        <f t="shared" si="99"/>
        <v>3.8099999999999583</v>
      </c>
      <c r="K263" s="11">
        <f t="shared" si="100"/>
        <v>39890</v>
      </c>
      <c r="P263" s="1">
        <f t="shared" si="101"/>
        <v>39890</v>
      </c>
      <c r="Q263" s="1">
        <f t="shared" si="102"/>
        <v>4408258</v>
      </c>
    </row>
    <row r="264" spans="1:17" x14ac:dyDescent="0.3">
      <c r="A264" s="2">
        <f t="shared" si="109"/>
        <v>262</v>
      </c>
      <c r="B264" s="6">
        <f t="shared" si="103"/>
        <v>574</v>
      </c>
      <c r="C264" s="9">
        <f t="shared" si="104"/>
        <v>23320</v>
      </c>
      <c r="D264" s="6">
        <f t="shared" si="105"/>
        <v>412</v>
      </c>
      <c r="E264" s="9">
        <f t="shared" si="106"/>
        <v>20080</v>
      </c>
      <c r="F264" s="3">
        <f t="shared" si="107"/>
        <v>862</v>
      </c>
      <c r="G264" s="3">
        <f t="shared" si="108"/>
        <v>16840</v>
      </c>
      <c r="J264" s="6">
        <f t="shared" si="99"/>
        <v>3.8199999999999581</v>
      </c>
      <c r="K264" s="11">
        <f t="shared" si="100"/>
        <v>40080</v>
      </c>
      <c r="P264" s="1">
        <f t="shared" si="101"/>
        <v>40080</v>
      </c>
      <c r="Q264" s="1">
        <f t="shared" si="102"/>
        <v>4448338</v>
      </c>
    </row>
    <row r="265" spans="1:17" x14ac:dyDescent="0.3">
      <c r="A265" s="2">
        <f t="shared" si="109"/>
        <v>263</v>
      </c>
      <c r="B265" s="6">
        <f t="shared" si="103"/>
        <v>576</v>
      </c>
      <c r="C265" s="9">
        <f t="shared" si="104"/>
        <v>23430</v>
      </c>
      <c r="D265" s="6">
        <f t="shared" si="105"/>
        <v>413</v>
      </c>
      <c r="E265" s="9">
        <f t="shared" si="106"/>
        <v>20170</v>
      </c>
      <c r="F265" s="3">
        <f t="shared" si="107"/>
        <v>863</v>
      </c>
      <c r="G265" s="3">
        <f t="shared" si="108"/>
        <v>16910</v>
      </c>
      <c r="J265" s="6">
        <f t="shared" si="99"/>
        <v>3.8299999999999579</v>
      </c>
      <c r="K265" s="11">
        <f t="shared" si="100"/>
        <v>40270</v>
      </c>
      <c r="P265" s="1">
        <f t="shared" si="101"/>
        <v>40270</v>
      </c>
      <c r="Q265" s="1">
        <f t="shared" si="102"/>
        <v>4488608</v>
      </c>
    </row>
    <row r="266" spans="1:17" x14ac:dyDescent="0.3">
      <c r="A266" s="2">
        <f t="shared" si="109"/>
        <v>264</v>
      </c>
      <c r="B266" s="6">
        <f t="shared" si="103"/>
        <v>578</v>
      </c>
      <c r="C266" s="9">
        <f t="shared" si="104"/>
        <v>23540</v>
      </c>
      <c r="D266" s="6">
        <f t="shared" si="105"/>
        <v>414</v>
      </c>
      <c r="E266" s="9">
        <f t="shared" si="106"/>
        <v>20260</v>
      </c>
      <c r="F266" s="3">
        <f t="shared" si="107"/>
        <v>864</v>
      </c>
      <c r="G266" s="3">
        <f t="shared" si="108"/>
        <v>16980</v>
      </c>
      <c r="J266" s="6">
        <f t="shared" si="99"/>
        <v>3.8399999999999577</v>
      </c>
      <c r="K266" s="11">
        <f t="shared" si="100"/>
        <v>40460</v>
      </c>
      <c r="P266" s="1">
        <f t="shared" si="101"/>
        <v>40460</v>
      </c>
      <c r="Q266" s="1">
        <f t="shared" si="102"/>
        <v>4529068</v>
      </c>
    </row>
    <row r="267" spans="1:17" x14ac:dyDescent="0.3">
      <c r="A267" s="2">
        <f t="shared" si="109"/>
        <v>265</v>
      </c>
      <c r="B267" s="6">
        <f t="shared" si="103"/>
        <v>580</v>
      </c>
      <c r="C267" s="9">
        <f t="shared" si="104"/>
        <v>23650</v>
      </c>
      <c r="D267" s="6">
        <f t="shared" si="105"/>
        <v>415</v>
      </c>
      <c r="E267" s="9">
        <f t="shared" si="106"/>
        <v>20350</v>
      </c>
      <c r="F267" s="3">
        <f t="shared" si="107"/>
        <v>865</v>
      </c>
      <c r="G267" s="3">
        <f t="shared" si="108"/>
        <v>17050</v>
      </c>
      <c r="J267" s="6">
        <f t="shared" si="99"/>
        <v>3.8499999999999575</v>
      </c>
      <c r="K267" s="11">
        <f t="shared" si="100"/>
        <v>40650</v>
      </c>
      <c r="P267" s="1">
        <f t="shared" si="101"/>
        <v>40650</v>
      </c>
      <c r="Q267" s="1">
        <f t="shared" si="102"/>
        <v>4569718</v>
      </c>
    </row>
    <row r="268" spans="1:17" x14ac:dyDescent="0.3">
      <c r="A268" s="2">
        <f t="shared" si="109"/>
        <v>266</v>
      </c>
      <c r="B268" s="6">
        <f t="shared" si="103"/>
        <v>582</v>
      </c>
      <c r="C268" s="9">
        <f t="shared" si="104"/>
        <v>23760</v>
      </c>
      <c r="D268" s="6">
        <f t="shared" si="105"/>
        <v>416</v>
      </c>
      <c r="E268" s="9">
        <f t="shared" si="106"/>
        <v>20440</v>
      </c>
      <c r="F268" s="3">
        <f t="shared" si="107"/>
        <v>866</v>
      </c>
      <c r="G268" s="3">
        <f t="shared" si="108"/>
        <v>17120</v>
      </c>
      <c r="J268" s="6">
        <f t="shared" si="99"/>
        <v>3.8599999999999572</v>
      </c>
      <c r="K268" s="11">
        <f t="shared" si="100"/>
        <v>40840</v>
      </c>
      <c r="P268" s="1">
        <f t="shared" si="101"/>
        <v>40840</v>
      </c>
      <c r="Q268" s="1">
        <f t="shared" si="102"/>
        <v>4610558</v>
      </c>
    </row>
    <row r="269" spans="1:17" x14ac:dyDescent="0.3">
      <c r="A269" s="2">
        <f t="shared" si="109"/>
        <v>267</v>
      </c>
      <c r="B269" s="6">
        <f t="shared" si="103"/>
        <v>584</v>
      </c>
      <c r="C269" s="9">
        <f t="shared" si="104"/>
        <v>23870</v>
      </c>
      <c r="D269" s="6">
        <f t="shared" si="105"/>
        <v>417</v>
      </c>
      <c r="E269" s="9">
        <f t="shared" si="106"/>
        <v>20530</v>
      </c>
      <c r="F269" s="3">
        <f t="shared" si="107"/>
        <v>867</v>
      </c>
      <c r="G269" s="3">
        <f t="shared" si="108"/>
        <v>17190</v>
      </c>
      <c r="J269" s="6">
        <f t="shared" si="99"/>
        <v>3.869999999999957</v>
      </c>
      <c r="K269" s="11">
        <f t="shared" si="100"/>
        <v>41030</v>
      </c>
      <c r="P269" s="1">
        <f t="shared" si="101"/>
        <v>41030</v>
      </c>
      <c r="Q269" s="1">
        <f t="shared" si="102"/>
        <v>4651588</v>
      </c>
    </row>
    <row r="270" spans="1:17" x14ac:dyDescent="0.3">
      <c r="A270" s="2">
        <f t="shared" si="109"/>
        <v>268</v>
      </c>
      <c r="B270" s="6">
        <f t="shared" si="103"/>
        <v>586</v>
      </c>
      <c r="C270" s="9">
        <f t="shared" si="104"/>
        <v>23980</v>
      </c>
      <c r="D270" s="6">
        <f t="shared" si="105"/>
        <v>418</v>
      </c>
      <c r="E270" s="9">
        <f t="shared" si="106"/>
        <v>20620</v>
      </c>
      <c r="F270" s="3">
        <f t="shared" si="107"/>
        <v>868</v>
      </c>
      <c r="G270" s="3">
        <f t="shared" si="108"/>
        <v>17260</v>
      </c>
      <c r="J270" s="6">
        <f t="shared" si="99"/>
        <v>3.8799999999999568</v>
      </c>
      <c r="K270" s="11">
        <f t="shared" si="100"/>
        <v>41220</v>
      </c>
      <c r="P270" s="1">
        <f t="shared" si="101"/>
        <v>41220</v>
      </c>
      <c r="Q270" s="1">
        <f t="shared" si="102"/>
        <v>4692808</v>
      </c>
    </row>
    <row r="271" spans="1:17" x14ac:dyDescent="0.3">
      <c r="A271" s="2">
        <f t="shared" si="109"/>
        <v>269</v>
      </c>
      <c r="B271" s="6">
        <f t="shared" si="103"/>
        <v>588</v>
      </c>
      <c r="C271" s="9">
        <f t="shared" si="104"/>
        <v>24090</v>
      </c>
      <c r="D271" s="6">
        <f t="shared" si="105"/>
        <v>419</v>
      </c>
      <c r="E271" s="9">
        <f t="shared" si="106"/>
        <v>20710</v>
      </c>
      <c r="F271" s="3">
        <f t="shared" si="107"/>
        <v>869</v>
      </c>
      <c r="G271" s="3">
        <f t="shared" si="108"/>
        <v>17330</v>
      </c>
      <c r="J271" s="6">
        <f t="shared" si="99"/>
        <v>3.8899999999999566</v>
      </c>
      <c r="K271" s="11">
        <f t="shared" si="100"/>
        <v>41410</v>
      </c>
      <c r="P271" s="1">
        <f t="shared" si="101"/>
        <v>41410</v>
      </c>
      <c r="Q271" s="1">
        <f t="shared" si="102"/>
        <v>4734218</v>
      </c>
    </row>
    <row r="272" spans="1:17" x14ac:dyDescent="0.3">
      <c r="A272" s="2">
        <f t="shared" si="109"/>
        <v>270</v>
      </c>
      <c r="B272" s="6">
        <f t="shared" si="103"/>
        <v>590</v>
      </c>
      <c r="C272" s="9">
        <f t="shared" si="104"/>
        <v>24200</v>
      </c>
      <c r="D272" s="6">
        <f t="shared" si="105"/>
        <v>420</v>
      </c>
      <c r="E272" s="9">
        <f t="shared" si="106"/>
        <v>20800</v>
      </c>
      <c r="F272" s="3">
        <f t="shared" si="107"/>
        <v>870</v>
      </c>
      <c r="G272" s="3">
        <f t="shared" si="108"/>
        <v>17400</v>
      </c>
      <c r="J272" s="6">
        <f t="shared" si="99"/>
        <v>3.8999999999999564</v>
      </c>
      <c r="K272" s="11">
        <f t="shared" si="100"/>
        <v>41600</v>
      </c>
      <c r="P272" s="1">
        <f t="shared" si="101"/>
        <v>41600</v>
      </c>
      <c r="Q272" s="1">
        <f t="shared" si="102"/>
        <v>4775818</v>
      </c>
    </row>
    <row r="273" spans="1:17" x14ac:dyDescent="0.3">
      <c r="A273" s="2">
        <f t="shared" si="109"/>
        <v>271</v>
      </c>
      <c r="B273" s="6">
        <f t="shared" si="103"/>
        <v>592</v>
      </c>
      <c r="C273" s="9">
        <f t="shared" si="104"/>
        <v>24310</v>
      </c>
      <c r="D273" s="6">
        <f t="shared" si="105"/>
        <v>421</v>
      </c>
      <c r="E273" s="9">
        <f t="shared" si="106"/>
        <v>20890</v>
      </c>
      <c r="F273" s="3">
        <f t="shared" si="107"/>
        <v>871</v>
      </c>
      <c r="G273" s="3">
        <f t="shared" si="108"/>
        <v>17470</v>
      </c>
      <c r="J273" s="6">
        <f t="shared" si="99"/>
        <v>3.9099999999999562</v>
      </c>
      <c r="K273" s="11">
        <f t="shared" si="100"/>
        <v>41790</v>
      </c>
      <c r="P273" s="1">
        <f t="shared" si="101"/>
        <v>41790</v>
      </c>
      <c r="Q273" s="1">
        <f t="shared" si="102"/>
        <v>4817608</v>
      </c>
    </row>
    <row r="274" spans="1:17" x14ac:dyDescent="0.3">
      <c r="A274" s="2">
        <f t="shared" si="109"/>
        <v>272</v>
      </c>
      <c r="B274" s="6">
        <f t="shared" si="103"/>
        <v>594</v>
      </c>
      <c r="C274" s="9">
        <f t="shared" si="104"/>
        <v>24420</v>
      </c>
      <c r="D274" s="6">
        <f t="shared" si="105"/>
        <v>422</v>
      </c>
      <c r="E274" s="9">
        <f t="shared" si="106"/>
        <v>20980</v>
      </c>
      <c r="F274" s="3">
        <f t="shared" si="107"/>
        <v>872</v>
      </c>
      <c r="G274" s="3">
        <f t="shared" si="108"/>
        <v>17540</v>
      </c>
      <c r="J274" s="6">
        <f t="shared" si="99"/>
        <v>3.919999999999956</v>
      </c>
      <c r="K274" s="11">
        <f t="shared" si="100"/>
        <v>41980</v>
      </c>
      <c r="P274" s="1">
        <f t="shared" si="101"/>
        <v>41980</v>
      </c>
      <c r="Q274" s="1">
        <f t="shared" si="102"/>
        <v>4859588</v>
      </c>
    </row>
    <row r="275" spans="1:17" x14ac:dyDescent="0.3">
      <c r="A275" s="2">
        <f t="shared" si="109"/>
        <v>273</v>
      </c>
      <c r="B275" s="6">
        <f t="shared" si="103"/>
        <v>596</v>
      </c>
      <c r="C275" s="9">
        <f t="shared" si="104"/>
        <v>24530</v>
      </c>
      <c r="D275" s="6">
        <f t="shared" si="105"/>
        <v>423</v>
      </c>
      <c r="E275" s="9">
        <f t="shared" si="106"/>
        <v>21070</v>
      </c>
      <c r="F275" s="3">
        <f t="shared" si="107"/>
        <v>873</v>
      </c>
      <c r="G275" s="3">
        <f t="shared" si="108"/>
        <v>17610</v>
      </c>
      <c r="J275" s="6">
        <f t="shared" si="99"/>
        <v>3.9299999999999558</v>
      </c>
      <c r="K275" s="11">
        <f t="shared" si="100"/>
        <v>42170</v>
      </c>
      <c r="P275" s="1">
        <f t="shared" si="101"/>
        <v>42170</v>
      </c>
      <c r="Q275" s="1">
        <f t="shared" si="102"/>
        <v>4901758</v>
      </c>
    </row>
    <row r="276" spans="1:17" x14ac:dyDescent="0.3">
      <c r="A276" s="2">
        <f t="shared" si="109"/>
        <v>274</v>
      </c>
      <c r="B276" s="6">
        <f t="shared" si="103"/>
        <v>598</v>
      </c>
      <c r="C276" s="9">
        <f t="shared" si="104"/>
        <v>24640</v>
      </c>
      <c r="D276" s="6">
        <f t="shared" si="105"/>
        <v>424</v>
      </c>
      <c r="E276" s="9">
        <f t="shared" si="106"/>
        <v>21160</v>
      </c>
      <c r="F276" s="3">
        <f t="shared" si="107"/>
        <v>874</v>
      </c>
      <c r="G276" s="3">
        <f t="shared" si="108"/>
        <v>17680</v>
      </c>
      <c r="J276" s="6">
        <f t="shared" ref="J276:J339" si="110">J275+0.01</f>
        <v>3.9399999999999555</v>
      </c>
      <c r="K276" s="11">
        <f t="shared" ref="K276:K339" si="111">K275+190</f>
        <v>42360</v>
      </c>
      <c r="P276" s="1">
        <f t="shared" si="101"/>
        <v>42360</v>
      </c>
      <c r="Q276" s="1">
        <f t="shared" si="102"/>
        <v>4944118</v>
      </c>
    </row>
    <row r="277" spans="1:17" x14ac:dyDescent="0.3">
      <c r="A277" s="2">
        <f t="shared" si="109"/>
        <v>275</v>
      </c>
      <c r="B277" s="6">
        <f t="shared" si="103"/>
        <v>600</v>
      </c>
      <c r="C277" s="9">
        <f t="shared" si="104"/>
        <v>24750</v>
      </c>
      <c r="D277" s="6">
        <f t="shared" si="105"/>
        <v>425</v>
      </c>
      <c r="E277" s="9">
        <f t="shared" si="106"/>
        <v>21250</v>
      </c>
      <c r="F277" s="3">
        <f t="shared" si="107"/>
        <v>875</v>
      </c>
      <c r="G277" s="3">
        <f t="shared" si="108"/>
        <v>17750</v>
      </c>
      <c r="J277" s="6">
        <f t="shared" si="110"/>
        <v>3.9499999999999553</v>
      </c>
      <c r="K277" s="11">
        <f t="shared" si="111"/>
        <v>42550</v>
      </c>
      <c r="P277" s="1">
        <f t="shared" si="101"/>
        <v>42550</v>
      </c>
      <c r="Q277" s="1">
        <f t="shared" si="102"/>
        <v>4986668</v>
      </c>
    </row>
    <row r="278" spans="1:17" x14ac:dyDescent="0.3">
      <c r="A278" s="2">
        <f t="shared" si="109"/>
        <v>276</v>
      </c>
      <c r="B278" s="6">
        <f t="shared" si="103"/>
        <v>602</v>
      </c>
      <c r="C278" s="9">
        <f t="shared" si="104"/>
        <v>24860</v>
      </c>
      <c r="D278" s="6">
        <f t="shared" si="105"/>
        <v>426</v>
      </c>
      <c r="E278" s="9">
        <f t="shared" si="106"/>
        <v>21340</v>
      </c>
      <c r="F278" s="3">
        <f t="shared" si="107"/>
        <v>876</v>
      </c>
      <c r="G278" s="3">
        <f t="shared" si="108"/>
        <v>17820</v>
      </c>
      <c r="J278" s="6">
        <f t="shared" si="110"/>
        <v>3.9599999999999551</v>
      </c>
      <c r="K278" s="11">
        <f t="shared" si="111"/>
        <v>42740</v>
      </c>
      <c r="P278" s="1">
        <f t="shared" si="101"/>
        <v>42740</v>
      </c>
      <c r="Q278" s="1">
        <f t="shared" si="102"/>
        <v>5029408</v>
      </c>
    </row>
    <row r="279" spans="1:17" x14ac:dyDescent="0.3">
      <c r="A279" s="2">
        <f t="shared" si="109"/>
        <v>277</v>
      </c>
      <c r="B279" s="6">
        <f t="shared" si="103"/>
        <v>604</v>
      </c>
      <c r="C279" s="9">
        <f t="shared" si="104"/>
        <v>24970</v>
      </c>
      <c r="D279" s="6">
        <f t="shared" si="105"/>
        <v>427</v>
      </c>
      <c r="E279" s="9">
        <f t="shared" si="106"/>
        <v>21430</v>
      </c>
      <c r="F279" s="3">
        <f t="shared" si="107"/>
        <v>877</v>
      </c>
      <c r="G279" s="3">
        <f t="shared" si="108"/>
        <v>17890</v>
      </c>
      <c r="J279" s="6">
        <f t="shared" si="110"/>
        <v>3.9699999999999549</v>
      </c>
      <c r="K279" s="11">
        <f t="shared" si="111"/>
        <v>42930</v>
      </c>
      <c r="P279" s="1">
        <f t="shared" si="101"/>
        <v>42930</v>
      </c>
      <c r="Q279" s="1">
        <f t="shared" si="102"/>
        <v>5072338</v>
      </c>
    </row>
    <row r="280" spans="1:17" x14ac:dyDescent="0.3">
      <c r="A280" s="2">
        <f t="shared" si="109"/>
        <v>278</v>
      </c>
      <c r="B280" s="6">
        <f t="shared" si="103"/>
        <v>606</v>
      </c>
      <c r="C280" s="9">
        <f t="shared" si="104"/>
        <v>25080</v>
      </c>
      <c r="D280" s="6">
        <f t="shared" si="105"/>
        <v>428</v>
      </c>
      <c r="E280" s="9">
        <f t="shared" si="106"/>
        <v>21520</v>
      </c>
      <c r="F280" s="3">
        <f t="shared" si="107"/>
        <v>878</v>
      </c>
      <c r="G280" s="3">
        <f t="shared" si="108"/>
        <v>17960</v>
      </c>
      <c r="J280" s="6">
        <f t="shared" si="110"/>
        <v>3.9799999999999547</v>
      </c>
      <c r="K280" s="11">
        <f t="shared" si="111"/>
        <v>43120</v>
      </c>
      <c r="P280" s="1">
        <f t="shared" si="101"/>
        <v>43120</v>
      </c>
      <c r="Q280" s="1">
        <f t="shared" si="102"/>
        <v>5115458</v>
      </c>
    </row>
    <row r="281" spans="1:17" x14ac:dyDescent="0.3">
      <c r="A281" s="2">
        <f t="shared" si="109"/>
        <v>279</v>
      </c>
      <c r="B281" s="6">
        <f t="shared" si="103"/>
        <v>608</v>
      </c>
      <c r="C281" s="9">
        <f t="shared" si="104"/>
        <v>25190</v>
      </c>
      <c r="D281" s="6">
        <f t="shared" si="105"/>
        <v>429</v>
      </c>
      <c r="E281" s="9">
        <f t="shared" si="106"/>
        <v>21610</v>
      </c>
      <c r="F281" s="3">
        <f t="shared" si="107"/>
        <v>879</v>
      </c>
      <c r="G281" s="3">
        <f t="shared" si="108"/>
        <v>18030</v>
      </c>
      <c r="J281" s="6">
        <f t="shared" si="110"/>
        <v>3.9899999999999545</v>
      </c>
      <c r="K281" s="11">
        <f t="shared" si="111"/>
        <v>43310</v>
      </c>
      <c r="P281" s="1">
        <f t="shared" si="101"/>
        <v>43310</v>
      </c>
      <c r="Q281" s="1">
        <f t="shared" si="102"/>
        <v>5158768</v>
      </c>
    </row>
    <row r="282" spans="1:17" x14ac:dyDescent="0.3">
      <c r="A282" s="2">
        <f t="shared" si="109"/>
        <v>280</v>
      </c>
      <c r="B282" s="6">
        <f t="shared" si="103"/>
        <v>610</v>
      </c>
      <c r="C282" s="9">
        <f t="shared" si="104"/>
        <v>25300</v>
      </c>
      <c r="D282" s="6">
        <f t="shared" si="105"/>
        <v>430</v>
      </c>
      <c r="E282" s="9">
        <f t="shared" si="106"/>
        <v>21700</v>
      </c>
      <c r="F282" s="3">
        <f t="shared" si="107"/>
        <v>880</v>
      </c>
      <c r="G282" s="3">
        <f t="shared" si="108"/>
        <v>18100</v>
      </c>
      <c r="J282" s="6">
        <f t="shared" si="110"/>
        <v>3.9999999999999543</v>
      </c>
      <c r="K282" s="11">
        <f t="shared" si="111"/>
        <v>43500</v>
      </c>
      <c r="P282" s="1">
        <f t="shared" si="101"/>
        <v>43500</v>
      </c>
      <c r="Q282" s="1">
        <f t="shared" si="102"/>
        <v>5202268</v>
      </c>
    </row>
    <row r="283" spans="1:17" x14ac:dyDescent="0.3">
      <c r="A283" s="2">
        <f t="shared" si="109"/>
        <v>281</v>
      </c>
      <c r="B283" s="6">
        <f t="shared" si="103"/>
        <v>612</v>
      </c>
      <c r="C283" s="9">
        <f t="shared" si="104"/>
        <v>25410</v>
      </c>
      <c r="D283" s="6">
        <f t="shared" si="105"/>
        <v>431</v>
      </c>
      <c r="E283" s="9">
        <f t="shared" si="106"/>
        <v>21790</v>
      </c>
      <c r="F283" s="3">
        <f t="shared" si="107"/>
        <v>881</v>
      </c>
      <c r="G283" s="3">
        <f t="shared" si="108"/>
        <v>18170</v>
      </c>
      <c r="J283" s="6">
        <f t="shared" si="110"/>
        <v>4.0099999999999545</v>
      </c>
      <c r="K283" s="11">
        <f t="shared" si="111"/>
        <v>43690</v>
      </c>
      <c r="P283" s="1">
        <f t="shared" si="101"/>
        <v>43690</v>
      </c>
      <c r="Q283" s="1">
        <f t="shared" si="102"/>
        <v>5245958</v>
      </c>
    </row>
    <row r="284" spans="1:17" x14ac:dyDescent="0.3">
      <c r="A284" s="2">
        <f t="shared" si="109"/>
        <v>282</v>
      </c>
      <c r="B284" s="6">
        <f t="shared" si="103"/>
        <v>614</v>
      </c>
      <c r="C284" s="9">
        <f t="shared" si="104"/>
        <v>25520</v>
      </c>
      <c r="D284" s="6">
        <f t="shared" si="105"/>
        <v>432</v>
      </c>
      <c r="E284" s="9">
        <f t="shared" si="106"/>
        <v>21880</v>
      </c>
      <c r="F284" s="3">
        <f t="shared" si="107"/>
        <v>882</v>
      </c>
      <c r="G284" s="3">
        <f t="shared" si="108"/>
        <v>18240</v>
      </c>
      <c r="J284" s="6">
        <f t="shared" si="110"/>
        <v>4.0199999999999543</v>
      </c>
      <c r="K284" s="11">
        <f t="shared" si="111"/>
        <v>43880</v>
      </c>
      <c r="P284" s="1">
        <f t="shared" si="101"/>
        <v>43880</v>
      </c>
      <c r="Q284" s="1">
        <f t="shared" si="102"/>
        <v>5289838</v>
      </c>
    </row>
    <row r="285" spans="1:17" x14ac:dyDescent="0.3">
      <c r="A285" s="2">
        <f t="shared" si="109"/>
        <v>283</v>
      </c>
      <c r="B285" s="6">
        <f t="shared" si="103"/>
        <v>616</v>
      </c>
      <c r="C285" s="9">
        <f t="shared" si="104"/>
        <v>25630</v>
      </c>
      <c r="D285" s="6">
        <f t="shared" si="105"/>
        <v>433</v>
      </c>
      <c r="E285" s="9">
        <f t="shared" si="106"/>
        <v>21970</v>
      </c>
      <c r="F285" s="3">
        <f t="shared" si="107"/>
        <v>883</v>
      </c>
      <c r="G285" s="3">
        <f t="shared" si="108"/>
        <v>18310</v>
      </c>
      <c r="J285" s="6">
        <f t="shared" si="110"/>
        <v>4.0299999999999541</v>
      </c>
      <c r="K285" s="11">
        <f t="shared" si="111"/>
        <v>44070</v>
      </c>
      <c r="P285" s="1">
        <f t="shared" si="101"/>
        <v>44070</v>
      </c>
      <c r="Q285" s="1">
        <f t="shared" si="102"/>
        <v>5333908</v>
      </c>
    </row>
    <row r="286" spans="1:17" x14ac:dyDescent="0.3">
      <c r="A286" s="2">
        <f t="shared" si="109"/>
        <v>284</v>
      </c>
      <c r="B286" s="6">
        <f t="shared" si="103"/>
        <v>618</v>
      </c>
      <c r="C286" s="9">
        <f t="shared" si="104"/>
        <v>25740</v>
      </c>
      <c r="D286" s="6">
        <f t="shared" si="105"/>
        <v>434</v>
      </c>
      <c r="E286" s="9">
        <f t="shared" si="106"/>
        <v>22060</v>
      </c>
      <c r="F286" s="3">
        <f t="shared" si="107"/>
        <v>884</v>
      </c>
      <c r="G286" s="3">
        <f t="shared" si="108"/>
        <v>18380</v>
      </c>
      <c r="J286" s="6">
        <f t="shared" si="110"/>
        <v>4.0399999999999539</v>
      </c>
      <c r="K286" s="11">
        <f t="shared" si="111"/>
        <v>44260</v>
      </c>
      <c r="P286" s="1">
        <f t="shared" si="101"/>
        <v>44260</v>
      </c>
      <c r="Q286" s="1">
        <f t="shared" si="102"/>
        <v>5378168</v>
      </c>
    </row>
    <row r="287" spans="1:17" x14ac:dyDescent="0.3">
      <c r="A287" s="2">
        <f t="shared" si="109"/>
        <v>285</v>
      </c>
      <c r="B287" s="6">
        <f t="shared" si="103"/>
        <v>620</v>
      </c>
      <c r="C287" s="9">
        <f t="shared" si="104"/>
        <v>25850</v>
      </c>
      <c r="D287" s="6">
        <f t="shared" si="105"/>
        <v>435</v>
      </c>
      <c r="E287" s="9">
        <f t="shared" si="106"/>
        <v>22150</v>
      </c>
      <c r="F287" s="3">
        <f t="shared" si="107"/>
        <v>885</v>
      </c>
      <c r="G287" s="3">
        <f t="shared" si="108"/>
        <v>18450</v>
      </c>
      <c r="J287" s="6">
        <f t="shared" si="110"/>
        <v>4.0499999999999536</v>
      </c>
      <c r="K287" s="11">
        <f t="shared" si="111"/>
        <v>44450</v>
      </c>
      <c r="P287" s="1">
        <f t="shared" si="101"/>
        <v>44450</v>
      </c>
      <c r="Q287" s="1">
        <f t="shared" si="102"/>
        <v>5422618</v>
      </c>
    </row>
    <row r="288" spans="1:17" x14ac:dyDescent="0.3">
      <c r="A288" s="2">
        <f t="shared" si="109"/>
        <v>286</v>
      </c>
      <c r="B288" s="6">
        <f t="shared" si="103"/>
        <v>622</v>
      </c>
      <c r="C288" s="9">
        <f t="shared" si="104"/>
        <v>25960</v>
      </c>
      <c r="D288" s="6">
        <f t="shared" si="105"/>
        <v>436</v>
      </c>
      <c r="E288" s="9">
        <f t="shared" si="106"/>
        <v>22240</v>
      </c>
      <c r="F288" s="3">
        <f t="shared" si="107"/>
        <v>886</v>
      </c>
      <c r="G288" s="3">
        <f t="shared" si="108"/>
        <v>18520</v>
      </c>
      <c r="J288" s="6">
        <f t="shared" si="110"/>
        <v>4.0599999999999534</v>
      </c>
      <c r="K288" s="11">
        <f t="shared" si="111"/>
        <v>44640</v>
      </c>
      <c r="P288" s="1">
        <f t="shared" si="101"/>
        <v>44640</v>
      </c>
      <c r="Q288" s="1">
        <f t="shared" si="102"/>
        <v>5467258</v>
      </c>
    </row>
    <row r="289" spans="1:17" x14ac:dyDescent="0.3">
      <c r="A289" s="2">
        <f t="shared" si="109"/>
        <v>287</v>
      </c>
      <c r="B289" s="6">
        <f t="shared" si="103"/>
        <v>624</v>
      </c>
      <c r="C289" s="9">
        <f t="shared" si="104"/>
        <v>26070</v>
      </c>
      <c r="D289" s="6">
        <f t="shared" si="105"/>
        <v>437</v>
      </c>
      <c r="E289" s="9">
        <f t="shared" si="106"/>
        <v>22330</v>
      </c>
      <c r="F289" s="3">
        <f t="shared" si="107"/>
        <v>887</v>
      </c>
      <c r="G289" s="3">
        <f t="shared" si="108"/>
        <v>18590</v>
      </c>
      <c r="J289" s="6">
        <f t="shared" si="110"/>
        <v>4.0699999999999532</v>
      </c>
      <c r="K289" s="11">
        <f t="shared" si="111"/>
        <v>44830</v>
      </c>
      <c r="P289" s="1">
        <f t="shared" si="101"/>
        <v>44830</v>
      </c>
      <c r="Q289" s="1">
        <f t="shared" si="102"/>
        <v>5512088</v>
      </c>
    </row>
    <row r="290" spans="1:17" x14ac:dyDescent="0.3">
      <c r="A290" s="2">
        <f t="shared" si="109"/>
        <v>288</v>
      </c>
      <c r="B290" s="6">
        <f t="shared" si="103"/>
        <v>626</v>
      </c>
      <c r="C290" s="9">
        <f t="shared" si="104"/>
        <v>26180</v>
      </c>
      <c r="D290" s="6">
        <f t="shared" si="105"/>
        <v>438</v>
      </c>
      <c r="E290" s="9">
        <f t="shared" si="106"/>
        <v>22420</v>
      </c>
      <c r="F290" s="3">
        <f t="shared" si="107"/>
        <v>888</v>
      </c>
      <c r="G290" s="3">
        <f t="shared" si="108"/>
        <v>18660</v>
      </c>
      <c r="J290" s="6">
        <f t="shared" si="110"/>
        <v>4.079999999999953</v>
      </c>
      <c r="K290" s="11">
        <f t="shared" si="111"/>
        <v>45020</v>
      </c>
      <c r="P290" s="1">
        <f t="shared" si="101"/>
        <v>45020</v>
      </c>
      <c r="Q290" s="1">
        <f t="shared" si="102"/>
        <v>5557108</v>
      </c>
    </row>
    <row r="291" spans="1:17" x14ac:dyDescent="0.3">
      <c r="A291" s="2">
        <f t="shared" si="109"/>
        <v>289</v>
      </c>
      <c r="B291" s="6">
        <f t="shared" si="103"/>
        <v>628</v>
      </c>
      <c r="C291" s="9">
        <f t="shared" si="104"/>
        <v>26290</v>
      </c>
      <c r="D291" s="6">
        <f t="shared" si="105"/>
        <v>439</v>
      </c>
      <c r="E291" s="9">
        <f t="shared" si="106"/>
        <v>22510</v>
      </c>
      <c r="F291" s="3">
        <f t="shared" si="107"/>
        <v>889</v>
      </c>
      <c r="G291" s="3">
        <f t="shared" si="108"/>
        <v>18730</v>
      </c>
      <c r="J291" s="6">
        <f t="shared" si="110"/>
        <v>4.0899999999999528</v>
      </c>
      <c r="K291" s="11">
        <f t="shared" si="111"/>
        <v>45210</v>
      </c>
      <c r="P291" s="1">
        <f t="shared" si="101"/>
        <v>45210</v>
      </c>
      <c r="Q291" s="1">
        <f t="shared" si="102"/>
        <v>5602318</v>
      </c>
    </row>
    <row r="292" spans="1:17" x14ac:dyDescent="0.3">
      <c r="A292" s="2">
        <f t="shared" si="109"/>
        <v>290</v>
      </c>
      <c r="B292" s="6">
        <f t="shared" si="103"/>
        <v>630</v>
      </c>
      <c r="C292" s="9">
        <f t="shared" si="104"/>
        <v>26400</v>
      </c>
      <c r="D292" s="6">
        <f t="shared" si="105"/>
        <v>440</v>
      </c>
      <c r="E292" s="9">
        <f t="shared" si="106"/>
        <v>22600</v>
      </c>
      <c r="F292" s="3">
        <f t="shared" si="107"/>
        <v>890</v>
      </c>
      <c r="G292" s="3">
        <f t="shared" si="108"/>
        <v>18800</v>
      </c>
      <c r="J292" s="6">
        <f t="shared" si="110"/>
        <v>4.0999999999999526</v>
      </c>
      <c r="K292" s="11">
        <f t="shared" si="111"/>
        <v>45400</v>
      </c>
      <c r="P292" s="1">
        <f t="shared" si="101"/>
        <v>45400</v>
      </c>
      <c r="Q292" s="1">
        <f t="shared" si="102"/>
        <v>5647718</v>
      </c>
    </row>
    <row r="293" spans="1:17" x14ac:dyDescent="0.3">
      <c r="A293" s="2">
        <f t="shared" si="109"/>
        <v>291</v>
      </c>
      <c r="B293" s="6">
        <f t="shared" si="103"/>
        <v>632</v>
      </c>
      <c r="C293" s="9">
        <f t="shared" si="104"/>
        <v>26510</v>
      </c>
      <c r="D293" s="6">
        <f t="shared" si="105"/>
        <v>441</v>
      </c>
      <c r="E293" s="9">
        <f t="shared" si="106"/>
        <v>22690</v>
      </c>
      <c r="F293" s="3">
        <f t="shared" si="107"/>
        <v>891</v>
      </c>
      <c r="G293" s="3">
        <f t="shared" si="108"/>
        <v>18870</v>
      </c>
      <c r="J293" s="6">
        <f t="shared" si="110"/>
        <v>4.1099999999999524</v>
      </c>
      <c r="K293" s="11">
        <f t="shared" si="111"/>
        <v>45590</v>
      </c>
      <c r="P293" s="1">
        <f t="shared" si="101"/>
        <v>45590</v>
      </c>
      <c r="Q293" s="1">
        <f t="shared" si="102"/>
        <v>5693308</v>
      </c>
    </row>
    <row r="294" spans="1:17" x14ac:dyDescent="0.3">
      <c r="A294" s="2">
        <f t="shared" si="109"/>
        <v>292</v>
      </c>
      <c r="B294" s="6">
        <f t="shared" si="103"/>
        <v>634</v>
      </c>
      <c r="C294" s="9">
        <f t="shared" si="104"/>
        <v>26620</v>
      </c>
      <c r="D294" s="6">
        <f t="shared" si="105"/>
        <v>442</v>
      </c>
      <c r="E294" s="9">
        <f t="shared" si="106"/>
        <v>22780</v>
      </c>
      <c r="F294" s="3">
        <f t="shared" si="107"/>
        <v>892</v>
      </c>
      <c r="G294" s="3">
        <f t="shared" si="108"/>
        <v>18940</v>
      </c>
      <c r="J294" s="6">
        <f t="shared" si="110"/>
        <v>4.1199999999999521</v>
      </c>
      <c r="K294" s="11">
        <f t="shared" si="111"/>
        <v>45780</v>
      </c>
      <c r="P294" s="1">
        <f t="shared" ref="P294:P357" si="112">K294</f>
        <v>45780</v>
      </c>
      <c r="Q294" s="1">
        <f t="shared" ref="Q294:Q357" si="113">Q293+K294</f>
        <v>5739088</v>
      </c>
    </row>
    <row r="295" spans="1:17" x14ac:dyDescent="0.3">
      <c r="A295" s="2">
        <f t="shared" si="109"/>
        <v>293</v>
      </c>
      <c r="B295" s="6">
        <f t="shared" si="103"/>
        <v>636</v>
      </c>
      <c r="C295" s="9">
        <f t="shared" si="104"/>
        <v>26730</v>
      </c>
      <c r="D295" s="6">
        <f t="shared" si="105"/>
        <v>443</v>
      </c>
      <c r="E295" s="9">
        <f t="shared" si="106"/>
        <v>22870</v>
      </c>
      <c r="F295" s="3">
        <f t="shared" si="107"/>
        <v>893</v>
      </c>
      <c r="G295" s="3">
        <f t="shared" si="108"/>
        <v>19010</v>
      </c>
      <c r="J295" s="6">
        <f t="shared" si="110"/>
        <v>4.1299999999999519</v>
      </c>
      <c r="K295" s="11">
        <f t="shared" si="111"/>
        <v>45970</v>
      </c>
      <c r="P295" s="1">
        <f t="shared" si="112"/>
        <v>45970</v>
      </c>
      <c r="Q295" s="1">
        <f t="shared" si="113"/>
        <v>5785058</v>
      </c>
    </row>
    <row r="296" spans="1:17" x14ac:dyDescent="0.3">
      <c r="A296" s="2">
        <f t="shared" si="109"/>
        <v>294</v>
      </c>
      <c r="B296" s="6">
        <f t="shared" ref="B296:B359" si="114">B295+2</f>
        <v>638</v>
      </c>
      <c r="C296" s="9">
        <f t="shared" ref="C296:C359" si="115">C295+110</f>
        <v>26840</v>
      </c>
      <c r="D296" s="6">
        <f t="shared" ref="D296:D359" si="116">D295+1</f>
        <v>444</v>
      </c>
      <c r="E296" s="9">
        <f t="shared" ref="E296:E359" si="117">E295+90</f>
        <v>22960</v>
      </c>
      <c r="F296" s="3">
        <f t="shared" ref="F296:F359" si="118">F295+1</f>
        <v>894</v>
      </c>
      <c r="G296" s="3">
        <f t="shared" ref="G296:G359" si="119">G295+70</f>
        <v>19080</v>
      </c>
      <c r="J296" s="6">
        <f t="shared" si="110"/>
        <v>4.1399999999999517</v>
      </c>
      <c r="K296" s="11">
        <f t="shared" si="111"/>
        <v>46160</v>
      </c>
      <c r="P296" s="1">
        <f t="shared" si="112"/>
        <v>46160</v>
      </c>
      <c r="Q296" s="1">
        <f t="shared" si="113"/>
        <v>5831218</v>
      </c>
    </row>
    <row r="297" spans="1:17" x14ac:dyDescent="0.3">
      <c r="A297" s="2">
        <f t="shared" si="109"/>
        <v>295</v>
      </c>
      <c r="B297" s="6">
        <f t="shared" si="114"/>
        <v>640</v>
      </c>
      <c r="C297" s="9">
        <f t="shared" si="115"/>
        <v>26950</v>
      </c>
      <c r="D297" s="6">
        <f t="shared" si="116"/>
        <v>445</v>
      </c>
      <c r="E297" s="9">
        <f t="shared" si="117"/>
        <v>23050</v>
      </c>
      <c r="F297" s="3">
        <f t="shared" si="118"/>
        <v>895</v>
      </c>
      <c r="G297" s="3">
        <f t="shared" si="119"/>
        <v>19150</v>
      </c>
      <c r="J297" s="6">
        <f t="shared" si="110"/>
        <v>4.1499999999999515</v>
      </c>
      <c r="K297" s="11">
        <f t="shared" si="111"/>
        <v>46350</v>
      </c>
      <c r="P297" s="1">
        <f t="shared" si="112"/>
        <v>46350</v>
      </c>
      <c r="Q297" s="1">
        <f t="shared" si="113"/>
        <v>5877568</v>
      </c>
    </row>
    <row r="298" spans="1:17" x14ac:dyDescent="0.3">
      <c r="A298" s="2">
        <f t="shared" si="109"/>
        <v>296</v>
      </c>
      <c r="B298" s="6">
        <f t="shared" si="114"/>
        <v>642</v>
      </c>
      <c r="C298" s="9">
        <f t="shared" si="115"/>
        <v>27060</v>
      </c>
      <c r="D298" s="6">
        <f t="shared" si="116"/>
        <v>446</v>
      </c>
      <c r="E298" s="9">
        <f t="shared" si="117"/>
        <v>23140</v>
      </c>
      <c r="F298" s="3">
        <f t="shared" si="118"/>
        <v>896</v>
      </c>
      <c r="G298" s="3">
        <f t="shared" si="119"/>
        <v>19220</v>
      </c>
      <c r="J298" s="6">
        <f t="shared" si="110"/>
        <v>4.1599999999999513</v>
      </c>
      <c r="K298" s="11">
        <f t="shared" si="111"/>
        <v>46540</v>
      </c>
      <c r="P298" s="1">
        <f t="shared" si="112"/>
        <v>46540</v>
      </c>
      <c r="Q298" s="1">
        <f t="shared" si="113"/>
        <v>5924108</v>
      </c>
    </row>
    <row r="299" spans="1:17" x14ac:dyDescent="0.3">
      <c r="A299" s="2">
        <f t="shared" si="109"/>
        <v>297</v>
      </c>
      <c r="B299" s="6">
        <f t="shared" si="114"/>
        <v>644</v>
      </c>
      <c r="C299" s="9">
        <f t="shared" si="115"/>
        <v>27170</v>
      </c>
      <c r="D299" s="6">
        <f t="shared" si="116"/>
        <v>447</v>
      </c>
      <c r="E299" s="9">
        <f t="shared" si="117"/>
        <v>23230</v>
      </c>
      <c r="F299" s="3">
        <f t="shared" si="118"/>
        <v>897</v>
      </c>
      <c r="G299" s="3">
        <f t="shared" si="119"/>
        <v>19290</v>
      </c>
      <c r="J299" s="6">
        <f t="shared" si="110"/>
        <v>4.1699999999999511</v>
      </c>
      <c r="K299" s="11">
        <f t="shared" si="111"/>
        <v>46730</v>
      </c>
      <c r="P299" s="1">
        <f t="shared" si="112"/>
        <v>46730</v>
      </c>
      <c r="Q299" s="1">
        <f t="shared" si="113"/>
        <v>5970838</v>
      </c>
    </row>
    <row r="300" spans="1:17" x14ac:dyDescent="0.3">
      <c r="A300" s="2">
        <f t="shared" si="109"/>
        <v>298</v>
      </c>
      <c r="B300" s="6">
        <f t="shared" si="114"/>
        <v>646</v>
      </c>
      <c r="C300" s="9">
        <f t="shared" si="115"/>
        <v>27280</v>
      </c>
      <c r="D300" s="6">
        <f t="shared" si="116"/>
        <v>448</v>
      </c>
      <c r="E300" s="9">
        <f t="shared" si="117"/>
        <v>23320</v>
      </c>
      <c r="F300" s="3">
        <f t="shared" si="118"/>
        <v>898</v>
      </c>
      <c r="G300" s="3">
        <f t="shared" si="119"/>
        <v>19360</v>
      </c>
      <c r="J300" s="6">
        <f t="shared" si="110"/>
        <v>4.1799999999999509</v>
      </c>
      <c r="K300" s="11">
        <f t="shared" si="111"/>
        <v>46920</v>
      </c>
      <c r="P300" s="1">
        <f t="shared" si="112"/>
        <v>46920</v>
      </c>
      <c r="Q300" s="1">
        <f t="shared" si="113"/>
        <v>6017758</v>
      </c>
    </row>
    <row r="301" spans="1:17" x14ac:dyDescent="0.3">
      <c r="A301" s="2">
        <f t="shared" si="109"/>
        <v>299</v>
      </c>
      <c r="B301" s="6">
        <f t="shared" si="114"/>
        <v>648</v>
      </c>
      <c r="C301" s="9">
        <f t="shared" si="115"/>
        <v>27390</v>
      </c>
      <c r="D301" s="6">
        <f t="shared" si="116"/>
        <v>449</v>
      </c>
      <c r="E301" s="9">
        <f t="shared" si="117"/>
        <v>23410</v>
      </c>
      <c r="F301" s="3">
        <f t="shared" si="118"/>
        <v>899</v>
      </c>
      <c r="G301" s="3">
        <f t="shared" si="119"/>
        <v>19430</v>
      </c>
      <c r="J301" s="6">
        <f t="shared" si="110"/>
        <v>4.1899999999999507</v>
      </c>
      <c r="K301" s="11">
        <f t="shared" si="111"/>
        <v>47110</v>
      </c>
      <c r="P301" s="1">
        <f t="shared" si="112"/>
        <v>47110</v>
      </c>
      <c r="Q301" s="1">
        <f t="shared" si="113"/>
        <v>6064868</v>
      </c>
    </row>
    <row r="302" spans="1:17" x14ac:dyDescent="0.3">
      <c r="A302" s="2">
        <f t="shared" si="109"/>
        <v>300</v>
      </c>
      <c r="B302" s="6">
        <f t="shared" si="114"/>
        <v>650</v>
      </c>
      <c r="C302" s="9">
        <f t="shared" si="115"/>
        <v>27500</v>
      </c>
      <c r="D302" s="6">
        <f t="shared" si="116"/>
        <v>450</v>
      </c>
      <c r="E302" s="9">
        <f t="shared" si="117"/>
        <v>23500</v>
      </c>
      <c r="F302" s="3">
        <f t="shared" si="118"/>
        <v>900</v>
      </c>
      <c r="G302" s="3">
        <f t="shared" si="119"/>
        <v>19500</v>
      </c>
      <c r="J302" s="6">
        <f t="shared" si="110"/>
        <v>4.1999999999999504</v>
      </c>
      <c r="K302" s="11">
        <f t="shared" si="111"/>
        <v>47300</v>
      </c>
      <c r="P302" s="1">
        <f t="shared" si="112"/>
        <v>47300</v>
      </c>
      <c r="Q302" s="1">
        <f t="shared" si="113"/>
        <v>6112168</v>
      </c>
    </row>
    <row r="303" spans="1:17" x14ac:dyDescent="0.3">
      <c r="A303" s="2">
        <f t="shared" si="109"/>
        <v>301</v>
      </c>
      <c r="B303" s="6">
        <f t="shared" si="114"/>
        <v>652</v>
      </c>
      <c r="C303" s="9">
        <f t="shared" si="115"/>
        <v>27610</v>
      </c>
      <c r="D303" s="6">
        <f t="shared" si="116"/>
        <v>451</v>
      </c>
      <c r="E303" s="9">
        <f t="shared" si="117"/>
        <v>23590</v>
      </c>
      <c r="F303" s="3">
        <f t="shared" si="118"/>
        <v>901</v>
      </c>
      <c r="G303" s="3">
        <f t="shared" si="119"/>
        <v>19570</v>
      </c>
      <c r="J303" s="6">
        <f t="shared" si="110"/>
        <v>4.2099999999999502</v>
      </c>
      <c r="K303" s="11">
        <f t="shared" si="111"/>
        <v>47490</v>
      </c>
      <c r="P303" s="1">
        <f t="shared" si="112"/>
        <v>47490</v>
      </c>
      <c r="Q303" s="1">
        <f t="shared" si="113"/>
        <v>6159658</v>
      </c>
    </row>
    <row r="304" spans="1:17" x14ac:dyDescent="0.3">
      <c r="A304" s="2">
        <f t="shared" si="109"/>
        <v>302</v>
      </c>
      <c r="B304" s="6">
        <f t="shared" si="114"/>
        <v>654</v>
      </c>
      <c r="C304" s="9">
        <f t="shared" si="115"/>
        <v>27720</v>
      </c>
      <c r="D304" s="6">
        <f t="shared" si="116"/>
        <v>452</v>
      </c>
      <c r="E304" s="9">
        <f t="shared" si="117"/>
        <v>23680</v>
      </c>
      <c r="F304" s="3">
        <f t="shared" si="118"/>
        <v>902</v>
      </c>
      <c r="G304" s="3">
        <f t="shared" si="119"/>
        <v>19640</v>
      </c>
      <c r="J304" s="6">
        <f t="shared" si="110"/>
        <v>4.21999999999995</v>
      </c>
      <c r="K304" s="11">
        <f t="shared" si="111"/>
        <v>47680</v>
      </c>
      <c r="P304" s="1">
        <f t="shared" si="112"/>
        <v>47680</v>
      </c>
      <c r="Q304" s="1">
        <f t="shared" si="113"/>
        <v>6207338</v>
      </c>
    </row>
    <row r="305" spans="1:17" x14ac:dyDescent="0.3">
      <c r="A305" s="2">
        <f t="shared" si="109"/>
        <v>303</v>
      </c>
      <c r="B305" s="6">
        <f t="shared" si="114"/>
        <v>656</v>
      </c>
      <c r="C305" s="9">
        <f t="shared" si="115"/>
        <v>27830</v>
      </c>
      <c r="D305" s="6">
        <f t="shared" si="116"/>
        <v>453</v>
      </c>
      <c r="E305" s="9">
        <f t="shared" si="117"/>
        <v>23770</v>
      </c>
      <c r="F305" s="3">
        <f t="shared" si="118"/>
        <v>903</v>
      </c>
      <c r="G305" s="3">
        <f t="shared" si="119"/>
        <v>19710</v>
      </c>
      <c r="J305" s="6">
        <f t="shared" si="110"/>
        <v>4.2299999999999498</v>
      </c>
      <c r="K305" s="11">
        <f t="shared" si="111"/>
        <v>47870</v>
      </c>
      <c r="P305" s="1">
        <f t="shared" si="112"/>
        <v>47870</v>
      </c>
      <c r="Q305" s="1">
        <f t="shared" si="113"/>
        <v>6255208</v>
      </c>
    </row>
    <row r="306" spans="1:17" x14ac:dyDescent="0.3">
      <c r="A306" s="2">
        <f t="shared" si="109"/>
        <v>304</v>
      </c>
      <c r="B306" s="6">
        <f t="shared" si="114"/>
        <v>658</v>
      </c>
      <c r="C306" s="9">
        <f t="shared" si="115"/>
        <v>27940</v>
      </c>
      <c r="D306" s="6">
        <f t="shared" si="116"/>
        <v>454</v>
      </c>
      <c r="E306" s="9">
        <f t="shared" si="117"/>
        <v>23860</v>
      </c>
      <c r="F306" s="3">
        <f t="shared" si="118"/>
        <v>904</v>
      </c>
      <c r="G306" s="3">
        <f t="shared" si="119"/>
        <v>19780</v>
      </c>
      <c r="J306" s="6">
        <f t="shared" si="110"/>
        <v>4.2399999999999496</v>
      </c>
      <c r="K306" s="11">
        <f t="shared" si="111"/>
        <v>48060</v>
      </c>
      <c r="P306" s="1">
        <f t="shared" si="112"/>
        <v>48060</v>
      </c>
      <c r="Q306" s="1">
        <f t="shared" si="113"/>
        <v>6303268</v>
      </c>
    </row>
    <row r="307" spans="1:17" x14ac:dyDescent="0.3">
      <c r="A307" s="2">
        <f t="shared" si="109"/>
        <v>305</v>
      </c>
      <c r="B307" s="6">
        <f t="shared" si="114"/>
        <v>660</v>
      </c>
      <c r="C307" s="9">
        <f t="shared" si="115"/>
        <v>28050</v>
      </c>
      <c r="D307" s="6">
        <f t="shared" si="116"/>
        <v>455</v>
      </c>
      <c r="E307" s="9">
        <f t="shared" si="117"/>
        <v>23950</v>
      </c>
      <c r="F307" s="3">
        <f t="shared" si="118"/>
        <v>905</v>
      </c>
      <c r="G307" s="3">
        <f t="shared" si="119"/>
        <v>19850</v>
      </c>
      <c r="J307" s="6">
        <f t="shared" si="110"/>
        <v>4.2499999999999494</v>
      </c>
      <c r="K307" s="11">
        <f t="shared" si="111"/>
        <v>48250</v>
      </c>
      <c r="P307" s="1">
        <f t="shared" si="112"/>
        <v>48250</v>
      </c>
      <c r="Q307" s="1">
        <f t="shared" si="113"/>
        <v>6351518</v>
      </c>
    </row>
    <row r="308" spans="1:17" x14ac:dyDescent="0.3">
      <c r="A308" s="2">
        <f t="shared" si="109"/>
        <v>306</v>
      </c>
      <c r="B308" s="6">
        <f t="shared" si="114"/>
        <v>662</v>
      </c>
      <c r="C308" s="9">
        <f t="shared" si="115"/>
        <v>28160</v>
      </c>
      <c r="D308" s="6">
        <f t="shared" si="116"/>
        <v>456</v>
      </c>
      <c r="E308" s="9">
        <f t="shared" si="117"/>
        <v>24040</v>
      </c>
      <c r="F308" s="3">
        <f t="shared" si="118"/>
        <v>906</v>
      </c>
      <c r="G308" s="3">
        <f t="shared" si="119"/>
        <v>19920</v>
      </c>
      <c r="J308" s="6">
        <f t="shared" si="110"/>
        <v>4.2599999999999492</v>
      </c>
      <c r="K308" s="11">
        <f t="shared" si="111"/>
        <v>48440</v>
      </c>
      <c r="P308" s="1">
        <f t="shared" si="112"/>
        <v>48440</v>
      </c>
      <c r="Q308" s="1">
        <f t="shared" si="113"/>
        <v>6399958</v>
      </c>
    </row>
    <row r="309" spans="1:17" x14ac:dyDescent="0.3">
      <c r="A309" s="2">
        <f t="shared" si="109"/>
        <v>307</v>
      </c>
      <c r="B309" s="6">
        <f t="shared" si="114"/>
        <v>664</v>
      </c>
      <c r="C309" s="9">
        <f t="shared" si="115"/>
        <v>28270</v>
      </c>
      <c r="D309" s="6">
        <f t="shared" si="116"/>
        <v>457</v>
      </c>
      <c r="E309" s="9">
        <f t="shared" si="117"/>
        <v>24130</v>
      </c>
      <c r="F309" s="3">
        <f t="shared" si="118"/>
        <v>907</v>
      </c>
      <c r="G309" s="3">
        <f t="shared" si="119"/>
        <v>19990</v>
      </c>
      <c r="J309" s="6">
        <f t="shared" si="110"/>
        <v>4.2699999999999489</v>
      </c>
      <c r="K309" s="11">
        <f t="shared" si="111"/>
        <v>48630</v>
      </c>
      <c r="P309" s="1">
        <f t="shared" si="112"/>
        <v>48630</v>
      </c>
      <c r="Q309" s="1">
        <f t="shared" si="113"/>
        <v>6448588</v>
      </c>
    </row>
    <row r="310" spans="1:17" x14ac:dyDescent="0.3">
      <c r="A310" s="2">
        <f t="shared" si="109"/>
        <v>308</v>
      </c>
      <c r="B310" s="6">
        <f t="shared" si="114"/>
        <v>666</v>
      </c>
      <c r="C310" s="9">
        <f t="shared" si="115"/>
        <v>28380</v>
      </c>
      <c r="D310" s="6">
        <f t="shared" si="116"/>
        <v>458</v>
      </c>
      <c r="E310" s="9">
        <f t="shared" si="117"/>
        <v>24220</v>
      </c>
      <c r="F310" s="3">
        <f t="shared" si="118"/>
        <v>908</v>
      </c>
      <c r="G310" s="3">
        <f t="shared" si="119"/>
        <v>20060</v>
      </c>
      <c r="J310" s="6">
        <f t="shared" si="110"/>
        <v>4.2799999999999487</v>
      </c>
      <c r="K310" s="11">
        <f t="shared" si="111"/>
        <v>48820</v>
      </c>
      <c r="P310" s="1">
        <f t="shared" si="112"/>
        <v>48820</v>
      </c>
      <c r="Q310" s="1">
        <f t="shared" si="113"/>
        <v>6497408</v>
      </c>
    </row>
    <row r="311" spans="1:17" x14ac:dyDescent="0.3">
      <c r="A311" s="2">
        <f t="shared" si="109"/>
        <v>309</v>
      </c>
      <c r="B311" s="6">
        <f t="shared" si="114"/>
        <v>668</v>
      </c>
      <c r="C311" s="9">
        <f t="shared" si="115"/>
        <v>28490</v>
      </c>
      <c r="D311" s="6">
        <f t="shared" si="116"/>
        <v>459</v>
      </c>
      <c r="E311" s="9">
        <f t="shared" si="117"/>
        <v>24310</v>
      </c>
      <c r="F311" s="3">
        <f t="shared" si="118"/>
        <v>909</v>
      </c>
      <c r="G311" s="3">
        <f t="shared" si="119"/>
        <v>20130</v>
      </c>
      <c r="J311" s="6">
        <f t="shared" si="110"/>
        <v>4.2899999999999485</v>
      </c>
      <c r="K311" s="11">
        <f t="shared" si="111"/>
        <v>49010</v>
      </c>
      <c r="P311" s="1">
        <f t="shared" si="112"/>
        <v>49010</v>
      </c>
      <c r="Q311" s="1">
        <f t="shared" si="113"/>
        <v>6546418</v>
      </c>
    </row>
    <row r="312" spans="1:17" x14ac:dyDescent="0.3">
      <c r="A312" s="2">
        <f t="shared" si="109"/>
        <v>310</v>
      </c>
      <c r="B312" s="6">
        <f t="shared" si="114"/>
        <v>670</v>
      </c>
      <c r="C312" s="9">
        <f t="shared" si="115"/>
        <v>28600</v>
      </c>
      <c r="D312" s="6">
        <f t="shared" si="116"/>
        <v>460</v>
      </c>
      <c r="E312" s="9">
        <f t="shared" si="117"/>
        <v>24400</v>
      </c>
      <c r="F312" s="3">
        <f t="shared" si="118"/>
        <v>910</v>
      </c>
      <c r="G312" s="3">
        <f t="shared" si="119"/>
        <v>20200</v>
      </c>
      <c r="J312" s="6">
        <f t="shared" si="110"/>
        <v>4.2999999999999483</v>
      </c>
      <c r="K312" s="11">
        <f t="shared" si="111"/>
        <v>49200</v>
      </c>
      <c r="P312" s="1">
        <f t="shared" si="112"/>
        <v>49200</v>
      </c>
      <c r="Q312" s="1">
        <f t="shared" si="113"/>
        <v>6595618</v>
      </c>
    </row>
    <row r="313" spans="1:17" x14ac:dyDescent="0.3">
      <c r="A313" s="2">
        <f t="shared" si="109"/>
        <v>311</v>
      </c>
      <c r="B313" s="6">
        <f t="shared" si="114"/>
        <v>672</v>
      </c>
      <c r="C313" s="9">
        <f t="shared" si="115"/>
        <v>28710</v>
      </c>
      <c r="D313" s="6">
        <f t="shared" si="116"/>
        <v>461</v>
      </c>
      <c r="E313" s="9">
        <f t="shared" si="117"/>
        <v>24490</v>
      </c>
      <c r="F313" s="3">
        <f t="shared" si="118"/>
        <v>911</v>
      </c>
      <c r="G313" s="3">
        <f t="shared" si="119"/>
        <v>20270</v>
      </c>
      <c r="J313" s="6">
        <f t="shared" si="110"/>
        <v>4.3099999999999481</v>
      </c>
      <c r="K313" s="11">
        <f t="shared" si="111"/>
        <v>49390</v>
      </c>
      <c r="P313" s="1">
        <f t="shared" si="112"/>
        <v>49390</v>
      </c>
      <c r="Q313" s="1">
        <f t="shared" si="113"/>
        <v>6645008</v>
      </c>
    </row>
    <row r="314" spans="1:17" x14ac:dyDescent="0.3">
      <c r="A314" s="2">
        <f t="shared" si="109"/>
        <v>312</v>
      </c>
      <c r="B314" s="6">
        <f t="shared" si="114"/>
        <v>674</v>
      </c>
      <c r="C314" s="9">
        <f t="shared" si="115"/>
        <v>28820</v>
      </c>
      <c r="D314" s="6">
        <f t="shared" si="116"/>
        <v>462</v>
      </c>
      <c r="E314" s="9">
        <f t="shared" si="117"/>
        <v>24580</v>
      </c>
      <c r="F314" s="3">
        <f t="shared" si="118"/>
        <v>912</v>
      </c>
      <c r="G314" s="3">
        <f t="shared" si="119"/>
        <v>20340</v>
      </c>
      <c r="J314" s="6">
        <f t="shared" si="110"/>
        <v>4.3199999999999479</v>
      </c>
      <c r="K314" s="11">
        <f t="shared" si="111"/>
        <v>49580</v>
      </c>
      <c r="P314" s="1">
        <f t="shared" si="112"/>
        <v>49580</v>
      </c>
      <c r="Q314" s="1">
        <f t="shared" si="113"/>
        <v>6694588</v>
      </c>
    </row>
    <row r="315" spans="1:17" x14ac:dyDescent="0.3">
      <c r="A315" s="2">
        <f t="shared" si="109"/>
        <v>313</v>
      </c>
      <c r="B315" s="6">
        <f t="shared" si="114"/>
        <v>676</v>
      </c>
      <c r="C315" s="9">
        <f t="shared" si="115"/>
        <v>28930</v>
      </c>
      <c r="D315" s="6">
        <f t="shared" si="116"/>
        <v>463</v>
      </c>
      <c r="E315" s="9">
        <f t="shared" si="117"/>
        <v>24670</v>
      </c>
      <c r="F315" s="3">
        <f t="shared" si="118"/>
        <v>913</v>
      </c>
      <c r="G315" s="3">
        <f t="shared" si="119"/>
        <v>20410</v>
      </c>
      <c r="J315" s="6">
        <f t="shared" si="110"/>
        <v>4.3299999999999477</v>
      </c>
      <c r="K315" s="11">
        <f t="shared" si="111"/>
        <v>49770</v>
      </c>
      <c r="P315" s="1">
        <f t="shared" si="112"/>
        <v>49770</v>
      </c>
      <c r="Q315" s="1">
        <f t="shared" si="113"/>
        <v>6744358</v>
      </c>
    </row>
    <row r="316" spans="1:17" x14ac:dyDescent="0.3">
      <c r="A316" s="2">
        <f t="shared" si="109"/>
        <v>314</v>
      </c>
      <c r="B316" s="6">
        <f t="shared" si="114"/>
        <v>678</v>
      </c>
      <c r="C316" s="9">
        <f t="shared" si="115"/>
        <v>29040</v>
      </c>
      <c r="D316" s="6">
        <f t="shared" si="116"/>
        <v>464</v>
      </c>
      <c r="E316" s="9">
        <f t="shared" si="117"/>
        <v>24760</v>
      </c>
      <c r="F316" s="3">
        <f t="shared" si="118"/>
        <v>914</v>
      </c>
      <c r="G316" s="3">
        <f t="shared" si="119"/>
        <v>20480</v>
      </c>
      <c r="J316" s="6">
        <f t="shared" si="110"/>
        <v>4.3399999999999475</v>
      </c>
      <c r="K316" s="11">
        <f t="shared" si="111"/>
        <v>49960</v>
      </c>
      <c r="P316" s="1">
        <f t="shared" si="112"/>
        <v>49960</v>
      </c>
      <c r="Q316" s="1">
        <f t="shared" si="113"/>
        <v>6794318</v>
      </c>
    </row>
    <row r="317" spans="1:17" x14ac:dyDescent="0.3">
      <c r="A317" s="2">
        <f t="shared" si="109"/>
        <v>315</v>
      </c>
      <c r="B317" s="6">
        <f t="shared" si="114"/>
        <v>680</v>
      </c>
      <c r="C317" s="9">
        <f t="shared" si="115"/>
        <v>29150</v>
      </c>
      <c r="D317" s="6">
        <f t="shared" si="116"/>
        <v>465</v>
      </c>
      <c r="E317" s="9">
        <f t="shared" si="117"/>
        <v>24850</v>
      </c>
      <c r="F317" s="3">
        <f t="shared" si="118"/>
        <v>915</v>
      </c>
      <c r="G317" s="3">
        <f t="shared" si="119"/>
        <v>20550</v>
      </c>
      <c r="J317" s="6">
        <f t="shared" si="110"/>
        <v>4.3499999999999472</v>
      </c>
      <c r="K317" s="11">
        <f t="shared" si="111"/>
        <v>50150</v>
      </c>
      <c r="P317" s="1">
        <f t="shared" si="112"/>
        <v>50150</v>
      </c>
      <c r="Q317" s="1">
        <f t="shared" si="113"/>
        <v>6844468</v>
      </c>
    </row>
    <row r="318" spans="1:17" x14ac:dyDescent="0.3">
      <c r="A318" s="2">
        <f t="shared" si="109"/>
        <v>316</v>
      </c>
      <c r="B318" s="6">
        <f t="shared" si="114"/>
        <v>682</v>
      </c>
      <c r="C318" s="9">
        <f t="shared" si="115"/>
        <v>29260</v>
      </c>
      <c r="D318" s="6">
        <f t="shared" si="116"/>
        <v>466</v>
      </c>
      <c r="E318" s="9">
        <f t="shared" si="117"/>
        <v>24940</v>
      </c>
      <c r="F318" s="3">
        <f t="shared" si="118"/>
        <v>916</v>
      </c>
      <c r="G318" s="3">
        <f t="shared" si="119"/>
        <v>20620</v>
      </c>
      <c r="J318" s="6">
        <f t="shared" si="110"/>
        <v>4.359999999999947</v>
      </c>
      <c r="K318" s="11">
        <f t="shared" si="111"/>
        <v>50340</v>
      </c>
      <c r="P318" s="1">
        <f t="shared" si="112"/>
        <v>50340</v>
      </c>
      <c r="Q318" s="1">
        <f t="shared" si="113"/>
        <v>6894808</v>
      </c>
    </row>
    <row r="319" spans="1:17" x14ac:dyDescent="0.3">
      <c r="A319" s="2">
        <f t="shared" si="109"/>
        <v>317</v>
      </c>
      <c r="B319" s="6">
        <f t="shared" si="114"/>
        <v>684</v>
      </c>
      <c r="C319" s="9">
        <f t="shared" si="115"/>
        <v>29370</v>
      </c>
      <c r="D319" s="6">
        <f t="shared" si="116"/>
        <v>467</v>
      </c>
      <c r="E319" s="9">
        <f t="shared" si="117"/>
        <v>25030</v>
      </c>
      <c r="F319" s="3">
        <f t="shared" si="118"/>
        <v>917</v>
      </c>
      <c r="G319" s="3">
        <f t="shared" si="119"/>
        <v>20690</v>
      </c>
      <c r="J319" s="6">
        <f t="shared" si="110"/>
        <v>4.3699999999999468</v>
      </c>
      <c r="K319" s="11">
        <f t="shared" si="111"/>
        <v>50530</v>
      </c>
      <c r="P319" s="1">
        <f t="shared" si="112"/>
        <v>50530</v>
      </c>
      <c r="Q319" s="1">
        <f t="shared" si="113"/>
        <v>6945338</v>
      </c>
    </row>
    <row r="320" spans="1:17" x14ac:dyDescent="0.3">
      <c r="A320" s="2">
        <f t="shared" si="109"/>
        <v>318</v>
      </c>
      <c r="B320" s="6">
        <f t="shared" si="114"/>
        <v>686</v>
      </c>
      <c r="C320" s="9">
        <f t="shared" si="115"/>
        <v>29480</v>
      </c>
      <c r="D320" s="6">
        <f t="shared" si="116"/>
        <v>468</v>
      </c>
      <c r="E320" s="9">
        <f t="shared" si="117"/>
        <v>25120</v>
      </c>
      <c r="F320" s="3">
        <f t="shared" si="118"/>
        <v>918</v>
      </c>
      <c r="G320" s="3">
        <f t="shared" si="119"/>
        <v>20760</v>
      </c>
      <c r="J320" s="6">
        <f t="shared" si="110"/>
        <v>4.3799999999999466</v>
      </c>
      <c r="K320" s="11">
        <f t="shared" si="111"/>
        <v>50720</v>
      </c>
      <c r="P320" s="1">
        <f t="shared" si="112"/>
        <v>50720</v>
      </c>
      <c r="Q320" s="1">
        <f t="shared" si="113"/>
        <v>6996058</v>
      </c>
    </row>
    <row r="321" spans="1:17" x14ac:dyDescent="0.3">
      <c r="A321" s="2">
        <f t="shared" si="109"/>
        <v>319</v>
      </c>
      <c r="B321" s="6">
        <f t="shared" si="114"/>
        <v>688</v>
      </c>
      <c r="C321" s="9">
        <f t="shared" si="115"/>
        <v>29590</v>
      </c>
      <c r="D321" s="6">
        <f t="shared" si="116"/>
        <v>469</v>
      </c>
      <c r="E321" s="9">
        <f t="shared" si="117"/>
        <v>25210</v>
      </c>
      <c r="F321" s="3">
        <f t="shared" si="118"/>
        <v>919</v>
      </c>
      <c r="G321" s="3">
        <f t="shared" si="119"/>
        <v>20830</v>
      </c>
      <c r="J321" s="6">
        <f t="shared" si="110"/>
        <v>4.3899999999999464</v>
      </c>
      <c r="K321" s="11">
        <f t="shared" si="111"/>
        <v>50910</v>
      </c>
      <c r="P321" s="1">
        <f t="shared" si="112"/>
        <v>50910</v>
      </c>
      <c r="Q321" s="1">
        <f t="shared" si="113"/>
        <v>7046968</v>
      </c>
    </row>
    <row r="322" spans="1:17" x14ac:dyDescent="0.3">
      <c r="A322" s="2">
        <f t="shared" si="109"/>
        <v>320</v>
      </c>
      <c r="B322" s="6">
        <f t="shared" si="114"/>
        <v>690</v>
      </c>
      <c r="C322" s="9">
        <f t="shared" si="115"/>
        <v>29700</v>
      </c>
      <c r="D322" s="6">
        <f t="shared" si="116"/>
        <v>470</v>
      </c>
      <c r="E322" s="9">
        <f t="shared" si="117"/>
        <v>25300</v>
      </c>
      <c r="F322" s="3">
        <f t="shared" si="118"/>
        <v>920</v>
      </c>
      <c r="G322" s="3">
        <f t="shared" si="119"/>
        <v>20900</v>
      </c>
      <c r="J322" s="6">
        <f t="shared" si="110"/>
        <v>4.3999999999999462</v>
      </c>
      <c r="K322" s="11">
        <f t="shared" si="111"/>
        <v>51100</v>
      </c>
      <c r="P322" s="1">
        <f t="shared" si="112"/>
        <v>51100</v>
      </c>
      <c r="Q322" s="1">
        <f t="shared" si="113"/>
        <v>7098068</v>
      </c>
    </row>
    <row r="323" spans="1:17" x14ac:dyDescent="0.3">
      <c r="A323" s="2">
        <f t="shared" si="109"/>
        <v>321</v>
      </c>
      <c r="B323" s="6">
        <f t="shared" si="114"/>
        <v>692</v>
      </c>
      <c r="C323" s="9">
        <f t="shared" si="115"/>
        <v>29810</v>
      </c>
      <c r="D323" s="6">
        <f t="shared" si="116"/>
        <v>471</v>
      </c>
      <c r="E323" s="9">
        <f t="shared" si="117"/>
        <v>25390</v>
      </c>
      <c r="F323" s="3">
        <f t="shared" si="118"/>
        <v>921</v>
      </c>
      <c r="G323" s="3">
        <f t="shared" si="119"/>
        <v>20970</v>
      </c>
      <c r="J323" s="6">
        <f t="shared" si="110"/>
        <v>4.409999999999946</v>
      </c>
      <c r="K323" s="11">
        <f t="shared" si="111"/>
        <v>51290</v>
      </c>
      <c r="P323" s="1">
        <f t="shared" si="112"/>
        <v>51290</v>
      </c>
      <c r="Q323" s="1">
        <f t="shared" si="113"/>
        <v>7149358</v>
      </c>
    </row>
    <row r="324" spans="1:17" x14ac:dyDescent="0.3">
      <c r="A324" s="2">
        <f t="shared" si="109"/>
        <v>322</v>
      </c>
      <c r="B324" s="6">
        <f t="shared" si="114"/>
        <v>694</v>
      </c>
      <c r="C324" s="9">
        <f t="shared" si="115"/>
        <v>29920</v>
      </c>
      <c r="D324" s="6">
        <f t="shared" si="116"/>
        <v>472</v>
      </c>
      <c r="E324" s="9">
        <f t="shared" si="117"/>
        <v>25480</v>
      </c>
      <c r="F324" s="3">
        <f t="shared" si="118"/>
        <v>922</v>
      </c>
      <c r="G324" s="3">
        <f t="shared" si="119"/>
        <v>21040</v>
      </c>
      <c r="J324" s="6">
        <f t="shared" si="110"/>
        <v>4.4199999999999458</v>
      </c>
      <c r="K324" s="11">
        <f t="shared" si="111"/>
        <v>51480</v>
      </c>
      <c r="P324" s="1">
        <f t="shared" si="112"/>
        <v>51480</v>
      </c>
      <c r="Q324" s="1">
        <f t="shared" si="113"/>
        <v>7200838</v>
      </c>
    </row>
    <row r="325" spans="1:17" x14ac:dyDescent="0.3">
      <c r="A325" s="2">
        <f t="shared" ref="A325:A388" si="120">A324+1</f>
        <v>323</v>
      </c>
      <c r="B325" s="6">
        <f t="shared" si="114"/>
        <v>696</v>
      </c>
      <c r="C325" s="9">
        <f t="shared" si="115"/>
        <v>30030</v>
      </c>
      <c r="D325" s="6">
        <f t="shared" si="116"/>
        <v>473</v>
      </c>
      <c r="E325" s="9">
        <f t="shared" si="117"/>
        <v>25570</v>
      </c>
      <c r="F325" s="3">
        <f t="shared" si="118"/>
        <v>923</v>
      </c>
      <c r="G325" s="3">
        <f t="shared" si="119"/>
        <v>21110</v>
      </c>
      <c r="J325" s="6">
        <f t="shared" si="110"/>
        <v>4.4299999999999455</v>
      </c>
      <c r="K325" s="11">
        <f t="shared" si="111"/>
        <v>51670</v>
      </c>
      <c r="P325" s="1">
        <f t="shared" si="112"/>
        <v>51670</v>
      </c>
      <c r="Q325" s="1">
        <f t="shared" si="113"/>
        <v>7252508</v>
      </c>
    </row>
    <row r="326" spans="1:17" x14ac:dyDescent="0.3">
      <c r="A326" s="2">
        <f t="shared" si="120"/>
        <v>324</v>
      </c>
      <c r="B326" s="6">
        <f t="shared" si="114"/>
        <v>698</v>
      </c>
      <c r="C326" s="9">
        <f t="shared" si="115"/>
        <v>30140</v>
      </c>
      <c r="D326" s="6">
        <f t="shared" si="116"/>
        <v>474</v>
      </c>
      <c r="E326" s="9">
        <f t="shared" si="117"/>
        <v>25660</v>
      </c>
      <c r="F326" s="3">
        <f t="shared" si="118"/>
        <v>924</v>
      </c>
      <c r="G326" s="3">
        <f t="shared" si="119"/>
        <v>21180</v>
      </c>
      <c r="J326" s="6">
        <f t="shared" si="110"/>
        <v>4.4399999999999453</v>
      </c>
      <c r="K326" s="11">
        <f t="shared" si="111"/>
        <v>51860</v>
      </c>
      <c r="P326" s="1">
        <f t="shared" si="112"/>
        <v>51860</v>
      </c>
      <c r="Q326" s="1">
        <f t="shared" si="113"/>
        <v>7304368</v>
      </c>
    </row>
    <row r="327" spans="1:17" x14ac:dyDescent="0.3">
      <c r="A327" s="2">
        <f t="shared" si="120"/>
        <v>325</v>
      </c>
      <c r="B327" s="6">
        <f t="shared" si="114"/>
        <v>700</v>
      </c>
      <c r="C327" s="9">
        <f t="shared" si="115"/>
        <v>30250</v>
      </c>
      <c r="D327" s="6">
        <f t="shared" si="116"/>
        <v>475</v>
      </c>
      <c r="E327" s="9">
        <f t="shared" si="117"/>
        <v>25750</v>
      </c>
      <c r="F327" s="3">
        <f t="shared" si="118"/>
        <v>925</v>
      </c>
      <c r="G327" s="3">
        <f t="shared" si="119"/>
        <v>21250</v>
      </c>
      <c r="J327" s="6">
        <f t="shared" si="110"/>
        <v>4.4499999999999451</v>
      </c>
      <c r="K327" s="11">
        <f t="shared" si="111"/>
        <v>52050</v>
      </c>
      <c r="P327" s="1">
        <f t="shared" si="112"/>
        <v>52050</v>
      </c>
      <c r="Q327" s="1">
        <f t="shared" si="113"/>
        <v>7356418</v>
      </c>
    </row>
    <row r="328" spans="1:17" x14ac:dyDescent="0.3">
      <c r="A328" s="2">
        <f t="shared" si="120"/>
        <v>326</v>
      </c>
      <c r="B328" s="6">
        <f t="shared" si="114"/>
        <v>702</v>
      </c>
      <c r="C328" s="9">
        <f t="shared" si="115"/>
        <v>30360</v>
      </c>
      <c r="D328" s="6">
        <f t="shared" si="116"/>
        <v>476</v>
      </c>
      <c r="E328" s="9">
        <f t="shared" si="117"/>
        <v>25840</v>
      </c>
      <c r="F328" s="3">
        <f t="shared" si="118"/>
        <v>926</v>
      </c>
      <c r="G328" s="3">
        <f t="shared" si="119"/>
        <v>21320</v>
      </c>
      <c r="J328" s="6">
        <f t="shared" si="110"/>
        <v>4.4599999999999449</v>
      </c>
      <c r="K328" s="11">
        <f t="shared" si="111"/>
        <v>52240</v>
      </c>
      <c r="P328" s="1">
        <f t="shared" si="112"/>
        <v>52240</v>
      </c>
      <c r="Q328" s="1">
        <f t="shared" si="113"/>
        <v>7408658</v>
      </c>
    </row>
    <row r="329" spans="1:17" x14ac:dyDescent="0.3">
      <c r="A329" s="2">
        <f t="shared" si="120"/>
        <v>327</v>
      </c>
      <c r="B329" s="6">
        <f t="shared" si="114"/>
        <v>704</v>
      </c>
      <c r="C329" s="9">
        <f t="shared" si="115"/>
        <v>30470</v>
      </c>
      <c r="D329" s="6">
        <f t="shared" si="116"/>
        <v>477</v>
      </c>
      <c r="E329" s="9">
        <f t="shared" si="117"/>
        <v>25930</v>
      </c>
      <c r="F329" s="3">
        <f t="shared" si="118"/>
        <v>927</v>
      </c>
      <c r="G329" s="3">
        <f t="shared" si="119"/>
        <v>21390</v>
      </c>
      <c r="J329" s="6">
        <f t="shared" si="110"/>
        <v>4.4699999999999447</v>
      </c>
      <c r="K329" s="11">
        <f t="shared" si="111"/>
        <v>52430</v>
      </c>
      <c r="P329" s="1">
        <f t="shared" si="112"/>
        <v>52430</v>
      </c>
      <c r="Q329" s="1">
        <f t="shared" si="113"/>
        <v>7461088</v>
      </c>
    </row>
    <row r="330" spans="1:17" x14ac:dyDescent="0.3">
      <c r="A330" s="2">
        <f t="shared" si="120"/>
        <v>328</v>
      </c>
      <c r="B330" s="6">
        <f t="shared" si="114"/>
        <v>706</v>
      </c>
      <c r="C330" s="9">
        <f t="shared" si="115"/>
        <v>30580</v>
      </c>
      <c r="D330" s="6">
        <f t="shared" si="116"/>
        <v>478</v>
      </c>
      <c r="E330" s="9">
        <f t="shared" si="117"/>
        <v>26020</v>
      </c>
      <c r="F330" s="3">
        <f t="shared" si="118"/>
        <v>928</v>
      </c>
      <c r="G330" s="3">
        <f t="shared" si="119"/>
        <v>21460</v>
      </c>
      <c r="J330" s="6">
        <f t="shared" si="110"/>
        <v>4.4799999999999445</v>
      </c>
      <c r="K330" s="11">
        <f t="shared" si="111"/>
        <v>52620</v>
      </c>
      <c r="P330" s="1">
        <f t="shared" si="112"/>
        <v>52620</v>
      </c>
      <c r="Q330" s="1">
        <f t="shared" si="113"/>
        <v>7513708</v>
      </c>
    </row>
    <row r="331" spans="1:17" x14ac:dyDescent="0.3">
      <c r="A331" s="2">
        <f t="shared" si="120"/>
        <v>329</v>
      </c>
      <c r="B331" s="6">
        <f t="shared" si="114"/>
        <v>708</v>
      </c>
      <c r="C331" s="9">
        <f t="shared" si="115"/>
        <v>30690</v>
      </c>
      <c r="D331" s="6">
        <f t="shared" si="116"/>
        <v>479</v>
      </c>
      <c r="E331" s="9">
        <f t="shared" si="117"/>
        <v>26110</v>
      </c>
      <c r="F331" s="3">
        <f t="shared" si="118"/>
        <v>929</v>
      </c>
      <c r="G331" s="3">
        <f t="shared" si="119"/>
        <v>21530</v>
      </c>
      <c r="J331" s="6">
        <f t="shared" si="110"/>
        <v>4.4899999999999443</v>
      </c>
      <c r="K331" s="11">
        <f t="shared" si="111"/>
        <v>52810</v>
      </c>
      <c r="P331" s="1">
        <f t="shared" si="112"/>
        <v>52810</v>
      </c>
      <c r="Q331" s="1">
        <f t="shared" si="113"/>
        <v>7566518</v>
      </c>
    </row>
    <row r="332" spans="1:17" x14ac:dyDescent="0.3">
      <c r="A332" s="2">
        <f t="shared" si="120"/>
        <v>330</v>
      </c>
      <c r="B332" s="6">
        <f t="shared" si="114"/>
        <v>710</v>
      </c>
      <c r="C332" s="9">
        <f t="shared" si="115"/>
        <v>30800</v>
      </c>
      <c r="D332" s="6">
        <f t="shared" si="116"/>
        <v>480</v>
      </c>
      <c r="E332" s="9">
        <f t="shared" si="117"/>
        <v>26200</v>
      </c>
      <c r="F332" s="3">
        <f t="shared" si="118"/>
        <v>930</v>
      </c>
      <c r="G332" s="3">
        <f t="shared" si="119"/>
        <v>21600</v>
      </c>
      <c r="J332" s="6">
        <f t="shared" si="110"/>
        <v>4.499999999999944</v>
      </c>
      <c r="K332" s="11">
        <f t="shared" si="111"/>
        <v>53000</v>
      </c>
      <c r="P332" s="1">
        <f t="shared" si="112"/>
        <v>53000</v>
      </c>
      <c r="Q332" s="1">
        <f t="shared" si="113"/>
        <v>7619518</v>
      </c>
    </row>
    <row r="333" spans="1:17" x14ac:dyDescent="0.3">
      <c r="A333" s="2">
        <f t="shared" si="120"/>
        <v>331</v>
      </c>
      <c r="B333" s="6">
        <f t="shared" si="114"/>
        <v>712</v>
      </c>
      <c r="C333" s="9">
        <f t="shared" si="115"/>
        <v>30910</v>
      </c>
      <c r="D333" s="6">
        <f t="shared" si="116"/>
        <v>481</v>
      </c>
      <c r="E333" s="9">
        <f t="shared" si="117"/>
        <v>26290</v>
      </c>
      <c r="F333" s="3">
        <f t="shared" si="118"/>
        <v>931</v>
      </c>
      <c r="G333" s="3">
        <f t="shared" si="119"/>
        <v>21670</v>
      </c>
      <c r="J333" s="6">
        <f t="shared" si="110"/>
        <v>4.5099999999999438</v>
      </c>
      <c r="K333" s="11">
        <f t="shared" si="111"/>
        <v>53190</v>
      </c>
      <c r="P333" s="1">
        <f t="shared" si="112"/>
        <v>53190</v>
      </c>
      <c r="Q333" s="1">
        <f t="shared" si="113"/>
        <v>7672708</v>
      </c>
    </row>
    <row r="334" spans="1:17" x14ac:dyDescent="0.3">
      <c r="A334" s="2">
        <f t="shared" si="120"/>
        <v>332</v>
      </c>
      <c r="B334" s="6">
        <f t="shared" si="114"/>
        <v>714</v>
      </c>
      <c r="C334" s="9">
        <f t="shared" si="115"/>
        <v>31020</v>
      </c>
      <c r="D334" s="6">
        <f t="shared" si="116"/>
        <v>482</v>
      </c>
      <c r="E334" s="9">
        <f t="shared" si="117"/>
        <v>26380</v>
      </c>
      <c r="F334" s="3">
        <f t="shared" si="118"/>
        <v>932</v>
      </c>
      <c r="G334" s="3">
        <f t="shared" si="119"/>
        <v>21740</v>
      </c>
      <c r="J334" s="6">
        <f t="shared" si="110"/>
        <v>4.5199999999999436</v>
      </c>
      <c r="K334" s="11">
        <f t="shared" si="111"/>
        <v>53380</v>
      </c>
      <c r="P334" s="1">
        <f t="shared" si="112"/>
        <v>53380</v>
      </c>
      <c r="Q334" s="1">
        <f t="shared" si="113"/>
        <v>7726088</v>
      </c>
    </row>
    <row r="335" spans="1:17" x14ac:dyDescent="0.3">
      <c r="A335" s="2">
        <f t="shared" si="120"/>
        <v>333</v>
      </c>
      <c r="B335" s="6">
        <f t="shared" si="114"/>
        <v>716</v>
      </c>
      <c r="C335" s="9">
        <f t="shared" si="115"/>
        <v>31130</v>
      </c>
      <c r="D335" s="6">
        <f t="shared" si="116"/>
        <v>483</v>
      </c>
      <c r="E335" s="9">
        <f t="shared" si="117"/>
        <v>26470</v>
      </c>
      <c r="F335" s="3">
        <f t="shared" si="118"/>
        <v>933</v>
      </c>
      <c r="G335" s="3">
        <f t="shared" si="119"/>
        <v>21810</v>
      </c>
      <c r="J335" s="6">
        <f t="shared" si="110"/>
        <v>4.5299999999999434</v>
      </c>
      <c r="K335" s="11">
        <f t="shared" si="111"/>
        <v>53570</v>
      </c>
      <c r="P335" s="1">
        <f t="shared" si="112"/>
        <v>53570</v>
      </c>
      <c r="Q335" s="1">
        <f t="shared" si="113"/>
        <v>7779658</v>
      </c>
    </row>
    <row r="336" spans="1:17" x14ac:dyDescent="0.3">
      <c r="A336" s="2">
        <f t="shared" si="120"/>
        <v>334</v>
      </c>
      <c r="B336" s="6">
        <f t="shared" si="114"/>
        <v>718</v>
      </c>
      <c r="C336" s="9">
        <f t="shared" si="115"/>
        <v>31240</v>
      </c>
      <c r="D336" s="6">
        <f t="shared" si="116"/>
        <v>484</v>
      </c>
      <c r="E336" s="9">
        <f t="shared" si="117"/>
        <v>26560</v>
      </c>
      <c r="F336" s="3">
        <f t="shared" si="118"/>
        <v>934</v>
      </c>
      <c r="G336" s="3">
        <f t="shared" si="119"/>
        <v>21880</v>
      </c>
      <c r="J336" s="6">
        <f t="shared" si="110"/>
        <v>4.5399999999999432</v>
      </c>
      <c r="K336" s="11">
        <f t="shared" si="111"/>
        <v>53760</v>
      </c>
      <c r="P336" s="1">
        <f t="shared" si="112"/>
        <v>53760</v>
      </c>
      <c r="Q336" s="1">
        <f t="shared" si="113"/>
        <v>7833418</v>
      </c>
    </row>
    <row r="337" spans="1:17" x14ac:dyDescent="0.3">
      <c r="A337" s="2">
        <f t="shared" si="120"/>
        <v>335</v>
      </c>
      <c r="B337" s="6">
        <f t="shared" si="114"/>
        <v>720</v>
      </c>
      <c r="C337" s="9">
        <f t="shared" si="115"/>
        <v>31350</v>
      </c>
      <c r="D337" s="6">
        <f t="shared" si="116"/>
        <v>485</v>
      </c>
      <c r="E337" s="9">
        <f t="shared" si="117"/>
        <v>26650</v>
      </c>
      <c r="F337" s="3">
        <f t="shared" si="118"/>
        <v>935</v>
      </c>
      <c r="G337" s="3">
        <f t="shared" si="119"/>
        <v>21950</v>
      </c>
      <c r="J337" s="6">
        <f t="shared" si="110"/>
        <v>4.549999999999943</v>
      </c>
      <c r="K337" s="11">
        <f t="shared" si="111"/>
        <v>53950</v>
      </c>
      <c r="P337" s="1">
        <f t="shared" si="112"/>
        <v>53950</v>
      </c>
      <c r="Q337" s="1">
        <f t="shared" si="113"/>
        <v>7887368</v>
      </c>
    </row>
    <row r="338" spans="1:17" x14ac:dyDescent="0.3">
      <c r="A338" s="2">
        <f t="shared" si="120"/>
        <v>336</v>
      </c>
      <c r="B338" s="6">
        <f t="shared" si="114"/>
        <v>722</v>
      </c>
      <c r="C338" s="9">
        <f t="shared" si="115"/>
        <v>31460</v>
      </c>
      <c r="D338" s="6">
        <f t="shared" si="116"/>
        <v>486</v>
      </c>
      <c r="E338" s="9">
        <f t="shared" si="117"/>
        <v>26740</v>
      </c>
      <c r="F338" s="3">
        <f t="shared" si="118"/>
        <v>936</v>
      </c>
      <c r="G338" s="3">
        <f t="shared" si="119"/>
        <v>22020</v>
      </c>
      <c r="J338" s="6">
        <f t="shared" si="110"/>
        <v>4.5599999999999428</v>
      </c>
      <c r="K338" s="11">
        <f t="shared" si="111"/>
        <v>54140</v>
      </c>
      <c r="P338" s="1">
        <f t="shared" si="112"/>
        <v>54140</v>
      </c>
      <c r="Q338" s="1">
        <f t="shared" si="113"/>
        <v>7941508</v>
      </c>
    </row>
    <row r="339" spans="1:17" x14ac:dyDescent="0.3">
      <c r="A339" s="2">
        <f t="shared" si="120"/>
        <v>337</v>
      </c>
      <c r="B339" s="6">
        <f t="shared" si="114"/>
        <v>724</v>
      </c>
      <c r="C339" s="9">
        <f t="shared" si="115"/>
        <v>31570</v>
      </c>
      <c r="D339" s="6">
        <f t="shared" si="116"/>
        <v>487</v>
      </c>
      <c r="E339" s="9">
        <f t="shared" si="117"/>
        <v>26830</v>
      </c>
      <c r="F339" s="3">
        <f t="shared" si="118"/>
        <v>937</v>
      </c>
      <c r="G339" s="3">
        <f t="shared" si="119"/>
        <v>22090</v>
      </c>
      <c r="J339" s="6">
        <f t="shared" si="110"/>
        <v>4.5699999999999426</v>
      </c>
      <c r="K339" s="11">
        <f t="shared" si="111"/>
        <v>54330</v>
      </c>
      <c r="P339" s="1">
        <f t="shared" si="112"/>
        <v>54330</v>
      </c>
      <c r="Q339" s="1">
        <f t="shared" si="113"/>
        <v>7995838</v>
      </c>
    </row>
    <row r="340" spans="1:17" x14ac:dyDescent="0.3">
      <c r="A340" s="2">
        <f t="shared" si="120"/>
        <v>338</v>
      </c>
      <c r="B340" s="6">
        <f t="shared" si="114"/>
        <v>726</v>
      </c>
      <c r="C340" s="9">
        <f t="shared" si="115"/>
        <v>31680</v>
      </c>
      <c r="D340" s="6">
        <f t="shared" si="116"/>
        <v>488</v>
      </c>
      <c r="E340" s="9">
        <f t="shared" si="117"/>
        <v>26920</v>
      </c>
      <c r="F340" s="3">
        <f t="shared" si="118"/>
        <v>938</v>
      </c>
      <c r="G340" s="3">
        <f t="shared" si="119"/>
        <v>22160</v>
      </c>
      <c r="J340" s="6">
        <f t="shared" ref="J340:J403" si="121">J339+0.01</f>
        <v>4.5799999999999423</v>
      </c>
      <c r="K340" s="11">
        <f t="shared" ref="K340:K403" si="122">K339+190</f>
        <v>54520</v>
      </c>
      <c r="P340" s="1">
        <f t="shared" si="112"/>
        <v>54520</v>
      </c>
      <c r="Q340" s="1">
        <f t="shared" si="113"/>
        <v>8050358</v>
      </c>
    </row>
    <row r="341" spans="1:17" x14ac:dyDescent="0.3">
      <c r="A341" s="2">
        <f t="shared" si="120"/>
        <v>339</v>
      </c>
      <c r="B341" s="6">
        <f t="shared" si="114"/>
        <v>728</v>
      </c>
      <c r="C341" s="9">
        <f t="shared" si="115"/>
        <v>31790</v>
      </c>
      <c r="D341" s="6">
        <f t="shared" si="116"/>
        <v>489</v>
      </c>
      <c r="E341" s="9">
        <f t="shared" si="117"/>
        <v>27010</v>
      </c>
      <c r="F341" s="3">
        <f t="shared" si="118"/>
        <v>939</v>
      </c>
      <c r="G341" s="3">
        <f t="shared" si="119"/>
        <v>22230</v>
      </c>
      <c r="J341" s="6">
        <f t="shared" si="121"/>
        <v>4.5899999999999421</v>
      </c>
      <c r="K341" s="11">
        <f t="shared" si="122"/>
        <v>54710</v>
      </c>
      <c r="P341" s="1">
        <f t="shared" si="112"/>
        <v>54710</v>
      </c>
      <c r="Q341" s="1">
        <f t="shared" si="113"/>
        <v>8105068</v>
      </c>
    </row>
    <row r="342" spans="1:17" x14ac:dyDescent="0.3">
      <c r="A342" s="2">
        <f t="shared" si="120"/>
        <v>340</v>
      </c>
      <c r="B342" s="6">
        <f t="shared" si="114"/>
        <v>730</v>
      </c>
      <c r="C342" s="9">
        <f t="shared" si="115"/>
        <v>31900</v>
      </c>
      <c r="D342" s="6">
        <f t="shared" si="116"/>
        <v>490</v>
      </c>
      <c r="E342" s="9">
        <f t="shared" si="117"/>
        <v>27100</v>
      </c>
      <c r="F342" s="3">
        <f t="shared" si="118"/>
        <v>940</v>
      </c>
      <c r="G342" s="3">
        <f t="shared" si="119"/>
        <v>22300</v>
      </c>
      <c r="J342" s="6">
        <f t="shared" si="121"/>
        <v>4.5999999999999419</v>
      </c>
      <c r="K342" s="11">
        <f t="shared" si="122"/>
        <v>54900</v>
      </c>
      <c r="P342" s="1">
        <f t="shared" si="112"/>
        <v>54900</v>
      </c>
      <c r="Q342" s="1">
        <f t="shared" si="113"/>
        <v>8159968</v>
      </c>
    </row>
    <row r="343" spans="1:17" x14ac:dyDescent="0.3">
      <c r="A343" s="2">
        <f t="shared" si="120"/>
        <v>341</v>
      </c>
      <c r="B343" s="6">
        <f t="shared" si="114"/>
        <v>732</v>
      </c>
      <c r="C343" s="9">
        <f t="shared" si="115"/>
        <v>32010</v>
      </c>
      <c r="D343" s="6">
        <f t="shared" si="116"/>
        <v>491</v>
      </c>
      <c r="E343" s="9">
        <f t="shared" si="117"/>
        <v>27190</v>
      </c>
      <c r="F343" s="3">
        <f t="shared" si="118"/>
        <v>941</v>
      </c>
      <c r="G343" s="3">
        <f t="shared" si="119"/>
        <v>22370</v>
      </c>
      <c r="J343" s="6">
        <f t="shared" si="121"/>
        <v>4.6099999999999417</v>
      </c>
      <c r="K343" s="11">
        <f t="shared" si="122"/>
        <v>55090</v>
      </c>
      <c r="P343" s="1">
        <f t="shared" si="112"/>
        <v>55090</v>
      </c>
      <c r="Q343" s="1">
        <f t="shared" si="113"/>
        <v>8215058</v>
      </c>
    </row>
    <row r="344" spans="1:17" x14ac:dyDescent="0.3">
      <c r="A344" s="2">
        <f t="shared" si="120"/>
        <v>342</v>
      </c>
      <c r="B344" s="6">
        <f t="shared" si="114"/>
        <v>734</v>
      </c>
      <c r="C344" s="9">
        <f t="shared" si="115"/>
        <v>32120</v>
      </c>
      <c r="D344" s="6">
        <f t="shared" si="116"/>
        <v>492</v>
      </c>
      <c r="E344" s="9">
        <f t="shared" si="117"/>
        <v>27280</v>
      </c>
      <c r="F344" s="3">
        <f t="shared" si="118"/>
        <v>942</v>
      </c>
      <c r="G344" s="3">
        <f t="shared" si="119"/>
        <v>22440</v>
      </c>
      <c r="J344" s="6">
        <f t="shared" si="121"/>
        <v>4.6199999999999415</v>
      </c>
      <c r="K344" s="11">
        <f t="shared" si="122"/>
        <v>55280</v>
      </c>
      <c r="P344" s="1">
        <f t="shared" si="112"/>
        <v>55280</v>
      </c>
      <c r="Q344" s="1">
        <f t="shared" si="113"/>
        <v>8270338</v>
      </c>
    </row>
    <row r="345" spans="1:17" x14ac:dyDescent="0.3">
      <c r="A345" s="2">
        <f t="shared" si="120"/>
        <v>343</v>
      </c>
      <c r="B345" s="6">
        <f t="shared" si="114"/>
        <v>736</v>
      </c>
      <c r="C345" s="9">
        <f t="shared" si="115"/>
        <v>32230</v>
      </c>
      <c r="D345" s="6">
        <f t="shared" si="116"/>
        <v>493</v>
      </c>
      <c r="E345" s="9">
        <f t="shared" si="117"/>
        <v>27370</v>
      </c>
      <c r="F345" s="3">
        <f t="shared" si="118"/>
        <v>943</v>
      </c>
      <c r="G345" s="3">
        <f t="shared" si="119"/>
        <v>22510</v>
      </c>
      <c r="J345" s="6">
        <f t="shared" si="121"/>
        <v>4.6299999999999413</v>
      </c>
      <c r="K345" s="11">
        <f t="shared" si="122"/>
        <v>55470</v>
      </c>
      <c r="P345" s="1">
        <f t="shared" si="112"/>
        <v>55470</v>
      </c>
      <c r="Q345" s="1">
        <f t="shared" si="113"/>
        <v>8325808</v>
      </c>
    </row>
    <row r="346" spans="1:17" x14ac:dyDescent="0.3">
      <c r="A346" s="2">
        <f t="shared" si="120"/>
        <v>344</v>
      </c>
      <c r="B346" s="6">
        <f t="shared" si="114"/>
        <v>738</v>
      </c>
      <c r="C346" s="9">
        <f t="shared" si="115"/>
        <v>32340</v>
      </c>
      <c r="D346" s="6">
        <f t="shared" si="116"/>
        <v>494</v>
      </c>
      <c r="E346" s="9">
        <f t="shared" si="117"/>
        <v>27460</v>
      </c>
      <c r="F346" s="3">
        <f t="shared" si="118"/>
        <v>944</v>
      </c>
      <c r="G346" s="3">
        <f t="shared" si="119"/>
        <v>22580</v>
      </c>
      <c r="J346" s="6">
        <f t="shared" si="121"/>
        <v>4.6399999999999411</v>
      </c>
      <c r="K346" s="11">
        <f t="shared" si="122"/>
        <v>55660</v>
      </c>
      <c r="P346" s="1">
        <f t="shared" si="112"/>
        <v>55660</v>
      </c>
      <c r="Q346" s="1">
        <f t="shared" si="113"/>
        <v>8381468</v>
      </c>
    </row>
    <row r="347" spans="1:17" x14ac:dyDescent="0.3">
      <c r="A347" s="2">
        <f t="shared" si="120"/>
        <v>345</v>
      </c>
      <c r="B347" s="6">
        <f t="shared" si="114"/>
        <v>740</v>
      </c>
      <c r="C347" s="9">
        <f t="shared" si="115"/>
        <v>32450</v>
      </c>
      <c r="D347" s="6">
        <f t="shared" si="116"/>
        <v>495</v>
      </c>
      <c r="E347" s="9">
        <f t="shared" si="117"/>
        <v>27550</v>
      </c>
      <c r="F347" s="3">
        <f t="shared" si="118"/>
        <v>945</v>
      </c>
      <c r="G347" s="3">
        <f t="shared" si="119"/>
        <v>22650</v>
      </c>
      <c r="J347" s="6">
        <f t="shared" si="121"/>
        <v>4.6499999999999408</v>
      </c>
      <c r="K347" s="11">
        <f t="shared" si="122"/>
        <v>55850</v>
      </c>
      <c r="P347" s="1">
        <f t="shared" si="112"/>
        <v>55850</v>
      </c>
      <c r="Q347" s="1">
        <f t="shared" si="113"/>
        <v>8437318</v>
      </c>
    </row>
    <row r="348" spans="1:17" x14ac:dyDescent="0.3">
      <c r="A348" s="2">
        <f t="shared" si="120"/>
        <v>346</v>
      </c>
      <c r="B348" s="6">
        <f t="shared" si="114"/>
        <v>742</v>
      </c>
      <c r="C348" s="9">
        <f t="shared" si="115"/>
        <v>32560</v>
      </c>
      <c r="D348" s="6">
        <f t="shared" si="116"/>
        <v>496</v>
      </c>
      <c r="E348" s="9">
        <f t="shared" si="117"/>
        <v>27640</v>
      </c>
      <c r="F348" s="3">
        <f t="shared" si="118"/>
        <v>946</v>
      </c>
      <c r="G348" s="3">
        <f t="shared" si="119"/>
        <v>22720</v>
      </c>
      <c r="J348" s="6">
        <f t="shared" si="121"/>
        <v>4.6599999999999406</v>
      </c>
      <c r="K348" s="11">
        <f t="shared" si="122"/>
        <v>56040</v>
      </c>
      <c r="P348" s="1">
        <f t="shared" si="112"/>
        <v>56040</v>
      </c>
      <c r="Q348" s="1">
        <f t="shared" si="113"/>
        <v>8493358</v>
      </c>
    </row>
    <row r="349" spans="1:17" x14ac:dyDescent="0.3">
      <c r="A349" s="2">
        <f t="shared" si="120"/>
        <v>347</v>
      </c>
      <c r="B349" s="6">
        <f t="shared" si="114"/>
        <v>744</v>
      </c>
      <c r="C349" s="9">
        <f t="shared" si="115"/>
        <v>32670</v>
      </c>
      <c r="D349" s="6">
        <f t="shared" si="116"/>
        <v>497</v>
      </c>
      <c r="E349" s="9">
        <f t="shared" si="117"/>
        <v>27730</v>
      </c>
      <c r="F349" s="3">
        <f t="shared" si="118"/>
        <v>947</v>
      </c>
      <c r="G349" s="3">
        <f t="shared" si="119"/>
        <v>22790</v>
      </c>
      <c r="J349" s="6">
        <f t="shared" si="121"/>
        <v>4.6699999999999404</v>
      </c>
      <c r="K349" s="11">
        <f t="shared" si="122"/>
        <v>56230</v>
      </c>
      <c r="P349" s="1">
        <f t="shared" si="112"/>
        <v>56230</v>
      </c>
      <c r="Q349" s="1">
        <f t="shared" si="113"/>
        <v>8549588</v>
      </c>
    </row>
    <row r="350" spans="1:17" x14ac:dyDescent="0.3">
      <c r="A350" s="2">
        <f t="shared" si="120"/>
        <v>348</v>
      </c>
      <c r="B350" s="6">
        <f t="shared" si="114"/>
        <v>746</v>
      </c>
      <c r="C350" s="9">
        <f t="shared" si="115"/>
        <v>32780</v>
      </c>
      <c r="D350" s="6">
        <f t="shared" si="116"/>
        <v>498</v>
      </c>
      <c r="E350" s="9">
        <f t="shared" si="117"/>
        <v>27820</v>
      </c>
      <c r="F350" s="3">
        <f t="shared" si="118"/>
        <v>948</v>
      </c>
      <c r="G350" s="3">
        <f t="shared" si="119"/>
        <v>22860</v>
      </c>
      <c r="J350" s="6">
        <f t="shared" si="121"/>
        <v>4.6799999999999402</v>
      </c>
      <c r="K350" s="11">
        <f t="shared" si="122"/>
        <v>56420</v>
      </c>
      <c r="P350" s="1">
        <f t="shared" si="112"/>
        <v>56420</v>
      </c>
      <c r="Q350" s="1">
        <f t="shared" si="113"/>
        <v>8606008</v>
      </c>
    </row>
    <row r="351" spans="1:17" x14ac:dyDescent="0.3">
      <c r="A351" s="2">
        <f t="shared" si="120"/>
        <v>349</v>
      </c>
      <c r="B351" s="6">
        <f t="shared" si="114"/>
        <v>748</v>
      </c>
      <c r="C351" s="9">
        <f t="shared" si="115"/>
        <v>32890</v>
      </c>
      <c r="D351" s="6">
        <f t="shared" si="116"/>
        <v>499</v>
      </c>
      <c r="E351" s="9">
        <f t="shared" si="117"/>
        <v>27910</v>
      </c>
      <c r="F351" s="3">
        <f t="shared" si="118"/>
        <v>949</v>
      </c>
      <c r="G351" s="3">
        <f t="shared" si="119"/>
        <v>22930</v>
      </c>
      <c r="J351" s="6">
        <f t="shared" si="121"/>
        <v>4.68999999999994</v>
      </c>
      <c r="K351" s="11">
        <f t="shared" si="122"/>
        <v>56610</v>
      </c>
      <c r="P351" s="1">
        <f t="shared" si="112"/>
        <v>56610</v>
      </c>
      <c r="Q351" s="1">
        <f t="shared" si="113"/>
        <v>8662618</v>
      </c>
    </row>
    <row r="352" spans="1:17" x14ac:dyDescent="0.3">
      <c r="A352" s="2">
        <f t="shared" si="120"/>
        <v>350</v>
      </c>
      <c r="B352" s="6">
        <f t="shared" si="114"/>
        <v>750</v>
      </c>
      <c r="C352" s="9">
        <f t="shared" si="115"/>
        <v>33000</v>
      </c>
      <c r="D352" s="6">
        <f t="shared" si="116"/>
        <v>500</v>
      </c>
      <c r="E352" s="9">
        <f t="shared" si="117"/>
        <v>28000</v>
      </c>
      <c r="F352" s="3">
        <f t="shared" si="118"/>
        <v>950</v>
      </c>
      <c r="G352" s="3">
        <f t="shared" si="119"/>
        <v>23000</v>
      </c>
      <c r="J352" s="6">
        <f t="shared" si="121"/>
        <v>4.6999999999999398</v>
      </c>
      <c r="K352" s="11">
        <f t="shared" si="122"/>
        <v>56800</v>
      </c>
      <c r="P352" s="1">
        <f t="shared" si="112"/>
        <v>56800</v>
      </c>
      <c r="Q352" s="1">
        <f t="shared" si="113"/>
        <v>8719418</v>
      </c>
    </row>
    <row r="353" spans="1:17" x14ac:dyDescent="0.3">
      <c r="A353" s="2">
        <f t="shared" si="120"/>
        <v>351</v>
      </c>
      <c r="B353" s="6">
        <f t="shared" si="114"/>
        <v>752</v>
      </c>
      <c r="C353" s="9">
        <f t="shared" si="115"/>
        <v>33110</v>
      </c>
      <c r="D353" s="6">
        <f t="shared" si="116"/>
        <v>501</v>
      </c>
      <c r="E353" s="9">
        <f t="shared" si="117"/>
        <v>28090</v>
      </c>
      <c r="F353" s="3">
        <f t="shared" si="118"/>
        <v>951</v>
      </c>
      <c r="G353" s="3">
        <f t="shared" si="119"/>
        <v>23070</v>
      </c>
      <c r="J353" s="6">
        <f t="shared" si="121"/>
        <v>4.7099999999999396</v>
      </c>
      <c r="K353" s="11">
        <f t="shared" si="122"/>
        <v>56990</v>
      </c>
      <c r="P353" s="1">
        <f t="shared" si="112"/>
        <v>56990</v>
      </c>
      <c r="Q353" s="1">
        <f t="shared" si="113"/>
        <v>8776408</v>
      </c>
    </row>
    <row r="354" spans="1:17" x14ac:dyDescent="0.3">
      <c r="A354" s="2">
        <f t="shared" si="120"/>
        <v>352</v>
      </c>
      <c r="B354" s="6">
        <f t="shared" si="114"/>
        <v>754</v>
      </c>
      <c r="C354" s="9">
        <f t="shared" si="115"/>
        <v>33220</v>
      </c>
      <c r="D354" s="6">
        <f t="shared" si="116"/>
        <v>502</v>
      </c>
      <c r="E354" s="9">
        <f t="shared" si="117"/>
        <v>28180</v>
      </c>
      <c r="F354" s="3">
        <f t="shared" si="118"/>
        <v>952</v>
      </c>
      <c r="G354" s="3">
        <f t="shared" si="119"/>
        <v>23140</v>
      </c>
      <c r="J354" s="6">
        <f t="shared" si="121"/>
        <v>4.7199999999999394</v>
      </c>
      <c r="K354" s="11">
        <f t="shared" si="122"/>
        <v>57180</v>
      </c>
      <c r="P354" s="1">
        <f t="shared" si="112"/>
        <v>57180</v>
      </c>
      <c r="Q354" s="1">
        <f t="shared" si="113"/>
        <v>8833588</v>
      </c>
    </row>
    <row r="355" spans="1:17" x14ac:dyDescent="0.3">
      <c r="A355" s="2">
        <f t="shared" si="120"/>
        <v>353</v>
      </c>
      <c r="B355" s="6">
        <f t="shared" si="114"/>
        <v>756</v>
      </c>
      <c r="C355" s="9">
        <f t="shared" si="115"/>
        <v>33330</v>
      </c>
      <c r="D355" s="6">
        <f t="shared" si="116"/>
        <v>503</v>
      </c>
      <c r="E355" s="9">
        <f t="shared" si="117"/>
        <v>28270</v>
      </c>
      <c r="F355" s="3">
        <f t="shared" si="118"/>
        <v>953</v>
      </c>
      <c r="G355" s="3">
        <f t="shared" si="119"/>
        <v>23210</v>
      </c>
      <c r="J355" s="6">
        <f t="shared" si="121"/>
        <v>4.7299999999999391</v>
      </c>
      <c r="K355" s="11">
        <f t="shared" si="122"/>
        <v>57370</v>
      </c>
      <c r="P355" s="1">
        <f t="shared" si="112"/>
        <v>57370</v>
      </c>
      <c r="Q355" s="1">
        <f t="shared" si="113"/>
        <v>8890958</v>
      </c>
    </row>
    <row r="356" spans="1:17" x14ac:dyDescent="0.3">
      <c r="A356" s="2">
        <f t="shared" si="120"/>
        <v>354</v>
      </c>
      <c r="B356" s="6">
        <f t="shared" si="114"/>
        <v>758</v>
      </c>
      <c r="C356" s="9">
        <f t="shared" si="115"/>
        <v>33440</v>
      </c>
      <c r="D356" s="6">
        <f t="shared" si="116"/>
        <v>504</v>
      </c>
      <c r="E356" s="9">
        <f t="shared" si="117"/>
        <v>28360</v>
      </c>
      <c r="F356" s="3">
        <f t="shared" si="118"/>
        <v>954</v>
      </c>
      <c r="G356" s="3">
        <f t="shared" si="119"/>
        <v>23280</v>
      </c>
      <c r="J356" s="6">
        <f t="shared" si="121"/>
        <v>4.7399999999999389</v>
      </c>
      <c r="K356" s="11">
        <f t="shared" si="122"/>
        <v>57560</v>
      </c>
      <c r="P356" s="1">
        <f t="shared" si="112"/>
        <v>57560</v>
      </c>
      <c r="Q356" s="1">
        <f t="shared" si="113"/>
        <v>8948518</v>
      </c>
    </row>
    <row r="357" spans="1:17" x14ac:dyDescent="0.3">
      <c r="A357" s="2">
        <f t="shared" si="120"/>
        <v>355</v>
      </c>
      <c r="B357" s="6">
        <f t="shared" si="114"/>
        <v>760</v>
      </c>
      <c r="C357" s="9">
        <f t="shared" si="115"/>
        <v>33550</v>
      </c>
      <c r="D357" s="6">
        <f t="shared" si="116"/>
        <v>505</v>
      </c>
      <c r="E357" s="9">
        <f t="shared" si="117"/>
        <v>28450</v>
      </c>
      <c r="F357" s="3">
        <f t="shared" si="118"/>
        <v>955</v>
      </c>
      <c r="G357" s="3">
        <f t="shared" si="119"/>
        <v>23350</v>
      </c>
      <c r="J357" s="6">
        <f t="shared" si="121"/>
        <v>4.7499999999999387</v>
      </c>
      <c r="K357" s="11">
        <f t="shared" si="122"/>
        <v>57750</v>
      </c>
      <c r="P357" s="1">
        <f t="shared" si="112"/>
        <v>57750</v>
      </c>
      <c r="Q357" s="1">
        <f t="shared" si="113"/>
        <v>9006268</v>
      </c>
    </row>
    <row r="358" spans="1:17" x14ac:dyDescent="0.3">
      <c r="A358" s="2">
        <f t="shared" si="120"/>
        <v>356</v>
      </c>
      <c r="B358" s="6">
        <f t="shared" si="114"/>
        <v>762</v>
      </c>
      <c r="C358" s="9">
        <f t="shared" si="115"/>
        <v>33660</v>
      </c>
      <c r="D358" s="6">
        <f t="shared" si="116"/>
        <v>506</v>
      </c>
      <c r="E358" s="9">
        <f t="shared" si="117"/>
        <v>28540</v>
      </c>
      <c r="F358" s="3">
        <f t="shared" si="118"/>
        <v>956</v>
      </c>
      <c r="G358" s="3">
        <f t="shared" si="119"/>
        <v>23420</v>
      </c>
      <c r="J358" s="6">
        <f t="shared" si="121"/>
        <v>4.7599999999999385</v>
      </c>
      <c r="K358" s="11">
        <f t="shared" si="122"/>
        <v>57940</v>
      </c>
      <c r="P358" s="1">
        <f t="shared" ref="P358:P421" si="123">K358</f>
        <v>57940</v>
      </c>
      <c r="Q358" s="1">
        <f t="shared" ref="Q358:Q421" si="124">Q357+K358</f>
        <v>9064208</v>
      </c>
    </row>
    <row r="359" spans="1:17" x14ac:dyDescent="0.3">
      <c r="A359" s="2">
        <f t="shared" si="120"/>
        <v>357</v>
      </c>
      <c r="B359" s="6">
        <f t="shared" si="114"/>
        <v>764</v>
      </c>
      <c r="C359" s="9">
        <f t="shared" si="115"/>
        <v>33770</v>
      </c>
      <c r="D359" s="6">
        <f t="shared" si="116"/>
        <v>507</v>
      </c>
      <c r="E359" s="9">
        <f t="shared" si="117"/>
        <v>28630</v>
      </c>
      <c r="F359" s="3">
        <f t="shared" si="118"/>
        <v>957</v>
      </c>
      <c r="G359" s="3">
        <f t="shared" si="119"/>
        <v>23490</v>
      </c>
      <c r="J359" s="6">
        <f t="shared" si="121"/>
        <v>4.7699999999999383</v>
      </c>
      <c r="K359" s="11">
        <f t="shared" si="122"/>
        <v>58130</v>
      </c>
      <c r="P359" s="1">
        <f t="shared" si="123"/>
        <v>58130</v>
      </c>
      <c r="Q359" s="1">
        <f t="shared" si="124"/>
        <v>9122338</v>
      </c>
    </row>
    <row r="360" spans="1:17" x14ac:dyDescent="0.3">
      <c r="A360" s="2">
        <f t="shared" si="120"/>
        <v>358</v>
      </c>
      <c r="B360" s="6">
        <f t="shared" ref="B360:B423" si="125">B359+2</f>
        <v>766</v>
      </c>
      <c r="C360" s="9">
        <f t="shared" ref="C360:C423" si="126">C359+110</f>
        <v>33880</v>
      </c>
      <c r="D360" s="6">
        <f t="shared" ref="D360:D423" si="127">D359+1</f>
        <v>508</v>
      </c>
      <c r="E360" s="9">
        <f t="shared" ref="E360:E423" si="128">E359+90</f>
        <v>28720</v>
      </c>
      <c r="F360" s="3">
        <f t="shared" ref="F360:F423" si="129">F359+1</f>
        <v>958</v>
      </c>
      <c r="G360" s="3">
        <f t="shared" ref="G360:G423" si="130">G359+70</f>
        <v>23560</v>
      </c>
      <c r="J360" s="6">
        <f t="shared" si="121"/>
        <v>4.7799999999999381</v>
      </c>
      <c r="K360" s="11">
        <f t="shared" si="122"/>
        <v>58320</v>
      </c>
      <c r="P360" s="1">
        <f t="shared" si="123"/>
        <v>58320</v>
      </c>
      <c r="Q360" s="1">
        <f t="shared" si="124"/>
        <v>9180658</v>
      </c>
    </row>
    <row r="361" spans="1:17" x14ac:dyDescent="0.3">
      <c r="A361" s="2">
        <f t="shared" si="120"/>
        <v>359</v>
      </c>
      <c r="B361" s="6">
        <f t="shared" si="125"/>
        <v>768</v>
      </c>
      <c r="C361" s="9">
        <f t="shared" si="126"/>
        <v>33990</v>
      </c>
      <c r="D361" s="6">
        <f t="shared" si="127"/>
        <v>509</v>
      </c>
      <c r="E361" s="9">
        <f t="shared" si="128"/>
        <v>28810</v>
      </c>
      <c r="F361" s="3">
        <f t="shared" si="129"/>
        <v>959</v>
      </c>
      <c r="G361" s="3">
        <f t="shared" si="130"/>
        <v>23630</v>
      </c>
      <c r="J361" s="6">
        <f t="shared" si="121"/>
        <v>4.7899999999999379</v>
      </c>
      <c r="K361" s="11">
        <f t="shared" si="122"/>
        <v>58510</v>
      </c>
      <c r="P361" s="1">
        <f t="shared" si="123"/>
        <v>58510</v>
      </c>
      <c r="Q361" s="1">
        <f t="shared" si="124"/>
        <v>9239168</v>
      </c>
    </row>
    <row r="362" spans="1:17" x14ac:dyDescent="0.3">
      <c r="A362" s="2">
        <f t="shared" si="120"/>
        <v>360</v>
      </c>
      <c r="B362" s="6">
        <f t="shared" si="125"/>
        <v>770</v>
      </c>
      <c r="C362" s="9">
        <f t="shared" si="126"/>
        <v>34100</v>
      </c>
      <c r="D362" s="6">
        <f t="shared" si="127"/>
        <v>510</v>
      </c>
      <c r="E362" s="9">
        <f t="shared" si="128"/>
        <v>28900</v>
      </c>
      <c r="F362" s="3">
        <f t="shared" si="129"/>
        <v>960</v>
      </c>
      <c r="G362" s="3">
        <f t="shared" si="130"/>
        <v>23700</v>
      </c>
      <c r="J362" s="6">
        <f t="shared" si="121"/>
        <v>4.7999999999999376</v>
      </c>
      <c r="K362" s="11">
        <f t="shared" si="122"/>
        <v>58700</v>
      </c>
      <c r="P362" s="1">
        <f t="shared" si="123"/>
        <v>58700</v>
      </c>
      <c r="Q362" s="1">
        <f t="shared" si="124"/>
        <v>9297868</v>
      </c>
    </row>
    <row r="363" spans="1:17" x14ac:dyDescent="0.3">
      <c r="A363" s="2">
        <f t="shared" si="120"/>
        <v>361</v>
      </c>
      <c r="B363" s="6">
        <f t="shared" si="125"/>
        <v>772</v>
      </c>
      <c r="C363" s="9">
        <f t="shared" si="126"/>
        <v>34210</v>
      </c>
      <c r="D363" s="6">
        <f t="shared" si="127"/>
        <v>511</v>
      </c>
      <c r="E363" s="9">
        <f t="shared" si="128"/>
        <v>28990</v>
      </c>
      <c r="F363" s="3">
        <f t="shared" si="129"/>
        <v>961</v>
      </c>
      <c r="G363" s="3">
        <f t="shared" si="130"/>
        <v>23770</v>
      </c>
      <c r="J363" s="6">
        <f t="shared" si="121"/>
        <v>4.8099999999999374</v>
      </c>
      <c r="K363" s="11">
        <f t="shared" si="122"/>
        <v>58890</v>
      </c>
      <c r="P363" s="1">
        <f t="shared" si="123"/>
        <v>58890</v>
      </c>
      <c r="Q363" s="1">
        <f t="shared" si="124"/>
        <v>9356758</v>
      </c>
    </row>
    <row r="364" spans="1:17" x14ac:dyDescent="0.3">
      <c r="A364" s="2">
        <f t="shared" si="120"/>
        <v>362</v>
      </c>
      <c r="B364" s="6">
        <f t="shared" si="125"/>
        <v>774</v>
      </c>
      <c r="C364" s="9">
        <f t="shared" si="126"/>
        <v>34320</v>
      </c>
      <c r="D364" s="6">
        <f t="shared" si="127"/>
        <v>512</v>
      </c>
      <c r="E364" s="9">
        <f t="shared" si="128"/>
        <v>29080</v>
      </c>
      <c r="F364" s="3">
        <f t="shared" si="129"/>
        <v>962</v>
      </c>
      <c r="G364" s="3">
        <f t="shared" si="130"/>
        <v>23840</v>
      </c>
      <c r="J364" s="6">
        <f t="shared" si="121"/>
        <v>4.8199999999999372</v>
      </c>
      <c r="K364" s="11">
        <f t="shared" si="122"/>
        <v>59080</v>
      </c>
      <c r="P364" s="1">
        <f t="shared" si="123"/>
        <v>59080</v>
      </c>
      <c r="Q364" s="1">
        <f t="shared" si="124"/>
        <v>9415838</v>
      </c>
    </row>
    <row r="365" spans="1:17" x14ac:dyDescent="0.3">
      <c r="A365" s="2">
        <f t="shared" si="120"/>
        <v>363</v>
      </c>
      <c r="B365" s="6">
        <f t="shared" si="125"/>
        <v>776</v>
      </c>
      <c r="C365" s="9">
        <f t="shared" si="126"/>
        <v>34430</v>
      </c>
      <c r="D365" s="6">
        <f t="shared" si="127"/>
        <v>513</v>
      </c>
      <c r="E365" s="9">
        <f t="shared" si="128"/>
        <v>29170</v>
      </c>
      <c r="F365" s="3">
        <f t="shared" si="129"/>
        <v>963</v>
      </c>
      <c r="G365" s="3">
        <f t="shared" si="130"/>
        <v>23910</v>
      </c>
      <c r="J365" s="6">
        <f t="shared" si="121"/>
        <v>4.829999999999937</v>
      </c>
      <c r="K365" s="11">
        <f t="shared" si="122"/>
        <v>59270</v>
      </c>
      <c r="P365" s="1">
        <f t="shared" si="123"/>
        <v>59270</v>
      </c>
      <c r="Q365" s="1">
        <f t="shared" si="124"/>
        <v>9475108</v>
      </c>
    </row>
    <row r="366" spans="1:17" x14ac:dyDescent="0.3">
      <c r="A366" s="2">
        <f t="shared" si="120"/>
        <v>364</v>
      </c>
      <c r="B366" s="6">
        <f t="shared" si="125"/>
        <v>778</v>
      </c>
      <c r="C366" s="9">
        <f t="shared" si="126"/>
        <v>34540</v>
      </c>
      <c r="D366" s="6">
        <f t="shared" si="127"/>
        <v>514</v>
      </c>
      <c r="E366" s="9">
        <f t="shared" si="128"/>
        <v>29260</v>
      </c>
      <c r="F366" s="3">
        <f t="shared" si="129"/>
        <v>964</v>
      </c>
      <c r="G366" s="3">
        <f t="shared" si="130"/>
        <v>23980</v>
      </c>
      <c r="J366" s="6">
        <f t="shared" si="121"/>
        <v>4.8399999999999368</v>
      </c>
      <c r="K366" s="11">
        <f t="shared" si="122"/>
        <v>59460</v>
      </c>
      <c r="P366" s="1">
        <f t="shared" si="123"/>
        <v>59460</v>
      </c>
      <c r="Q366" s="1">
        <f t="shared" si="124"/>
        <v>9534568</v>
      </c>
    </row>
    <row r="367" spans="1:17" x14ac:dyDescent="0.3">
      <c r="A367" s="2">
        <f t="shared" si="120"/>
        <v>365</v>
      </c>
      <c r="B367" s="6">
        <f t="shared" si="125"/>
        <v>780</v>
      </c>
      <c r="C367" s="9">
        <f t="shared" si="126"/>
        <v>34650</v>
      </c>
      <c r="D367" s="6">
        <f t="shared" si="127"/>
        <v>515</v>
      </c>
      <c r="E367" s="9">
        <f t="shared" si="128"/>
        <v>29350</v>
      </c>
      <c r="F367" s="3">
        <f t="shared" si="129"/>
        <v>965</v>
      </c>
      <c r="G367" s="3">
        <f t="shared" si="130"/>
        <v>24050</v>
      </c>
      <c r="J367" s="6">
        <f t="shared" si="121"/>
        <v>4.8499999999999366</v>
      </c>
      <c r="K367" s="11">
        <f t="shared" si="122"/>
        <v>59650</v>
      </c>
      <c r="P367" s="1">
        <f t="shared" si="123"/>
        <v>59650</v>
      </c>
      <c r="Q367" s="1">
        <f t="shared" si="124"/>
        <v>9594218</v>
      </c>
    </row>
    <row r="368" spans="1:17" x14ac:dyDescent="0.3">
      <c r="A368" s="2">
        <f t="shared" si="120"/>
        <v>366</v>
      </c>
      <c r="B368" s="6">
        <f t="shared" si="125"/>
        <v>782</v>
      </c>
      <c r="C368" s="9">
        <f t="shared" si="126"/>
        <v>34760</v>
      </c>
      <c r="D368" s="6">
        <f t="shared" si="127"/>
        <v>516</v>
      </c>
      <c r="E368" s="9">
        <f t="shared" si="128"/>
        <v>29440</v>
      </c>
      <c r="F368" s="3">
        <f t="shared" si="129"/>
        <v>966</v>
      </c>
      <c r="G368" s="3">
        <f t="shared" si="130"/>
        <v>24120</v>
      </c>
      <c r="J368" s="6">
        <f t="shared" si="121"/>
        <v>4.8599999999999364</v>
      </c>
      <c r="K368" s="11">
        <f t="shared" si="122"/>
        <v>59840</v>
      </c>
      <c r="P368" s="1">
        <f t="shared" si="123"/>
        <v>59840</v>
      </c>
      <c r="Q368" s="1">
        <f t="shared" si="124"/>
        <v>9654058</v>
      </c>
    </row>
    <row r="369" spans="1:17" x14ac:dyDescent="0.3">
      <c r="A369" s="2">
        <f t="shared" si="120"/>
        <v>367</v>
      </c>
      <c r="B369" s="6">
        <f t="shared" si="125"/>
        <v>784</v>
      </c>
      <c r="C369" s="9">
        <f t="shared" si="126"/>
        <v>34870</v>
      </c>
      <c r="D369" s="6">
        <f t="shared" si="127"/>
        <v>517</v>
      </c>
      <c r="E369" s="9">
        <f t="shared" si="128"/>
        <v>29530</v>
      </c>
      <c r="F369" s="3">
        <f t="shared" si="129"/>
        <v>967</v>
      </c>
      <c r="G369" s="3">
        <f t="shared" si="130"/>
        <v>24190</v>
      </c>
      <c r="J369" s="6">
        <f t="shared" si="121"/>
        <v>4.8699999999999362</v>
      </c>
      <c r="K369" s="11">
        <f t="shared" si="122"/>
        <v>60030</v>
      </c>
      <c r="P369" s="1">
        <f t="shared" si="123"/>
        <v>60030</v>
      </c>
      <c r="Q369" s="1">
        <f t="shared" si="124"/>
        <v>9714088</v>
      </c>
    </row>
    <row r="370" spans="1:17" x14ac:dyDescent="0.3">
      <c r="A370" s="2">
        <f t="shared" si="120"/>
        <v>368</v>
      </c>
      <c r="B370" s="6">
        <f t="shared" si="125"/>
        <v>786</v>
      </c>
      <c r="C370" s="9">
        <f t="shared" si="126"/>
        <v>34980</v>
      </c>
      <c r="D370" s="6">
        <f t="shared" si="127"/>
        <v>518</v>
      </c>
      <c r="E370" s="9">
        <f t="shared" si="128"/>
        <v>29620</v>
      </c>
      <c r="F370" s="3">
        <f t="shared" si="129"/>
        <v>968</v>
      </c>
      <c r="G370" s="3">
        <f t="shared" si="130"/>
        <v>24260</v>
      </c>
      <c r="J370" s="6">
        <f t="shared" si="121"/>
        <v>4.8799999999999359</v>
      </c>
      <c r="K370" s="11">
        <f t="shared" si="122"/>
        <v>60220</v>
      </c>
      <c r="P370" s="1">
        <f t="shared" si="123"/>
        <v>60220</v>
      </c>
      <c r="Q370" s="1">
        <f t="shared" si="124"/>
        <v>9774308</v>
      </c>
    </row>
    <row r="371" spans="1:17" x14ac:dyDescent="0.3">
      <c r="A371" s="2">
        <f t="shared" si="120"/>
        <v>369</v>
      </c>
      <c r="B371" s="6">
        <f t="shared" si="125"/>
        <v>788</v>
      </c>
      <c r="C371" s="9">
        <f t="shared" si="126"/>
        <v>35090</v>
      </c>
      <c r="D371" s="6">
        <f t="shared" si="127"/>
        <v>519</v>
      </c>
      <c r="E371" s="9">
        <f t="shared" si="128"/>
        <v>29710</v>
      </c>
      <c r="F371" s="3">
        <f t="shared" si="129"/>
        <v>969</v>
      </c>
      <c r="G371" s="3">
        <f t="shared" si="130"/>
        <v>24330</v>
      </c>
      <c r="J371" s="6">
        <f t="shared" si="121"/>
        <v>4.8899999999999357</v>
      </c>
      <c r="K371" s="11">
        <f t="shared" si="122"/>
        <v>60410</v>
      </c>
      <c r="P371" s="1">
        <f t="shared" si="123"/>
        <v>60410</v>
      </c>
      <c r="Q371" s="1">
        <f t="shared" si="124"/>
        <v>9834718</v>
      </c>
    </row>
    <row r="372" spans="1:17" x14ac:dyDescent="0.3">
      <c r="A372" s="2">
        <f t="shared" si="120"/>
        <v>370</v>
      </c>
      <c r="B372" s="6">
        <f t="shared" si="125"/>
        <v>790</v>
      </c>
      <c r="C372" s="9">
        <f t="shared" si="126"/>
        <v>35200</v>
      </c>
      <c r="D372" s="6">
        <f t="shared" si="127"/>
        <v>520</v>
      </c>
      <c r="E372" s="9">
        <f t="shared" si="128"/>
        <v>29800</v>
      </c>
      <c r="F372" s="3">
        <f t="shared" si="129"/>
        <v>970</v>
      </c>
      <c r="G372" s="3">
        <f t="shared" si="130"/>
        <v>24400</v>
      </c>
      <c r="J372" s="6">
        <f t="shared" si="121"/>
        <v>4.8999999999999355</v>
      </c>
      <c r="K372" s="11">
        <f t="shared" si="122"/>
        <v>60600</v>
      </c>
      <c r="P372" s="1">
        <f t="shared" si="123"/>
        <v>60600</v>
      </c>
      <c r="Q372" s="1">
        <f t="shared" si="124"/>
        <v>9895318</v>
      </c>
    </row>
    <row r="373" spans="1:17" x14ac:dyDescent="0.3">
      <c r="A373" s="2">
        <f t="shared" si="120"/>
        <v>371</v>
      </c>
      <c r="B373" s="6">
        <f t="shared" si="125"/>
        <v>792</v>
      </c>
      <c r="C373" s="9">
        <f t="shared" si="126"/>
        <v>35310</v>
      </c>
      <c r="D373" s="6">
        <f t="shared" si="127"/>
        <v>521</v>
      </c>
      <c r="E373" s="9">
        <f t="shared" si="128"/>
        <v>29890</v>
      </c>
      <c r="F373" s="3">
        <f t="shared" si="129"/>
        <v>971</v>
      </c>
      <c r="G373" s="3">
        <f t="shared" si="130"/>
        <v>24470</v>
      </c>
      <c r="J373" s="6">
        <f t="shared" si="121"/>
        <v>4.9099999999999353</v>
      </c>
      <c r="K373" s="11">
        <f t="shared" si="122"/>
        <v>60790</v>
      </c>
      <c r="P373" s="1">
        <f t="shared" si="123"/>
        <v>60790</v>
      </c>
      <c r="Q373" s="1">
        <f t="shared" si="124"/>
        <v>9956108</v>
      </c>
    </row>
    <row r="374" spans="1:17" x14ac:dyDescent="0.3">
      <c r="A374" s="2">
        <f t="shared" si="120"/>
        <v>372</v>
      </c>
      <c r="B374" s="6">
        <f t="shared" si="125"/>
        <v>794</v>
      </c>
      <c r="C374" s="9">
        <f t="shared" si="126"/>
        <v>35420</v>
      </c>
      <c r="D374" s="6">
        <f t="shared" si="127"/>
        <v>522</v>
      </c>
      <c r="E374" s="9">
        <f t="shared" si="128"/>
        <v>29980</v>
      </c>
      <c r="F374" s="3">
        <f t="shared" si="129"/>
        <v>972</v>
      </c>
      <c r="G374" s="3">
        <f t="shared" si="130"/>
        <v>24540</v>
      </c>
      <c r="J374" s="6">
        <f t="shared" si="121"/>
        <v>4.9199999999999351</v>
      </c>
      <c r="K374" s="11">
        <f t="shared" si="122"/>
        <v>60980</v>
      </c>
      <c r="P374" s="1">
        <f t="shared" si="123"/>
        <v>60980</v>
      </c>
      <c r="Q374" s="1">
        <f t="shared" si="124"/>
        <v>10017088</v>
      </c>
    </row>
    <row r="375" spans="1:17" x14ac:dyDescent="0.3">
      <c r="A375" s="2">
        <f t="shared" si="120"/>
        <v>373</v>
      </c>
      <c r="B375" s="6">
        <f t="shared" si="125"/>
        <v>796</v>
      </c>
      <c r="C375" s="9">
        <f t="shared" si="126"/>
        <v>35530</v>
      </c>
      <c r="D375" s="6">
        <f t="shared" si="127"/>
        <v>523</v>
      </c>
      <c r="E375" s="9">
        <f t="shared" si="128"/>
        <v>30070</v>
      </c>
      <c r="F375" s="3">
        <f t="shared" si="129"/>
        <v>973</v>
      </c>
      <c r="G375" s="3">
        <f t="shared" si="130"/>
        <v>24610</v>
      </c>
      <c r="J375" s="6">
        <f t="shared" si="121"/>
        <v>4.9299999999999349</v>
      </c>
      <c r="K375" s="11">
        <f t="shared" si="122"/>
        <v>61170</v>
      </c>
      <c r="P375" s="1">
        <f t="shared" si="123"/>
        <v>61170</v>
      </c>
      <c r="Q375" s="1">
        <f t="shared" si="124"/>
        <v>10078258</v>
      </c>
    </row>
    <row r="376" spans="1:17" x14ac:dyDescent="0.3">
      <c r="A376" s="2">
        <f t="shared" si="120"/>
        <v>374</v>
      </c>
      <c r="B376" s="6">
        <f t="shared" si="125"/>
        <v>798</v>
      </c>
      <c r="C376" s="9">
        <f t="shared" si="126"/>
        <v>35640</v>
      </c>
      <c r="D376" s="6">
        <f t="shared" si="127"/>
        <v>524</v>
      </c>
      <c r="E376" s="9">
        <f t="shared" si="128"/>
        <v>30160</v>
      </c>
      <c r="F376" s="3">
        <f t="shared" si="129"/>
        <v>974</v>
      </c>
      <c r="G376" s="3">
        <f t="shared" si="130"/>
        <v>24680</v>
      </c>
      <c r="J376" s="6">
        <f t="shared" si="121"/>
        <v>4.9399999999999347</v>
      </c>
      <c r="K376" s="11">
        <f t="shared" si="122"/>
        <v>61360</v>
      </c>
      <c r="P376" s="1">
        <f t="shared" si="123"/>
        <v>61360</v>
      </c>
      <c r="Q376" s="1">
        <f t="shared" si="124"/>
        <v>10139618</v>
      </c>
    </row>
    <row r="377" spans="1:17" x14ac:dyDescent="0.3">
      <c r="A377" s="2">
        <f t="shared" si="120"/>
        <v>375</v>
      </c>
      <c r="B377" s="6">
        <f t="shared" si="125"/>
        <v>800</v>
      </c>
      <c r="C377" s="9">
        <f t="shared" si="126"/>
        <v>35750</v>
      </c>
      <c r="D377" s="6">
        <f t="shared" si="127"/>
        <v>525</v>
      </c>
      <c r="E377" s="9">
        <f t="shared" si="128"/>
        <v>30250</v>
      </c>
      <c r="F377" s="3">
        <f t="shared" si="129"/>
        <v>975</v>
      </c>
      <c r="G377" s="3">
        <f t="shared" si="130"/>
        <v>24750</v>
      </c>
      <c r="J377" s="6">
        <f t="shared" si="121"/>
        <v>4.9499999999999345</v>
      </c>
      <c r="K377" s="11">
        <f t="shared" si="122"/>
        <v>61550</v>
      </c>
      <c r="P377" s="1">
        <f t="shared" si="123"/>
        <v>61550</v>
      </c>
      <c r="Q377" s="1">
        <f t="shared" si="124"/>
        <v>10201168</v>
      </c>
    </row>
    <row r="378" spans="1:17" x14ac:dyDescent="0.3">
      <c r="A378" s="2">
        <f t="shared" si="120"/>
        <v>376</v>
      </c>
      <c r="B378" s="6">
        <f t="shared" si="125"/>
        <v>802</v>
      </c>
      <c r="C378" s="9">
        <f t="shared" si="126"/>
        <v>35860</v>
      </c>
      <c r="D378" s="6">
        <f t="shared" si="127"/>
        <v>526</v>
      </c>
      <c r="E378" s="9">
        <f t="shared" si="128"/>
        <v>30340</v>
      </c>
      <c r="F378" s="3">
        <f t="shared" si="129"/>
        <v>976</v>
      </c>
      <c r="G378" s="3">
        <f t="shared" si="130"/>
        <v>24820</v>
      </c>
      <c r="J378" s="6">
        <f t="shared" si="121"/>
        <v>4.9599999999999342</v>
      </c>
      <c r="K378" s="11">
        <f t="shared" si="122"/>
        <v>61740</v>
      </c>
      <c r="P378" s="1">
        <f t="shared" si="123"/>
        <v>61740</v>
      </c>
      <c r="Q378" s="1">
        <f t="shared" si="124"/>
        <v>10262908</v>
      </c>
    </row>
    <row r="379" spans="1:17" x14ac:dyDescent="0.3">
      <c r="A379" s="2">
        <f t="shared" si="120"/>
        <v>377</v>
      </c>
      <c r="B379" s="6">
        <f t="shared" si="125"/>
        <v>804</v>
      </c>
      <c r="C379" s="9">
        <f t="shared" si="126"/>
        <v>35970</v>
      </c>
      <c r="D379" s="6">
        <f t="shared" si="127"/>
        <v>527</v>
      </c>
      <c r="E379" s="9">
        <f t="shared" si="128"/>
        <v>30430</v>
      </c>
      <c r="F379" s="3">
        <f t="shared" si="129"/>
        <v>977</v>
      </c>
      <c r="G379" s="3">
        <f t="shared" si="130"/>
        <v>24890</v>
      </c>
      <c r="J379" s="6">
        <f t="shared" si="121"/>
        <v>4.969999999999934</v>
      </c>
      <c r="K379" s="11">
        <f t="shared" si="122"/>
        <v>61930</v>
      </c>
      <c r="P379" s="1">
        <f t="shared" si="123"/>
        <v>61930</v>
      </c>
      <c r="Q379" s="1">
        <f t="shared" si="124"/>
        <v>10324838</v>
      </c>
    </row>
    <row r="380" spans="1:17" x14ac:dyDescent="0.3">
      <c r="A380" s="2">
        <f t="shared" si="120"/>
        <v>378</v>
      </c>
      <c r="B380" s="6">
        <f t="shared" si="125"/>
        <v>806</v>
      </c>
      <c r="C380" s="9">
        <f t="shared" si="126"/>
        <v>36080</v>
      </c>
      <c r="D380" s="6">
        <f t="shared" si="127"/>
        <v>528</v>
      </c>
      <c r="E380" s="9">
        <f t="shared" si="128"/>
        <v>30520</v>
      </c>
      <c r="F380" s="3">
        <f t="shared" si="129"/>
        <v>978</v>
      </c>
      <c r="G380" s="3">
        <f t="shared" si="130"/>
        <v>24960</v>
      </c>
      <c r="J380" s="6">
        <f t="shared" si="121"/>
        <v>4.9799999999999338</v>
      </c>
      <c r="K380" s="11">
        <f t="shared" si="122"/>
        <v>62120</v>
      </c>
      <c r="P380" s="1">
        <f t="shared" si="123"/>
        <v>62120</v>
      </c>
      <c r="Q380" s="1">
        <f t="shared" si="124"/>
        <v>10386958</v>
      </c>
    </row>
    <row r="381" spans="1:17" x14ac:dyDescent="0.3">
      <c r="A381" s="2">
        <f t="shared" si="120"/>
        <v>379</v>
      </c>
      <c r="B381" s="6">
        <f t="shared" si="125"/>
        <v>808</v>
      </c>
      <c r="C381" s="9">
        <f t="shared" si="126"/>
        <v>36190</v>
      </c>
      <c r="D381" s="6">
        <f t="shared" si="127"/>
        <v>529</v>
      </c>
      <c r="E381" s="9">
        <f t="shared" si="128"/>
        <v>30610</v>
      </c>
      <c r="F381" s="3">
        <f t="shared" si="129"/>
        <v>979</v>
      </c>
      <c r="G381" s="3">
        <f t="shared" si="130"/>
        <v>25030</v>
      </c>
      <c r="J381" s="6">
        <f t="shared" si="121"/>
        <v>4.9899999999999336</v>
      </c>
      <c r="K381" s="11">
        <f t="shared" si="122"/>
        <v>62310</v>
      </c>
      <c r="P381" s="1">
        <f t="shared" si="123"/>
        <v>62310</v>
      </c>
      <c r="Q381" s="1">
        <f t="shared" si="124"/>
        <v>10449268</v>
      </c>
    </row>
    <row r="382" spans="1:17" x14ac:dyDescent="0.3">
      <c r="A382" s="2">
        <f t="shared" si="120"/>
        <v>380</v>
      </c>
      <c r="B382" s="6">
        <f t="shared" si="125"/>
        <v>810</v>
      </c>
      <c r="C382" s="9">
        <f t="shared" si="126"/>
        <v>36300</v>
      </c>
      <c r="D382" s="6">
        <f t="shared" si="127"/>
        <v>530</v>
      </c>
      <c r="E382" s="9">
        <f t="shared" si="128"/>
        <v>30700</v>
      </c>
      <c r="F382" s="3">
        <f t="shared" si="129"/>
        <v>980</v>
      </c>
      <c r="G382" s="3">
        <f t="shared" si="130"/>
        <v>25100</v>
      </c>
      <c r="J382" s="6">
        <f t="shared" si="121"/>
        <v>4.9999999999999334</v>
      </c>
      <c r="K382" s="11">
        <f t="shared" si="122"/>
        <v>62500</v>
      </c>
      <c r="P382" s="1">
        <f t="shared" si="123"/>
        <v>62500</v>
      </c>
      <c r="Q382" s="1">
        <f t="shared" si="124"/>
        <v>10511768</v>
      </c>
    </row>
    <row r="383" spans="1:17" x14ac:dyDescent="0.3">
      <c r="A383" s="2">
        <f t="shared" si="120"/>
        <v>381</v>
      </c>
      <c r="B383" s="6">
        <f t="shared" si="125"/>
        <v>812</v>
      </c>
      <c r="C383" s="9">
        <f t="shared" si="126"/>
        <v>36410</v>
      </c>
      <c r="D383" s="6">
        <f t="shared" si="127"/>
        <v>531</v>
      </c>
      <c r="E383" s="9">
        <f t="shared" si="128"/>
        <v>30790</v>
      </c>
      <c r="F383" s="3">
        <f t="shared" si="129"/>
        <v>981</v>
      </c>
      <c r="G383" s="3">
        <f t="shared" si="130"/>
        <v>25170</v>
      </c>
      <c r="J383" s="6">
        <f t="shared" si="121"/>
        <v>5.0099999999999332</v>
      </c>
      <c r="K383" s="11">
        <f t="shared" si="122"/>
        <v>62690</v>
      </c>
      <c r="P383" s="1">
        <f t="shared" si="123"/>
        <v>62690</v>
      </c>
      <c r="Q383" s="1">
        <f t="shared" si="124"/>
        <v>10574458</v>
      </c>
    </row>
    <row r="384" spans="1:17" x14ac:dyDescent="0.3">
      <c r="A384" s="2">
        <f t="shared" si="120"/>
        <v>382</v>
      </c>
      <c r="B384" s="6">
        <f t="shared" si="125"/>
        <v>814</v>
      </c>
      <c r="C384" s="9">
        <f t="shared" si="126"/>
        <v>36520</v>
      </c>
      <c r="D384" s="6">
        <f t="shared" si="127"/>
        <v>532</v>
      </c>
      <c r="E384" s="9">
        <f t="shared" si="128"/>
        <v>30880</v>
      </c>
      <c r="F384" s="3">
        <f t="shared" si="129"/>
        <v>982</v>
      </c>
      <c r="G384" s="3">
        <f t="shared" si="130"/>
        <v>25240</v>
      </c>
      <c r="J384" s="6">
        <f t="shared" si="121"/>
        <v>5.019999999999933</v>
      </c>
      <c r="K384" s="11">
        <f t="shared" si="122"/>
        <v>62880</v>
      </c>
      <c r="P384" s="1">
        <f t="shared" si="123"/>
        <v>62880</v>
      </c>
      <c r="Q384" s="1">
        <f t="shared" si="124"/>
        <v>10637338</v>
      </c>
    </row>
    <row r="385" spans="1:17" x14ac:dyDescent="0.3">
      <c r="A385" s="2">
        <f t="shared" si="120"/>
        <v>383</v>
      </c>
      <c r="B385" s="6">
        <f t="shared" si="125"/>
        <v>816</v>
      </c>
      <c r="C385" s="9">
        <f t="shared" si="126"/>
        <v>36630</v>
      </c>
      <c r="D385" s="6">
        <f t="shared" si="127"/>
        <v>533</v>
      </c>
      <c r="E385" s="9">
        <f t="shared" si="128"/>
        <v>30970</v>
      </c>
      <c r="F385" s="3">
        <f t="shared" si="129"/>
        <v>983</v>
      </c>
      <c r="G385" s="3">
        <f t="shared" si="130"/>
        <v>25310</v>
      </c>
      <c r="J385" s="6">
        <f t="shared" si="121"/>
        <v>5.0299999999999327</v>
      </c>
      <c r="K385" s="11">
        <f t="shared" si="122"/>
        <v>63070</v>
      </c>
      <c r="P385" s="1">
        <f t="shared" si="123"/>
        <v>63070</v>
      </c>
      <c r="Q385" s="1">
        <f t="shared" si="124"/>
        <v>10700408</v>
      </c>
    </row>
    <row r="386" spans="1:17" x14ac:dyDescent="0.3">
      <c r="A386" s="2">
        <f t="shared" si="120"/>
        <v>384</v>
      </c>
      <c r="B386" s="6">
        <f t="shared" si="125"/>
        <v>818</v>
      </c>
      <c r="C386" s="9">
        <f t="shared" si="126"/>
        <v>36740</v>
      </c>
      <c r="D386" s="6">
        <f t="shared" si="127"/>
        <v>534</v>
      </c>
      <c r="E386" s="9">
        <f t="shared" si="128"/>
        <v>31060</v>
      </c>
      <c r="F386" s="3">
        <f t="shared" si="129"/>
        <v>984</v>
      </c>
      <c r="G386" s="3">
        <f t="shared" si="130"/>
        <v>25380</v>
      </c>
      <c r="J386" s="6">
        <f t="shared" si="121"/>
        <v>5.0399999999999325</v>
      </c>
      <c r="K386" s="11">
        <f t="shared" si="122"/>
        <v>63260</v>
      </c>
      <c r="P386" s="1">
        <f t="shared" si="123"/>
        <v>63260</v>
      </c>
      <c r="Q386" s="1">
        <f t="shared" si="124"/>
        <v>10763668</v>
      </c>
    </row>
    <row r="387" spans="1:17" x14ac:dyDescent="0.3">
      <c r="A387" s="2">
        <f t="shared" si="120"/>
        <v>385</v>
      </c>
      <c r="B387" s="6">
        <f t="shared" si="125"/>
        <v>820</v>
      </c>
      <c r="C387" s="9">
        <f t="shared" si="126"/>
        <v>36850</v>
      </c>
      <c r="D387" s="6">
        <f t="shared" si="127"/>
        <v>535</v>
      </c>
      <c r="E387" s="9">
        <f t="shared" si="128"/>
        <v>31150</v>
      </c>
      <c r="F387" s="3">
        <f t="shared" si="129"/>
        <v>985</v>
      </c>
      <c r="G387" s="3">
        <f t="shared" si="130"/>
        <v>25450</v>
      </c>
      <c r="J387" s="6">
        <f t="shared" si="121"/>
        <v>5.0499999999999323</v>
      </c>
      <c r="K387" s="11">
        <f t="shared" si="122"/>
        <v>63450</v>
      </c>
      <c r="P387" s="1">
        <f t="shared" si="123"/>
        <v>63450</v>
      </c>
      <c r="Q387" s="1">
        <f t="shared" si="124"/>
        <v>10827118</v>
      </c>
    </row>
    <row r="388" spans="1:17" x14ac:dyDescent="0.3">
      <c r="A388" s="2">
        <f t="shared" si="120"/>
        <v>386</v>
      </c>
      <c r="B388" s="6">
        <f t="shared" si="125"/>
        <v>822</v>
      </c>
      <c r="C388" s="9">
        <f t="shared" si="126"/>
        <v>36960</v>
      </c>
      <c r="D388" s="6">
        <f t="shared" si="127"/>
        <v>536</v>
      </c>
      <c r="E388" s="9">
        <f t="shared" si="128"/>
        <v>31240</v>
      </c>
      <c r="F388" s="3">
        <f t="shared" si="129"/>
        <v>986</v>
      </c>
      <c r="G388" s="3">
        <f t="shared" si="130"/>
        <v>25520</v>
      </c>
      <c r="J388" s="6">
        <f t="shared" si="121"/>
        <v>5.0599999999999321</v>
      </c>
      <c r="K388" s="11">
        <f t="shared" si="122"/>
        <v>63640</v>
      </c>
      <c r="P388" s="1">
        <f t="shared" si="123"/>
        <v>63640</v>
      </c>
      <c r="Q388" s="1">
        <f t="shared" si="124"/>
        <v>10890758</v>
      </c>
    </row>
    <row r="389" spans="1:17" x14ac:dyDescent="0.3">
      <c r="A389" s="2">
        <f t="shared" ref="A389:A452" si="131">A388+1</f>
        <v>387</v>
      </c>
      <c r="B389" s="6">
        <f t="shared" si="125"/>
        <v>824</v>
      </c>
      <c r="C389" s="9">
        <f t="shared" si="126"/>
        <v>37070</v>
      </c>
      <c r="D389" s="6">
        <f t="shared" si="127"/>
        <v>537</v>
      </c>
      <c r="E389" s="9">
        <f t="shared" si="128"/>
        <v>31330</v>
      </c>
      <c r="F389" s="3">
        <f t="shared" si="129"/>
        <v>987</v>
      </c>
      <c r="G389" s="3">
        <f t="shared" si="130"/>
        <v>25590</v>
      </c>
      <c r="J389" s="6">
        <f t="shared" si="121"/>
        <v>5.0699999999999319</v>
      </c>
      <c r="K389" s="11">
        <f t="shared" si="122"/>
        <v>63830</v>
      </c>
      <c r="P389" s="1">
        <f t="shared" si="123"/>
        <v>63830</v>
      </c>
      <c r="Q389" s="1">
        <f t="shared" si="124"/>
        <v>10954588</v>
      </c>
    </row>
    <row r="390" spans="1:17" x14ac:dyDescent="0.3">
      <c r="A390" s="2">
        <f t="shared" si="131"/>
        <v>388</v>
      </c>
      <c r="B390" s="6">
        <f t="shared" si="125"/>
        <v>826</v>
      </c>
      <c r="C390" s="9">
        <f t="shared" si="126"/>
        <v>37180</v>
      </c>
      <c r="D390" s="6">
        <f t="shared" si="127"/>
        <v>538</v>
      </c>
      <c r="E390" s="9">
        <f t="shared" si="128"/>
        <v>31420</v>
      </c>
      <c r="F390" s="3">
        <f t="shared" si="129"/>
        <v>988</v>
      </c>
      <c r="G390" s="3">
        <f t="shared" si="130"/>
        <v>25660</v>
      </c>
      <c r="J390" s="6">
        <f t="shared" si="121"/>
        <v>5.0799999999999317</v>
      </c>
      <c r="K390" s="11">
        <f t="shared" si="122"/>
        <v>64020</v>
      </c>
      <c r="P390" s="1">
        <f t="shared" si="123"/>
        <v>64020</v>
      </c>
      <c r="Q390" s="1">
        <f t="shared" si="124"/>
        <v>11018608</v>
      </c>
    </row>
    <row r="391" spans="1:17" x14ac:dyDescent="0.3">
      <c r="A391" s="2">
        <f t="shared" si="131"/>
        <v>389</v>
      </c>
      <c r="B391" s="6">
        <f t="shared" si="125"/>
        <v>828</v>
      </c>
      <c r="C391" s="9">
        <f t="shared" si="126"/>
        <v>37290</v>
      </c>
      <c r="D391" s="6">
        <f t="shared" si="127"/>
        <v>539</v>
      </c>
      <c r="E391" s="9">
        <f t="shared" si="128"/>
        <v>31510</v>
      </c>
      <c r="F391" s="3">
        <f t="shared" si="129"/>
        <v>989</v>
      </c>
      <c r="G391" s="3">
        <f t="shared" si="130"/>
        <v>25730</v>
      </c>
      <c r="J391" s="6">
        <f t="shared" si="121"/>
        <v>5.0899999999999315</v>
      </c>
      <c r="K391" s="11">
        <f t="shared" si="122"/>
        <v>64210</v>
      </c>
      <c r="P391" s="1">
        <f t="shared" si="123"/>
        <v>64210</v>
      </c>
      <c r="Q391" s="1">
        <f t="shared" si="124"/>
        <v>11082818</v>
      </c>
    </row>
    <row r="392" spans="1:17" x14ac:dyDescent="0.3">
      <c r="A392" s="2">
        <f t="shared" si="131"/>
        <v>390</v>
      </c>
      <c r="B392" s="6">
        <f t="shared" si="125"/>
        <v>830</v>
      </c>
      <c r="C392" s="9">
        <f t="shared" si="126"/>
        <v>37400</v>
      </c>
      <c r="D392" s="6">
        <f t="shared" si="127"/>
        <v>540</v>
      </c>
      <c r="E392" s="9">
        <f t="shared" si="128"/>
        <v>31600</v>
      </c>
      <c r="F392" s="3">
        <f t="shared" si="129"/>
        <v>990</v>
      </c>
      <c r="G392" s="3">
        <f t="shared" si="130"/>
        <v>25800</v>
      </c>
      <c r="J392" s="6">
        <f t="shared" si="121"/>
        <v>5.0999999999999313</v>
      </c>
      <c r="K392" s="11">
        <f t="shared" si="122"/>
        <v>64400</v>
      </c>
      <c r="P392" s="1">
        <f t="shared" si="123"/>
        <v>64400</v>
      </c>
      <c r="Q392" s="1">
        <f t="shared" si="124"/>
        <v>11147218</v>
      </c>
    </row>
    <row r="393" spans="1:17" x14ac:dyDescent="0.3">
      <c r="A393" s="2">
        <f t="shared" si="131"/>
        <v>391</v>
      </c>
      <c r="B393" s="6">
        <f t="shared" si="125"/>
        <v>832</v>
      </c>
      <c r="C393" s="9">
        <f t="shared" si="126"/>
        <v>37510</v>
      </c>
      <c r="D393" s="6">
        <f t="shared" si="127"/>
        <v>541</v>
      </c>
      <c r="E393" s="9">
        <f t="shared" si="128"/>
        <v>31690</v>
      </c>
      <c r="F393" s="3">
        <f t="shared" si="129"/>
        <v>991</v>
      </c>
      <c r="G393" s="3">
        <f t="shared" si="130"/>
        <v>25870</v>
      </c>
      <c r="J393" s="6">
        <f t="shared" si="121"/>
        <v>5.109999999999931</v>
      </c>
      <c r="K393" s="11">
        <f t="shared" si="122"/>
        <v>64590</v>
      </c>
      <c r="P393" s="1">
        <f t="shared" si="123"/>
        <v>64590</v>
      </c>
      <c r="Q393" s="1">
        <f t="shared" si="124"/>
        <v>11211808</v>
      </c>
    </row>
    <row r="394" spans="1:17" x14ac:dyDescent="0.3">
      <c r="A394" s="2">
        <f t="shared" si="131"/>
        <v>392</v>
      </c>
      <c r="B394" s="6">
        <f t="shared" si="125"/>
        <v>834</v>
      </c>
      <c r="C394" s="9">
        <f t="shared" si="126"/>
        <v>37620</v>
      </c>
      <c r="D394" s="6">
        <f t="shared" si="127"/>
        <v>542</v>
      </c>
      <c r="E394" s="9">
        <f t="shared" si="128"/>
        <v>31780</v>
      </c>
      <c r="F394" s="3">
        <f t="shared" si="129"/>
        <v>992</v>
      </c>
      <c r="G394" s="3">
        <f t="shared" si="130"/>
        <v>25940</v>
      </c>
      <c r="J394" s="6">
        <f t="shared" si="121"/>
        <v>5.1199999999999308</v>
      </c>
      <c r="K394" s="11">
        <f t="shared" si="122"/>
        <v>64780</v>
      </c>
      <c r="P394" s="1">
        <f t="shared" si="123"/>
        <v>64780</v>
      </c>
      <c r="Q394" s="1">
        <f t="shared" si="124"/>
        <v>11276588</v>
      </c>
    </row>
    <row r="395" spans="1:17" x14ac:dyDescent="0.3">
      <c r="A395" s="2">
        <f t="shared" si="131"/>
        <v>393</v>
      </c>
      <c r="B395" s="6">
        <f t="shared" si="125"/>
        <v>836</v>
      </c>
      <c r="C395" s="9">
        <f t="shared" si="126"/>
        <v>37730</v>
      </c>
      <c r="D395" s="6">
        <f t="shared" si="127"/>
        <v>543</v>
      </c>
      <c r="E395" s="9">
        <f t="shared" si="128"/>
        <v>31870</v>
      </c>
      <c r="F395" s="3">
        <f t="shared" si="129"/>
        <v>993</v>
      </c>
      <c r="G395" s="3">
        <f t="shared" si="130"/>
        <v>26010</v>
      </c>
      <c r="J395" s="6">
        <f t="shared" si="121"/>
        <v>5.1299999999999306</v>
      </c>
      <c r="K395" s="11">
        <f t="shared" si="122"/>
        <v>64970</v>
      </c>
      <c r="P395" s="1">
        <f t="shared" si="123"/>
        <v>64970</v>
      </c>
      <c r="Q395" s="1">
        <f t="shared" si="124"/>
        <v>11341558</v>
      </c>
    </row>
    <row r="396" spans="1:17" x14ac:dyDescent="0.3">
      <c r="A396" s="2">
        <f t="shared" si="131"/>
        <v>394</v>
      </c>
      <c r="B396" s="6">
        <f t="shared" si="125"/>
        <v>838</v>
      </c>
      <c r="C396" s="9">
        <f t="shared" si="126"/>
        <v>37840</v>
      </c>
      <c r="D396" s="6">
        <f t="shared" si="127"/>
        <v>544</v>
      </c>
      <c r="E396" s="9">
        <f t="shared" si="128"/>
        <v>31960</v>
      </c>
      <c r="F396" s="3">
        <f t="shared" si="129"/>
        <v>994</v>
      </c>
      <c r="G396" s="3">
        <f t="shared" si="130"/>
        <v>26080</v>
      </c>
      <c r="J396" s="6">
        <f t="shared" si="121"/>
        <v>5.1399999999999304</v>
      </c>
      <c r="K396" s="11">
        <f t="shared" si="122"/>
        <v>65160</v>
      </c>
      <c r="P396" s="1">
        <f t="shared" si="123"/>
        <v>65160</v>
      </c>
      <c r="Q396" s="1">
        <f t="shared" si="124"/>
        <v>11406718</v>
      </c>
    </row>
    <row r="397" spans="1:17" x14ac:dyDescent="0.3">
      <c r="A397" s="2">
        <f t="shared" si="131"/>
        <v>395</v>
      </c>
      <c r="B397" s="6">
        <f t="shared" si="125"/>
        <v>840</v>
      </c>
      <c r="C397" s="9">
        <f t="shared" si="126"/>
        <v>37950</v>
      </c>
      <c r="D397" s="6">
        <f t="shared" si="127"/>
        <v>545</v>
      </c>
      <c r="E397" s="9">
        <f t="shared" si="128"/>
        <v>32050</v>
      </c>
      <c r="F397" s="3">
        <f t="shared" si="129"/>
        <v>995</v>
      </c>
      <c r="G397" s="3">
        <f t="shared" si="130"/>
        <v>26150</v>
      </c>
      <c r="J397" s="6">
        <f t="shared" si="121"/>
        <v>5.1499999999999302</v>
      </c>
      <c r="K397" s="11">
        <f t="shared" si="122"/>
        <v>65350</v>
      </c>
      <c r="P397" s="1">
        <f t="shared" si="123"/>
        <v>65350</v>
      </c>
      <c r="Q397" s="1">
        <f t="shared" si="124"/>
        <v>11472068</v>
      </c>
    </row>
    <row r="398" spans="1:17" x14ac:dyDescent="0.3">
      <c r="A398" s="2">
        <f t="shared" si="131"/>
        <v>396</v>
      </c>
      <c r="B398" s="6">
        <f t="shared" si="125"/>
        <v>842</v>
      </c>
      <c r="C398" s="9">
        <f t="shared" si="126"/>
        <v>38060</v>
      </c>
      <c r="D398" s="6">
        <f t="shared" si="127"/>
        <v>546</v>
      </c>
      <c r="E398" s="9">
        <f t="shared" si="128"/>
        <v>32140</v>
      </c>
      <c r="F398" s="3">
        <f t="shared" si="129"/>
        <v>996</v>
      </c>
      <c r="G398" s="3">
        <f t="shared" si="130"/>
        <v>26220</v>
      </c>
      <c r="J398" s="6">
        <f t="shared" si="121"/>
        <v>5.15999999999993</v>
      </c>
      <c r="K398" s="11">
        <f t="shared" si="122"/>
        <v>65540</v>
      </c>
      <c r="P398" s="1">
        <f t="shared" si="123"/>
        <v>65540</v>
      </c>
      <c r="Q398" s="1">
        <f t="shared" si="124"/>
        <v>11537608</v>
      </c>
    </row>
    <row r="399" spans="1:17" x14ac:dyDescent="0.3">
      <c r="A399" s="2">
        <f t="shared" si="131"/>
        <v>397</v>
      </c>
      <c r="B399" s="6">
        <f t="shared" si="125"/>
        <v>844</v>
      </c>
      <c r="C399" s="9">
        <f t="shared" si="126"/>
        <v>38170</v>
      </c>
      <c r="D399" s="6">
        <f t="shared" si="127"/>
        <v>547</v>
      </c>
      <c r="E399" s="9">
        <f t="shared" si="128"/>
        <v>32230</v>
      </c>
      <c r="F399" s="3">
        <f t="shared" si="129"/>
        <v>997</v>
      </c>
      <c r="G399" s="3">
        <f t="shared" si="130"/>
        <v>26290</v>
      </c>
      <c r="J399" s="6">
        <f t="shared" si="121"/>
        <v>5.1699999999999298</v>
      </c>
      <c r="K399" s="11">
        <f t="shared" si="122"/>
        <v>65730</v>
      </c>
      <c r="P399" s="1">
        <f t="shared" si="123"/>
        <v>65730</v>
      </c>
      <c r="Q399" s="1">
        <f t="shared" si="124"/>
        <v>11603338</v>
      </c>
    </row>
    <row r="400" spans="1:17" x14ac:dyDescent="0.3">
      <c r="A400" s="2">
        <f t="shared" si="131"/>
        <v>398</v>
      </c>
      <c r="B400" s="6">
        <f t="shared" si="125"/>
        <v>846</v>
      </c>
      <c r="C400" s="9">
        <f t="shared" si="126"/>
        <v>38280</v>
      </c>
      <c r="D400" s="6">
        <f t="shared" si="127"/>
        <v>548</v>
      </c>
      <c r="E400" s="9">
        <f t="shared" si="128"/>
        <v>32320</v>
      </c>
      <c r="F400" s="3">
        <f t="shared" si="129"/>
        <v>998</v>
      </c>
      <c r="G400" s="3">
        <f t="shared" si="130"/>
        <v>26360</v>
      </c>
      <c r="J400" s="6">
        <f t="shared" si="121"/>
        <v>5.1799999999999295</v>
      </c>
      <c r="K400" s="11">
        <f t="shared" si="122"/>
        <v>65920</v>
      </c>
      <c r="P400" s="1">
        <f t="shared" si="123"/>
        <v>65920</v>
      </c>
      <c r="Q400" s="1">
        <f t="shared" si="124"/>
        <v>11669258</v>
      </c>
    </row>
    <row r="401" spans="1:17" x14ac:dyDescent="0.3">
      <c r="A401" s="2">
        <f t="shared" si="131"/>
        <v>399</v>
      </c>
      <c r="B401" s="6">
        <f t="shared" si="125"/>
        <v>848</v>
      </c>
      <c r="C401" s="9">
        <f t="shared" si="126"/>
        <v>38390</v>
      </c>
      <c r="D401" s="6">
        <f t="shared" si="127"/>
        <v>549</v>
      </c>
      <c r="E401" s="9">
        <f t="shared" si="128"/>
        <v>32410</v>
      </c>
      <c r="F401" s="3">
        <f t="shared" si="129"/>
        <v>999</v>
      </c>
      <c r="G401" s="3">
        <f t="shared" si="130"/>
        <v>26430</v>
      </c>
      <c r="J401" s="6">
        <f t="shared" si="121"/>
        <v>5.1899999999999293</v>
      </c>
      <c r="K401" s="11">
        <f t="shared" si="122"/>
        <v>66110</v>
      </c>
      <c r="P401" s="1">
        <f t="shared" si="123"/>
        <v>66110</v>
      </c>
      <c r="Q401" s="1">
        <f t="shared" si="124"/>
        <v>11735368</v>
      </c>
    </row>
    <row r="402" spans="1:17" x14ac:dyDescent="0.3">
      <c r="A402" s="2">
        <f t="shared" si="131"/>
        <v>400</v>
      </c>
      <c r="B402" s="6">
        <f t="shared" si="125"/>
        <v>850</v>
      </c>
      <c r="C402" s="9">
        <f t="shared" si="126"/>
        <v>38500</v>
      </c>
      <c r="D402" s="6">
        <f t="shared" si="127"/>
        <v>550</v>
      </c>
      <c r="E402" s="9">
        <f t="shared" si="128"/>
        <v>32500</v>
      </c>
      <c r="F402" s="3">
        <f t="shared" si="129"/>
        <v>1000</v>
      </c>
      <c r="G402" s="3">
        <f t="shared" si="130"/>
        <v>26500</v>
      </c>
      <c r="J402" s="6">
        <f t="shared" si="121"/>
        <v>5.1999999999999291</v>
      </c>
      <c r="K402" s="11">
        <f t="shared" si="122"/>
        <v>66300</v>
      </c>
      <c r="P402" s="1">
        <f t="shared" si="123"/>
        <v>66300</v>
      </c>
      <c r="Q402" s="1">
        <f t="shared" si="124"/>
        <v>11801668</v>
      </c>
    </row>
    <row r="403" spans="1:17" x14ac:dyDescent="0.3">
      <c r="A403" s="2">
        <f t="shared" si="131"/>
        <v>401</v>
      </c>
      <c r="B403" s="6">
        <f t="shared" si="125"/>
        <v>852</v>
      </c>
      <c r="C403" s="9">
        <f t="shared" si="126"/>
        <v>38610</v>
      </c>
      <c r="D403" s="6">
        <f t="shared" si="127"/>
        <v>551</v>
      </c>
      <c r="E403" s="9">
        <f t="shared" si="128"/>
        <v>32590</v>
      </c>
      <c r="F403" s="3">
        <f t="shared" si="129"/>
        <v>1001</v>
      </c>
      <c r="G403" s="3">
        <f t="shared" si="130"/>
        <v>26570</v>
      </c>
      <c r="J403" s="6">
        <f t="shared" si="121"/>
        <v>5.2099999999999289</v>
      </c>
      <c r="K403" s="11">
        <f t="shared" si="122"/>
        <v>66490</v>
      </c>
      <c r="P403" s="1">
        <f t="shared" si="123"/>
        <v>66490</v>
      </c>
      <c r="Q403" s="1">
        <f t="shared" si="124"/>
        <v>11868158</v>
      </c>
    </row>
    <row r="404" spans="1:17" x14ac:dyDescent="0.3">
      <c r="A404" s="2">
        <f t="shared" si="131"/>
        <v>402</v>
      </c>
      <c r="B404" s="6">
        <f t="shared" si="125"/>
        <v>854</v>
      </c>
      <c r="C404" s="9">
        <f t="shared" si="126"/>
        <v>38720</v>
      </c>
      <c r="D404" s="6">
        <f t="shared" si="127"/>
        <v>552</v>
      </c>
      <c r="E404" s="9">
        <f t="shared" si="128"/>
        <v>32680</v>
      </c>
      <c r="F404" s="3">
        <f t="shared" si="129"/>
        <v>1002</v>
      </c>
      <c r="G404" s="3">
        <f t="shared" si="130"/>
        <v>26640</v>
      </c>
      <c r="J404" s="6">
        <f t="shared" ref="J404:J467" si="132">J403+0.01</f>
        <v>5.2199999999999287</v>
      </c>
      <c r="K404" s="11">
        <f t="shared" ref="K404:K467" si="133">K403+190</f>
        <v>66680</v>
      </c>
      <c r="P404" s="1">
        <f t="shared" si="123"/>
        <v>66680</v>
      </c>
      <c r="Q404" s="1">
        <f t="shared" si="124"/>
        <v>11934838</v>
      </c>
    </row>
    <row r="405" spans="1:17" x14ac:dyDescent="0.3">
      <c r="A405" s="2">
        <f t="shared" si="131"/>
        <v>403</v>
      </c>
      <c r="B405" s="6">
        <f t="shared" si="125"/>
        <v>856</v>
      </c>
      <c r="C405" s="9">
        <f t="shared" si="126"/>
        <v>38830</v>
      </c>
      <c r="D405" s="6">
        <f t="shared" si="127"/>
        <v>553</v>
      </c>
      <c r="E405" s="9">
        <f t="shared" si="128"/>
        <v>32770</v>
      </c>
      <c r="F405" s="3">
        <f t="shared" si="129"/>
        <v>1003</v>
      </c>
      <c r="G405" s="3">
        <f t="shared" si="130"/>
        <v>26710</v>
      </c>
      <c r="J405" s="6">
        <f t="shared" si="132"/>
        <v>5.2299999999999285</v>
      </c>
      <c r="K405" s="11">
        <f t="shared" si="133"/>
        <v>66870</v>
      </c>
      <c r="P405" s="1">
        <f t="shared" si="123"/>
        <v>66870</v>
      </c>
      <c r="Q405" s="1">
        <f t="shared" si="124"/>
        <v>12001708</v>
      </c>
    </row>
    <row r="406" spans="1:17" x14ac:dyDescent="0.3">
      <c r="A406" s="2">
        <f t="shared" si="131"/>
        <v>404</v>
      </c>
      <c r="B406" s="6">
        <f t="shared" si="125"/>
        <v>858</v>
      </c>
      <c r="C406" s="9">
        <f t="shared" si="126"/>
        <v>38940</v>
      </c>
      <c r="D406" s="6">
        <f t="shared" si="127"/>
        <v>554</v>
      </c>
      <c r="E406" s="9">
        <f t="shared" si="128"/>
        <v>32860</v>
      </c>
      <c r="F406" s="3">
        <f t="shared" si="129"/>
        <v>1004</v>
      </c>
      <c r="G406" s="3">
        <f t="shared" si="130"/>
        <v>26780</v>
      </c>
      <c r="J406" s="6">
        <f t="shared" si="132"/>
        <v>5.2399999999999283</v>
      </c>
      <c r="K406" s="11">
        <f t="shared" si="133"/>
        <v>67060</v>
      </c>
      <c r="P406" s="1">
        <f t="shared" si="123"/>
        <v>67060</v>
      </c>
      <c r="Q406" s="1">
        <f t="shared" si="124"/>
        <v>12068768</v>
      </c>
    </row>
    <row r="407" spans="1:17" x14ac:dyDescent="0.3">
      <c r="A407" s="2">
        <f t="shared" si="131"/>
        <v>405</v>
      </c>
      <c r="B407" s="6">
        <f t="shared" si="125"/>
        <v>860</v>
      </c>
      <c r="C407" s="9">
        <f t="shared" si="126"/>
        <v>39050</v>
      </c>
      <c r="D407" s="6">
        <f t="shared" si="127"/>
        <v>555</v>
      </c>
      <c r="E407" s="9">
        <f t="shared" si="128"/>
        <v>32950</v>
      </c>
      <c r="F407" s="3">
        <f t="shared" si="129"/>
        <v>1005</v>
      </c>
      <c r="G407" s="3">
        <f t="shared" si="130"/>
        <v>26850</v>
      </c>
      <c r="J407" s="6">
        <f t="shared" si="132"/>
        <v>5.2499999999999281</v>
      </c>
      <c r="K407" s="11">
        <f t="shared" si="133"/>
        <v>67250</v>
      </c>
      <c r="P407" s="1">
        <f t="shared" si="123"/>
        <v>67250</v>
      </c>
      <c r="Q407" s="1">
        <f t="shared" si="124"/>
        <v>12136018</v>
      </c>
    </row>
    <row r="408" spans="1:17" x14ac:dyDescent="0.3">
      <c r="A408" s="2">
        <f t="shared" si="131"/>
        <v>406</v>
      </c>
      <c r="B408" s="6">
        <f t="shared" si="125"/>
        <v>862</v>
      </c>
      <c r="C408" s="9">
        <f t="shared" si="126"/>
        <v>39160</v>
      </c>
      <c r="D408" s="6">
        <f t="shared" si="127"/>
        <v>556</v>
      </c>
      <c r="E408" s="9">
        <f t="shared" si="128"/>
        <v>33040</v>
      </c>
      <c r="F408" s="3">
        <f t="shared" si="129"/>
        <v>1006</v>
      </c>
      <c r="G408" s="3">
        <f t="shared" si="130"/>
        <v>26920</v>
      </c>
      <c r="J408" s="6">
        <f t="shared" si="132"/>
        <v>5.2599999999999278</v>
      </c>
      <c r="K408" s="11">
        <f t="shared" si="133"/>
        <v>67440</v>
      </c>
      <c r="P408" s="1">
        <f t="shared" si="123"/>
        <v>67440</v>
      </c>
      <c r="Q408" s="1">
        <f t="shared" si="124"/>
        <v>12203458</v>
      </c>
    </row>
    <row r="409" spans="1:17" x14ac:dyDescent="0.3">
      <c r="A409" s="2">
        <f t="shared" si="131"/>
        <v>407</v>
      </c>
      <c r="B409" s="6">
        <f t="shared" si="125"/>
        <v>864</v>
      </c>
      <c r="C409" s="9">
        <f t="shared" si="126"/>
        <v>39270</v>
      </c>
      <c r="D409" s="6">
        <f t="shared" si="127"/>
        <v>557</v>
      </c>
      <c r="E409" s="9">
        <f t="shared" si="128"/>
        <v>33130</v>
      </c>
      <c r="F409" s="3">
        <f t="shared" si="129"/>
        <v>1007</v>
      </c>
      <c r="G409" s="3">
        <f t="shared" si="130"/>
        <v>26990</v>
      </c>
      <c r="J409" s="6">
        <f t="shared" si="132"/>
        <v>5.2699999999999276</v>
      </c>
      <c r="K409" s="11">
        <f t="shared" si="133"/>
        <v>67630</v>
      </c>
      <c r="P409" s="1">
        <f t="shared" si="123"/>
        <v>67630</v>
      </c>
      <c r="Q409" s="1">
        <f t="shared" si="124"/>
        <v>12271088</v>
      </c>
    </row>
    <row r="410" spans="1:17" x14ac:dyDescent="0.3">
      <c r="A410" s="2">
        <f t="shared" si="131"/>
        <v>408</v>
      </c>
      <c r="B410" s="6">
        <f t="shared" si="125"/>
        <v>866</v>
      </c>
      <c r="C410" s="9">
        <f t="shared" si="126"/>
        <v>39380</v>
      </c>
      <c r="D410" s="6">
        <f t="shared" si="127"/>
        <v>558</v>
      </c>
      <c r="E410" s="9">
        <f t="shared" si="128"/>
        <v>33220</v>
      </c>
      <c r="F410" s="3">
        <f t="shared" si="129"/>
        <v>1008</v>
      </c>
      <c r="G410" s="3">
        <f t="shared" si="130"/>
        <v>27060</v>
      </c>
      <c r="J410" s="6">
        <f t="shared" si="132"/>
        <v>5.2799999999999274</v>
      </c>
      <c r="K410" s="11">
        <f t="shared" si="133"/>
        <v>67820</v>
      </c>
      <c r="P410" s="1">
        <f t="shared" si="123"/>
        <v>67820</v>
      </c>
      <c r="Q410" s="1">
        <f t="shared" si="124"/>
        <v>12338908</v>
      </c>
    </row>
    <row r="411" spans="1:17" x14ac:dyDescent="0.3">
      <c r="A411" s="2">
        <f t="shared" si="131"/>
        <v>409</v>
      </c>
      <c r="B411" s="6">
        <f t="shared" si="125"/>
        <v>868</v>
      </c>
      <c r="C411" s="9">
        <f t="shared" si="126"/>
        <v>39490</v>
      </c>
      <c r="D411" s="6">
        <f t="shared" si="127"/>
        <v>559</v>
      </c>
      <c r="E411" s="9">
        <f t="shared" si="128"/>
        <v>33310</v>
      </c>
      <c r="F411" s="3">
        <f t="shared" si="129"/>
        <v>1009</v>
      </c>
      <c r="G411" s="3">
        <f t="shared" si="130"/>
        <v>27130</v>
      </c>
      <c r="J411" s="6">
        <f t="shared" si="132"/>
        <v>5.2899999999999272</v>
      </c>
      <c r="K411" s="11">
        <f t="shared" si="133"/>
        <v>68010</v>
      </c>
      <c r="P411" s="1">
        <f t="shared" si="123"/>
        <v>68010</v>
      </c>
      <c r="Q411" s="1">
        <f t="shared" si="124"/>
        <v>12406918</v>
      </c>
    </row>
    <row r="412" spans="1:17" x14ac:dyDescent="0.3">
      <c r="A412" s="2">
        <f t="shared" si="131"/>
        <v>410</v>
      </c>
      <c r="B412" s="6">
        <f t="shared" si="125"/>
        <v>870</v>
      </c>
      <c r="C412" s="9">
        <f t="shared" si="126"/>
        <v>39600</v>
      </c>
      <c r="D412" s="6">
        <f t="shared" si="127"/>
        <v>560</v>
      </c>
      <c r="E412" s="9">
        <f t="shared" si="128"/>
        <v>33400</v>
      </c>
      <c r="F412" s="3">
        <f t="shared" si="129"/>
        <v>1010</v>
      </c>
      <c r="G412" s="3">
        <f t="shared" si="130"/>
        <v>27200</v>
      </c>
      <c r="J412" s="6">
        <f t="shared" si="132"/>
        <v>5.299999999999927</v>
      </c>
      <c r="K412" s="11">
        <f t="shared" si="133"/>
        <v>68200</v>
      </c>
      <c r="P412" s="1">
        <f t="shared" si="123"/>
        <v>68200</v>
      </c>
      <c r="Q412" s="1">
        <f t="shared" si="124"/>
        <v>12475118</v>
      </c>
    </row>
    <row r="413" spans="1:17" x14ac:dyDescent="0.3">
      <c r="A413" s="2">
        <f t="shared" si="131"/>
        <v>411</v>
      </c>
      <c r="B413" s="6">
        <f t="shared" si="125"/>
        <v>872</v>
      </c>
      <c r="C413" s="9">
        <f t="shared" si="126"/>
        <v>39710</v>
      </c>
      <c r="D413" s="6">
        <f t="shared" si="127"/>
        <v>561</v>
      </c>
      <c r="E413" s="9">
        <f t="shared" si="128"/>
        <v>33490</v>
      </c>
      <c r="F413" s="3">
        <f t="shared" si="129"/>
        <v>1011</v>
      </c>
      <c r="G413" s="3">
        <f t="shared" si="130"/>
        <v>27270</v>
      </c>
      <c r="J413" s="6">
        <f t="shared" si="132"/>
        <v>5.3099999999999268</v>
      </c>
      <c r="K413" s="11">
        <f t="shared" si="133"/>
        <v>68390</v>
      </c>
      <c r="P413" s="1">
        <f t="shared" si="123"/>
        <v>68390</v>
      </c>
      <c r="Q413" s="1">
        <f t="shared" si="124"/>
        <v>12543508</v>
      </c>
    </row>
    <row r="414" spans="1:17" x14ac:dyDescent="0.3">
      <c r="A414" s="2">
        <f t="shared" si="131"/>
        <v>412</v>
      </c>
      <c r="B414" s="6">
        <f t="shared" si="125"/>
        <v>874</v>
      </c>
      <c r="C414" s="9">
        <f t="shared" si="126"/>
        <v>39820</v>
      </c>
      <c r="D414" s="6">
        <f t="shared" si="127"/>
        <v>562</v>
      </c>
      <c r="E414" s="9">
        <f t="shared" si="128"/>
        <v>33580</v>
      </c>
      <c r="F414" s="3">
        <f t="shared" si="129"/>
        <v>1012</v>
      </c>
      <c r="G414" s="3">
        <f t="shared" si="130"/>
        <v>27340</v>
      </c>
      <c r="J414" s="6">
        <f t="shared" si="132"/>
        <v>5.3199999999999266</v>
      </c>
      <c r="K414" s="11">
        <f t="shared" si="133"/>
        <v>68580</v>
      </c>
      <c r="P414" s="1">
        <f t="shared" si="123"/>
        <v>68580</v>
      </c>
      <c r="Q414" s="1">
        <f t="shared" si="124"/>
        <v>12612088</v>
      </c>
    </row>
    <row r="415" spans="1:17" x14ac:dyDescent="0.3">
      <c r="A415" s="2">
        <f t="shared" si="131"/>
        <v>413</v>
      </c>
      <c r="B415" s="6">
        <f t="shared" si="125"/>
        <v>876</v>
      </c>
      <c r="C415" s="9">
        <f t="shared" si="126"/>
        <v>39930</v>
      </c>
      <c r="D415" s="6">
        <f t="shared" si="127"/>
        <v>563</v>
      </c>
      <c r="E415" s="9">
        <f t="shared" si="128"/>
        <v>33670</v>
      </c>
      <c r="F415" s="3">
        <f t="shared" si="129"/>
        <v>1013</v>
      </c>
      <c r="G415" s="3">
        <f t="shared" si="130"/>
        <v>27410</v>
      </c>
      <c r="J415" s="6">
        <f t="shared" si="132"/>
        <v>5.3299999999999264</v>
      </c>
      <c r="K415" s="11">
        <f t="shared" si="133"/>
        <v>68770</v>
      </c>
      <c r="P415" s="1">
        <f t="shared" si="123"/>
        <v>68770</v>
      </c>
      <c r="Q415" s="1">
        <f t="shared" si="124"/>
        <v>12680858</v>
      </c>
    </row>
    <row r="416" spans="1:17" x14ac:dyDescent="0.3">
      <c r="A416" s="2">
        <f t="shared" si="131"/>
        <v>414</v>
      </c>
      <c r="B416" s="6">
        <f t="shared" si="125"/>
        <v>878</v>
      </c>
      <c r="C416" s="9">
        <f t="shared" si="126"/>
        <v>40040</v>
      </c>
      <c r="D416" s="6">
        <f t="shared" si="127"/>
        <v>564</v>
      </c>
      <c r="E416" s="9">
        <f t="shared" si="128"/>
        <v>33760</v>
      </c>
      <c r="F416" s="3">
        <f t="shared" si="129"/>
        <v>1014</v>
      </c>
      <c r="G416" s="3">
        <f t="shared" si="130"/>
        <v>27480</v>
      </c>
      <c r="J416" s="6">
        <f t="shared" si="132"/>
        <v>5.3399999999999261</v>
      </c>
      <c r="K416" s="11">
        <f t="shared" si="133"/>
        <v>68960</v>
      </c>
      <c r="P416" s="1">
        <f t="shared" si="123"/>
        <v>68960</v>
      </c>
      <c r="Q416" s="1">
        <f t="shared" si="124"/>
        <v>12749818</v>
      </c>
    </row>
    <row r="417" spans="1:17" x14ac:dyDescent="0.3">
      <c r="A417" s="2">
        <f t="shared" si="131"/>
        <v>415</v>
      </c>
      <c r="B417" s="6">
        <f t="shared" si="125"/>
        <v>880</v>
      </c>
      <c r="C417" s="9">
        <f t="shared" si="126"/>
        <v>40150</v>
      </c>
      <c r="D417" s="6">
        <f t="shared" si="127"/>
        <v>565</v>
      </c>
      <c r="E417" s="9">
        <f t="shared" si="128"/>
        <v>33850</v>
      </c>
      <c r="F417" s="3">
        <f t="shared" si="129"/>
        <v>1015</v>
      </c>
      <c r="G417" s="3">
        <f t="shared" si="130"/>
        <v>27550</v>
      </c>
      <c r="J417" s="6">
        <f t="shared" si="132"/>
        <v>5.3499999999999259</v>
      </c>
      <c r="K417" s="11">
        <f t="shared" si="133"/>
        <v>69150</v>
      </c>
      <c r="P417" s="1">
        <f t="shared" si="123"/>
        <v>69150</v>
      </c>
      <c r="Q417" s="1">
        <f t="shared" si="124"/>
        <v>12818968</v>
      </c>
    </row>
    <row r="418" spans="1:17" x14ac:dyDescent="0.3">
      <c r="A418" s="2">
        <f t="shared" si="131"/>
        <v>416</v>
      </c>
      <c r="B418" s="6">
        <f t="shared" si="125"/>
        <v>882</v>
      </c>
      <c r="C418" s="9">
        <f t="shared" si="126"/>
        <v>40260</v>
      </c>
      <c r="D418" s="6">
        <f t="shared" si="127"/>
        <v>566</v>
      </c>
      <c r="E418" s="9">
        <f t="shared" si="128"/>
        <v>33940</v>
      </c>
      <c r="F418" s="3">
        <f t="shared" si="129"/>
        <v>1016</v>
      </c>
      <c r="G418" s="3">
        <f t="shared" si="130"/>
        <v>27620</v>
      </c>
      <c r="J418" s="6">
        <f t="shared" si="132"/>
        <v>5.3599999999999257</v>
      </c>
      <c r="K418" s="11">
        <f t="shared" si="133"/>
        <v>69340</v>
      </c>
      <c r="P418" s="1">
        <f t="shared" si="123"/>
        <v>69340</v>
      </c>
      <c r="Q418" s="1">
        <f t="shared" si="124"/>
        <v>12888308</v>
      </c>
    </row>
    <row r="419" spans="1:17" x14ac:dyDescent="0.3">
      <c r="A419" s="2">
        <f t="shared" si="131"/>
        <v>417</v>
      </c>
      <c r="B419" s="6">
        <f t="shared" si="125"/>
        <v>884</v>
      </c>
      <c r="C419" s="9">
        <f t="shared" si="126"/>
        <v>40370</v>
      </c>
      <c r="D419" s="6">
        <f t="shared" si="127"/>
        <v>567</v>
      </c>
      <c r="E419" s="9">
        <f t="shared" si="128"/>
        <v>34030</v>
      </c>
      <c r="F419" s="3">
        <f t="shared" si="129"/>
        <v>1017</v>
      </c>
      <c r="G419" s="3">
        <f t="shared" si="130"/>
        <v>27690</v>
      </c>
      <c r="J419" s="6">
        <f t="shared" si="132"/>
        <v>5.3699999999999255</v>
      </c>
      <c r="K419" s="11">
        <f t="shared" si="133"/>
        <v>69530</v>
      </c>
      <c r="P419" s="1">
        <f t="shared" si="123"/>
        <v>69530</v>
      </c>
      <c r="Q419" s="1">
        <f t="shared" si="124"/>
        <v>12957838</v>
      </c>
    </row>
    <row r="420" spans="1:17" x14ac:dyDescent="0.3">
      <c r="A420" s="2">
        <f t="shared" si="131"/>
        <v>418</v>
      </c>
      <c r="B420" s="6">
        <f t="shared" si="125"/>
        <v>886</v>
      </c>
      <c r="C420" s="9">
        <f t="shared" si="126"/>
        <v>40480</v>
      </c>
      <c r="D420" s="6">
        <f t="shared" si="127"/>
        <v>568</v>
      </c>
      <c r="E420" s="9">
        <f t="shared" si="128"/>
        <v>34120</v>
      </c>
      <c r="F420" s="3">
        <f t="shared" si="129"/>
        <v>1018</v>
      </c>
      <c r="G420" s="3">
        <f t="shared" si="130"/>
        <v>27760</v>
      </c>
      <c r="J420" s="6">
        <f t="shared" si="132"/>
        <v>5.3799999999999253</v>
      </c>
      <c r="K420" s="11">
        <f t="shared" si="133"/>
        <v>69720</v>
      </c>
      <c r="P420" s="1">
        <f t="shared" si="123"/>
        <v>69720</v>
      </c>
      <c r="Q420" s="1">
        <f t="shared" si="124"/>
        <v>13027558</v>
      </c>
    </row>
    <row r="421" spans="1:17" x14ac:dyDescent="0.3">
      <c r="A421" s="2">
        <f t="shared" si="131"/>
        <v>419</v>
      </c>
      <c r="B421" s="6">
        <f t="shared" si="125"/>
        <v>888</v>
      </c>
      <c r="C421" s="9">
        <f t="shared" si="126"/>
        <v>40590</v>
      </c>
      <c r="D421" s="6">
        <f t="shared" si="127"/>
        <v>569</v>
      </c>
      <c r="E421" s="9">
        <f t="shared" si="128"/>
        <v>34210</v>
      </c>
      <c r="F421" s="3">
        <f t="shared" si="129"/>
        <v>1019</v>
      </c>
      <c r="G421" s="3">
        <f t="shared" si="130"/>
        <v>27830</v>
      </c>
      <c r="J421" s="6">
        <f t="shared" si="132"/>
        <v>5.3899999999999251</v>
      </c>
      <c r="K421" s="11">
        <f t="shared" si="133"/>
        <v>69910</v>
      </c>
      <c r="P421" s="1">
        <f t="shared" si="123"/>
        <v>69910</v>
      </c>
      <c r="Q421" s="1">
        <f t="shared" si="124"/>
        <v>13097468</v>
      </c>
    </row>
    <row r="422" spans="1:17" x14ac:dyDescent="0.3">
      <c r="A422" s="2">
        <f t="shared" si="131"/>
        <v>420</v>
      </c>
      <c r="B422" s="6">
        <f t="shared" si="125"/>
        <v>890</v>
      </c>
      <c r="C422" s="9">
        <f t="shared" si="126"/>
        <v>40700</v>
      </c>
      <c r="D422" s="6">
        <f t="shared" si="127"/>
        <v>570</v>
      </c>
      <c r="E422" s="9">
        <f t="shared" si="128"/>
        <v>34300</v>
      </c>
      <c r="F422" s="3">
        <f t="shared" si="129"/>
        <v>1020</v>
      </c>
      <c r="G422" s="3">
        <f t="shared" si="130"/>
        <v>27900</v>
      </c>
      <c r="J422" s="6">
        <f t="shared" si="132"/>
        <v>5.3999999999999249</v>
      </c>
      <c r="K422" s="11">
        <f t="shared" si="133"/>
        <v>70100</v>
      </c>
      <c r="P422" s="1">
        <f t="shared" ref="P422:P485" si="134">K422</f>
        <v>70100</v>
      </c>
      <c r="Q422" s="1">
        <f t="shared" ref="Q422:Q485" si="135">Q421+K422</f>
        <v>13167568</v>
      </c>
    </row>
    <row r="423" spans="1:17" x14ac:dyDescent="0.3">
      <c r="A423" s="2">
        <f t="shared" si="131"/>
        <v>421</v>
      </c>
      <c r="B423" s="6">
        <f t="shared" si="125"/>
        <v>892</v>
      </c>
      <c r="C423" s="9">
        <f t="shared" si="126"/>
        <v>40810</v>
      </c>
      <c r="D423" s="6">
        <f t="shared" si="127"/>
        <v>571</v>
      </c>
      <c r="E423" s="9">
        <f t="shared" si="128"/>
        <v>34390</v>
      </c>
      <c r="F423" s="3">
        <f t="shared" si="129"/>
        <v>1021</v>
      </c>
      <c r="G423" s="3">
        <f t="shared" si="130"/>
        <v>27970</v>
      </c>
      <c r="J423" s="6">
        <f t="shared" si="132"/>
        <v>5.4099999999999246</v>
      </c>
      <c r="K423" s="11">
        <f t="shared" si="133"/>
        <v>70290</v>
      </c>
      <c r="P423" s="1">
        <f t="shared" si="134"/>
        <v>70290</v>
      </c>
      <c r="Q423" s="1">
        <f t="shared" si="135"/>
        <v>13237858</v>
      </c>
    </row>
    <row r="424" spans="1:17" x14ac:dyDescent="0.3">
      <c r="A424" s="2">
        <f t="shared" si="131"/>
        <v>422</v>
      </c>
      <c r="B424" s="6">
        <f t="shared" ref="B424:B487" si="136">B423+2</f>
        <v>894</v>
      </c>
      <c r="C424" s="9">
        <f t="shared" ref="C424:C487" si="137">C423+110</f>
        <v>40920</v>
      </c>
      <c r="D424" s="6">
        <f t="shared" ref="D424:D487" si="138">D423+1</f>
        <v>572</v>
      </c>
      <c r="E424" s="9">
        <f t="shared" ref="E424:E487" si="139">E423+90</f>
        <v>34480</v>
      </c>
      <c r="F424" s="3">
        <f t="shared" ref="F424:F487" si="140">F423+1</f>
        <v>1022</v>
      </c>
      <c r="G424" s="3">
        <f t="shared" ref="G424:G487" si="141">G423+70</f>
        <v>28040</v>
      </c>
      <c r="J424" s="6">
        <f t="shared" si="132"/>
        <v>5.4199999999999244</v>
      </c>
      <c r="K424" s="11">
        <f t="shared" si="133"/>
        <v>70480</v>
      </c>
      <c r="P424" s="1">
        <f t="shared" si="134"/>
        <v>70480</v>
      </c>
      <c r="Q424" s="1">
        <f t="shared" si="135"/>
        <v>13308338</v>
      </c>
    </row>
    <row r="425" spans="1:17" x14ac:dyDescent="0.3">
      <c r="A425" s="2">
        <f t="shared" si="131"/>
        <v>423</v>
      </c>
      <c r="B425" s="6">
        <f t="shared" si="136"/>
        <v>896</v>
      </c>
      <c r="C425" s="9">
        <f t="shared" si="137"/>
        <v>41030</v>
      </c>
      <c r="D425" s="6">
        <f t="shared" si="138"/>
        <v>573</v>
      </c>
      <c r="E425" s="9">
        <f t="shared" si="139"/>
        <v>34570</v>
      </c>
      <c r="F425" s="3">
        <f t="shared" si="140"/>
        <v>1023</v>
      </c>
      <c r="G425" s="3">
        <f t="shared" si="141"/>
        <v>28110</v>
      </c>
      <c r="J425" s="6">
        <f t="shared" si="132"/>
        <v>5.4299999999999242</v>
      </c>
      <c r="K425" s="11">
        <f t="shared" si="133"/>
        <v>70670</v>
      </c>
      <c r="P425" s="1">
        <f t="shared" si="134"/>
        <v>70670</v>
      </c>
      <c r="Q425" s="1">
        <f t="shared" si="135"/>
        <v>13379008</v>
      </c>
    </row>
    <row r="426" spans="1:17" x14ac:dyDescent="0.3">
      <c r="A426" s="2">
        <f t="shared" si="131"/>
        <v>424</v>
      </c>
      <c r="B426" s="6">
        <f t="shared" si="136"/>
        <v>898</v>
      </c>
      <c r="C426" s="9">
        <f t="shared" si="137"/>
        <v>41140</v>
      </c>
      <c r="D426" s="6">
        <f t="shared" si="138"/>
        <v>574</v>
      </c>
      <c r="E426" s="9">
        <f t="shared" si="139"/>
        <v>34660</v>
      </c>
      <c r="F426" s="3">
        <f t="shared" si="140"/>
        <v>1024</v>
      </c>
      <c r="G426" s="3">
        <f t="shared" si="141"/>
        <v>28180</v>
      </c>
      <c r="J426" s="6">
        <f t="shared" si="132"/>
        <v>5.439999999999924</v>
      </c>
      <c r="K426" s="11">
        <f t="shared" si="133"/>
        <v>70860</v>
      </c>
      <c r="P426" s="1">
        <f t="shared" si="134"/>
        <v>70860</v>
      </c>
      <c r="Q426" s="1">
        <f t="shared" si="135"/>
        <v>13449868</v>
      </c>
    </row>
    <row r="427" spans="1:17" x14ac:dyDescent="0.3">
      <c r="A427" s="2">
        <f t="shared" si="131"/>
        <v>425</v>
      </c>
      <c r="B427" s="6">
        <f t="shared" si="136"/>
        <v>900</v>
      </c>
      <c r="C427" s="9">
        <f t="shared" si="137"/>
        <v>41250</v>
      </c>
      <c r="D427" s="6">
        <f t="shared" si="138"/>
        <v>575</v>
      </c>
      <c r="E427" s="9">
        <f t="shared" si="139"/>
        <v>34750</v>
      </c>
      <c r="F427" s="3">
        <f t="shared" si="140"/>
        <v>1025</v>
      </c>
      <c r="G427" s="3">
        <f t="shared" si="141"/>
        <v>28250</v>
      </c>
      <c r="J427" s="6">
        <f t="shared" si="132"/>
        <v>5.4499999999999238</v>
      </c>
      <c r="K427" s="11">
        <f t="shared" si="133"/>
        <v>71050</v>
      </c>
      <c r="P427" s="1">
        <f t="shared" si="134"/>
        <v>71050</v>
      </c>
      <c r="Q427" s="1">
        <f t="shared" si="135"/>
        <v>13520918</v>
      </c>
    </row>
    <row r="428" spans="1:17" x14ac:dyDescent="0.3">
      <c r="A428" s="2">
        <f t="shared" si="131"/>
        <v>426</v>
      </c>
      <c r="B428" s="6">
        <f t="shared" si="136"/>
        <v>902</v>
      </c>
      <c r="C428" s="9">
        <f t="shared" si="137"/>
        <v>41360</v>
      </c>
      <c r="D428" s="6">
        <f t="shared" si="138"/>
        <v>576</v>
      </c>
      <c r="E428" s="9">
        <f t="shared" si="139"/>
        <v>34840</v>
      </c>
      <c r="F428" s="3">
        <f t="shared" si="140"/>
        <v>1026</v>
      </c>
      <c r="G428" s="3">
        <f t="shared" si="141"/>
        <v>28320</v>
      </c>
      <c r="J428" s="6">
        <f t="shared" si="132"/>
        <v>5.4599999999999236</v>
      </c>
      <c r="K428" s="11">
        <f t="shared" si="133"/>
        <v>71240</v>
      </c>
      <c r="P428" s="1">
        <f t="shared" si="134"/>
        <v>71240</v>
      </c>
      <c r="Q428" s="1">
        <f t="shared" si="135"/>
        <v>13592158</v>
      </c>
    </row>
    <row r="429" spans="1:17" x14ac:dyDescent="0.3">
      <c r="A429" s="2">
        <f t="shared" si="131"/>
        <v>427</v>
      </c>
      <c r="B429" s="6">
        <f t="shared" si="136"/>
        <v>904</v>
      </c>
      <c r="C429" s="9">
        <f t="shared" si="137"/>
        <v>41470</v>
      </c>
      <c r="D429" s="6">
        <f t="shared" si="138"/>
        <v>577</v>
      </c>
      <c r="E429" s="9">
        <f t="shared" si="139"/>
        <v>34930</v>
      </c>
      <c r="F429" s="3">
        <f t="shared" si="140"/>
        <v>1027</v>
      </c>
      <c r="G429" s="3">
        <f t="shared" si="141"/>
        <v>28390</v>
      </c>
      <c r="J429" s="6">
        <f t="shared" si="132"/>
        <v>5.4699999999999234</v>
      </c>
      <c r="K429" s="11">
        <f t="shared" si="133"/>
        <v>71430</v>
      </c>
      <c r="P429" s="1">
        <f t="shared" si="134"/>
        <v>71430</v>
      </c>
      <c r="Q429" s="1">
        <f t="shared" si="135"/>
        <v>13663588</v>
      </c>
    </row>
    <row r="430" spans="1:17" x14ac:dyDescent="0.3">
      <c r="A430" s="2">
        <f t="shared" si="131"/>
        <v>428</v>
      </c>
      <c r="B430" s="6">
        <f t="shared" si="136"/>
        <v>906</v>
      </c>
      <c r="C430" s="9">
        <f t="shared" si="137"/>
        <v>41580</v>
      </c>
      <c r="D430" s="6">
        <f t="shared" si="138"/>
        <v>578</v>
      </c>
      <c r="E430" s="9">
        <f t="shared" si="139"/>
        <v>35020</v>
      </c>
      <c r="F430" s="3">
        <f t="shared" si="140"/>
        <v>1028</v>
      </c>
      <c r="G430" s="3">
        <f t="shared" si="141"/>
        <v>28460</v>
      </c>
      <c r="J430" s="6">
        <f t="shared" si="132"/>
        <v>5.4799999999999232</v>
      </c>
      <c r="K430" s="11">
        <f t="shared" si="133"/>
        <v>71620</v>
      </c>
      <c r="P430" s="1">
        <f t="shared" si="134"/>
        <v>71620</v>
      </c>
      <c r="Q430" s="1">
        <f t="shared" si="135"/>
        <v>13735208</v>
      </c>
    </row>
    <row r="431" spans="1:17" x14ac:dyDescent="0.3">
      <c r="A431" s="2">
        <f t="shared" si="131"/>
        <v>429</v>
      </c>
      <c r="B431" s="6">
        <f t="shared" si="136"/>
        <v>908</v>
      </c>
      <c r="C431" s="9">
        <f t="shared" si="137"/>
        <v>41690</v>
      </c>
      <c r="D431" s="6">
        <f t="shared" si="138"/>
        <v>579</v>
      </c>
      <c r="E431" s="9">
        <f t="shared" si="139"/>
        <v>35110</v>
      </c>
      <c r="F431" s="3">
        <f t="shared" si="140"/>
        <v>1029</v>
      </c>
      <c r="G431" s="3">
        <f t="shared" si="141"/>
        <v>28530</v>
      </c>
      <c r="J431" s="6">
        <f t="shared" si="132"/>
        <v>5.4899999999999229</v>
      </c>
      <c r="K431" s="11">
        <f t="shared" si="133"/>
        <v>71810</v>
      </c>
      <c r="P431" s="1">
        <f t="shared" si="134"/>
        <v>71810</v>
      </c>
      <c r="Q431" s="1">
        <f t="shared" si="135"/>
        <v>13807018</v>
      </c>
    </row>
    <row r="432" spans="1:17" x14ac:dyDescent="0.3">
      <c r="A432" s="2">
        <f t="shared" si="131"/>
        <v>430</v>
      </c>
      <c r="B432" s="6">
        <f t="shared" si="136"/>
        <v>910</v>
      </c>
      <c r="C432" s="9">
        <f t="shared" si="137"/>
        <v>41800</v>
      </c>
      <c r="D432" s="6">
        <f t="shared" si="138"/>
        <v>580</v>
      </c>
      <c r="E432" s="9">
        <f t="shared" si="139"/>
        <v>35200</v>
      </c>
      <c r="F432" s="3">
        <f t="shared" si="140"/>
        <v>1030</v>
      </c>
      <c r="G432" s="3">
        <f t="shared" si="141"/>
        <v>28600</v>
      </c>
      <c r="J432" s="6">
        <f t="shared" si="132"/>
        <v>5.4999999999999227</v>
      </c>
      <c r="K432" s="11">
        <f t="shared" si="133"/>
        <v>72000</v>
      </c>
      <c r="P432" s="1">
        <f t="shared" si="134"/>
        <v>72000</v>
      </c>
      <c r="Q432" s="1">
        <f t="shared" si="135"/>
        <v>13879018</v>
      </c>
    </row>
    <row r="433" spans="1:17" x14ac:dyDescent="0.3">
      <c r="A433" s="2">
        <f t="shared" si="131"/>
        <v>431</v>
      </c>
      <c r="B433" s="6">
        <f t="shared" si="136"/>
        <v>912</v>
      </c>
      <c r="C433" s="9">
        <f t="shared" si="137"/>
        <v>41910</v>
      </c>
      <c r="D433" s="6">
        <f t="shared" si="138"/>
        <v>581</v>
      </c>
      <c r="E433" s="9">
        <f t="shared" si="139"/>
        <v>35290</v>
      </c>
      <c r="F433" s="3">
        <f t="shared" si="140"/>
        <v>1031</v>
      </c>
      <c r="G433" s="3">
        <f t="shared" si="141"/>
        <v>28670</v>
      </c>
      <c r="J433" s="6">
        <f t="shared" si="132"/>
        <v>5.5099999999999225</v>
      </c>
      <c r="K433" s="11">
        <f t="shared" si="133"/>
        <v>72190</v>
      </c>
      <c r="P433" s="1">
        <f t="shared" si="134"/>
        <v>72190</v>
      </c>
      <c r="Q433" s="1">
        <f t="shared" si="135"/>
        <v>13951208</v>
      </c>
    </row>
    <row r="434" spans="1:17" x14ac:dyDescent="0.3">
      <c r="A434" s="2">
        <f t="shared" si="131"/>
        <v>432</v>
      </c>
      <c r="B434" s="6">
        <f t="shared" si="136"/>
        <v>914</v>
      </c>
      <c r="C434" s="9">
        <f t="shared" si="137"/>
        <v>42020</v>
      </c>
      <c r="D434" s="6">
        <f t="shared" si="138"/>
        <v>582</v>
      </c>
      <c r="E434" s="9">
        <f t="shared" si="139"/>
        <v>35380</v>
      </c>
      <c r="F434" s="3">
        <f t="shared" si="140"/>
        <v>1032</v>
      </c>
      <c r="G434" s="3">
        <f t="shared" si="141"/>
        <v>28740</v>
      </c>
      <c r="J434" s="6">
        <f t="shared" si="132"/>
        <v>5.5199999999999223</v>
      </c>
      <c r="K434" s="11">
        <f t="shared" si="133"/>
        <v>72380</v>
      </c>
      <c r="P434" s="1">
        <f t="shared" si="134"/>
        <v>72380</v>
      </c>
      <c r="Q434" s="1">
        <f t="shared" si="135"/>
        <v>14023588</v>
      </c>
    </row>
    <row r="435" spans="1:17" x14ac:dyDescent="0.3">
      <c r="A435" s="2">
        <f t="shared" si="131"/>
        <v>433</v>
      </c>
      <c r="B435" s="6">
        <f t="shared" si="136"/>
        <v>916</v>
      </c>
      <c r="C435" s="9">
        <f t="shared" si="137"/>
        <v>42130</v>
      </c>
      <c r="D435" s="6">
        <f t="shared" si="138"/>
        <v>583</v>
      </c>
      <c r="E435" s="9">
        <f t="shared" si="139"/>
        <v>35470</v>
      </c>
      <c r="F435" s="3">
        <f t="shared" si="140"/>
        <v>1033</v>
      </c>
      <c r="G435" s="3">
        <f t="shared" si="141"/>
        <v>28810</v>
      </c>
      <c r="J435" s="6">
        <f t="shared" si="132"/>
        <v>5.5299999999999221</v>
      </c>
      <c r="K435" s="11">
        <f t="shared" si="133"/>
        <v>72570</v>
      </c>
      <c r="P435" s="1">
        <f t="shared" si="134"/>
        <v>72570</v>
      </c>
      <c r="Q435" s="1">
        <f t="shared" si="135"/>
        <v>14096158</v>
      </c>
    </row>
    <row r="436" spans="1:17" x14ac:dyDescent="0.3">
      <c r="A436" s="2">
        <f t="shared" si="131"/>
        <v>434</v>
      </c>
      <c r="B436" s="6">
        <f t="shared" si="136"/>
        <v>918</v>
      </c>
      <c r="C436" s="9">
        <f t="shared" si="137"/>
        <v>42240</v>
      </c>
      <c r="D436" s="6">
        <f t="shared" si="138"/>
        <v>584</v>
      </c>
      <c r="E436" s="9">
        <f t="shared" si="139"/>
        <v>35560</v>
      </c>
      <c r="F436" s="3">
        <f t="shared" si="140"/>
        <v>1034</v>
      </c>
      <c r="G436" s="3">
        <f t="shared" si="141"/>
        <v>28880</v>
      </c>
      <c r="J436" s="6">
        <f t="shared" si="132"/>
        <v>5.5399999999999219</v>
      </c>
      <c r="K436" s="11">
        <f t="shared" si="133"/>
        <v>72760</v>
      </c>
      <c r="P436" s="1">
        <f t="shared" si="134"/>
        <v>72760</v>
      </c>
      <c r="Q436" s="1">
        <f t="shared" si="135"/>
        <v>14168918</v>
      </c>
    </row>
    <row r="437" spans="1:17" x14ac:dyDescent="0.3">
      <c r="A437" s="2">
        <f t="shared" si="131"/>
        <v>435</v>
      </c>
      <c r="B437" s="6">
        <f t="shared" si="136"/>
        <v>920</v>
      </c>
      <c r="C437" s="9">
        <f t="shared" si="137"/>
        <v>42350</v>
      </c>
      <c r="D437" s="6">
        <f t="shared" si="138"/>
        <v>585</v>
      </c>
      <c r="E437" s="9">
        <f t="shared" si="139"/>
        <v>35650</v>
      </c>
      <c r="F437" s="3">
        <f t="shared" si="140"/>
        <v>1035</v>
      </c>
      <c r="G437" s="3">
        <f t="shared" si="141"/>
        <v>28950</v>
      </c>
      <c r="J437" s="6">
        <f t="shared" si="132"/>
        <v>5.5499999999999217</v>
      </c>
      <c r="K437" s="11">
        <f t="shared" si="133"/>
        <v>72950</v>
      </c>
      <c r="P437" s="1">
        <f t="shared" si="134"/>
        <v>72950</v>
      </c>
      <c r="Q437" s="1">
        <f t="shared" si="135"/>
        <v>14241868</v>
      </c>
    </row>
    <row r="438" spans="1:17" x14ac:dyDescent="0.3">
      <c r="A438" s="2">
        <f t="shared" si="131"/>
        <v>436</v>
      </c>
      <c r="B438" s="6">
        <f t="shared" si="136"/>
        <v>922</v>
      </c>
      <c r="C438" s="9">
        <f t="shared" si="137"/>
        <v>42460</v>
      </c>
      <c r="D438" s="6">
        <f t="shared" si="138"/>
        <v>586</v>
      </c>
      <c r="E438" s="9">
        <f t="shared" si="139"/>
        <v>35740</v>
      </c>
      <c r="F438" s="3">
        <f t="shared" si="140"/>
        <v>1036</v>
      </c>
      <c r="G438" s="3">
        <f t="shared" si="141"/>
        <v>29020</v>
      </c>
      <c r="J438" s="6">
        <f t="shared" si="132"/>
        <v>5.5599999999999214</v>
      </c>
      <c r="K438" s="11">
        <f t="shared" si="133"/>
        <v>73140</v>
      </c>
      <c r="P438" s="1">
        <f t="shared" si="134"/>
        <v>73140</v>
      </c>
      <c r="Q438" s="1">
        <f t="shared" si="135"/>
        <v>14315008</v>
      </c>
    </row>
    <row r="439" spans="1:17" x14ac:dyDescent="0.3">
      <c r="A439" s="2">
        <f t="shared" si="131"/>
        <v>437</v>
      </c>
      <c r="B439" s="6">
        <f t="shared" si="136"/>
        <v>924</v>
      </c>
      <c r="C439" s="9">
        <f t="shared" si="137"/>
        <v>42570</v>
      </c>
      <c r="D439" s="6">
        <f t="shared" si="138"/>
        <v>587</v>
      </c>
      <c r="E439" s="9">
        <f t="shared" si="139"/>
        <v>35830</v>
      </c>
      <c r="F439" s="3">
        <f t="shared" si="140"/>
        <v>1037</v>
      </c>
      <c r="G439" s="3">
        <f t="shared" si="141"/>
        <v>29090</v>
      </c>
      <c r="J439" s="6">
        <f t="shared" si="132"/>
        <v>5.5699999999999212</v>
      </c>
      <c r="K439" s="11">
        <f t="shared" si="133"/>
        <v>73330</v>
      </c>
      <c r="P439" s="1">
        <f t="shared" si="134"/>
        <v>73330</v>
      </c>
      <c r="Q439" s="1">
        <f t="shared" si="135"/>
        <v>14388338</v>
      </c>
    </row>
    <row r="440" spans="1:17" x14ac:dyDescent="0.3">
      <c r="A440" s="2">
        <f t="shared" si="131"/>
        <v>438</v>
      </c>
      <c r="B440" s="6">
        <f t="shared" si="136"/>
        <v>926</v>
      </c>
      <c r="C440" s="9">
        <f t="shared" si="137"/>
        <v>42680</v>
      </c>
      <c r="D440" s="6">
        <f t="shared" si="138"/>
        <v>588</v>
      </c>
      <c r="E440" s="9">
        <f t="shared" si="139"/>
        <v>35920</v>
      </c>
      <c r="F440" s="3">
        <f t="shared" si="140"/>
        <v>1038</v>
      </c>
      <c r="G440" s="3">
        <f t="shared" si="141"/>
        <v>29160</v>
      </c>
      <c r="J440" s="6">
        <f t="shared" si="132"/>
        <v>5.579999999999921</v>
      </c>
      <c r="K440" s="11">
        <f t="shared" si="133"/>
        <v>73520</v>
      </c>
      <c r="P440" s="1">
        <f t="shared" si="134"/>
        <v>73520</v>
      </c>
      <c r="Q440" s="1">
        <f t="shared" si="135"/>
        <v>14461858</v>
      </c>
    </row>
    <row r="441" spans="1:17" x14ac:dyDescent="0.3">
      <c r="A441" s="2">
        <f t="shared" si="131"/>
        <v>439</v>
      </c>
      <c r="B441" s="6">
        <f t="shared" si="136"/>
        <v>928</v>
      </c>
      <c r="C441" s="9">
        <f t="shared" si="137"/>
        <v>42790</v>
      </c>
      <c r="D441" s="6">
        <f t="shared" si="138"/>
        <v>589</v>
      </c>
      <c r="E441" s="9">
        <f t="shared" si="139"/>
        <v>36010</v>
      </c>
      <c r="F441" s="3">
        <f t="shared" si="140"/>
        <v>1039</v>
      </c>
      <c r="G441" s="3">
        <f t="shared" si="141"/>
        <v>29230</v>
      </c>
      <c r="J441" s="6">
        <f t="shared" si="132"/>
        <v>5.5899999999999208</v>
      </c>
      <c r="K441" s="11">
        <f t="shared" si="133"/>
        <v>73710</v>
      </c>
      <c r="P441" s="1">
        <f t="shared" si="134"/>
        <v>73710</v>
      </c>
      <c r="Q441" s="1">
        <f t="shared" si="135"/>
        <v>14535568</v>
      </c>
    </row>
    <row r="442" spans="1:17" x14ac:dyDescent="0.3">
      <c r="A442" s="2">
        <f t="shared" si="131"/>
        <v>440</v>
      </c>
      <c r="B442" s="6">
        <f t="shared" si="136"/>
        <v>930</v>
      </c>
      <c r="C442" s="9">
        <f t="shared" si="137"/>
        <v>42900</v>
      </c>
      <c r="D442" s="6">
        <f t="shared" si="138"/>
        <v>590</v>
      </c>
      <c r="E442" s="9">
        <f t="shared" si="139"/>
        <v>36100</v>
      </c>
      <c r="F442" s="3">
        <f t="shared" si="140"/>
        <v>1040</v>
      </c>
      <c r="G442" s="3">
        <f t="shared" si="141"/>
        <v>29300</v>
      </c>
      <c r="J442" s="6">
        <f t="shared" si="132"/>
        <v>5.5999999999999206</v>
      </c>
      <c r="K442" s="11">
        <f t="shared" si="133"/>
        <v>73900</v>
      </c>
      <c r="P442" s="1">
        <f t="shared" si="134"/>
        <v>73900</v>
      </c>
      <c r="Q442" s="1">
        <f t="shared" si="135"/>
        <v>14609468</v>
      </c>
    </row>
    <row r="443" spans="1:17" x14ac:dyDescent="0.3">
      <c r="A443" s="2">
        <f t="shared" si="131"/>
        <v>441</v>
      </c>
      <c r="B443" s="6">
        <f t="shared" si="136"/>
        <v>932</v>
      </c>
      <c r="C443" s="9">
        <f t="shared" si="137"/>
        <v>43010</v>
      </c>
      <c r="D443" s="6">
        <f t="shared" si="138"/>
        <v>591</v>
      </c>
      <c r="E443" s="9">
        <f t="shared" si="139"/>
        <v>36190</v>
      </c>
      <c r="F443" s="3">
        <f t="shared" si="140"/>
        <v>1041</v>
      </c>
      <c r="G443" s="3">
        <f t="shared" si="141"/>
        <v>29370</v>
      </c>
      <c r="J443" s="6">
        <f t="shared" si="132"/>
        <v>5.6099999999999204</v>
      </c>
      <c r="K443" s="11">
        <f t="shared" si="133"/>
        <v>74090</v>
      </c>
      <c r="P443" s="1">
        <f t="shared" si="134"/>
        <v>74090</v>
      </c>
      <c r="Q443" s="1">
        <f t="shared" si="135"/>
        <v>14683558</v>
      </c>
    </row>
    <row r="444" spans="1:17" x14ac:dyDescent="0.3">
      <c r="A444" s="2">
        <f t="shared" si="131"/>
        <v>442</v>
      </c>
      <c r="B444" s="6">
        <f t="shared" si="136"/>
        <v>934</v>
      </c>
      <c r="C444" s="9">
        <f t="shared" si="137"/>
        <v>43120</v>
      </c>
      <c r="D444" s="6">
        <f t="shared" si="138"/>
        <v>592</v>
      </c>
      <c r="E444" s="9">
        <f t="shared" si="139"/>
        <v>36280</v>
      </c>
      <c r="F444" s="3">
        <f t="shared" si="140"/>
        <v>1042</v>
      </c>
      <c r="G444" s="3">
        <f t="shared" si="141"/>
        <v>29440</v>
      </c>
      <c r="J444" s="6">
        <f t="shared" si="132"/>
        <v>5.6199999999999202</v>
      </c>
      <c r="K444" s="11">
        <f t="shared" si="133"/>
        <v>74280</v>
      </c>
      <c r="P444" s="1">
        <f t="shared" si="134"/>
        <v>74280</v>
      </c>
      <c r="Q444" s="1">
        <f t="shared" si="135"/>
        <v>14757838</v>
      </c>
    </row>
    <row r="445" spans="1:17" x14ac:dyDescent="0.3">
      <c r="A445" s="2">
        <f t="shared" si="131"/>
        <v>443</v>
      </c>
      <c r="B445" s="6">
        <f t="shared" si="136"/>
        <v>936</v>
      </c>
      <c r="C445" s="9">
        <f t="shared" si="137"/>
        <v>43230</v>
      </c>
      <c r="D445" s="6">
        <f t="shared" si="138"/>
        <v>593</v>
      </c>
      <c r="E445" s="9">
        <f t="shared" si="139"/>
        <v>36370</v>
      </c>
      <c r="F445" s="3">
        <f t="shared" si="140"/>
        <v>1043</v>
      </c>
      <c r="G445" s="3">
        <f t="shared" si="141"/>
        <v>29510</v>
      </c>
      <c r="J445" s="6">
        <f t="shared" si="132"/>
        <v>5.62999999999992</v>
      </c>
      <c r="K445" s="11">
        <f t="shared" si="133"/>
        <v>74470</v>
      </c>
      <c r="P445" s="1">
        <f t="shared" si="134"/>
        <v>74470</v>
      </c>
      <c r="Q445" s="1">
        <f t="shared" si="135"/>
        <v>14832308</v>
      </c>
    </row>
    <row r="446" spans="1:17" x14ac:dyDescent="0.3">
      <c r="A446" s="2">
        <f t="shared" si="131"/>
        <v>444</v>
      </c>
      <c r="B446" s="6">
        <f t="shared" si="136"/>
        <v>938</v>
      </c>
      <c r="C446" s="9">
        <f t="shared" si="137"/>
        <v>43340</v>
      </c>
      <c r="D446" s="6">
        <f t="shared" si="138"/>
        <v>594</v>
      </c>
      <c r="E446" s="9">
        <f t="shared" si="139"/>
        <v>36460</v>
      </c>
      <c r="F446" s="3">
        <f t="shared" si="140"/>
        <v>1044</v>
      </c>
      <c r="G446" s="3">
        <f t="shared" si="141"/>
        <v>29580</v>
      </c>
      <c r="J446" s="6">
        <f t="shared" si="132"/>
        <v>5.6399999999999197</v>
      </c>
      <c r="K446" s="11">
        <f t="shared" si="133"/>
        <v>74660</v>
      </c>
      <c r="P446" s="1">
        <f t="shared" si="134"/>
        <v>74660</v>
      </c>
      <c r="Q446" s="1">
        <f t="shared" si="135"/>
        <v>14906968</v>
      </c>
    </row>
    <row r="447" spans="1:17" x14ac:dyDescent="0.3">
      <c r="A447" s="2">
        <f t="shared" si="131"/>
        <v>445</v>
      </c>
      <c r="B447" s="6">
        <f t="shared" si="136"/>
        <v>940</v>
      </c>
      <c r="C447" s="9">
        <f t="shared" si="137"/>
        <v>43450</v>
      </c>
      <c r="D447" s="6">
        <f t="shared" si="138"/>
        <v>595</v>
      </c>
      <c r="E447" s="9">
        <f t="shared" si="139"/>
        <v>36550</v>
      </c>
      <c r="F447" s="3">
        <f t="shared" si="140"/>
        <v>1045</v>
      </c>
      <c r="G447" s="3">
        <f t="shared" si="141"/>
        <v>29650</v>
      </c>
      <c r="J447" s="6">
        <f t="shared" si="132"/>
        <v>5.6499999999999195</v>
      </c>
      <c r="K447" s="11">
        <f t="shared" si="133"/>
        <v>74850</v>
      </c>
      <c r="P447" s="1">
        <f t="shared" si="134"/>
        <v>74850</v>
      </c>
      <c r="Q447" s="1">
        <f t="shared" si="135"/>
        <v>14981818</v>
      </c>
    </row>
    <row r="448" spans="1:17" x14ac:dyDescent="0.3">
      <c r="A448" s="2">
        <f t="shared" si="131"/>
        <v>446</v>
      </c>
      <c r="B448" s="6">
        <f t="shared" si="136"/>
        <v>942</v>
      </c>
      <c r="C448" s="9">
        <f t="shared" si="137"/>
        <v>43560</v>
      </c>
      <c r="D448" s="6">
        <f t="shared" si="138"/>
        <v>596</v>
      </c>
      <c r="E448" s="9">
        <f t="shared" si="139"/>
        <v>36640</v>
      </c>
      <c r="F448" s="3">
        <f t="shared" si="140"/>
        <v>1046</v>
      </c>
      <c r="G448" s="3">
        <f t="shared" si="141"/>
        <v>29720</v>
      </c>
      <c r="J448" s="6">
        <f t="shared" si="132"/>
        <v>5.6599999999999193</v>
      </c>
      <c r="K448" s="11">
        <f t="shared" si="133"/>
        <v>75040</v>
      </c>
      <c r="P448" s="1">
        <f t="shared" si="134"/>
        <v>75040</v>
      </c>
      <c r="Q448" s="1">
        <f t="shared" si="135"/>
        <v>15056858</v>
      </c>
    </row>
    <row r="449" spans="1:17" x14ac:dyDescent="0.3">
      <c r="A449" s="2">
        <f t="shared" si="131"/>
        <v>447</v>
      </c>
      <c r="B449" s="6">
        <f t="shared" si="136"/>
        <v>944</v>
      </c>
      <c r="C449" s="9">
        <f t="shared" si="137"/>
        <v>43670</v>
      </c>
      <c r="D449" s="6">
        <f t="shared" si="138"/>
        <v>597</v>
      </c>
      <c r="E449" s="9">
        <f t="shared" si="139"/>
        <v>36730</v>
      </c>
      <c r="F449" s="3">
        <f t="shared" si="140"/>
        <v>1047</v>
      </c>
      <c r="G449" s="3">
        <f t="shared" si="141"/>
        <v>29790</v>
      </c>
      <c r="J449" s="6">
        <f t="shared" si="132"/>
        <v>5.6699999999999191</v>
      </c>
      <c r="K449" s="11">
        <f t="shared" si="133"/>
        <v>75230</v>
      </c>
      <c r="P449" s="1">
        <f t="shared" si="134"/>
        <v>75230</v>
      </c>
      <c r="Q449" s="1">
        <f t="shared" si="135"/>
        <v>15132088</v>
      </c>
    </row>
    <row r="450" spans="1:17" x14ac:dyDescent="0.3">
      <c r="A450" s="2">
        <f t="shared" si="131"/>
        <v>448</v>
      </c>
      <c r="B450" s="6">
        <f t="shared" si="136"/>
        <v>946</v>
      </c>
      <c r="C450" s="9">
        <f t="shared" si="137"/>
        <v>43780</v>
      </c>
      <c r="D450" s="6">
        <f t="shared" si="138"/>
        <v>598</v>
      </c>
      <c r="E450" s="9">
        <f t="shared" si="139"/>
        <v>36820</v>
      </c>
      <c r="F450" s="3">
        <f t="shared" si="140"/>
        <v>1048</v>
      </c>
      <c r="G450" s="3">
        <f t="shared" si="141"/>
        <v>29860</v>
      </c>
      <c r="J450" s="6">
        <f t="shared" si="132"/>
        <v>5.6799999999999189</v>
      </c>
      <c r="K450" s="11">
        <f t="shared" si="133"/>
        <v>75420</v>
      </c>
      <c r="P450" s="1">
        <f t="shared" si="134"/>
        <v>75420</v>
      </c>
      <c r="Q450" s="1">
        <f t="shared" si="135"/>
        <v>15207508</v>
      </c>
    </row>
    <row r="451" spans="1:17" x14ac:dyDescent="0.3">
      <c r="A451" s="2">
        <f t="shared" si="131"/>
        <v>449</v>
      </c>
      <c r="B451" s="6">
        <f t="shared" si="136"/>
        <v>948</v>
      </c>
      <c r="C451" s="9">
        <f t="shared" si="137"/>
        <v>43890</v>
      </c>
      <c r="D451" s="6">
        <f t="shared" si="138"/>
        <v>599</v>
      </c>
      <c r="E451" s="9">
        <f t="shared" si="139"/>
        <v>36910</v>
      </c>
      <c r="F451" s="3">
        <f t="shared" si="140"/>
        <v>1049</v>
      </c>
      <c r="G451" s="3">
        <f t="shared" si="141"/>
        <v>29930</v>
      </c>
      <c r="J451" s="6">
        <f t="shared" si="132"/>
        <v>5.6899999999999187</v>
      </c>
      <c r="K451" s="11">
        <f t="shared" si="133"/>
        <v>75610</v>
      </c>
      <c r="P451" s="1">
        <f t="shared" si="134"/>
        <v>75610</v>
      </c>
      <c r="Q451" s="1">
        <f t="shared" si="135"/>
        <v>15283118</v>
      </c>
    </row>
    <row r="452" spans="1:17" x14ac:dyDescent="0.3">
      <c r="A452" s="2">
        <f t="shared" si="131"/>
        <v>450</v>
      </c>
      <c r="B452" s="6">
        <f t="shared" si="136"/>
        <v>950</v>
      </c>
      <c r="C452" s="9">
        <f t="shared" si="137"/>
        <v>44000</v>
      </c>
      <c r="D452" s="6">
        <f t="shared" si="138"/>
        <v>600</v>
      </c>
      <c r="E452" s="9">
        <f t="shared" si="139"/>
        <v>37000</v>
      </c>
      <c r="F452" s="3">
        <f t="shared" si="140"/>
        <v>1050</v>
      </c>
      <c r="G452" s="3">
        <f t="shared" si="141"/>
        <v>30000</v>
      </c>
      <c r="J452" s="6">
        <f t="shared" si="132"/>
        <v>5.6999999999999185</v>
      </c>
      <c r="K452" s="11">
        <f t="shared" si="133"/>
        <v>75800</v>
      </c>
      <c r="P452" s="1">
        <f t="shared" si="134"/>
        <v>75800</v>
      </c>
      <c r="Q452" s="1">
        <f t="shared" si="135"/>
        <v>15358918</v>
      </c>
    </row>
    <row r="453" spans="1:17" x14ac:dyDescent="0.3">
      <c r="A453" s="2">
        <f t="shared" ref="A453:B516" si="142">A452+1</f>
        <v>451</v>
      </c>
      <c r="B453" s="6">
        <f t="shared" si="136"/>
        <v>952</v>
      </c>
      <c r="C453" s="9">
        <f t="shared" si="137"/>
        <v>44110</v>
      </c>
      <c r="D453" s="6">
        <f t="shared" si="138"/>
        <v>601</v>
      </c>
      <c r="E453" s="9">
        <f t="shared" si="139"/>
        <v>37090</v>
      </c>
      <c r="F453" s="3">
        <f t="shared" si="140"/>
        <v>1051</v>
      </c>
      <c r="G453" s="3">
        <f t="shared" si="141"/>
        <v>30070</v>
      </c>
      <c r="J453" s="6">
        <f t="shared" si="132"/>
        <v>5.7099999999999183</v>
      </c>
      <c r="K453" s="11">
        <f t="shared" si="133"/>
        <v>75990</v>
      </c>
      <c r="P453" s="1">
        <f t="shared" si="134"/>
        <v>75990</v>
      </c>
      <c r="Q453" s="1">
        <f t="shared" si="135"/>
        <v>15434908</v>
      </c>
    </row>
    <row r="454" spans="1:17" x14ac:dyDescent="0.3">
      <c r="A454" s="2">
        <f t="shared" si="142"/>
        <v>452</v>
      </c>
      <c r="B454" s="6">
        <f t="shared" si="136"/>
        <v>954</v>
      </c>
      <c r="C454" s="9">
        <f t="shared" si="137"/>
        <v>44220</v>
      </c>
      <c r="D454" s="6">
        <f t="shared" si="138"/>
        <v>602</v>
      </c>
      <c r="E454" s="9">
        <f t="shared" si="139"/>
        <v>37180</v>
      </c>
      <c r="F454" s="3">
        <f t="shared" si="140"/>
        <v>1052</v>
      </c>
      <c r="G454" s="3">
        <f t="shared" si="141"/>
        <v>30140</v>
      </c>
      <c r="J454" s="6">
        <f t="shared" si="132"/>
        <v>5.719999999999918</v>
      </c>
      <c r="K454" s="11">
        <f t="shared" si="133"/>
        <v>76180</v>
      </c>
      <c r="P454" s="1">
        <f t="shared" si="134"/>
        <v>76180</v>
      </c>
      <c r="Q454" s="1">
        <f t="shared" si="135"/>
        <v>15511088</v>
      </c>
    </row>
    <row r="455" spans="1:17" x14ac:dyDescent="0.3">
      <c r="A455" s="2">
        <f t="shared" si="142"/>
        <v>453</v>
      </c>
      <c r="B455" s="6">
        <f t="shared" si="136"/>
        <v>956</v>
      </c>
      <c r="C455" s="9">
        <f t="shared" si="137"/>
        <v>44330</v>
      </c>
      <c r="D455" s="6">
        <f t="shared" si="138"/>
        <v>603</v>
      </c>
      <c r="E455" s="9">
        <f t="shared" si="139"/>
        <v>37270</v>
      </c>
      <c r="F455" s="3">
        <f t="shared" si="140"/>
        <v>1053</v>
      </c>
      <c r="G455" s="3">
        <f t="shared" si="141"/>
        <v>30210</v>
      </c>
      <c r="J455" s="6">
        <f t="shared" si="132"/>
        <v>5.7299999999999178</v>
      </c>
      <c r="K455" s="11">
        <f t="shared" si="133"/>
        <v>76370</v>
      </c>
      <c r="P455" s="1">
        <f t="shared" si="134"/>
        <v>76370</v>
      </c>
      <c r="Q455" s="1">
        <f t="shared" si="135"/>
        <v>15587458</v>
      </c>
    </row>
    <row r="456" spans="1:17" x14ac:dyDescent="0.3">
      <c r="A456" s="2">
        <f t="shared" si="142"/>
        <v>454</v>
      </c>
      <c r="B456" s="6">
        <f t="shared" si="136"/>
        <v>958</v>
      </c>
      <c r="C456" s="9">
        <f t="shared" si="137"/>
        <v>44440</v>
      </c>
      <c r="D456" s="6">
        <f t="shared" si="138"/>
        <v>604</v>
      </c>
      <c r="E456" s="9">
        <f t="shared" si="139"/>
        <v>37360</v>
      </c>
      <c r="F456" s="3">
        <f t="shared" si="140"/>
        <v>1054</v>
      </c>
      <c r="G456" s="3">
        <f t="shared" si="141"/>
        <v>30280</v>
      </c>
      <c r="J456" s="6">
        <f t="shared" si="132"/>
        <v>5.7399999999999176</v>
      </c>
      <c r="K456" s="11">
        <f t="shared" si="133"/>
        <v>76560</v>
      </c>
      <c r="P456" s="1">
        <f t="shared" si="134"/>
        <v>76560</v>
      </c>
      <c r="Q456" s="1">
        <f t="shared" si="135"/>
        <v>15664018</v>
      </c>
    </row>
    <row r="457" spans="1:17" x14ac:dyDescent="0.3">
      <c r="A457" s="2">
        <f t="shared" si="142"/>
        <v>455</v>
      </c>
      <c r="B457" s="6">
        <f t="shared" si="136"/>
        <v>960</v>
      </c>
      <c r="C457" s="9">
        <f t="shared" si="137"/>
        <v>44550</v>
      </c>
      <c r="D457" s="6">
        <f t="shared" si="138"/>
        <v>605</v>
      </c>
      <c r="E457" s="9">
        <f t="shared" si="139"/>
        <v>37450</v>
      </c>
      <c r="F457" s="3">
        <f t="shared" si="140"/>
        <v>1055</v>
      </c>
      <c r="G457" s="3">
        <f t="shared" si="141"/>
        <v>30350</v>
      </c>
      <c r="J457" s="6">
        <f t="shared" si="132"/>
        <v>5.7499999999999174</v>
      </c>
      <c r="K457" s="11">
        <f t="shared" si="133"/>
        <v>76750</v>
      </c>
      <c r="P457" s="1">
        <f t="shared" si="134"/>
        <v>76750</v>
      </c>
      <c r="Q457" s="1">
        <f t="shared" si="135"/>
        <v>15740768</v>
      </c>
    </row>
    <row r="458" spans="1:17" x14ac:dyDescent="0.3">
      <c r="A458" s="2">
        <f t="shared" si="142"/>
        <v>456</v>
      </c>
      <c r="B458" s="6">
        <f t="shared" si="136"/>
        <v>962</v>
      </c>
      <c r="C458" s="9">
        <f t="shared" si="137"/>
        <v>44660</v>
      </c>
      <c r="D458" s="6">
        <f t="shared" si="138"/>
        <v>606</v>
      </c>
      <c r="E458" s="9">
        <f t="shared" si="139"/>
        <v>37540</v>
      </c>
      <c r="F458" s="3">
        <f t="shared" si="140"/>
        <v>1056</v>
      </c>
      <c r="G458" s="3">
        <f t="shared" si="141"/>
        <v>30420</v>
      </c>
      <c r="J458" s="6">
        <f t="shared" si="132"/>
        <v>5.7599999999999172</v>
      </c>
      <c r="K458" s="11">
        <f t="shared" si="133"/>
        <v>76940</v>
      </c>
      <c r="P458" s="1">
        <f t="shared" si="134"/>
        <v>76940</v>
      </c>
      <c r="Q458" s="1">
        <f t="shared" si="135"/>
        <v>15817708</v>
      </c>
    </row>
    <row r="459" spans="1:17" x14ac:dyDescent="0.3">
      <c r="A459" s="2">
        <f t="shared" si="142"/>
        <v>457</v>
      </c>
      <c r="B459" s="6">
        <f t="shared" si="136"/>
        <v>964</v>
      </c>
      <c r="C459" s="9">
        <f t="shared" si="137"/>
        <v>44770</v>
      </c>
      <c r="D459" s="6">
        <f t="shared" si="138"/>
        <v>607</v>
      </c>
      <c r="E459" s="9">
        <f t="shared" si="139"/>
        <v>37630</v>
      </c>
      <c r="F459" s="3">
        <f t="shared" si="140"/>
        <v>1057</v>
      </c>
      <c r="G459" s="3">
        <f t="shared" si="141"/>
        <v>30490</v>
      </c>
      <c r="J459" s="6">
        <f t="shared" si="132"/>
        <v>5.769999999999917</v>
      </c>
      <c r="K459" s="11">
        <f t="shared" si="133"/>
        <v>77130</v>
      </c>
      <c r="P459" s="1">
        <f t="shared" si="134"/>
        <v>77130</v>
      </c>
      <c r="Q459" s="1">
        <f t="shared" si="135"/>
        <v>15894838</v>
      </c>
    </row>
    <row r="460" spans="1:17" x14ac:dyDescent="0.3">
      <c r="A460" s="2">
        <f t="shared" si="142"/>
        <v>458</v>
      </c>
      <c r="B460" s="6">
        <f t="shared" si="136"/>
        <v>966</v>
      </c>
      <c r="C460" s="9">
        <f t="shared" si="137"/>
        <v>44880</v>
      </c>
      <c r="D460" s="6">
        <f t="shared" si="138"/>
        <v>608</v>
      </c>
      <c r="E460" s="9">
        <f t="shared" si="139"/>
        <v>37720</v>
      </c>
      <c r="F460" s="3">
        <f t="shared" si="140"/>
        <v>1058</v>
      </c>
      <c r="G460" s="3">
        <f t="shared" si="141"/>
        <v>30560</v>
      </c>
      <c r="J460" s="6">
        <f t="shared" si="132"/>
        <v>5.7799999999999168</v>
      </c>
      <c r="K460" s="11">
        <f t="shared" si="133"/>
        <v>77320</v>
      </c>
      <c r="P460" s="1">
        <f t="shared" si="134"/>
        <v>77320</v>
      </c>
      <c r="Q460" s="1">
        <f t="shared" si="135"/>
        <v>15972158</v>
      </c>
    </row>
    <row r="461" spans="1:17" x14ac:dyDescent="0.3">
      <c r="A461" s="2">
        <f t="shared" si="142"/>
        <v>459</v>
      </c>
      <c r="B461" s="6">
        <f t="shared" si="136"/>
        <v>968</v>
      </c>
      <c r="C461" s="9">
        <f t="shared" si="137"/>
        <v>44990</v>
      </c>
      <c r="D461" s="6">
        <f t="shared" si="138"/>
        <v>609</v>
      </c>
      <c r="E461" s="9">
        <f t="shared" si="139"/>
        <v>37810</v>
      </c>
      <c r="F461" s="3">
        <f t="shared" si="140"/>
        <v>1059</v>
      </c>
      <c r="G461" s="3">
        <f t="shared" si="141"/>
        <v>30630</v>
      </c>
      <c r="J461" s="6">
        <f t="shared" si="132"/>
        <v>5.7899999999999165</v>
      </c>
      <c r="K461" s="11">
        <f t="shared" si="133"/>
        <v>77510</v>
      </c>
      <c r="P461" s="1">
        <f t="shared" si="134"/>
        <v>77510</v>
      </c>
      <c r="Q461" s="1">
        <f t="shared" si="135"/>
        <v>16049668</v>
      </c>
    </row>
    <row r="462" spans="1:17" x14ac:dyDescent="0.3">
      <c r="A462" s="2">
        <f t="shared" si="142"/>
        <v>460</v>
      </c>
      <c r="B462" s="6">
        <f t="shared" si="136"/>
        <v>970</v>
      </c>
      <c r="C462" s="9">
        <f t="shared" si="137"/>
        <v>45100</v>
      </c>
      <c r="D462" s="6">
        <f t="shared" si="138"/>
        <v>610</v>
      </c>
      <c r="E462" s="9">
        <f t="shared" si="139"/>
        <v>37900</v>
      </c>
      <c r="F462" s="3">
        <f t="shared" si="140"/>
        <v>1060</v>
      </c>
      <c r="G462" s="3">
        <f t="shared" si="141"/>
        <v>30700</v>
      </c>
      <c r="J462" s="6">
        <f t="shared" si="132"/>
        <v>5.7999999999999163</v>
      </c>
      <c r="K462" s="11">
        <f t="shared" si="133"/>
        <v>77700</v>
      </c>
      <c r="P462" s="1">
        <f t="shared" si="134"/>
        <v>77700</v>
      </c>
      <c r="Q462" s="1">
        <f t="shared" si="135"/>
        <v>16127368</v>
      </c>
    </row>
    <row r="463" spans="1:17" x14ac:dyDescent="0.3">
      <c r="A463" s="2">
        <f t="shared" si="142"/>
        <v>461</v>
      </c>
      <c r="B463" s="6">
        <f t="shared" si="136"/>
        <v>972</v>
      </c>
      <c r="C463" s="9">
        <f t="shared" si="137"/>
        <v>45210</v>
      </c>
      <c r="D463" s="6">
        <f t="shared" si="138"/>
        <v>611</v>
      </c>
      <c r="E463" s="9">
        <f t="shared" si="139"/>
        <v>37990</v>
      </c>
      <c r="F463" s="3">
        <f t="shared" si="140"/>
        <v>1061</v>
      </c>
      <c r="G463" s="3">
        <f t="shared" si="141"/>
        <v>30770</v>
      </c>
      <c r="J463" s="6">
        <f t="shared" si="132"/>
        <v>5.8099999999999161</v>
      </c>
      <c r="K463" s="11">
        <f t="shared" si="133"/>
        <v>77890</v>
      </c>
      <c r="P463" s="1">
        <f t="shared" si="134"/>
        <v>77890</v>
      </c>
      <c r="Q463" s="1">
        <f t="shared" si="135"/>
        <v>16205258</v>
      </c>
    </row>
    <row r="464" spans="1:17" x14ac:dyDescent="0.3">
      <c r="A464" s="2">
        <f t="shared" si="142"/>
        <v>462</v>
      </c>
      <c r="B464" s="6">
        <f t="shared" si="136"/>
        <v>974</v>
      </c>
      <c r="C464" s="9">
        <f t="shared" si="137"/>
        <v>45320</v>
      </c>
      <c r="D464" s="6">
        <f t="shared" si="138"/>
        <v>612</v>
      </c>
      <c r="E464" s="9">
        <f t="shared" si="139"/>
        <v>38080</v>
      </c>
      <c r="F464" s="3">
        <f t="shared" si="140"/>
        <v>1062</v>
      </c>
      <c r="G464" s="3">
        <f t="shared" si="141"/>
        <v>30840</v>
      </c>
      <c r="J464" s="6">
        <f t="shared" si="132"/>
        <v>5.8199999999999159</v>
      </c>
      <c r="K464" s="11">
        <f t="shared" si="133"/>
        <v>78080</v>
      </c>
      <c r="P464" s="1">
        <f t="shared" si="134"/>
        <v>78080</v>
      </c>
      <c r="Q464" s="1">
        <f t="shared" si="135"/>
        <v>16283338</v>
      </c>
    </row>
    <row r="465" spans="1:17" x14ac:dyDescent="0.3">
      <c r="A465" s="2">
        <f t="shared" si="142"/>
        <v>463</v>
      </c>
      <c r="B465" s="6">
        <f t="shared" si="136"/>
        <v>976</v>
      </c>
      <c r="C465" s="9">
        <f t="shared" si="137"/>
        <v>45430</v>
      </c>
      <c r="D465" s="6">
        <f t="shared" si="138"/>
        <v>613</v>
      </c>
      <c r="E465" s="9">
        <f t="shared" si="139"/>
        <v>38170</v>
      </c>
      <c r="F465" s="3">
        <f t="shared" si="140"/>
        <v>1063</v>
      </c>
      <c r="G465" s="3">
        <f t="shared" si="141"/>
        <v>30910</v>
      </c>
      <c r="J465" s="6">
        <f t="shared" si="132"/>
        <v>5.8299999999999157</v>
      </c>
      <c r="K465" s="11">
        <f t="shared" si="133"/>
        <v>78270</v>
      </c>
      <c r="P465" s="1">
        <f t="shared" si="134"/>
        <v>78270</v>
      </c>
      <c r="Q465" s="1">
        <f t="shared" si="135"/>
        <v>16361608</v>
      </c>
    </row>
    <row r="466" spans="1:17" x14ac:dyDescent="0.3">
      <c r="A466" s="2">
        <f t="shared" si="142"/>
        <v>464</v>
      </c>
      <c r="B466" s="6">
        <f t="shared" si="136"/>
        <v>978</v>
      </c>
      <c r="C466" s="9">
        <f t="shared" si="137"/>
        <v>45540</v>
      </c>
      <c r="D466" s="6">
        <f t="shared" si="138"/>
        <v>614</v>
      </c>
      <c r="E466" s="9">
        <f t="shared" si="139"/>
        <v>38260</v>
      </c>
      <c r="F466" s="3">
        <f t="shared" si="140"/>
        <v>1064</v>
      </c>
      <c r="G466" s="3">
        <f t="shared" si="141"/>
        <v>30980</v>
      </c>
      <c r="J466" s="6">
        <f t="shared" si="132"/>
        <v>5.8399999999999155</v>
      </c>
      <c r="K466" s="11">
        <f t="shared" si="133"/>
        <v>78460</v>
      </c>
      <c r="P466" s="1">
        <f t="shared" si="134"/>
        <v>78460</v>
      </c>
      <c r="Q466" s="1">
        <f t="shared" si="135"/>
        <v>16440068</v>
      </c>
    </row>
    <row r="467" spans="1:17" x14ac:dyDescent="0.3">
      <c r="A467" s="2">
        <f t="shared" si="142"/>
        <v>465</v>
      </c>
      <c r="B467" s="6">
        <f t="shared" si="136"/>
        <v>980</v>
      </c>
      <c r="C467" s="9">
        <f t="shared" si="137"/>
        <v>45650</v>
      </c>
      <c r="D467" s="6">
        <f t="shared" si="138"/>
        <v>615</v>
      </c>
      <c r="E467" s="9">
        <f t="shared" si="139"/>
        <v>38350</v>
      </c>
      <c r="F467" s="3">
        <f t="shared" si="140"/>
        <v>1065</v>
      </c>
      <c r="G467" s="3">
        <f t="shared" si="141"/>
        <v>31050</v>
      </c>
      <c r="J467" s="6">
        <f t="shared" si="132"/>
        <v>5.8499999999999153</v>
      </c>
      <c r="K467" s="11">
        <f t="shared" si="133"/>
        <v>78650</v>
      </c>
      <c r="P467" s="1">
        <f t="shared" si="134"/>
        <v>78650</v>
      </c>
      <c r="Q467" s="1">
        <f t="shared" si="135"/>
        <v>16518718</v>
      </c>
    </row>
    <row r="468" spans="1:17" x14ac:dyDescent="0.3">
      <c r="A468" s="2">
        <f t="shared" si="142"/>
        <v>466</v>
      </c>
      <c r="B468" s="6">
        <f t="shared" si="136"/>
        <v>982</v>
      </c>
      <c r="C468" s="9">
        <f t="shared" si="137"/>
        <v>45760</v>
      </c>
      <c r="D468" s="6">
        <f t="shared" si="138"/>
        <v>616</v>
      </c>
      <c r="E468" s="9">
        <f t="shared" si="139"/>
        <v>38440</v>
      </c>
      <c r="F468" s="3">
        <f t="shared" si="140"/>
        <v>1066</v>
      </c>
      <c r="G468" s="3">
        <f t="shared" si="141"/>
        <v>31120</v>
      </c>
      <c r="J468" s="6">
        <f t="shared" ref="J468:J481" si="143">J467+0.01</f>
        <v>5.8599999999999151</v>
      </c>
      <c r="K468" s="11">
        <f t="shared" ref="K468:K501" si="144">K467+190</f>
        <v>78840</v>
      </c>
      <c r="P468" s="1">
        <f t="shared" si="134"/>
        <v>78840</v>
      </c>
      <c r="Q468" s="1">
        <f t="shared" si="135"/>
        <v>16597558</v>
      </c>
    </row>
    <row r="469" spans="1:17" x14ac:dyDescent="0.3">
      <c r="A469" s="2">
        <f t="shared" si="142"/>
        <v>467</v>
      </c>
      <c r="B469" s="6">
        <f t="shared" si="136"/>
        <v>984</v>
      </c>
      <c r="C469" s="9">
        <f t="shared" si="137"/>
        <v>45870</v>
      </c>
      <c r="D469" s="6">
        <f t="shared" si="138"/>
        <v>617</v>
      </c>
      <c r="E469" s="9">
        <f t="shared" si="139"/>
        <v>38530</v>
      </c>
      <c r="F469" s="3">
        <f t="shared" si="140"/>
        <v>1067</v>
      </c>
      <c r="G469" s="3">
        <f t="shared" si="141"/>
        <v>31190</v>
      </c>
      <c r="J469" s="6">
        <f t="shared" si="143"/>
        <v>5.8699999999999148</v>
      </c>
      <c r="K469" s="11">
        <f t="shared" si="144"/>
        <v>79030</v>
      </c>
      <c r="P469" s="1">
        <f t="shared" si="134"/>
        <v>79030</v>
      </c>
      <c r="Q469" s="1">
        <f t="shared" si="135"/>
        <v>16676588</v>
      </c>
    </row>
    <row r="470" spans="1:17" x14ac:dyDescent="0.3">
      <c r="A470" s="2">
        <f t="shared" si="142"/>
        <v>468</v>
      </c>
      <c r="B470" s="6">
        <f t="shared" si="136"/>
        <v>986</v>
      </c>
      <c r="C470" s="9">
        <f t="shared" si="137"/>
        <v>45980</v>
      </c>
      <c r="D470" s="6">
        <f t="shared" si="138"/>
        <v>618</v>
      </c>
      <c r="E470" s="9">
        <f t="shared" si="139"/>
        <v>38620</v>
      </c>
      <c r="F470" s="3">
        <f t="shared" si="140"/>
        <v>1068</v>
      </c>
      <c r="G470" s="3">
        <f t="shared" si="141"/>
        <v>31260</v>
      </c>
      <c r="J470" s="6">
        <f t="shared" si="143"/>
        <v>5.8799999999999146</v>
      </c>
      <c r="K470" s="11">
        <f t="shared" si="144"/>
        <v>79220</v>
      </c>
      <c r="P470" s="1">
        <f t="shared" si="134"/>
        <v>79220</v>
      </c>
      <c r="Q470" s="1">
        <f t="shared" si="135"/>
        <v>16755808</v>
      </c>
    </row>
    <row r="471" spans="1:17" x14ac:dyDescent="0.3">
      <c r="A471" s="2">
        <f t="shared" si="142"/>
        <v>469</v>
      </c>
      <c r="B471" s="6">
        <f t="shared" si="136"/>
        <v>988</v>
      </c>
      <c r="C471" s="9">
        <f t="shared" si="137"/>
        <v>46090</v>
      </c>
      <c r="D471" s="6">
        <f t="shared" si="138"/>
        <v>619</v>
      </c>
      <c r="E471" s="9">
        <f t="shared" si="139"/>
        <v>38710</v>
      </c>
      <c r="F471" s="3">
        <f t="shared" si="140"/>
        <v>1069</v>
      </c>
      <c r="G471" s="3">
        <f t="shared" si="141"/>
        <v>31330</v>
      </c>
      <c r="J471" s="6">
        <f t="shared" si="143"/>
        <v>5.8899999999999144</v>
      </c>
      <c r="K471" s="11">
        <f t="shared" si="144"/>
        <v>79410</v>
      </c>
      <c r="P471" s="1">
        <f t="shared" si="134"/>
        <v>79410</v>
      </c>
      <c r="Q471" s="1">
        <f t="shared" si="135"/>
        <v>16835218</v>
      </c>
    </row>
    <row r="472" spans="1:17" x14ac:dyDescent="0.3">
      <c r="A472" s="2">
        <f t="shared" si="142"/>
        <v>470</v>
      </c>
      <c r="B472" s="6">
        <f t="shared" si="136"/>
        <v>990</v>
      </c>
      <c r="C472" s="9">
        <f t="shared" si="137"/>
        <v>46200</v>
      </c>
      <c r="D472" s="6">
        <f t="shared" si="138"/>
        <v>620</v>
      </c>
      <c r="E472" s="9">
        <f t="shared" si="139"/>
        <v>38800</v>
      </c>
      <c r="F472" s="3">
        <f t="shared" si="140"/>
        <v>1070</v>
      </c>
      <c r="G472" s="3">
        <f t="shared" si="141"/>
        <v>31400</v>
      </c>
      <c r="J472" s="6">
        <f t="shared" si="143"/>
        <v>5.8999999999999142</v>
      </c>
      <c r="K472" s="11">
        <f t="shared" si="144"/>
        <v>79600</v>
      </c>
      <c r="P472" s="1">
        <f t="shared" si="134"/>
        <v>79600</v>
      </c>
      <c r="Q472" s="1">
        <f t="shared" si="135"/>
        <v>16914818</v>
      </c>
    </row>
    <row r="473" spans="1:17" x14ac:dyDescent="0.3">
      <c r="A473" s="2">
        <f t="shared" si="142"/>
        <v>471</v>
      </c>
      <c r="B473" s="6">
        <f t="shared" si="136"/>
        <v>992</v>
      </c>
      <c r="C473" s="9">
        <f t="shared" si="137"/>
        <v>46310</v>
      </c>
      <c r="D473" s="6">
        <f t="shared" si="138"/>
        <v>621</v>
      </c>
      <c r="E473" s="9">
        <f t="shared" si="139"/>
        <v>38890</v>
      </c>
      <c r="F473" s="3">
        <f t="shared" si="140"/>
        <v>1071</v>
      </c>
      <c r="G473" s="3">
        <f t="shared" si="141"/>
        <v>31470</v>
      </c>
      <c r="J473" s="6">
        <f t="shared" si="143"/>
        <v>5.909999999999914</v>
      </c>
      <c r="K473" s="11">
        <f t="shared" si="144"/>
        <v>79790</v>
      </c>
      <c r="P473" s="1">
        <f t="shared" si="134"/>
        <v>79790</v>
      </c>
      <c r="Q473" s="1">
        <f t="shared" si="135"/>
        <v>16994608</v>
      </c>
    </row>
    <row r="474" spans="1:17" x14ac:dyDescent="0.3">
      <c r="A474" s="2">
        <f t="shared" si="142"/>
        <v>472</v>
      </c>
      <c r="B474" s="6">
        <f t="shared" si="136"/>
        <v>994</v>
      </c>
      <c r="C474" s="9">
        <f t="shared" si="137"/>
        <v>46420</v>
      </c>
      <c r="D474" s="6">
        <f t="shared" si="138"/>
        <v>622</v>
      </c>
      <c r="E474" s="9">
        <f t="shared" si="139"/>
        <v>38980</v>
      </c>
      <c r="F474" s="3">
        <f t="shared" si="140"/>
        <v>1072</v>
      </c>
      <c r="G474" s="3">
        <f t="shared" si="141"/>
        <v>31540</v>
      </c>
      <c r="J474" s="6">
        <f t="shared" si="143"/>
        <v>5.9199999999999138</v>
      </c>
      <c r="K474" s="11">
        <f t="shared" si="144"/>
        <v>79980</v>
      </c>
      <c r="P474" s="1">
        <f t="shared" si="134"/>
        <v>79980</v>
      </c>
      <c r="Q474" s="1">
        <f t="shared" si="135"/>
        <v>17074588</v>
      </c>
    </row>
    <row r="475" spans="1:17" x14ac:dyDescent="0.3">
      <c r="A475" s="2">
        <f t="shared" si="142"/>
        <v>473</v>
      </c>
      <c r="B475" s="6">
        <f t="shared" si="136"/>
        <v>996</v>
      </c>
      <c r="C475" s="9">
        <f t="shared" si="137"/>
        <v>46530</v>
      </c>
      <c r="D475" s="6">
        <f t="shared" si="138"/>
        <v>623</v>
      </c>
      <c r="E475" s="9">
        <f t="shared" si="139"/>
        <v>39070</v>
      </c>
      <c r="F475" s="3">
        <f t="shared" si="140"/>
        <v>1073</v>
      </c>
      <c r="G475" s="3">
        <f t="shared" si="141"/>
        <v>31610</v>
      </c>
      <c r="J475" s="6">
        <f t="shared" si="143"/>
        <v>5.9299999999999136</v>
      </c>
      <c r="K475" s="11">
        <f t="shared" si="144"/>
        <v>80170</v>
      </c>
      <c r="P475" s="1">
        <f t="shared" si="134"/>
        <v>80170</v>
      </c>
      <c r="Q475" s="1">
        <f t="shared" si="135"/>
        <v>17154758</v>
      </c>
    </row>
    <row r="476" spans="1:17" x14ac:dyDescent="0.3">
      <c r="A476" s="2">
        <f t="shared" si="142"/>
        <v>474</v>
      </c>
      <c r="B476" s="6">
        <f t="shared" si="136"/>
        <v>998</v>
      </c>
      <c r="C476" s="9">
        <f t="shared" si="137"/>
        <v>46640</v>
      </c>
      <c r="D476" s="6">
        <f t="shared" si="138"/>
        <v>624</v>
      </c>
      <c r="E476" s="9">
        <f t="shared" si="139"/>
        <v>39160</v>
      </c>
      <c r="F476" s="3">
        <f t="shared" si="140"/>
        <v>1074</v>
      </c>
      <c r="G476" s="3">
        <f t="shared" si="141"/>
        <v>31680</v>
      </c>
      <c r="J476" s="6">
        <f t="shared" si="143"/>
        <v>5.9399999999999133</v>
      </c>
      <c r="K476" s="11">
        <f t="shared" si="144"/>
        <v>80360</v>
      </c>
      <c r="P476" s="1">
        <f t="shared" si="134"/>
        <v>80360</v>
      </c>
      <c r="Q476" s="1">
        <f t="shared" si="135"/>
        <v>17235118</v>
      </c>
    </row>
    <row r="477" spans="1:17" x14ac:dyDescent="0.3">
      <c r="A477" s="2">
        <f t="shared" si="142"/>
        <v>475</v>
      </c>
      <c r="B477" s="6">
        <f t="shared" si="136"/>
        <v>1000</v>
      </c>
      <c r="C477" s="9">
        <f t="shared" si="137"/>
        <v>46750</v>
      </c>
      <c r="D477" s="6">
        <f t="shared" si="138"/>
        <v>625</v>
      </c>
      <c r="E477" s="9">
        <f t="shared" si="139"/>
        <v>39250</v>
      </c>
      <c r="F477" s="3">
        <f t="shared" si="140"/>
        <v>1075</v>
      </c>
      <c r="G477" s="3">
        <f t="shared" si="141"/>
        <v>31750</v>
      </c>
      <c r="J477" s="6">
        <f t="shared" si="143"/>
        <v>5.9499999999999131</v>
      </c>
      <c r="K477" s="11">
        <f t="shared" si="144"/>
        <v>80550</v>
      </c>
      <c r="P477" s="1">
        <f t="shared" si="134"/>
        <v>80550</v>
      </c>
      <c r="Q477" s="1">
        <f t="shared" si="135"/>
        <v>17315668</v>
      </c>
    </row>
    <row r="478" spans="1:17" x14ac:dyDescent="0.3">
      <c r="A478" s="2">
        <f t="shared" si="142"/>
        <v>476</v>
      </c>
      <c r="B478" s="6">
        <f t="shared" si="136"/>
        <v>1002</v>
      </c>
      <c r="C478" s="9">
        <f t="shared" si="137"/>
        <v>46860</v>
      </c>
      <c r="D478" s="6">
        <f t="shared" si="138"/>
        <v>626</v>
      </c>
      <c r="E478" s="9">
        <f t="shared" si="139"/>
        <v>39340</v>
      </c>
      <c r="F478" s="3">
        <f t="shared" si="140"/>
        <v>1076</v>
      </c>
      <c r="G478" s="3">
        <f t="shared" si="141"/>
        <v>31820</v>
      </c>
      <c r="J478" s="6">
        <f t="shared" si="143"/>
        <v>5.9599999999999129</v>
      </c>
      <c r="K478" s="11">
        <f t="shared" si="144"/>
        <v>80740</v>
      </c>
      <c r="P478" s="1">
        <f t="shared" si="134"/>
        <v>80740</v>
      </c>
      <c r="Q478" s="1">
        <f t="shared" si="135"/>
        <v>17396408</v>
      </c>
    </row>
    <row r="479" spans="1:17" x14ac:dyDescent="0.3">
      <c r="A479" s="2">
        <f t="shared" si="142"/>
        <v>477</v>
      </c>
      <c r="B479" s="6">
        <f t="shared" si="136"/>
        <v>1004</v>
      </c>
      <c r="C479" s="9">
        <f t="shared" si="137"/>
        <v>46970</v>
      </c>
      <c r="D479" s="6">
        <f t="shared" si="138"/>
        <v>627</v>
      </c>
      <c r="E479" s="9">
        <f t="shared" si="139"/>
        <v>39430</v>
      </c>
      <c r="F479" s="3">
        <f t="shared" si="140"/>
        <v>1077</v>
      </c>
      <c r="G479" s="3">
        <f t="shared" si="141"/>
        <v>31890</v>
      </c>
      <c r="J479" s="6">
        <f t="shared" si="143"/>
        <v>5.9699999999999127</v>
      </c>
      <c r="K479" s="11">
        <f t="shared" si="144"/>
        <v>80930</v>
      </c>
      <c r="P479" s="1">
        <f t="shared" si="134"/>
        <v>80930</v>
      </c>
      <c r="Q479" s="1">
        <f t="shared" si="135"/>
        <v>17477338</v>
      </c>
    </row>
    <row r="480" spans="1:17" x14ac:dyDescent="0.3">
      <c r="A480" s="2">
        <f t="shared" si="142"/>
        <v>478</v>
      </c>
      <c r="B480" s="6">
        <f t="shared" si="136"/>
        <v>1006</v>
      </c>
      <c r="C480" s="9">
        <f t="shared" si="137"/>
        <v>47080</v>
      </c>
      <c r="D480" s="6">
        <f t="shared" si="138"/>
        <v>628</v>
      </c>
      <c r="E480" s="9">
        <f t="shared" si="139"/>
        <v>39520</v>
      </c>
      <c r="F480" s="3">
        <f t="shared" si="140"/>
        <v>1078</v>
      </c>
      <c r="G480" s="3">
        <f t="shared" si="141"/>
        <v>31960</v>
      </c>
      <c r="J480" s="6">
        <f t="shared" si="143"/>
        <v>5.9799999999999125</v>
      </c>
      <c r="K480" s="11">
        <f t="shared" si="144"/>
        <v>81120</v>
      </c>
      <c r="P480" s="1">
        <f t="shared" si="134"/>
        <v>81120</v>
      </c>
      <c r="Q480" s="1">
        <f t="shared" si="135"/>
        <v>17558458</v>
      </c>
    </row>
    <row r="481" spans="1:17" x14ac:dyDescent="0.3">
      <c r="A481" s="2">
        <f t="shared" si="142"/>
        <v>479</v>
      </c>
      <c r="B481" s="6">
        <f t="shared" si="136"/>
        <v>1008</v>
      </c>
      <c r="C481" s="9">
        <f t="shared" si="137"/>
        <v>47190</v>
      </c>
      <c r="D481" s="6">
        <f t="shared" si="138"/>
        <v>629</v>
      </c>
      <c r="E481" s="9">
        <f t="shared" si="139"/>
        <v>39610</v>
      </c>
      <c r="F481" s="3">
        <f t="shared" si="140"/>
        <v>1079</v>
      </c>
      <c r="G481" s="3">
        <f t="shared" si="141"/>
        <v>32030</v>
      </c>
      <c r="J481" s="6">
        <f t="shared" si="143"/>
        <v>5.9899999999999123</v>
      </c>
      <c r="K481" s="11">
        <f t="shared" si="144"/>
        <v>81310</v>
      </c>
      <c r="P481" s="1">
        <f t="shared" si="134"/>
        <v>81310</v>
      </c>
      <c r="Q481" s="1">
        <f t="shared" si="135"/>
        <v>17639768</v>
      </c>
    </row>
    <row r="482" spans="1:17" x14ac:dyDescent="0.3">
      <c r="A482" s="2">
        <f t="shared" si="142"/>
        <v>480</v>
      </c>
      <c r="B482" s="6">
        <f t="shared" si="136"/>
        <v>1010</v>
      </c>
      <c r="C482" s="9">
        <f t="shared" si="137"/>
        <v>47300</v>
      </c>
      <c r="D482" s="6">
        <f t="shared" si="138"/>
        <v>630</v>
      </c>
      <c r="E482" s="9">
        <f t="shared" si="139"/>
        <v>39700</v>
      </c>
      <c r="F482" s="3">
        <f t="shared" si="140"/>
        <v>1080</v>
      </c>
      <c r="G482" s="3">
        <f t="shared" si="141"/>
        <v>32100</v>
      </c>
      <c r="J482" s="6">
        <f t="shared" ref="J482:J487" si="145">J481+0.01</f>
        <v>5.9999999999999121</v>
      </c>
      <c r="K482" s="11">
        <f t="shared" si="144"/>
        <v>81500</v>
      </c>
      <c r="P482" s="1">
        <f t="shared" si="134"/>
        <v>81500</v>
      </c>
      <c r="Q482" s="1">
        <f t="shared" si="135"/>
        <v>17721268</v>
      </c>
    </row>
    <row r="483" spans="1:17" x14ac:dyDescent="0.3">
      <c r="A483" s="2">
        <f t="shared" si="142"/>
        <v>481</v>
      </c>
      <c r="B483" s="6">
        <f t="shared" si="136"/>
        <v>1012</v>
      </c>
      <c r="C483" s="9">
        <f t="shared" si="137"/>
        <v>47410</v>
      </c>
      <c r="D483" s="6">
        <f t="shared" si="138"/>
        <v>631</v>
      </c>
      <c r="E483" s="9">
        <f t="shared" si="139"/>
        <v>39790</v>
      </c>
      <c r="F483" s="3">
        <f t="shared" si="140"/>
        <v>1081</v>
      </c>
      <c r="G483" s="3">
        <f t="shared" si="141"/>
        <v>32170</v>
      </c>
      <c r="J483" s="6">
        <f t="shared" si="145"/>
        <v>6.0099999999999119</v>
      </c>
      <c r="K483" s="11">
        <f t="shared" si="144"/>
        <v>81690</v>
      </c>
      <c r="P483" s="1">
        <f t="shared" si="134"/>
        <v>81690</v>
      </c>
      <c r="Q483" s="1">
        <f t="shared" si="135"/>
        <v>17802958</v>
      </c>
    </row>
    <row r="484" spans="1:17" x14ac:dyDescent="0.3">
      <c r="A484" s="2">
        <f t="shared" si="142"/>
        <v>482</v>
      </c>
      <c r="B484" s="6">
        <f t="shared" si="136"/>
        <v>1014</v>
      </c>
      <c r="C484" s="9">
        <f t="shared" si="137"/>
        <v>47520</v>
      </c>
      <c r="D484" s="6">
        <f t="shared" si="138"/>
        <v>632</v>
      </c>
      <c r="E484" s="9">
        <f t="shared" si="139"/>
        <v>39880</v>
      </c>
      <c r="F484" s="3">
        <f t="shared" si="140"/>
        <v>1082</v>
      </c>
      <c r="G484" s="3">
        <f t="shared" si="141"/>
        <v>32240</v>
      </c>
      <c r="J484" s="6">
        <f t="shared" si="145"/>
        <v>6.0199999999999116</v>
      </c>
      <c r="K484" s="11">
        <f t="shared" si="144"/>
        <v>81880</v>
      </c>
      <c r="P484" s="1">
        <f t="shared" si="134"/>
        <v>81880</v>
      </c>
      <c r="Q484" s="1">
        <f t="shared" si="135"/>
        <v>17884838</v>
      </c>
    </row>
    <row r="485" spans="1:17" x14ac:dyDescent="0.3">
      <c r="A485" s="2">
        <f t="shared" si="142"/>
        <v>483</v>
      </c>
      <c r="B485" s="6">
        <f t="shared" si="136"/>
        <v>1016</v>
      </c>
      <c r="C485" s="9">
        <f t="shared" si="137"/>
        <v>47630</v>
      </c>
      <c r="D485" s="6">
        <f t="shared" si="138"/>
        <v>633</v>
      </c>
      <c r="E485" s="9">
        <f t="shared" si="139"/>
        <v>39970</v>
      </c>
      <c r="F485" s="3">
        <f t="shared" si="140"/>
        <v>1083</v>
      </c>
      <c r="G485" s="3">
        <f t="shared" si="141"/>
        <v>32310</v>
      </c>
      <c r="J485" s="6">
        <f t="shared" si="145"/>
        <v>6.0299999999999114</v>
      </c>
      <c r="K485" s="11">
        <f t="shared" si="144"/>
        <v>82070</v>
      </c>
      <c r="P485" s="1">
        <f t="shared" si="134"/>
        <v>82070</v>
      </c>
      <c r="Q485" s="1">
        <f t="shared" si="135"/>
        <v>17966908</v>
      </c>
    </row>
    <row r="486" spans="1:17" x14ac:dyDescent="0.3">
      <c r="A486" s="2">
        <f t="shared" si="142"/>
        <v>484</v>
      </c>
      <c r="B486" s="6">
        <f t="shared" si="136"/>
        <v>1018</v>
      </c>
      <c r="C486" s="9">
        <f t="shared" si="137"/>
        <v>47740</v>
      </c>
      <c r="D486" s="6">
        <f t="shared" si="138"/>
        <v>634</v>
      </c>
      <c r="E486" s="9">
        <f t="shared" si="139"/>
        <v>40060</v>
      </c>
      <c r="F486" s="3">
        <f t="shared" si="140"/>
        <v>1084</v>
      </c>
      <c r="G486" s="3">
        <f t="shared" si="141"/>
        <v>32380</v>
      </c>
      <c r="J486" s="6">
        <f t="shared" si="145"/>
        <v>6.0399999999999112</v>
      </c>
      <c r="K486" s="11">
        <f t="shared" si="144"/>
        <v>82260</v>
      </c>
      <c r="P486" s="1">
        <f t="shared" ref="P486:P501" si="146">K486</f>
        <v>82260</v>
      </c>
      <c r="Q486" s="1">
        <f t="shared" ref="Q486:Q501" si="147">Q485+K486</f>
        <v>18049168</v>
      </c>
    </row>
    <row r="487" spans="1:17" x14ac:dyDescent="0.3">
      <c r="A487" s="2">
        <f t="shared" si="142"/>
        <v>485</v>
      </c>
      <c r="B487" s="6">
        <f t="shared" si="136"/>
        <v>1020</v>
      </c>
      <c r="C487" s="9">
        <f t="shared" si="137"/>
        <v>47850</v>
      </c>
      <c r="D487" s="6">
        <f t="shared" si="138"/>
        <v>635</v>
      </c>
      <c r="E487" s="9">
        <f t="shared" si="139"/>
        <v>40150</v>
      </c>
      <c r="F487" s="3">
        <f t="shared" si="140"/>
        <v>1085</v>
      </c>
      <c r="G487" s="3">
        <f t="shared" si="141"/>
        <v>32450</v>
      </c>
      <c r="J487" s="6">
        <f t="shared" si="145"/>
        <v>6.049999999999911</v>
      </c>
      <c r="K487" s="11">
        <f t="shared" si="144"/>
        <v>82450</v>
      </c>
      <c r="P487" s="1">
        <f t="shared" si="146"/>
        <v>82450</v>
      </c>
      <c r="Q487" s="1">
        <f t="shared" si="147"/>
        <v>18131618</v>
      </c>
    </row>
    <row r="488" spans="1:17" x14ac:dyDescent="0.3">
      <c r="A488" s="2">
        <f t="shared" si="142"/>
        <v>486</v>
      </c>
      <c r="B488" s="6">
        <f t="shared" ref="B488:B502" si="148">B487+2</f>
        <v>1022</v>
      </c>
      <c r="C488" s="9">
        <f t="shared" ref="C488:C501" si="149">C487+110</f>
        <v>47960</v>
      </c>
      <c r="D488" s="6">
        <f t="shared" ref="D488:D551" si="150">D487+1</f>
        <v>636</v>
      </c>
      <c r="E488" s="9">
        <f t="shared" ref="E488:E501" si="151">E487+90</f>
        <v>40240</v>
      </c>
      <c r="F488" s="3">
        <f t="shared" ref="F488:F551" si="152">F487+1</f>
        <v>1086</v>
      </c>
      <c r="G488" s="3">
        <f t="shared" ref="G488:G501" si="153">G487+70</f>
        <v>32520</v>
      </c>
      <c r="J488" s="6">
        <f t="shared" ref="J488:J502" si="154">J487+0.01</f>
        <v>6.0599999999999108</v>
      </c>
      <c r="K488" s="11">
        <f t="shared" si="144"/>
        <v>82640</v>
      </c>
      <c r="P488" s="1">
        <f t="shared" si="146"/>
        <v>82640</v>
      </c>
      <c r="Q488" s="1">
        <f t="shared" si="147"/>
        <v>18214258</v>
      </c>
    </row>
    <row r="489" spans="1:17" x14ac:dyDescent="0.3">
      <c r="A489" s="2">
        <f t="shared" si="142"/>
        <v>487</v>
      </c>
      <c r="B489" s="6">
        <f t="shared" si="148"/>
        <v>1024</v>
      </c>
      <c r="C489" s="9">
        <f t="shared" si="149"/>
        <v>48070</v>
      </c>
      <c r="D489" s="6">
        <f t="shared" si="150"/>
        <v>637</v>
      </c>
      <c r="E489" s="9">
        <f t="shared" si="151"/>
        <v>40330</v>
      </c>
      <c r="F489" s="3">
        <f t="shared" si="152"/>
        <v>1087</v>
      </c>
      <c r="G489" s="3">
        <f t="shared" si="153"/>
        <v>32590</v>
      </c>
      <c r="J489" s="6">
        <f t="shared" si="154"/>
        <v>6.0699999999999106</v>
      </c>
      <c r="K489" s="11">
        <f t="shared" si="144"/>
        <v>82830</v>
      </c>
      <c r="P489" s="1">
        <f t="shared" si="146"/>
        <v>82830</v>
      </c>
      <c r="Q489" s="1">
        <f t="shared" si="147"/>
        <v>18297088</v>
      </c>
    </row>
    <row r="490" spans="1:17" x14ac:dyDescent="0.3">
      <c r="A490" s="2">
        <f t="shared" si="142"/>
        <v>488</v>
      </c>
      <c r="B490" s="6">
        <f t="shared" si="148"/>
        <v>1026</v>
      </c>
      <c r="C490" s="9">
        <f t="shared" si="149"/>
        <v>48180</v>
      </c>
      <c r="D490" s="6">
        <f t="shared" si="150"/>
        <v>638</v>
      </c>
      <c r="E490" s="9">
        <f t="shared" si="151"/>
        <v>40420</v>
      </c>
      <c r="F490" s="3">
        <f t="shared" si="152"/>
        <v>1088</v>
      </c>
      <c r="G490" s="3">
        <f t="shared" si="153"/>
        <v>32660</v>
      </c>
      <c r="J490" s="6">
        <f t="shared" si="154"/>
        <v>6.0799999999999104</v>
      </c>
      <c r="K490" s="11">
        <f t="shared" si="144"/>
        <v>83020</v>
      </c>
      <c r="P490" s="1">
        <f t="shared" si="146"/>
        <v>83020</v>
      </c>
      <c r="Q490" s="1">
        <f t="shared" si="147"/>
        <v>18380108</v>
      </c>
    </row>
    <row r="491" spans="1:17" x14ac:dyDescent="0.3">
      <c r="A491" s="2">
        <f t="shared" si="142"/>
        <v>489</v>
      </c>
      <c r="B491" s="6">
        <f t="shared" si="148"/>
        <v>1028</v>
      </c>
      <c r="C491" s="9">
        <f t="shared" si="149"/>
        <v>48290</v>
      </c>
      <c r="D491" s="6">
        <f t="shared" si="150"/>
        <v>639</v>
      </c>
      <c r="E491" s="9">
        <f t="shared" si="151"/>
        <v>40510</v>
      </c>
      <c r="F491" s="3">
        <f t="shared" si="152"/>
        <v>1089</v>
      </c>
      <c r="G491" s="3">
        <f t="shared" si="153"/>
        <v>32730</v>
      </c>
      <c r="J491" s="6">
        <f t="shared" si="154"/>
        <v>6.0899999999999102</v>
      </c>
      <c r="K491" s="11">
        <f t="shared" si="144"/>
        <v>83210</v>
      </c>
      <c r="P491" s="1">
        <f t="shared" si="146"/>
        <v>83210</v>
      </c>
      <c r="Q491" s="1">
        <f t="shared" si="147"/>
        <v>18463318</v>
      </c>
    </row>
    <row r="492" spans="1:17" x14ac:dyDescent="0.3">
      <c r="A492" s="2">
        <f t="shared" si="142"/>
        <v>490</v>
      </c>
      <c r="B492" s="6">
        <f t="shared" si="148"/>
        <v>1030</v>
      </c>
      <c r="C492" s="9">
        <f t="shared" si="149"/>
        <v>48400</v>
      </c>
      <c r="D492" s="6">
        <f t="shared" si="150"/>
        <v>640</v>
      </c>
      <c r="E492" s="9">
        <f t="shared" si="151"/>
        <v>40600</v>
      </c>
      <c r="F492" s="3">
        <f t="shared" si="152"/>
        <v>1090</v>
      </c>
      <c r="G492" s="3">
        <f t="shared" si="153"/>
        <v>32800</v>
      </c>
      <c r="J492" s="6">
        <f t="shared" si="154"/>
        <v>6.0999999999999099</v>
      </c>
      <c r="K492" s="11">
        <f t="shared" si="144"/>
        <v>83400</v>
      </c>
      <c r="P492" s="1">
        <f t="shared" si="146"/>
        <v>83400</v>
      </c>
      <c r="Q492" s="1">
        <f t="shared" si="147"/>
        <v>18546718</v>
      </c>
    </row>
    <row r="493" spans="1:17" x14ac:dyDescent="0.3">
      <c r="A493" s="2">
        <f t="shared" si="142"/>
        <v>491</v>
      </c>
      <c r="B493" s="6">
        <f t="shared" si="148"/>
        <v>1032</v>
      </c>
      <c r="C493" s="9">
        <f t="shared" si="149"/>
        <v>48510</v>
      </c>
      <c r="D493" s="6">
        <f t="shared" si="150"/>
        <v>641</v>
      </c>
      <c r="E493" s="9">
        <f t="shared" si="151"/>
        <v>40690</v>
      </c>
      <c r="F493" s="3">
        <f t="shared" si="152"/>
        <v>1091</v>
      </c>
      <c r="G493" s="3">
        <f t="shared" si="153"/>
        <v>32870</v>
      </c>
      <c r="J493" s="6">
        <f t="shared" si="154"/>
        <v>6.1099999999999097</v>
      </c>
      <c r="K493" s="11">
        <f t="shared" si="144"/>
        <v>83590</v>
      </c>
      <c r="P493" s="1">
        <f t="shared" si="146"/>
        <v>83590</v>
      </c>
      <c r="Q493" s="1">
        <f t="shared" si="147"/>
        <v>18630308</v>
      </c>
    </row>
    <row r="494" spans="1:17" x14ac:dyDescent="0.3">
      <c r="A494" s="2">
        <f t="shared" si="142"/>
        <v>492</v>
      </c>
      <c r="B494" s="6">
        <f t="shared" si="148"/>
        <v>1034</v>
      </c>
      <c r="C494" s="9">
        <f t="shared" si="149"/>
        <v>48620</v>
      </c>
      <c r="D494" s="6">
        <f t="shared" si="150"/>
        <v>642</v>
      </c>
      <c r="E494" s="9">
        <f t="shared" si="151"/>
        <v>40780</v>
      </c>
      <c r="F494" s="3">
        <f t="shared" si="152"/>
        <v>1092</v>
      </c>
      <c r="G494" s="3">
        <f t="shared" si="153"/>
        <v>32940</v>
      </c>
      <c r="J494" s="6">
        <f t="shared" si="154"/>
        <v>6.1199999999999095</v>
      </c>
      <c r="K494" s="11">
        <f t="shared" si="144"/>
        <v>83780</v>
      </c>
      <c r="P494" s="1">
        <f t="shared" si="146"/>
        <v>83780</v>
      </c>
      <c r="Q494" s="1">
        <f t="shared" si="147"/>
        <v>18714088</v>
      </c>
    </row>
    <row r="495" spans="1:17" x14ac:dyDescent="0.3">
      <c r="A495" s="2">
        <f t="shared" si="142"/>
        <v>493</v>
      </c>
      <c r="B495" s="6">
        <f t="shared" si="148"/>
        <v>1036</v>
      </c>
      <c r="C495" s="9">
        <f t="shared" si="149"/>
        <v>48730</v>
      </c>
      <c r="D495" s="6">
        <f t="shared" si="150"/>
        <v>643</v>
      </c>
      <c r="E495" s="9">
        <f t="shared" si="151"/>
        <v>40870</v>
      </c>
      <c r="F495" s="3">
        <f t="shared" si="152"/>
        <v>1093</v>
      </c>
      <c r="G495" s="3">
        <f t="shared" si="153"/>
        <v>33010</v>
      </c>
      <c r="J495" s="6">
        <f t="shared" si="154"/>
        <v>6.1299999999999093</v>
      </c>
      <c r="K495" s="11">
        <f t="shared" si="144"/>
        <v>83970</v>
      </c>
      <c r="P495" s="1">
        <f t="shared" si="146"/>
        <v>83970</v>
      </c>
      <c r="Q495" s="1">
        <f t="shared" si="147"/>
        <v>18798058</v>
      </c>
    </row>
    <row r="496" spans="1:17" x14ac:dyDescent="0.3">
      <c r="A496" s="2">
        <f t="shared" si="142"/>
        <v>494</v>
      </c>
      <c r="B496" s="6">
        <f t="shared" si="148"/>
        <v>1038</v>
      </c>
      <c r="C496" s="9">
        <f t="shared" si="149"/>
        <v>48840</v>
      </c>
      <c r="D496" s="6">
        <f t="shared" si="150"/>
        <v>644</v>
      </c>
      <c r="E496" s="9">
        <f t="shared" si="151"/>
        <v>40960</v>
      </c>
      <c r="F496" s="3">
        <f t="shared" si="152"/>
        <v>1094</v>
      </c>
      <c r="G496" s="3">
        <f t="shared" si="153"/>
        <v>33080</v>
      </c>
      <c r="J496" s="6">
        <f t="shared" si="154"/>
        <v>6.1399999999999091</v>
      </c>
      <c r="K496" s="11">
        <f t="shared" si="144"/>
        <v>84160</v>
      </c>
      <c r="P496" s="1">
        <f t="shared" si="146"/>
        <v>84160</v>
      </c>
      <c r="Q496" s="1">
        <f t="shared" si="147"/>
        <v>18882218</v>
      </c>
    </row>
    <row r="497" spans="1:17" x14ac:dyDescent="0.3">
      <c r="A497" s="2">
        <f t="shared" si="142"/>
        <v>495</v>
      </c>
      <c r="B497" s="6">
        <f t="shared" si="148"/>
        <v>1040</v>
      </c>
      <c r="C497" s="9">
        <f t="shared" si="149"/>
        <v>48950</v>
      </c>
      <c r="D497" s="6">
        <f t="shared" si="150"/>
        <v>645</v>
      </c>
      <c r="E497" s="9">
        <f t="shared" si="151"/>
        <v>41050</v>
      </c>
      <c r="F497" s="3">
        <f t="shared" si="152"/>
        <v>1095</v>
      </c>
      <c r="G497" s="3">
        <f t="shared" si="153"/>
        <v>33150</v>
      </c>
      <c r="J497" s="6">
        <f t="shared" si="154"/>
        <v>6.1499999999999089</v>
      </c>
      <c r="K497" s="11">
        <f t="shared" si="144"/>
        <v>84350</v>
      </c>
      <c r="P497" s="1">
        <f t="shared" si="146"/>
        <v>84350</v>
      </c>
      <c r="Q497" s="1">
        <f t="shared" si="147"/>
        <v>18966568</v>
      </c>
    </row>
    <row r="498" spans="1:17" x14ac:dyDescent="0.3">
      <c r="A498" s="2">
        <f t="shared" si="142"/>
        <v>496</v>
      </c>
      <c r="B498" s="6">
        <f t="shared" si="148"/>
        <v>1042</v>
      </c>
      <c r="C498" s="9">
        <f t="shared" si="149"/>
        <v>49060</v>
      </c>
      <c r="D498" s="6">
        <f t="shared" si="150"/>
        <v>646</v>
      </c>
      <c r="E498" s="9">
        <f t="shared" si="151"/>
        <v>41140</v>
      </c>
      <c r="F498" s="3">
        <f t="shared" si="152"/>
        <v>1096</v>
      </c>
      <c r="G498" s="3">
        <f t="shared" si="153"/>
        <v>33220</v>
      </c>
      <c r="J498" s="6">
        <f t="shared" si="154"/>
        <v>6.1599999999999087</v>
      </c>
      <c r="K498" s="11">
        <f t="shared" si="144"/>
        <v>84540</v>
      </c>
      <c r="P498" s="1">
        <f t="shared" si="146"/>
        <v>84540</v>
      </c>
      <c r="Q498" s="1">
        <f t="shared" si="147"/>
        <v>19051108</v>
      </c>
    </row>
    <row r="499" spans="1:17" x14ac:dyDescent="0.3">
      <c r="A499" s="2">
        <f t="shared" si="142"/>
        <v>497</v>
      </c>
      <c r="B499" s="6">
        <f t="shared" si="148"/>
        <v>1044</v>
      </c>
      <c r="C499" s="9">
        <f t="shared" si="149"/>
        <v>49170</v>
      </c>
      <c r="D499" s="6">
        <f t="shared" si="150"/>
        <v>647</v>
      </c>
      <c r="E499" s="9">
        <f t="shared" si="151"/>
        <v>41230</v>
      </c>
      <c r="F499" s="3">
        <f t="shared" si="152"/>
        <v>1097</v>
      </c>
      <c r="G499" s="3">
        <f t="shared" si="153"/>
        <v>33290</v>
      </c>
      <c r="J499" s="6">
        <f t="shared" si="154"/>
        <v>6.1699999999999084</v>
      </c>
      <c r="K499" s="11">
        <f t="shared" si="144"/>
        <v>84730</v>
      </c>
      <c r="P499" s="1">
        <f t="shared" si="146"/>
        <v>84730</v>
      </c>
      <c r="Q499" s="1">
        <f t="shared" si="147"/>
        <v>19135838</v>
      </c>
    </row>
    <row r="500" spans="1:17" x14ac:dyDescent="0.3">
      <c r="A500" s="2">
        <f t="shared" si="142"/>
        <v>498</v>
      </c>
      <c r="B500" s="6">
        <f t="shared" si="148"/>
        <v>1046</v>
      </c>
      <c r="C500" s="9">
        <f t="shared" si="149"/>
        <v>49280</v>
      </c>
      <c r="D500" s="6">
        <f t="shared" si="150"/>
        <v>648</v>
      </c>
      <c r="E500" s="9">
        <f t="shared" si="151"/>
        <v>41320</v>
      </c>
      <c r="F500" s="3">
        <f t="shared" si="152"/>
        <v>1098</v>
      </c>
      <c r="G500" s="3">
        <f t="shared" si="153"/>
        <v>33360</v>
      </c>
      <c r="J500" s="6">
        <f t="shared" si="154"/>
        <v>6.1799999999999082</v>
      </c>
      <c r="K500" s="11">
        <f t="shared" si="144"/>
        <v>84920</v>
      </c>
      <c r="P500" s="1">
        <f t="shared" si="146"/>
        <v>84920</v>
      </c>
      <c r="Q500" s="1">
        <f t="shared" si="147"/>
        <v>19220758</v>
      </c>
    </row>
    <row r="501" spans="1:17" x14ac:dyDescent="0.3">
      <c r="A501" s="2">
        <f t="shared" si="142"/>
        <v>499</v>
      </c>
      <c r="B501" s="6">
        <f t="shared" si="148"/>
        <v>1048</v>
      </c>
      <c r="C501" s="9">
        <f t="shared" si="149"/>
        <v>49390</v>
      </c>
      <c r="D501" s="6">
        <f t="shared" si="150"/>
        <v>649</v>
      </c>
      <c r="E501" s="9">
        <f t="shared" si="151"/>
        <v>41410</v>
      </c>
      <c r="F501" s="3">
        <f t="shared" si="152"/>
        <v>1099</v>
      </c>
      <c r="G501" s="3">
        <f t="shared" si="153"/>
        <v>33430</v>
      </c>
      <c r="J501" s="6">
        <f t="shared" si="154"/>
        <v>6.189999999999908</v>
      </c>
      <c r="K501" s="11">
        <f t="shared" si="144"/>
        <v>85110</v>
      </c>
      <c r="P501" s="1">
        <f t="shared" si="146"/>
        <v>85110</v>
      </c>
      <c r="Q501" s="1">
        <f t="shared" si="147"/>
        <v>19305868</v>
      </c>
    </row>
    <row r="502" spans="1:17" s="20" customFormat="1" x14ac:dyDescent="0.3">
      <c r="A502" s="12">
        <f t="shared" si="142"/>
        <v>500</v>
      </c>
      <c r="B502" s="17">
        <f t="shared" si="148"/>
        <v>1050</v>
      </c>
      <c r="C502" s="19">
        <f>C501+3610</f>
        <v>53000</v>
      </c>
      <c r="D502" s="17">
        <f t="shared" si="150"/>
        <v>650</v>
      </c>
      <c r="E502" s="19">
        <f>E501+1590</f>
        <v>43000</v>
      </c>
      <c r="F502" s="15">
        <f t="shared" si="152"/>
        <v>1100</v>
      </c>
      <c r="G502" s="15">
        <f>G501+1570</f>
        <v>35000</v>
      </c>
      <c r="H502" s="17"/>
      <c r="I502" s="19"/>
      <c r="J502" s="17">
        <f t="shared" si="154"/>
        <v>6.1999999999999078</v>
      </c>
      <c r="K502" s="18">
        <f>K501+5890</f>
        <v>91000</v>
      </c>
      <c r="N502" s="21"/>
      <c r="O502" s="21"/>
      <c r="P502" s="20">
        <f t="shared" ref="P502:P565" si="155">K502</f>
        <v>91000</v>
      </c>
      <c r="Q502" s="20">
        <f t="shared" ref="Q502:Q565" si="156">Q501+K502</f>
        <v>19396868</v>
      </c>
    </row>
    <row r="503" spans="1:17" x14ac:dyDescent="0.3">
      <c r="A503" s="2">
        <f t="shared" si="142"/>
        <v>501</v>
      </c>
      <c r="B503" s="6">
        <f>B502+1</f>
        <v>1051</v>
      </c>
      <c r="C503" s="9">
        <f>C502+1610</f>
        <v>54610</v>
      </c>
      <c r="D503" s="6">
        <f t="shared" si="150"/>
        <v>651</v>
      </c>
      <c r="E503" s="9">
        <f>E502+770</f>
        <v>43770</v>
      </c>
      <c r="F503" s="3">
        <f t="shared" si="152"/>
        <v>1101</v>
      </c>
      <c r="G503" s="3">
        <f>G502+630</f>
        <v>35630</v>
      </c>
      <c r="J503" s="6">
        <f>J502+0.005</f>
        <v>6.2049999999999077</v>
      </c>
      <c r="K503" s="11">
        <f>K502+3130</f>
        <v>94130</v>
      </c>
      <c r="P503" s="1">
        <f t="shared" si="155"/>
        <v>94130</v>
      </c>
      <c r="Q503" s="1">
        <f t="shared" si="156"/>
        <v>19490998</v>
      </c>
    </row>
    <row r="504" spans="1:17" x14ac:dyDescent="0.3">
      <c r="A504" s="2">
        <f t="shared" si="142"/>
        <v>502</v>
      </c>
      <c r="B504" s="6">
        <f t="shared" si="142"/>
        <v>1052</v>
      </c>
      <c r="C504" s="9">
        <f t="shared" ref="C504:C567" si="157">C503+1610</f>
        <v>56220</v>
      </c>
      <c r="D504" s="6">
        <f t="shared" si="150"/>
        <v>652</v>
      </c>
      <c r="E504" s="9">
        <f t="shared" ref="E504:E567" si="158">E503+770</f>
        <v>44540</v>
      </c>
      <c r="F504" s="3">
        <f t="shared" si="152"/>
        <v>1102</v>
      </c>
      <c r="G504" s="3">
        <f t="shared" ref="G504:G567" si="159">G503+630</f>
        <v>36260</v>
      </c>
      <c r="J504" s="6">
        <f t="shared" ref="J504:J567" si="160">J503+0.005</f>
        <v>6.2099999999999076</v>
      </c>
      <c r="K504" s="11">
        <f t="shared" ref="K504:K567" si="161">K503+3130</f>
        <v>97260</v>
      </c>
      <c r="P504" s="1">
        <f t="shared" si="155"/>
        <v>97260</v>
      </c>
      <c r="Q504" s="1">
        <f t="shared" si="156"/>
        <v>19588258</v>
      </c>
    </row>
    <row r="505" spans="1:17" x14ac:dyDescent="0.3">
      <c r="A505" s="2">
        <f t="shared" si="142"/>
        <v>503</v>
      </c>
      <c r="B505" s="6">
        <f t="shared" si="142"/>
        <v>1053</v>
      </c>
      <c r="C505" s="9">
        <f t="shared" si="157"/>
        <v>57830</v>
      </c>
      <c r="D505" s="6">
        <f t="shared" si="150"/>
        <v>653</v>
      </c>
      <c r="E505" s="9">
        <f t="shared" si="158"/>
        <v>45310</v>
      </c>
      <c r="F505" s="3">
        <f t="shared" si="152"/>
        <v>1103</v>
      </c>
      <c r="G505" s="3">
        <f t="shared" si="159"/>
        <v>36890</v>
      </c>
      <c r="J505" s="6">
        <f t="shared" si="160"/>
        <v>6.2149999999999075</v>
      </c>
      <c r="K505" s="11">
        <f t="shared" si="161"/>
        <v>100390</v>
      </c>
      <c r="P505" s="1">
        <f t="shared" si="155"/>
        <v>100390</v>
      </c>
      <c r="Q505" s="1">
        <f t="shared" si="156"/>
        <v>19688648</v>
      </c>
    </row>
    <row r="506" spans="1:17" x14ac:dyDescent="0.3">
      <c r="A506" s="2">
        <f t="shared" si="142"/>
        <v>504</v>
      </c>
      <c r="B506" s="6">
        <f t="shared" si="142"/>
        <v>1054</v>
      </c>
      <c r="C506" s="9">
        <f t="shared" si="157"/>
        <v>59440</v>
      </c>
      <c r="D506" s="6">
        <f t="shared" si="150"/>
        <v>654</v>
      </c>
      <c r="E506" s="9">
        <f t="shared" si="158"/>
        <v>46080</v>
      </c>
      <c r="F506" s="3">
        <f t="shared" si="152"/>
        <v>1104</v>
      </c>
      <c r="G506" s="3">
        <f t="shared" si="159"/>
        <v>37520</v>
      </c>
      <c r="J506" s="6">
        <f t="shared" si="160"/>
        <v>6.2199999999999074</v>
      </c>
      <c r="K506" s="11">
        <f t="shared" si="161"/>
        <v>103520</v>
      </c>
      <c r="P506" s="1">
        <f t="shared" si="155"/>
        <v>103520</v>
      </c>
      <c r="Q506" s="1">
        <f t="shared" si="156"/>
        <v>19792168</v>
      </c>
    </row>
    <row r="507" spans="1:17" x14ac:dyDescent="0.3">
      <c r="A507" s="2">
        <f t="shared" si="142"/>
        <v>505</v>
      </c>
      <c r="B507" s="6">
        <f t="shared" si="142"/>
        <v>1055</v>
      </c>
      <c r="C507" s="9">
        <f t="shared" si="157"/>
        <v>61050</v>
      </c>
      <c r="D507" s="6">
        <f t="shared" si="150"/>
        <v>655</v>
      </c>
      <c r="E507" s="9">
        <f t="shared" si="158"/>
        <v>46850</v>
      </c>
      <c r="F507" s="3">
        <f t="shared" si="152"/>
        <v>1105</v>
      </c>
      <c r="G507" s="3">
        <f t="shared" si="159"/>
        <v>38150</v>
      </c>
      <c r="J507" s="6">
        <f t="shared" si="160"/>
        <v>6.2249999999999073</v>
      </c>
      <c r="K507" s="11">
        <f t="shared" si="161"/>
        <v>106650</v>
      </c>
      <c r="P507" s="1">
        <f t="shared" si="155"/>
        <v>106650</v>
      </c>
      <c r="Q507" s="1">
        <f t="shared" si="156"/>
        <v>19898818</v>
      </c>
    </row>
    <row r="508" spans="1:17" x14ac:dyDescent="0.3">
      <c r="A508" s="2">
        <f t="shared" si="142"/>
        <v>506</v>
      </c>
      <c r="B508" s="6">
        <f t="shared" si="142"/>
        <v>1056</v>
      </c>
      <c r="C508" s="9">
        <f t="shared" si="157"/>
        <v>62660</v>
      </c>
      <c r="D508" s="6">
        <f t="shared" si="150"/>
        <v>656</v>
      </c>
      <c r="E508" s="9">
        <f t="shared" si="158"/>
        <v>47620</v>
      </c>
      <c r="F508" s="3">
        <f t="shared" si="152"/>
        <v>1106</v>
      </c>
      <c r="G508" s="3">
        <f t="shared" si="159"/>
        <v>38780</v>
      </c>
      <c r="J508" s="6">
        <f t="shared" si="160"/>
        <v>6.2299999999999072</v>
      </c>
      <c r="K508" s="11">
        <f t="shared" si="161"/>
        <v>109780</v>
      </c>
      <c r="P508" s="1">
        <f t="shared" si="155"/>
        <v>109780</v>
      </c>
      <c r="Q508" s="1">
        <f t="shared" si="156"/>
        <v>20008598</v>
      </c>
    </row>
    <row r="509" spans="1:17" x14ac:dyDescent="0.3">
      <c r="A509" s="2">
        <f t="shared" si="142"/>
        <v>507</v>
      </c>
      <c r="B509" s="6">
        <f t="shared" si="142"/>
        <v>1057</v>
      </c>
      <c r="C509" s="9">
        <f t="shared" si="157"/>
        <v>64270</v>
      </c>
      <c r="D509" s="6">
        <f t="shared" si="150"/>
        <v>657</v>
      </c>
      <c r="E509" s="9">
        <f t="shared" si="158"/>
        <v>48390</v>
      </c>
      <c r="F509" s="3">
        <f t="shared" si="152"/>
        <v>1107</v>
      </c>
      <c r="G509" s="3">
        <f t="shared" si="159"/>
        <v>39410</v>
      </c>
      <c r="J509" s="6">
        <f t="shared" si="160"/>
        <v>6.2349999999999071</v>
      </c>
      <c r="K509" s="11">
        <f t="shared" si="161"/>
        <v>112910</v>
      </c>
      <c r="P509" s="1">
        <f t="shared" si="155"/>
        <v>112910</v>
      </c>
      <c r="Q509" s="1">
        <f t="shared" si="156"/>
        <v>20121508</v>
      </c>
    </row>
    <row r="510" spans="1:17" x14ac:dyDescent="0.3">
      <c r="A510" s="2">
        <f t="shared" si="142"/>
        <v>508</v>
      </c>
      <c r="B510" s="6">
        <f t="shared" si="142"/>
        <v>1058</v>
      </c>
      <c r="C510" s="9">
        <f t="shared" si="157"/>
        <v>65880</v>
      </c>
      <c r="D510" s="6">
        <f t="shared" si="150"/>
        <v>658</v>
      </c>
      <c r="E510" s="9">
        <f t="shared" si="158"/>
        <v>49160</v>
      </c>
      <c r="F510" s="3">
        <f t="shared" si="152"/>
        <v>1108</v>
      </c>
      <c r="G510" s="3">
        <f t="shared" si="159"/>
        <v>40040</v>
      </c>
      <c r="J510" s="6">
        <f t="shared" si="160"/>
        <v>6.239999999999907</v>
      </c>
      <c r="K510" s="11">
        <f t="shared" si="161"/>
        <v>116040</v>
      </c>
      <c r="P510" s="1">
        <f t="shared" si="155"/>
        <v>116040</v>
      </c>
      <c r="Q510" s="1">
        <f t="shared" si="156"/>
        <v>20237548</v>
      </c>
    </row>
    <row r="511" spans="1:17" x14ac:dyDescent="0.3">
      <c r="A511" s="2">
        <f t="shared" si="142"/>
        <v>509</v>
      </c>
      <c r="B511" s="6">
        <f t="shared" si="142"/>
        <v>1059</v>
      </c>
      <c r="C511" s="9">
        <f t="shared" si="157"/>
        <v>67490</v>
      </c>
      <c r="D511" s="6">
        <f t="shared" si="150"/>
        <v>659</v>
      </c>
      <c r="E511" s="9">
        <f t="shared" si="158"/>
        <v>49930</v>
      </c>
      <c r="F511" s="3">
        <f t="shared" si="152"/>
        <v>1109</v>
      </c>
      <c r="G511" s="3">
        <f t="shared" si="159"/>
        <v>40670</v>
      </c>
      <c r="J511" s="6">
        <f t="shared" si="160"/>
        <v>6.2449999999999068</v>
      </c>
      <c r="K511" s="11">
        <f t="shared" si="161"/>
        <v>119170</v>
      </c>
      <c r="P511" s="1">
        <f t="shared" si="155"/>
        <v>119170</v>
      </c>
      <c r="Q511" s="1">
        <f t="shared" si="156"/>
        <v>20356718</v>
      </c>
    </row>
    <row r="512" spans="1:17" x14ac:dyDescent="0.3">
      <c r="A512" s="2">
        <f t="shared" si="142"/>
        <v>510</v>
      </c>
      <c r="B512" s="6">
        <f t="shared" si="142"/>
        <v>1060</v>
      </c>
      <c r="C512" s="9">
        <f t="shared" si="157"/>
        <v>69100</v>
      </c>
      <c r="D512" s="6">
        <f t="shared" si="150"/>
        <v>660</v>
      </c>
      <c r="E512" s="9">
        <f t="shared" si="158"/>
        <v>50700</v>
      </c>
      <c r="F512" s="3">
        <f t="shared" si="152"/>
        <v>1110</v>
      </c>
      <c r="G512" s="3">
        <f t="shared" si="159"/>
        <v>41300</v>
      </c>
      <c r="J512" s="6">
        <f t="shared" si="160"/>
        <v>6.2499999999999067</v>
      </c>
      <c r="K512" s="11">
        <f t="shared" si="161"/>
        <v>122300</v>
      </c>
      <c r="P512" s="1">
        <f t="shared" si="155"/>
        <v>122300</v>
      </c>
      <c r="Q512" s="1">
        <f t="shared" si="156"/>
        <v>20479018</v>
      </c>
    </row>
    <row r="513" spans="1:17" x14ac:dyDescent="0.3">
      <c r="A513" s="2">
        <f t="shared" si="142"/>
        <v>511</v>
      </c>
      <c r="B513" s="6">
        <f t="shared" si="142"/>
        <v>1061</v>
      </c>
      <c r="C513" s="9">
        <f t="shared" si="157"/>
        <v>70710</v>
      </c>
      <c r="D513" s="6">
        <f t="shared" si="150"/>
        <v>661</v>
      </c>
      <c r="E513" s="9">
        <f t="shared" si="158"/>
        <v>51470</v>
      </c>
      <c r="F513" s="3">
        <f t="shared" si="152"/>
        <v>1111</v>
      </c>
      <c r="G513" s="3">
        <f t="shared" si="159"/>
        <v>41930</v>
      </c>
      <c r="J513" s="6">
        <f t="shared" si="160"/>
        <v>6.2549999999999066</v>
      </c>
      <c r="K513" s="11">
        <f t="shared" si="161"/>
        <v>125430</v>
      </c>
      <c r="P513" s="1">
        <f t="shared" si="155"/>
        <v>125430</v>
      </c>
      <c r="Q513" s="1">
        <f t="shared" si="156"/>
        <v>20604448</v>
      </c>
    </row>
    <row r="514" spans="1:17" x14ac:dyDescent="0.3">
      <c r="A514" s="2">
        <f t="shared" si="142"/>
        <v>512</v>
      </c>
      <c r="B514" s="6">
        <f t="shared" si="142"/>
        <v>1062</v>
      </c>
      <c r="C514" s="9">
        <f t="shared" si="157"/>
        <v>72320</v>
      </c>
      <c r="D514" s="6">
        <f t="shared" si="150"/>
        <v>662</v>
      </c>
      <c r="E514" s="9">
        <f t="shared" si="158"/>
        <v>52240</v>
      </c>
      <c r="F514" s="3">
        <f t="shared" si="152"/>
        <v>1112</v>
      </c>
      <c r="G514" s="3">
        <f t="shared" si="159"/>
        <v>42560</v>
      </c>
      <c r="J514" s="6">
        <f t="shared" si="160"/>
        <v>6.2599999999999065</v>
      </c>
      <c r="K514" s="11">
        <f t="shared" si="161"/>
        <v>128560</v>
      </c>
      <c r="P514" s="1">
        <f t="shared" si="155"/>
        <v>128560</v>
      </c>
      <c r="Q514" s="1">
        <f t="shared" si="156"/>
        <v>20733008</v>
      </c>
    </row>
    <row r="515" spans="1:17" x14ac:dyDescent="0.3">
      <c r="A515" s="2">
        <f t="shared" si="142"/>
        <v>513</v>
      </c>
      <c r="B515" s="6">
        <f t="shared" si="142"/>
        <v>1063</v>
      </c>
      <c r="C515" s="9">
        <f t="shared" si="157"/>
        <v>73930</v>
      </c>
      <c r="D515" s="6">
        <f t="shared" si="150"/>
        <v>663</v>
      </c>
      <c r="E515" s="9">
        <f t="shared" si="158"/>
        <v>53010</v>
      </c>
      <c r="F515" s="3">
        <f t="shared" si="152"/>
        <v>1113</v>
      </c>
      <c r="G515" s="3">
        <f t="shared" si="159"/>
        <v>43190</v>
      </c>
      <c r="J515" s="6">
        <f t="shared" si="160"/>
        <v>6.2649999999999064</v>
      </c>
      <c r="K515" s="11">
        <f t="shared" si="161"/>
        <v>131690</v>
      </c>
      <c r="P515" s="1">
        <f t="shared" si="155"/>
        <v>131690</v>
      </c>
      <c r="Q515" s="1">
        <f t="shared" si="156"/>
        <v>20864698</v>
      </c>
    </row>
    <row r="516" spans="1:17" x14ac:dyDescent="0.3">
      <c r="A516" s="2">
        <f t="shared" si="142"/>
        <v>514</v>
      </c>
      <c r="B516" s="6">
        <f t="shared" si="142"/>
        <v>1064</v>
      </c>
      <c r="C516" s="9">
        <f t="shared" si="157"/>
        <v>75540</v>
      </c>
      <c r="D516" s="6">
        <f t="shared" si="150"/>
        <v>664</v>
      </c>
      <c r="E516" s="9">
        <f t="shared" si="158"/>
        <v>53780</v>
      </c>
      <c r="F516" s="3">
        <f t="shared" si="152"/>
        <v>1114</v>
      </c>
      <c r="G516" s="3">
        <f t="shared" si="159"/>
        <v>43820</v>
      </c>
      <c r="J516" s="6">
        <f t="shared" si="160"/>
        <v>6.2699999999999063</v>
      </c>
      <c r="K516" s="11">
        <f t="shared" si="161"/>
        <v>134820</v>
      </c>
      <c r="P516" s="1">
        <f t="shared" si="155"/>
        <v>134820</v>
      </c>
      <c r="Q516" s="1">
        <f t="shared" si="156"/>
        <v>20999518</v>
      </c>
    </row>
    <row r="517" spans="1:17" x14ac:dyDescent="0.3">
      <c r="A517" s="2">
        <f t="shared" ref="A517:B580" si="162">A516+1</f>
        <v>515</v>
      </c>
      <c r="B517" s="6">
        <f t="shared" si="162"/>
        <v>1065</v>
      </c>
      <c r="C517" s="9">
        <f t="shared" si="157"/>
        <v>77150</v>
      </c>
      <c r="D517" s="6">
        <f t="shared" si="150"/>
        <v>665</v>
      </c>
      <c r="E517" s="9">
        <f t="shared" si="158"/>
        <v>54550</v>
      </c>
      <c r="F517" s="3">
        <f t="shared" si="152"/>
        <v>1115</v>
      </c>
      <c r="G517" s="3">
        <f t="shared" si="159"/>
        <v>44450</v>
      </c>
      <c r="J517" s="6">
        <f t="shared" si="160"/>
        <v>6.2749999999999062</v>
      </c>
      <c r="K517" s="11">
        <f t="shared" si="161"/>
        <v>137950</v>
      </c>
      <c r="P517" s="1">
        <f t="shared" si="155"/>
        <v>137950</v>
      </c>
      <c r="Q517" s="1">
        <f t="shared" si="156"/>
        <v>21137468</v>
      </c>
    </row>
    <row r="518" spans="1:17" x14ac:dyDescent="0.3">
      <c r="A518" s="2">
        <f t="shared" si="162"/>
        <v>516</v>
      </c>
      <c r="B518" s="6">
        <f t="shared" si="162"/>
        <v>1066</v>
      </c>
      <c r="C518" s="9">
        <f t="shared" si="157"/>
        <v>78760</v>
      </c>
      <c r="D518" s="6">
        <f t="shared" si="150"/>
        <v>666</v>
      </c>
      <c r="E518" s="9">
        <f t="shared" si="158"/>
        <v>55320</v>
      </c>
      <c r="F518" s="3">
        <f t="shared" si="152"/>
        <v>1116</v>
      </c>
      <c r="G518" s="3">
        <f t="shared" si="159"/>
        <v>45080</v>
      </c>
      <c r="J518" s="6">
        <f t="shared" si="160"/>
        <v>6.2799999999999061</v>
      </c>
      <c r="K518" s="11">
        <f t="shared" si="161"/>
        <v>141080</v>
      </c>
      <c r="P518" s="1">
        <f t="shared" si="155"/>
        <v>141080</v>
      </c>
      <c r="Q518" s="1">
        <f t="shared" si="156"/>
        <v>21278548</v>
      </c>
    </row>
    <row r="519" spans="1:17" x14ac:dyDescent="0.3">
      <c r="A519" s="2">
        <f t="shared" si="162"/>
        <v>517</v>
      </c>
      <c r="B519" s="6">
        <f t="shared" si="162"/>
        <v>1067</v>
      </c>
      <c r="C519" s="9">
        <f t="shared" si="157"/>
        <v>80370</v>
      </c>
      <c r="D519" s="6">
        <f t="shared" si="150"/>
        <v>667</v>
      </c>
      <c r="E519" s="9">
        <f t="shared" si="158"/>
        <v>56090</v>
      </c>
      <c r="F519" s="3">
        <f t="shared" si="152"/>
        <v>1117</v>
      </c>
      <c r="G519" s="3">
        <f t="shared" si="159"/>
        <v>45710</v>
      </c>
      <c r="J519" s="6">
        <f t="shared" si="160"/>
        <v>6.284999999999906</v>
      </c>
      <c r="K519" s="11">
        <f t="shared" si="161"/>
        <v>144210</v>
      </c>
      <c r="P519" s="1">
        <f t="shared" si="155"/>
        <v>144210</v>
      </c>
      <c r="Q519" s="1">
        <f t="shared" si="156"/>
        <v>21422758</v>
      </c>
    </row>
    <row r="520" spans="1:17" x14ac:dyDescent="0.3">
      <c r="A520" s="2">
        <f t="shared" si="162"/>
        <v>518</v>
      </c>
      <c r="B520" s="6">
        <f t="shared" si="162"/>
        <v>1068</v>
      </c>
      <c r="C520" s="9">
        <f t="shared" si="157"/>
        <v>81980</v>
      </c>
      <c r="D520" s="6">
        <f t="shared" si="150"/>
        <v>668</v>
      </c>
      <c r="E520" s="9">
        <f t="shared" si="158"/>
        <v>56860</v>
      </c>
      <c r="F520" s="3">
        <f t="shared" si="152"/>
        <v>1118</v>
      </c>
      <c r="G520" s="3">
        <f t="shared" si="159"/>
        <v>46340</v>
      </c>
      <c r="J520" s="6">
        <f t="shared" si="160"/>
        <v>6.2899999999999059</v>
      </c>
      <c r="K520" s="11">
        <f t="shared" si="161"/>
        <v>147340</v>
      </c>
      <c r="P520" s="1">
        <f t="shared" si="155"/>
        <v>147340</v>
      </c>
      <c r="Q520" s="1">
        <f t="shared" si="156"/>
        <v>21570098</v>
      </c>
    </row>
    <row r="521" spans="1:17" x14ac:dyDescent="0.3">
      <c r="A521" s="2">
        <f t="shared" si="162"/>
        <v>519</v>
      </c>
      <c r="B521" s="6">
        <f t="shared" si="162"/>
        <v>1069</v>
      </c>
      <c r="C521" s="9">
        <f t="shared" si="157"/>
        <v>83590</v>
      </c>
      <c r="D521" s="6">
        <f t="shared" si="150"/>
        <v>669</v>
      </c>
      <c r="E521" s="9">
        <f t="shared" si="158"/>
        <v>57630</v>
      </c>
      <c r="F521" s="3">
        <f t="shared" si="152"/>
        <v>1119</v>
      </c>
      <c r="G521" s="3">
        <f t="shared" si="159"/>
        <v>46970</v>
      </c>
      <c r="J521" s="6">
        <f t="shared" si="160"/>
        <v>6.2949999999999058</v>
      </c>
      <c r="K521" s="11">
        <f t="shared" si="161"/>
        <v>150470</v>
      </c>
      <c r="P521" s="1">
        <f t="shared" si="155"/>
        <v>150470</v>
      </c>
      <c r="Q521" s="1">
        <f t="shared" si="156"/>
        <v>21720568</v>
      </c>
    </row>
    <row r="522" spans="1:17" x14ac:dyDescent="0.3">
      <c r="A522" s="2">
        <f t="shared" si="162"/>
        <v>520</v>
      </c>
      <c r="B522" s="6">
        <f t="shared" si="162"/>
        <v>1070</v>
      </c>
      <c r="C522" s="9">
        <f t="shared" si="157"/>
        <v>85200</v>
      </c>
      <c r="D522" s="6">
        <f t="shared" si="150"/>
        <v>670</v>
      </c>
      <c r="E522" s="9">
        <f t="shared" si="158"/>
        <v>58400</v>
      </c>
      <c r="F522" s="3">
        <f t="shared" si="152"/>
        <v>1120</v>
      </c>
      <c r="G522" s="3">
        <f t="shared" si="159"/>
        <v>47600</v>
      </c>
      <c r="J522" s="6">
        <f t="shared" si="160"/>
        <v>6.2999999999999057</v>
      </c>
      <c r="K522" s="11">
        <f t="shared" si="161"/>
        <v>153600</v>
      </c>
      <c r="P522" s="1">
        <f t="shared" si="155"/>
        <v>153600</v>
      </c>
      <c r="Q522" s="1">
        <f t="shared" si="156"/>
        <v>21874168</v>
      </c>
    </row>
    <row r="523" spans="1:17" x14ac:dyDescent="0.3">
      <c r="A523" s="2">
        <f t="shared" si="162"/>
        <v>521</v>
      </c>
      <c r="B523" s="6">
        <f t="shared" si="162"/>
        <v>1071</v>
      </c>
      <c r="C523" s="9">
        <f t="shared" si="157"/>
        <v>86810</v>
      </c>
      <c r="D523" s="6">
        <f t="shared" si="150"/>
        <v>671</v>
      </c>
      <c r="E523" s="9">
        <f t="shared" si="158"/>
        <v>59170</v>
      </c>
      <c r="F523" s="3">
        <f t="shared" si="152"/>
        <v>1121</v>
      </c>
      <c r="G523" s="3">
        <f t="shared" si="159"/>
        <v>48230</v>
      </c>
      <c r="J523" s="6">
        <f t="shared" si="160"/>
        <v>6.3049999999999056</v>
      </c>
      <c r="K523" s="11">
        <f t="shared" si="161"/>
        <v>156730</v>
      </c>
      <c r="P523" s="1">
        <f t="shared" si="155"/>
        <v>156730</v>
      </c>
      <c r="Q523" s="1">
        <f t="shared" si="156"/>
        <v>22030898</v>
      </c>
    </row>
    <row r="524" spans="1:17" x14ac:dyDescent="0.3">
      <c r="A524" s="2">
        <f t="shared" si="162"/>
        <v>522</v>
      </c>
      <c r="B524" s="6">
        <f t="shared" si="162"/>
        <v>1072</v>
      </c>
      <c r="C524" s="9">
        <f t="shared" si="157"/>
        <v>88420</v>
      </c>
      <c r="D524" s="6">
        <f t="shared" si="150"/>
        <v>672</v>
      </c>
      <c r="E524" s="9">
        <f t="shared" si="158"/>
        <v>59940</v>
      </c>
      <c r="F524" s="3">
        <f t="shared" si="152"/>
        <v>1122</v>
      </c>
      <c r="G524" s="3">
        <f t="shared" si="159"/>
        <v>48860</v>
      </c>
      <c r="J524" s="6">
        <f t="shared" si="160"/>
        <v>6.3099999999999055</v>
      </c>
      <c r="K524" s="11">
        <f t="shared" si="161"/>
        <v>159860</v>
      </c>
      <c r="P524" s="1">
        <f t="shared" si="155"/>
        <v>159860</v>
      </c>
      <c r="Q524" s="1">
        <f t="shared" si="156"/>
        <v>22190758</v>
      </c>
    </row>
    <row r="525" spans="1:17" x14ac:dyDescent="0.3">
      <c r="A525" s="2">
        <f t="shared" si="162"/>
        <v>523</v>
      </c>
      <c r="B525" s="6">
        <f t="shared" si="162"/>
        <v>1073</v>
      </c>
      <c r="C525" s="9">
        <f t="shared" si="157"/>
        <v>90030</v>
      </c>
      <c r="D525" s="6">
        <f t="shared" si="150"/>
        <v>673</v>
      </c>
      <c r="E525" s="9">
        <f t="shared" si="158"/>
        <v>60710</v>
      </c>
      <c r="F525" s="3">
        <f t="shared" si="152"/>
        <v>1123</v>
      </c>
      <c r="G525" s="3">
        <f t="shared" si="159"/>
        <v>49490</v>
      </c>
      <c r="J525" s="6">
        <f t="shared" si="160"/>
        <v>6.3149999999999054</v>
      </c>
      <c r="K525" s="11">
        <f t="shared" si="161"/>
        <v>162990</v>
      </c>
      <c r="P525" s="1">
        <f t="shared" si="155"/>
        <v>162990</v>
      </c>
      <c r="Q525" s="1">
        <f t="shared" si="156"/>
        <v>22353748</v>
      </c>
    </row>
    <row r="526" spans="1:17" x14ac:dyDescent="0.3">
      <c r="A526" s="2">
        <f t="shared" si="162"/>
        <v>524</v>
      </c>
      <c r="B526" s="6">
        <f t="shared" si="162"/>
        <v>1074</v>
      </c>
      <c r="C526" s="9">
        <f t="shared" si="157"/>
        <v>91640</v>
      </c>
      <c r="D526" s="6">
        <f t="shared" si="150"/>
        <v>674</v>
      </c>
      <c r="E526" s="9">
        <f t="shared" si="158"/>
        <v>61480</v>
      </c>
      <c r="F526" s="3">
        <f t="shared" si="152"/>
        <v>1124</v>
      </c>
      <c r="G526" s="3">
        <f t="shared" si="159"/>
        <v>50120</v>
      </c>
      <c r="J526" s="6">
        <f t="shared" si="160"/>
        <v>6.3199999999999052</v>
      </c>
      <c r="K526" s="11">
        <f t="shared" si="161"/>
        <v>166120</v>
      </c>
      <c r="P526" s="1">
        <f t="shared" si="155"/>
        <v>166120</v>
      </c>
      <c r="Q526" s="1">
        <f t="shared" si="156"/>
        <v>22519868</v>
      </c>
    </row>
    <row r="527" spans="1:17" x14ac:dyDescent="0.3">
      <c r="A527" s="2">
        <f t="shared" si="162"/>
        <v>525</v>
      </c>
      <c r="B527" s="6">
        <f t="shared" si="162"/>
        <v>1075</v>
      </c>
      <c r="C527" s="9">
        <f t="shared" si="157"/>
        <v>93250</v>
      </c>
      <c r="D527" s="6">
        <f t="shared" si="150"/>
        <v>675</v>
      </c>
      <c r="E527" s="9">
        <f t="shared" si="158"/>
        <v>62250</v>
      </c>
      <c r="F527" s="3">
        <f t="shared" si="152"/>
        <v>1125</v>
      </c>
      <c r="G527" s="3">
        <f t="shared" si="159"/>
        <v>50750</v>
      </c>
      <c r="J527" s="6">
        <f t="shared" si="160"/>
        <v>6.3249999999999051</v>
      </c>
      <c r="K527" s="11">
        <f t="shared" si="161"/>
        <v>169250</v>
      </c>
      <c r="P527" s="1">
        <f t="shared" si="155"/>
        <v>169250</v>
      </c>
      <c r="Q527" s="1">
        <f t="shared" si="156"/>
        <v>22689118</v>
      </c>
    </row>
    <row r="528" spans="1:17" x14ac:dyDescent="0.3">
      <c r="A528" s="2">
        <f t="shared" si="162"/>
        <v>526</v>
      </c>
      <c r="B528" s="6">
        <f t="shared" si="162"/>
        <v>1076</v>
      </c>
      <c r="C528" s="9">
        <f t="shared" si="157"/>
        <v>94860</v>
      </c>
      <c r="D528" s="6">
        <f t="shared" si="150"/>
        <v>676</v>
      </c>
      <c r="E528" s="9">
        <f t="shared" si="158"/>
        <v>63020</v>
      </c>
      <c r="F528" s="3">
        <f t="shared" si="152"/>
        <v>1126</v>
      </c>
      <c r="G528" s="3">
        <f t="shared" si="159"/>
        <v>51380</v>
      </c>
      <c r="J528" s="6">
        <f t="shared" si="160"/>
        <v>6.329999999999905</v>
      </c>
      <c r="K528" s="11">
        <f t="shared" si="161"/>
        <v>172380</v>
      </c>
      <c r="P528" s="1">
        <f t="shared" si="155"/>
        <v>172380</v>
      </c>
      <c r="Q528" s="1">
        <f t="shared" si="156"/>
        <v>22861498</v>
      </c>
    </row>
    <row r="529" spans="1:17" x14ac:dyDescent="0.3">
      <c r="A529" s="2">
        <f t="shared" si="162"/>
        <v>527</v>
      </c>
      <c r="B529" s="6">
        <f t="shared" si="162"/>
        <v>1077</v>
      </c>
      <c r="C529" s="9">
        <f t="shared" si="157"/>
        <v>96470</v>
      </c>
      <c r="D529" s="6">
        <f t="shared" si="150"/>
        <v>677</v>
      </c>
      <c r="E529" s="9">
        <f t="shared" si="158"/>
        <v>63790</v>
      </c>
      <c r="F529" s="3">
        <f t="shared" si="152"/>
        <v>1127</v>
      </c>
      <c r="G529" s="3">
        <f t="shared" si="159"/>
        <v>52010</v>
      </c>
      <c r="J529" s="6">
        <f t="shared" si="160"/>
        <v>6.3349999999999049</v>
      </c>
      <c r="K529" s="11">
        <f t="shared" si="161"/>
        <v>175510</v>
      </c>
      <c r="P529" s="1">
        <f t="shared" si="155"/>
        <v>175510</v>
      </c>
      <c r="Q529" s="1">
        <f t="shared" si="156"/>
        <v>23037008</v>
      </c>
    </row>
    <row r="530" spans="1:17" x14ac:dyDescent="0.3">
      <c r="A530" s="2">
        <f t="shared" si="162"/>
        <v>528</v>
      </c>
      <c r="B530" s="6">
        <f t="shared" si="162"/>
        <v>1078</v>
      </c>
      <c r="C530" s="9">
        <f t="shared" si="157"/>
        <v>98080</v>
      </c>
      <c r="D530" s="6">
        <f t="shared" si="150"/>
        <v>678</v>
      </c>
      <c r="E530" s="9">
        <f t="shared" si="158"/>
        <v>64560</v>
      </c>
      <c r="F530" s="3">
        <f t="shared" si="152"/>
        <v>1128</v>
      </c>
      <c r="G530" s="3">
        <f t="shared" si="159"/>
        <v>52640</v>
      </c>
      <c r="J530" s="6">
        <f t="shared" si="160"/>
        <v>6.3399999999999048</v>
      </c>
      <c r="K530" s="11">
        <f t="shared" si="161"/>
        <v>178640</v>
      </c>
      <c r="P530" s="1">
        <f t="shared" si="155"/>
        <v>178640</v>
      </c>
      <c r="Q530" s="1">
        <f t="shared" si="156"/>
        <v>23215648</v>
      </c>
    </row>
    <row r="531" spans="1:17" x14ac:dyDescent="0.3">
      <c r="A531" s="2">
        <f t="shared" si="162"/>
        <v>529</v>
      </c>
      <c r="B531" s="6">
        <f t="shared" si="162"/>
        <v>1079</v>
      </c>
      <c r="C531" s="9">
        <f t="shared" si="157"/>
        <v>99690</v>
      </c>
      <c r="D531" s="6">
        <f t="shared" si="150"/>
        <v>679</v>
      </c>
      <c r="E531" s="9">
        <f t="shared" si="158"/>
        <v>65330</v>
      </c>
      <c r="F531" s="3">
        <f t="shared" si="152"/>
        <v>1129</v>
      </c>
      <c r="G531" s="3">
        <f t="shared" si="159"/>
        <v>53270</v>
      </c>
      <c r="J531" s="6">
        <f t="shared" si="160"/>
        <v>6.3449999999999047</v>
      </c>
      <c r="K531" s="11">
        <f t="shared" si="161"/>
        <v>181770</v>
      </c>
      <c r="P531" s="1">
        <f t="shared" si="155"/>
        <v>181770</v>
      </c>
      <c r="Q531" s="1">
        <f t="shared" si="156"/>
        <v>23397418</v>
      </c>
    </row>
    <row r="532" spans="1:17" x14ac:dyDescent="0.3">
      <c r="A532" s="2">
        <f t="shared" si="162"/>
        <v>530</v>
      </c>
      <c r="B532" s="6">
        <f t="shared" si="162"/>
        <v>1080</v>
      </c>
      <c r="C532" s="9">
        <f t="shared" si="157"/>
        <v>101300</v>
      </c>
      <c r="D532" s="6">
        <f t="shared" si="150"/>
        <v>680</v>
      </c>
      <c r="E532" s="9">
        <f t="shared" si="158"/>
        <v>66100</v>
      </c>
      <c r="F532" s="3">
        <f t="shared" si="152"/>
        <v>1130</v>
      </c>
      <c r="G532" s="3">
        <f t="shared" si="159"/>
        <v>53900</v>
      </c>
      <c r="J532" s="6">
        <f t="shared" si="160"/>
        <v>6.3499999999999046</v>
      </c>
      <c r="K532" s="11">
        <f t="shared" si="161"/>
        <v>184900</v>
      </c>
      <c r="P532" s="1">
        <f t="shared" si="155"/>
        <v>184900</v>
      </c>
      <c r="Q532" s="1">
        <f t="shared" si="156"/>
        <v>23582318</v>
      </c>
    </row>
    <row r="533" spans="1:17" x14ac:dyDescent="0.3">
      <c r="A533" s="2">
        <f t="shared" si="162"/>
        <v>531</v>
      </c>
      <c r="B533" s="6">
        <f t="shared" si="162"/>
        <v>1081</v>
      </c>
      <c r="C533" s="9">
        <f t="shared" si="157"/>
        <v>102910</v>
      </c>
      <c r="D533" s="6">
        <f t="shared" si="150"/>
        <v>681</v>
      </c>
      <c r="E533" s="9">
        <f t="shared" si="158"/>
        <v>66870</v>
      </c>
      <c r="F533" s="3">
        <f t="shared" si="152"/>
        <v>1131</v>
      </c>
      <c r="G533" s="3">
        <f t="shared" si="159"/>
        <v>54530</v>
      </c>
      <c r="J533" s="6">
        <f t="shared" si="160"/>
        <v>6.3549999999999045</v>
      </c>
      <c r="K533" s="11">
        <f t="shared" si="161"/>
        <v>188030</v>
      </c>
      <c r="P533" s="1">
        <f t="shared" si="155"/>
        <v>188030</v>
      </c>
      <c r="Q533" s="1">
        <f t="shared" si="156"/>
        <v>23770348</v>
      </c>
    </row>
    <row r="534" spans="1:17" x14ac:dyDescent="0.3">
      <c r="A534" s="2">
        <f t="shared" si="162"/>
        <v>532</v>
      </c>
      <c r="B534" s="6">
        <f t="shared" si="162"/>
        <v>1082</v>
      </c>
      <c r="C534" s="9">
        <f t="shared" si="157"/>
        <v>104520</v>
      </c>
      <c r="D534" s="6">
        <f t="shared" si="150"/>
        <v>682</v>
      </c>
      <c r="E534" s="9">
        <f t="shared" si="158"/>
        <v>67640</v>
      </c>
      <c r="F534" s="3">
        <f t="shared" si="152"/>
        <v>1132</v>
      </c>
      <c r="G534" s="3">
        <f t="shared" si="159"/>
        <v>55160</v>
      </c>
      <c r="J534" s="6">
        <f t="shared" si="160"/>
        <v>6.3599999999999044</v>
      </c>
      <c r="K534" s="11">
        <f t="shared" si="161"/>
        <v>191160</v>
      </c>
      <c r="P534" s="1">
        <f t="shared" si="155"/>
        <v>191160</v>
      </c>
      <c r="Q534" s="1">
        <f t="shared" si="156"/>
        <v>23961508</v>
      </c>
    </row>
    <row r="535" spans="1:17" x14ac:dyDescent="0.3">
      <c r="A535" s="2">
        <f t="shared" si="162"/>
        <v>533</v>
      </c>
      <c r="B535" s="6">
        <f t="shared" si="162"/>
        <v>1083</v>
      </c>
      <c r="C535" s="9">
        <f t="shared" si="157"/>
        <v>106130</v>
      </c>
      <c r="D535" s="6">
        <f t="shared" si="150"/>
        <v>683</v>
      </c>
      <c r="E535" s="9">
        <f t="shared" si="158"/>
        <v>68410</v>
      </c>
      <c r="F535" s="3">
        <f t="shared" si="152"/>
        <v>1133</v>
      </c>
      <c r="G535" s="3">
        <f t="shared" si="159"/>
        <v>55790</v>
      </c>
      <c r="J535" s="6">
        <f t="shared" si="160"/>
        <v>6.3649999999999043</v>
      </c>
      <c r="K535" s="11">
        <f t="shared" si="161"/>
        <v>194290</v>
      </c>
      <c r="P535" s="1">
        <f t="shared" si="155"/>
        <v>194290</v>
      </c>
      <c r="Q535" s="1">
        <f t="shared" si="156"/>
        <v>24155798</v>
      </c>
    </row>
    <row r="536" spans="1:17" x14ac:dyDescent="0.3">
      <c r="A536" s="2">
        <f t="shared" si="162"/>
        <v>534</v>
      </c>
      <c r="B536" s="6">
        <f t="shared" si="162"/>
        <v>1084</v>
      </c>
      <c r="C536" s="9">
        <f t="shared" si="157"/>
        <v>107740</v>
      </c>
      <c r="D536" s="6">
        <f t="shared" si="150"/>
        <v>684</v>
      </c>
      <c r="E536" s="9">
        <f t="shared" si="158"/>
        <v>69180</v>
      </c>
      <c r="F536" s="3">
        <f t="shared" si="152"/>
        <v>1134</v>
      </c>
      <c r="G536" s="3">
        <f t="shared" si="159"/>
        <v>56420</v>
      </c>
      <c r="J536" s="6">
        <f t="shared" si="160"/>
        <v>6.3699999999999042</v>
      </c>
      <c r="K536" s="11">
        <f t="shared" si="161"/>
        <v>197420</v>
      </c>
      <c r="P536" s="1">
        <f t="shared" si="155"/>
        <v>197420</v>
      </c>
      <c r="Q536" s="1">
        <f t="shared" si="156"/>
        <v>24353218</v>
      </c>
    </row>
    <row r="537" spans="1:17" x14ac:dyDescent="0.3">
      <c r="A537" s="2">
        <f t="shared" si="162"/>
        <v>535</v>
      </c>
      <c r="B537" s="6">
        <f t="shared" si="162"/>
        <v>1085</v>
      </c>
      <c r="C537" s="9">
        <f t="shared" si="157"/>
        <v>109350</v>
      </c>
      <c r="D537" s="6">
        <f t="shared" si="150"/>
        <v>685</v>
      </c>
      <c r="E537" s="9">
        <f t="shared" si="158"/>
        <v>69950</v>
      </c>
      <c r="F537" s="3">
        <f t="shared" si="152"/>
        <v>1135</v>
      </c>
      <c r="G537" s="3">
        <f t="shared" si="159"/>
        <v>57050</v>
      </c>
      <c r="J537" s="6">
        <f t="shared" si="160"/>
        <v>6.3749999999999041</v>
      </c>
      <c r="K537" s="11">
        <f t="shared" si="161"/>
        <v>200550</v>
      </c>
      <c r="P537" s="1">
        <f t="shared" si="155"/>
        <v>200550</v>
      </c>
      <c r="Q537" s="1">
        <f t="shared" si="156"/>
        <v>24553768</v>
      </c>
    </row>
    <row r="538" spans="1:17" x14ac:dyDescent="0.3">
      <c r="A538" s="2">
        <f t="shared" si="162"/>
        <v>536</v>
      </c>
      <c r="B538" s="6">
        <f t="shared" si="162"/>
        <v>1086</v>
      </c>
      <c r="C538" s="9">
        <f t="shared" si="157"/>
        <v>110960</v>
      </c>
      <c r="D538" s="6">
        <f t="shared" si="150"/>
        <v>686</v>
      </c>
      <c r="E538" s="9">
        <f t="shared" si="158"/>
        <v>70720</v>
      </c>
      <c r="F538" s="3">
        <f t="shared" si="152"/>
        <v>1136</v>
      </c>
      <c r="G538" s="3">
        <f t="shared" si="159"/>
        <v>57680</v>
      </c>
      <c r="J538" s="6">
        <f t="shared" si="160"/>
        <v>6.379999999999904</v>
      </c>
      <c r="K538" s="11">
        <f t="shared" si="161"/>
        <v>203680</v>
      </c>
      <c r="P538" s="1">
        <f t="shared" si="155"/>
        <v>203680</v>
      </c>
      <c r="Q538" s="1">
        <f t="shared" si="156"/>
        <v>24757448</v>
      </c>
    </row>
    <row r="539" spans="1:17" x14ac:dyDescent="0.3">
      <c r="A539" s="2">
        <f t="shared" si="162"/>
        <v>537</v>
      </c>
      <c r="B539" s="6">
        <f t="shared" si="162"/>
        <v>1087</v>
      </c>
      <c r="C539" s="9">
        <f t="shared" si="157"/>
        <v>112570</v>
      </c>
      <c r="D539" s="6">
        <f t="shared" si="150"/>
        <v>687</v>
      </c>
      <c r="E539" s="9">
        <f t="shared" si="158"/>
        <v>71490</v>
      </c>
      <c r="F539" s="3">
        <f t="shared" si="152"/>
        <v>1137</v>
      </c>
      <c r="G539" s="3">
        <f t="shared" si="159"/>
        <v>58310</v>
      </c>
      <c r="J539" s="6">
        <f t="shared" si="160"/>
        <v>6.3849999999999039</v>
      </c>
      <c r="K539" s="11">
        <f t="shared" si="161"/>
        <v>206810</v>
      </c>
      <c r="P539" s="1">
        <f t="shared" si="155"/>
        <v>206810</v>
      </c>
      <c r="Q539" s="1">
        <f t="shared" si="156"/>
        <v>24964258</v>
      </c>
    </row>
    <row r="540" spans="1:17" x14ac:dyDescent="0.3">
      <c r="A540" s="2">
        <f t="shared" si="162"/>
        <v>538</v>
      </c>
      <c r="B540" s="6">
        <f t="shared" si="162"/>
        <v>1088</v>
      </c>
      <c r="C540" s="9">
        <f t="shared" si="157"/>
        <v>114180</v>
      </c>
      <c r="D540" s="6">
        <f t="shared" si="150"/>
        <v>688</v>
      </c>
      <c r="E540" s="9">
        <f t="shared" si="158"/>
        <v>72260</v>
      </c>
      <c r="F540" s="3">
        <f t="shared" si="152"/>
        <v>1138</v>
      </c>
      <c r="G540" s="3">
        <f t="shared" si="159"/>
        <v>58940</v>
      </c>
      <c r="J540" s="6">
        <f t="shared" si="160"/>
        <v>6.3899999999999038</v>
      </c>
      <c r="K540" s="11">
        <f t="shared" si="161"/>
        <v>209940</v>
      </c>
      <c r="P540" s="1">
        <f t="shared" si="155"/>
        <v>209940</v>
      </c>
      <c r="Q540" s="1">
        <f t="shared" si="156"/>
        <v>25174198</v>
      </c>
    </row>
    <row r="541" spans="1:17" x14ac:dyDescent="0.3">
      <c r="A541" s="2">
        <f t="shared" si="162"/>
        <v>539</v>
      </c>
      <c r="B541" s="6">
        <f t="shared" si="162"/>
        <v>1089</v>
      </c>
      <c r="C541" s="9">
        <f t="shared" si="157"/>
        <v>115790</v>
      </c>
      <c r="D541" s="6">
        <f t="shared" si="150"/>
        <v>689</v>
      </c>
      <c r="E541" s="9">
        <f t="shared" si="158"/>
        <v>73030</v>
      </c>
      <c r="F541" s="3">
        <f t="shared" si="152"/>
        <v>1139</v>
      </c>
      <c r="G541" s="3">
        <f t="shared" si="159"/>
        <v>59570</v>
      </c>
      <c r="J541" s="6">
        <f t="shared" si="160"/>
        <v>6.3949999999999037</v>
      </c>
      <c r="K541" s="11">
        <f t="shared" si="161"/>
        <v>213070</v>
      </c>
      <c r="P541" s="1">
        <f t="shared" si="155"/>
        <v>213070</v>
      </c>
      <c r="Q541" s="1">
        <f t="shared" si="156"/>
        <v>25387268</v>
      </c>
    </row>
    <row r="542" spans="1:17" x14ac:dyDescent="0.3">
      <c r="A542" s="2">
        <f t="shared" si="162"/>
        <v>540</v>
      </c>
      <c r="B542" s="6">
        <f t="shared" si="162"/>
        <v>1090</v>
      </c>
      <c r="C542" s="9">
        <f t="shared" si="157"/>
        <v>117400</v>
      </c>
      <c r="D542" s="6">
        <f t="shared" si="150"/>
        <v>690</v>
      </c>
      <c r="E542" s="9">
        <f t="shared" si="158"/>
        <v>73800</v>
      </c>
      <c r="F542" s="3">
        <f t="shared" si="152"/>
        <v>1140</v>
      </c>
      <c r="G542" s="3">
        <f t="shared" si="159"/>
        <v>60200</v>
      </c>
      <c r="J542" s="6">
        <f t="shared" si="160"/>
        <v>6.3999999999999035</v>
      </c>
      <c r="K542" s="11">
        <f t="shared" si="161"/>
        <v>216200</v>
      </c>
      <c r="P542" s="1">
        <f t="shared" si="155"/>
        <v>216200</v>
      </c>
      <c r="Q542" s="1">
        <f t="shared" si="156"/>
        <v>25603468</v>
      </c>
    </row>
    <row r="543" spans="1:17" x14ac:dyDescent="0.3">
      <c r="A543" s="2">
        <f t="shared" si="162"/>
        <v>541</v>
      </c>
      <c r="B543" s="6">
        <f t="shared" si="162"/>
        <v>1091</v>
      </c>
      <c r="C543" s="9">
        <f t="shared" si="157"/>
        <v>119010</v>
      </c>
      <c r="D543" s="6">
        <f t="shared" si="150"/>
        <v>691</v>
      </c>
      <c r="E543" s="9">
        <f t="shared" si="158"/>
        <v>74570</v>
      </c>
      <c r="F543" s="3">
        <f t="shared" si="152"/>
        <v>1141</v>
      </c>
      <c r="G543" s="3">
        <f t="shared" si="159"/>
        <v>60830</v>
      </c>
      <c r="J543" s="6">
        <f t="shared" si="160"/>
        <v>6.4049999999999034</v>
      </c>
      <c r="K543" s="11">
        <f t="shared" si="161"/>
        <v>219330</v>
      </c>
      <c r="P543" s="1">
        <f t="shared" si="155"/>
        <v>219330</v>
      </c>
      <c r="Q543" s="1">
        <f t="shared" si="156"/>
        <v>25822798</v>
      </c>
    </row>
    <row r="544" spans="1:17" x14ac:dyDescent="0.3">
      <c r="A544" s="2">
        <f t="shared" si="162"/>
        <v>542</v>
      </c>
      <c r="B544" s="6">
        <f t="shared" si="162"/>
        <v>1092</v>
      </c>
      <c r="C544" s="9">
        <f t="shared" si="157"/>
        <v>120620</v>
      </c>
      <c r="D544" s="6">
        <f t="shared" si="150"/>
        <v>692</v>
      </c>
      <c r="E544" s="9">
        <f t="shared" si="158"/>
        <v>75340</v>
      </c>
      <c r="F544" s="3">
        <f t="shared" si="152"/>
        <v>1142</v>
      </c>
      <c r="G544" s="3">
        <f t="shared" si="159"/>
        <v>61460</v>
      </c>
      <c r="J544" s="6">
        <f t="shared" si="160"/>
        <v>6.4099999999999033</v>
      </c>
      <c r="K544" s="11">
        <f t="shared" si="161"/>
        <v>222460</v>
      </c>
      <c r="P544" s="1">
        <f t="shared" si="155"/>
        <v>222460</v>
      </c>
      <c r="Q544" s="1">
        <f t="shared" si="156"/>
        <v>26045258</v>
      </c>
    </row>
    <row r="545" spans="1:17" x14ac:dyDescent="0.3">
      <c r="A545" s="2">
        <f t="shared" si="162"/>
        <v>543</v>
      </c>
      <c r="B545" s="6">
        <f t="shared" si="162"/>
        <v>1093</v>
      </c>
      <c r="C545" s="9">
        <f t="shared" si="157"/>
        <v>122230</v>
      </c>
      <c r="D545" s="6">
        <f t="shared" si="150"/>
        <v>693</v>
      </c>
      <c r="E545" s="9">
        <f t="shared" si="158"/>
        <v>76110</v>
      </c>
      <c r="F545" s="3">
        <f t="shared" si="152"/>
        <v>1143</v>
      </c>
      <c r="G545" s="3">
        <f t="shared" si="159"/>
        <v>62090</v>
      </c>
      <c r="J545" s="6">
        <f t="shared" si="160"/>
        <v>6.4149999999999032</v>
      </c>
      <c r="K545" s="11">
        <f t="shared" si="161"/>
        <v>225590</v>
      </c>
      <c r="P545" s="1">
        <f t="shared" si="155"/>
        <v>225590</v>
      </c>
      <c r="Q545" s="1">
        <f t="shared" si="156"/>
        <v>26270848</v>
      </c>
    </row>
    <row r="546" spans="1:17" x14ac:dyDescent="0.3">
      <c r="A546" s="2">
        <f t="shared" si="162"/>
        <v>544</v>
      </c>
      <c r="B546" s="6">
        <f t="shared" si="162"/>
        <v>1094</v>
      </c>
      <c r="C546" s="9">
        <f t="shared" si="157"/>
        <v>123840</v>
      </c>
      <c r="D546" s="6">
        <f t="shared" si="150"/>
        <v>694</v>
      </c>
      <c r="E546" s="9">
        <f t="shared" si="158"/>
        <v>76880</v>
      </c>
      <c r="F546" s="3">
        <f t="shared" si="152"/>
        <v>1144</v>
      </c>
      <c r="G546" s="3">
        <f t="shared" si="159"/>
        <v>62720</v>
      </c>
      <c r="J546" s="6">
        <f t="shared" si="160"/>
        <v>6.4199999999999031</v>
      </c>
      <c r="K546" s="11">
        <f t="shared" si="161"/>
        <v>228720</v>
      </c>
      <c r="P546" s="1">
        <f t="shared" si="155"/>
        <v>228720</v>
      </c>
      <c r="Q546" s="1">
        <f t="shared" si="156"/>
        <v>26499568</v>
      </c>
    </row>
    <row r="547" spans="1:17" x14ac:dyDescent="0.3">
      <c r="A547" s="2">
        <f t="shared" si="162"/>
        <v>545</v>
      </c>
      <c r="B547" s="6">
        <f t="shared" si="162"/>
        <v>1095</v>
      </c>
      <c r="C547" s="9">
        <f t="shared" si="157"/>
        <v>125450</v>
      </c>
      <c r="D547" s="6">
        <f t="shared" si="150"/>
        <v>695</v>
      </c>
      <c r="E547" s="9">
        <f t="shared" si="158"/>
        <v>77650</v>
      </c>
      <c r="F547" s="3">
        <f t="shared" si="152"/>
        <v>1145</v>
      </c>
      <c r="G547" s="3">
        <f t="shared" si="159"/>
        <v>63350</v>
      </c>
      <c r="J547" s="6">
        <f t="shared" si="160"/>
        <v>6.424999999999903</v>
      </c>
      <c r="K547" s="11">
        <f t="shared" si="161"/>
        <v>231850</v>
      </c>
      <c r="P547" s="1">
        <f t="shared" si="155"/>
        <v>231850</v>
      </c>
      <c r="Q547" s="1">
        <f t="shared" si="156"/>
        <v>26731418</v>
      </c>
    </row>
    <row r="548" spans="1:17" x14ac:dyDescent="0.3">
      <c r="A548" s="2">
        <f t="shared" si="162"/>
        <v>546</v>
      </c>
      <c r="B548" s="6">
        <f t="shared" si="162"/>
        <v>1096</v>
      </c>
      <c r="C548" s="9">
        <f t="shared" si="157"/>
        <v>127060</v>
      </c>
      <c r="D548" s="6">
        <f t="shared" si="150"/>
        <v>696</v>
      </c>
      <c r="E548" s="9">
        <f t="shared" si="158"/>
        <v>78420</v>
      </c>
      <c r="F548" s="3">
        <f t="shared" si="152"/>
        <v>1146</v>
      </c>
      <c r="G548" s="3">
        <f t="shared" si="159"/>
        <v>63980</v>
      </c>
      <c r="J548" s="6">
        <f t="shared" si="160"/>
        <v>6.4299999999999029</v>
      </c>
      <c r="K548" s="11">
        <f t="shared" si="161"/>
        <v>234980</v>
      </c>
      <c r="P548" s="1">
        <f t="shared" si="155"/>
        <v>234980</v>
      </c>
      <c r="Q548" s="1">
        <f t="shared" si="156"/>
        <v>26966398</v>
      </c>
    </row>
    <row r="549" spans="1:17" x14ac:dyDescent="0.3">
      <c r="A549" s="2">
        <f t="shared" si="162"/>
        <v>547</v>
      </c>
      <c r="B549" s="6">
        <f t="shared" si="162"/>
        <v>1097</v>
      </c>
      <c r="C549" s="9">
        <f t="shared" si="157"/>
        <v>128670</v>
      </c>
      <c r="D549" s="6">
        <f t="shared" si="150"/>
        <v>697</v>
      </c>
      <c r="E549" s="9">
        <f t="shared" si="158"/>
        <v>79190</v>
      </c>
      <c r="F549" s="3">
        <f t="shared" si="152"/>
        <v>1147</v>
      </c>
      <c r="G549" s="3">
        <f t="shared" si="159"/>
        <v>64610</v>
      </c>
      <c r="J549" s="6">
        <f t="shared" si="160"/>
        <v>6.4349999999999028</v>
      </c>
      <c r="K549" s="11">
        <f t="shared" si="161"/>
        <v>238110</v>
      </c>
      <c r="P549" s="1">
        <f t="shared" si="155"/>
        <v>238110</v>
      </c>
      <c r="Q549" s="1">
        <f t="shared" si="156"/>
        <v>27204508</v>
      </c>
    </row>
    <row r="550" spans="1:17" x14ac:dyDescent="0.3">
      <c r="A550" s="2">
        <f t="shared" si="162"/>
        <v>548</v>
      </c>
      <c r="B550" s="6">
        <f t="shared" si="162"/>
        <v>1098</v>
      </c>
      <c r="C550" s="9">
        <f t="shared" si="157"/>
        <v>130280</v>
      </c>
      <c r="D550" s="6">
        <f t="shared" si="150"/>
        <v>698</v>
      </c>
      <c r="E550" s="9">
        <f t="shared" si="158"/>
        <v>79960</v>
      </c>
      <c r="F550" s="3">
        <f t="shared" si="152"/>
        <v>1148</v>
      </c>
      <c r="G550" s="3">
        <f t="shared" si="159"/>
        <v>65240</v>
      </c>
      <c r="J550" s="6">
        <f t="shared" si="160"/>
        <v>6.4399999999999027</v>
      </c>
      <c r="K550" s="11">
        <f t="shared" si="161"/>
        <v>241240</v>
      </c>
      <c r="P550" s="1">
        <f t="shared" si="155"/>
        <v>241240</v>
      </c>
      <c r="Q550" s="1">
        <f t="shared" si="156"/>
        <v>27445748</v>
      </c>
    </row>
    <row r="551" spans="1:17" x14ac:dyDescent="0.3">
      <c r="A551" s="2">
        <f t="shared" si="162"/>
        <v>549</v>
      </c>
      <c r="B551" s="6">
        <f t="shared" si="162"/>
        <v>1099</v>
      </c>
      <c r="C551" s="9">
        <f t="shared" si="157"/>
        <v>131890</v>
      </c>
      <c r="D551" s="6">
        <f t="shared" si="150"/>
        <v>699</v>
      </c>
      <c r="E551" s="9">
        <f t="shared" si="158"/>
        <v>80730</v>
      </c>
      <c r="F551" s="3">
        <f t="shared" si="152"/>
        <v>1149</v>
      </c>
      <c r="G551" s="3">
        <f t="shared" si="159"/>
        <v>65870</v>
      </c>
      <c r="J551" s="6">
        <f t="shared" si="160"/>
        <v>6.4449999999999026</v>
      </c>
      <c r="K551" s="11">
        <f t="shared" si="161"/>
        <v>244370</v>
      </c>
      <c r="P551" s="1">
        <f t="shared" si="155"/>
        <v>244370</v>
      </c>
      <c r="Q551" s="1">
        <f t="shared" si="156"/>
        <v>27690118</v>
      </c>
    </row>
    <row r="552" spans="1:17" x14ac:dyDescent="0.3">
      <c r="A552" s="2">
        <f t="shared" si="162"/>
        <v>550</v>
      </c>
      <c r="B552" s="6">
        <f t="shared" si="162"/>
        <v>1100</v>
      </c>
      <c r="C552" s="9">
        <f t="shared" si="157"/>
        <v>133500</v>
      </c>
      <c r="D552" s="6">
        <f t="shared" ref="D552:D615" si="163">D551+1</f>
        <v>700</v>
      </c>
      <c r="E552" s="9">
        <f t="shared" si="158"/>
        <v>81500</v>
      </c>
      <c r="F552" s="3">
        <f t="shared" ref="F552:F615" si="164">F551+1</f>
        <v>1150</v>
      </c>
      <c r="G552" s="3">
        <f t="shared" si="159"/>
        <v>66500</v>
      </c>
      <c r="J552" s="6">
        <f t="shared" si="160"/>
        <v>6.4499999999999025</v>
      </c>
      <c r="K552" s="11">
        <f t="shared" si="161"/>
        <v>247500</v>
      </c>
      <c r="P552" s="1">
        <f t="shared" si="155"/>
        <v>247500</v>
      </c>
      <c r="Q552" s="1">
        <f t="shared" si="156"/>
        <v>27937618</v>
      </c>
    </row>
    <row r="553" spans="1:17" x14ac:dyDescent="0.3">
      <c r="A553" s="2">
        <f t="shared" si="162"/>
        <v>551</v>
      </c>
      <c r="B553" s="6">
        <f t="shared" si="162"/>
        <v>1101</v>
      </c>
      <c r="C553" s="9">
        <f t="shared" si="157"/>
        <v>135110</v>
      </c>
      <c r="D553" s="6">
        <f t="shared" si="163"/>
        <v>701</v>
      </c>
      <c r="E553" s="9">
        <f t="shared" si="158"/>
        <v>82270</v>
      </c>
      <c r="F553" s="3">
        <f t="shared" si="164"/>
        <v>1151</v>
      </c>
      <c r="G553" s="3">
        <f t="shared" si="159"/>
        <v>67130</v>
      </c>
      <c r="J553" s="6">
        <f t="shared" si="160"/>
        <v>6.4549999999999024</v>
      </c>
      <c r="K553" s="11">
        <f t="shared" si="161"/>
        <v>250630</v>
      </c>
      <c r="P553" s="1">
        <f t="shared" si="155"/>
        <v>250630</v>
      </c>
      <c r="Q553" s="1">
        <f t="shared" si="156"/>
        <v>28188248</v>
      </c>
    </row>
    <row r="554" spans="1:17" x14ac:dyDescent="0.3">
      <c r="A554" s="2">
        <f t="shared" si="162"/>
        <v>552</v>
      </c>
      <c r="B554" s="6">
        <f t="shared" si="162"/>
        <v>1102</v>
      </c>
      <c r="C554" s="9">
        <f t="shared" si="157"/>
        <v>136720</v>
      </c>
      <c r="D554" s="6">
        <f t="shared" si="163"/>
        <v>702</v>
      </c>
      <c r="E554" s="9">
        <f t="shared" si="158"/>
        <v>83040</v>
      </c>
      <c r="F554" s="3">
        <f t="shared" si="164"/>
        <v>1152</v>
      </c>
      <c r="G554" s="3">
        <f t="shared" si="159"/>
        <v>67760</v>
      </c>
      <c r="J554" s="6">
        <f t="shared" si="160"/>
        <v>6.4599999999999023</v>
      </c>
      <c r="K554" s="11">
        <f t="shared" si="161"/>
        <v>253760</v>
      </c>
      <c r="P554" s="1">
        <f t="shared" si="155"/>
        <v>253760</v>
      </c>
      <c r="Q554" s="1">
        <f t="shared" si="156"/>
        <v>28442008</v>
      </c>
    </row>
    <row r="555" spans="1:17" x14ac:dyDescent="0.3">
      <c r="A555" s="2">
        <f t="shared" si="162"/>
        <v>553</v>
      </c>
      <c r="B555" s="6">
        <f t="shared" si="162"/>
        <v>1103</v>
      </c>
      <c r="C555" s="9">
        <f t="shared" si="157"/>
        <v>138330</v>
      </c>
      <c r="D555" s="6">
        <f t="shared" si="163"/>
        <v>703</v>
      </c>
      <c r="E555" s="9">
        <f t="shared" si="158"/>
        <v>83810</v>
      </c>
      <c r="F555" s="3">
        <f t="shared" si="164"/>
        <v>1153</v>
      </c>
      <c r="G555" s="3">
        <f t="shared" si="159"/>
        <v>68390</v>
      </c>
      <c r="J555" s="6">
        <f t="shared" si="160"/>
        <v>6.4649999999999022</v>
      </c>
      <c r="K555" s="11">
        <f t="shared" si="161"/>
        <v>256890</v>
      </c>
      <c r="P555" s="1">
        <f t="shared" si="155"/>
        <v>256890</v>
      </c>
      <c r="Q555" s="1">
        <f t="shared" si="156"/>
        <v>28698898</v>
      </c>
    </row>
    <row r="556" spans="1:17" x14ac:dyDescent="0.3">
      <c r="A556" s="2">
        <f t="shared" si="162"/>
        <v>554</v>
      </c>
      <c r="B556" s="6">
        <f t="shared" si="162"/>
        <v>1104</v>
      </c>
      <c r="C556" s="9">
        <f t="shared" si="157"/>
        <v>139940</v>
      </c>
      <c r="D556" s="6">
        <f t="shared" si="163"/>
        <v>704</v>
      </c>
      <c r="E556" s="9">
        <f t="shared" si="158"/>
        <v>84580</v>
      </c>
      <c r="F556" s="3">
        <f t="shared" si="164"/>
        <v>1154</v>
      </c>
      <c r="G556" s="3">
        <f t="shared" si="159"/>
        <v>69020</v>
      </c>
      <c r="J556" s="6">
        <f t="shared" si="160"/>
        <v>6.4699999999999021</v>
      </c>
      <c r="K556" s="11">
        <f t="shared" si="161"/>
        <v>260020</v>
      </c>
      <c r="P556" s="1">
        <f t="shared" si="155"/>
        <v>260020</v>
      </c>
      <c r="Q556" s="1">
        <f t="shared" si="156"/>
        <v>28958918</v>
      </c>
    </row>
    <row r="557" spans="1:17" x14ac:dyDescent="0.3">
      <c r="A557" s="2">
        <f t="shared" si="162"/>
        <v>555</v>
      </c>
      <c r="B557" s="6">
        <f t="shared" si="162"/>
        <v>1105</v>
      </c>
      <c r="C557" s="9">
        <f t="shared" si="157"/>
        <v>141550</v>
      </c>
      <c r="D557" s="6">
        <f t="shared" si="163"/>
        <v>705</v>
      </c>
      <c r="E557" s="9">
        <f t="shared" si="158"/>
        <v>85350</v>
      </c>
      <c r="F557" s="3">
        <f t="shared" si="164"/>
        <v>1155</v>
      </c>
      <c r="G557" s="3">
        <f t="shared" si="159"/>
        <v>69650</v>
      </c>
      <c r="J557" s="6">
        <f t="shared" si="160"/>
        <v>6.4749999999999019</v>
      </c>
      <c r="K557" s="11">
        <f t="shared" si="161"/>
        <v>263150</v>
      </c>
      <c r="P557" s="1">
        <f t="shared" si="155"/>
        <v>263150</v>
      </c>
      <c r="Q557" s="1">
        <f t="shared" si="156"/>
        <v>29222068</v>
      </c>
    </row>
    <row r="558" spans="1:17" x14ac:dyDescent="0.3">
      <c r="A558" s="2">
        <f t="shared" si="162"/>
        <v>556</v>
      </c>
      <c r="B558" s="6">
        <f t="shared" si="162"/>
        <v>1106</v>
      </c>
      <c r="C558" s="9">
        <f t="shared" si="157"/>
        <v>143160</v>
      </c>
      <c r="D558" s="6">
        <f t="shared" si="163"/>
        <v>706</v>
      </c>
      <c r="E558" s="9">
        <f t="shared" si="158"/>
        <v>86120</v>
      </c>
      <c r="F558" s="3">
        <f t="shared" si="164"/>
        <v>1156</v>
      </c>
      <c r="G558" s="3">
        <f t="shared" si="159"/>
        <v>70280</v>
      </c>
      <c r="J558" s="6">
        <f t="shared" si="160"/>
        <v>6.4799999999999018</v>
      </c>
      <c r="K558" s="11">
        <f t="shared" si="161"/>
        <v>266280</v>
      </c>
      <c r="P558" s="1">
        <f t="shared" si="155"/>
        <v>266280</v>
      </c>
      <c r="Q558" s="1">
        <f t="shared" si="156"/>
        <v>29488348</v>
      </c>
    </row>
    <row r="559" spans="1:17" x14ac:dyDescent="0.3">
      <c r="A559" s="2">
        <f t="shared" si="162"/>
        <v>557</v>
      </c>
      <c r="B559" s="6">
        <f t="shared" si="162"/>
        <v>1107</v>
      </c>
      <c r="C559" s="9">
        <f t="shared" si="157"/>
        <v>144770</v>
      </c>
      <c r="D559" s="6">
        <f t="shared" si="163"/>
        <v>707</v>
      </c>
      <c r="E559" s="9">
        <f t="shared" si="158"/>
        <v>86890</v>
      </c>
      <c r="F559" s="3">
        <f t="shared" si="164"/>
        <v>1157</v>
      </c>
      <c r="G559" s="3">
        <f t="shared" si="159"/>
        <v>70910</v>
      </c>
      <c r="J559" s="6">
        <f t="shared" si="160"/>
        <v>6.4849999999999017</v>
      </c>
      <c r="K559" s="11">
        <f t="shared" si="161"/>
        <v>269410</v>
      </c>
      <c r="P559" s="1">
        <f t="shared" si="155"/>
        <v>269410</v>
      </c>
      <c r="Q559" s="1">
        <f t="shared" si="156"/>
        <v>29757758</v>
      </c>
    </row>
    <row r="560" spans="1:17" x14ac:dyDescent="0.3">
      <c r="A560" s="2">
        <f t="shared" si="162"/>
        <v>558</v>
      </c>
      <c r="B560" s="6">
        <f t="shared" si="162"/>
        <v>1108</v>
      </c>
      <c r="C560" s="9">
        <f t="shared" si="157"/>
        <v>146380</v>
      </c>
      <c r="D560" s="6">
        <f t="shared" si="163"/>
        <v>708</v>
      </c>
      <c r="E560" s="9">
        <f t="shared" si="158"/>
        <v>87660</v>
      </c>
      <c r="F560" s="3">
        <f t="shared" si="164"/>
        <v>1158</v>
      </c>
      <c r="G560" s="3">
        <f t="shared" si="159"/>
        <v>71540</v>
      </c>
      <c r="J560" s="6">
        <f t="shared" si="160"/>
        <v>6.4899999999999016</v>
      </c>
      <c r="K560" s="11">
        <f t="shared" si="161"/>
        <v>272540</v>
      </c>
      <c r="P560" s="1">
        <f t="shared" si="155"/>
        <v>272540</v>
      </c>
      <c r="Q560" s="1">
        <f t="shared" si="156"/>
        <v>30030298</v>
      </c>
    </row>
    <row r="561" spans="1:17" x14ac:dyDescent="0.3">
      <c r="A561" s="2">
        <f t="shared" si="162"/>
        <v>559</v>
      </c>
      <c r="B561" s="6">
        <f t="shared" si="162"/>
        <v>1109</v>
      </c>
      <c r="C561" s="9">
        <f t="shared" si="157"/>
        <v>147990</v>
      </c>
      <c r="D561" s="6">
        <f t="shared" si="163"/>
        <v>709</v>
      </c>
      <c r="E561" s="9">
        <f t="shared" si="158"/>
        <v>88430</v>
      </c>
      <c r="F561" s="3">
        <f t="shared" si="164"/>
        <v>1159</v>
      </c>
      <c r="G561" s="3">
        <f t="shared" si="159"/>
        <v>72170</v>
      </c>
      <c r="J561" s="6">
        <f t="shared" si="160"/>
        <v>6.4949999999999015</v>
      </c>
      <c r="K561" s="11">
        <f t="shared" si="161"/>
        <v>275670</v>
      </c>
      <c r="P561" s="1">
        <f t="shared" si="155"/>
        <v>275670</v>
      </c>
      <c r="Q561" s="1">
        <f t="shared" si="156"/>
        <v>30305968</v>
      </c>
    </row>
    <row r="562" spans="1:17" x14ac:dyDescent="0.3">
      <c r="A562" s="2">
        <f t="shared" si="162"/>
        <v>560</v>
      </c>
      <c r="B562" s="6">
        <f t="shared" si="162"/>
        <v>1110</v>
      </c>
      <c r="C562" s="9">
        <f t="shared" si="157"/>
        <v>149600</v>
      </c>
      <c r="D562" s="6">
        <f t="shared" si="163"/>
        <v>710</v>
      </c>
      <c r="E562" s="9">
        <f t="shared" si="158"/>
        <v>89200</v>
      </c>
      <c r="F562" s="3">
        <f t="shared" si="164"/>
        <v>1160</v>
      </c>
      <c r="G562" s="3">
        <f t="shared" si="159"/>
        <v>72800</v>
      </c>
      <c r="J562" s="6">
        <f t="shared" si="160"/>
        <v>6.4999999999999014</v>
      </c>
      <c r="K562" s="11">
        <f t="shared" si="161"/>
        <v>278800</v>
      </c>
      <c r="P562" s="1">
        <f t="shared" si="155"/>
        <v>278800</v>
      </c>
      <c r="Q562" s="1">
        <f t="shared" si="156"/>
        <v>30584768</v>
      </c>
    </row>
    <row r="563" spans="1:17" x14ac:dyDescent="0.3">
      <c r="A563" s="2">
        <f t="shared" si="162"/>
        <v>561</v>
      </c>
      <c r="B563" s="6">
        <f t="shared" si="162"/>
        <v>1111</v>
      </c>
      <c r="C563" s="9">
        <f t="shared" si="157"/>
        <v>151210</v>
      </c>
      <c r="D563" s="6">
        <f t="shared" si="163"/>
        <v>711</v>
      </c>
      <c r="E563" s="9">
        <f t="shared" si="158"/>
        <v>89970</v>
      </c>
      <c r="F563" s="3">
        <f t="shared" si="164"/>
        <v>1161</v>
      </c>
      <c r="G563" s="3">
        <f t="shared" si="159"/>
        <v>73430</v>
      </c>
      <c r="J563" s="6">
        <f t="shared" si="160"/>
        <v>6.5049999999999013</v>
      </c>
      <c r="K563" s="11">
        <f t="shared" si="161"/>
        <v>281930</v>
      </c>
      <c r="P563" s="1">
        <f t="shared" si="155"/>
        <v>281930</v>
      </c>
      <c r="Q563" s="1">
        <f t="shared" si="156"/>
        <v>30866698</v>
      </c>
    </row>
    <row r="564" spans="1:17" x14ac:dyDescent="0.3">
      <c r="A564" s="2">
        <f t="shared" si="162"/>
        <v>562</v>
      </c>
      <c r="B564" s="6">
        <f t="shared" si="162"/>
        <v>1112</v>
      </c>
      <c r="C564" s="9">
        <f t="shared" si="157"/>
        <v>152820</v>
      </c>
      <c r="D564" s="6">
        <f t="shared" si="163"/>
        <v>712</v>
      </c>
      <c r="E564" s="9">
        <f t="shared" si="158"/>
        <v>90740</v>
      </c>
      <c r="F564" s="3">
        <f t="shared" si="164"/>
        <v>1162</v>
      </c>
      <c r="G564" s="3">
        <f t="shared" si="159"/>
        <v>74060</v>
      </c>
      <c r="J564" s="6">
        <f t="shared" si="160"/>
        <v>6.5099999999999012</v>
      </c>
      <c r="K564" s="11">
        <f t="shared" si="161"/>
        <v>285060</v>
      </c>
      <c r="P564" s="1">
        <f t="shared" si="155"/>
        <v>285060</v>
      </c>
      <c r="Q564" s="1">
        <f t="shared" si="156"/>
        <v>31151758</v>
      </c>
    </row>
    <row r="565" spans="1:17" x14ac:dyDescent="0.3">
      <c r="A565" s="2">
        <f t="shared" si="162"/>
        <v>563</v>
      </c>
      <c r="B565" s="6">
        <f t="shared" si="162"/>
        <v>1113</v>
      </c>
      <c r="C565" s="9">
        <f t="shared" si="157"/>
        <v>154430</v>
      </c>
      <c r="D565" s="6">
        <f t="shared" si="163"/>
        <v>713</v>
      </c>
      <c r="E565" s="9">
        <f t="shared" si="158"/>
        <v>91510</v>
      </c>
      <c r="F565" s="3">
        <f t="shared" si="164"/>
        <v>1163</v>
      </c>
      <c r="G565" s="3">
        <f t="shared" si="159"/>
        <v>74690</v>
      </c>
      <c r="J565" s="6">
        <f t="shared" si="160"/>
        <v>6.5149999999999011</v>
      </c>
      <c r="K565" s="11">
        <f t="shared" si="161"/>
        <v>288190</v>
      </c>
      <c r="P565" s="1">
        <f t="shared" si="155"/>
        <v>288190</v>
      </c>
      <c r="Q565" s="1">
        <f t="shared" si="156"/>
        <v>31439948</v>
      </c>
    </row>
    <row r="566" spans="1:17" x14ac:dyDescent="0.3">
      <c r="A566" s="2">
        <f t="shared" si="162"/>
        <v>564</v>
      </c>
      <c r="B566" s="6">
        <f t="shared" si="162"/>
        <v>1114</v>
      </c>
      <c r="C566" s="9">
        <f t="shared" si="157"/>
        <v>156040</v>
      </c>
      <c r="D566" s="6">
        <f t="shared" si="163"/>
        <v>714</v>
      </c>
      <c r="E566" s="9">
        <f t="shared" si="158"/>
        <v>92280</v>
      </c>
      <c r="F566" s="3">
        <f t="shared" si="164"/>
        <v>1164</v>
      </c>
      <c r="G566" s="3">
        <f t="shared" si="159"/>
        <v>75320</v>
      </c>
      <c r="J566" s="6">
        <f t="shared" si="160"/>
        <v>6.519999999999901</v>
      </c>
      <c r="K566" s="11">
        <f t="shared" si="161"/>
        <v>291320</v>
      </c>
      <c r="P566" s="1">
        <f t="shared" ref="P566:P629" si="165">K566</f>
        <v>291320</v>
      </c>
      <c r="Q566" s="1">
        <f t="shared" ref="Q566:Q629" si="166">Q565+K566</f>
        <v>31731268</v>
      </c>
    </row>
    <row r="567" spans="1:17" x14ac:dyDescent="0.3">
      <c r="A567" s="2">
        <f t="shared" si="162"/>
        <v>565</v>
      </c>
      <c r="B567" s="6">
        <f t="shared" si="162"/>
        <v>1115</v>
      </c>
      <c r="C567" s="9">
        <f t="shared" si="157"/>
        <v>157650</v>
      </c>
      <c r="D567" s="6">
        <f t="shared" si="163"/>
        <v>715</v>
      </c>
      <c r="E567" s="9">
        <f t="shared" si="158"/>
        <v>93050</v>
      </c>
      <c r="F567" s="3">
        <f t="shared" si="164"/>
        <v>1165</v>
      </c>
      <c r="G567" s="3">
        <f t="shared" si="159"/>
        <v>75950</v>
      </c>
      <c r="J567" s="6">
        <f t="shared" si="160"/>
        <v>6.5249999999999009</v>
      </c>
      <c r="K567" s="11">
        <f t="shared" si="161"/>
        <v>294450</v>
      </c>
      <c r="P567" s="1">
        <f t="shared" si="165"/>
        <v>294450</v>
      </c>
      <c r="Q567" s="1">
        <f t="shared" si="166"/>
        <v>32025718</v>
      </c>
    </row>
    <row r="568" spans="1:17" x14ac:dyDescent="0.3">
      <c r="A568" s="2">
        <f t="shared" si="162"/>
        <v>566</v>
      </c>
      <c r="B568" s="6">
        <f t="shared" si="162"/>
        <v>1116</v>
      </c>
      <c r="C568" s="9">
        <f t="shared" ref="C568:C631" si="167">C567+1610</f>
        <v>159260</v>
      </c>
      <c r="D568" s="6">
        <f t="shared" si="163"/>
        <v>716</v>
      </c>
      <c r="E568" s="9">
        <f t="shared" ref="E568:E631" si="168">E567+770</f>
        <v>93820</v>
      </c>
      <c r="F568" s="3">
        <f t="shared" si="164"/>
        <v>1166</v>
      </c>
      <c r="G568" s="3">
        <f t="shared" ref="G568:G631" si="169">G567+630</f>
        <v>76580</v>
      </c>
      <c r="J568" s="6">
        <f t="shared" ref="J568:J631" si="170">J567+0.005</f>
        <v>6.5299999999999008</v>
      </c>
      <c r="K568" s="11">
        <f t="shared" ref="K568:K631" si="171">K567+3130</f>
        <v>297580</v>
      </c>
      <c r="P568" s="1">
        <f t="shared" si="165"/>
        <v>297580</v>
      </c>
      <c r="Q568" s="1">
        <f t="shared" si="166"/>
        <v>32323298</v>
      </c>
    </row>
    <row r="569" spans="1:17" x14ac:dyDescent="0.3">
      <c r="A569" s="2">
        <f t="shared" si="162"/>
        <v>567</v>
      </c>
      <c r="B569" s="6">
        <f t="shared" si="162"/>
        <v>1117</v>
      </c>
      <c r="C569" s="9">
        <f t="shared" si="167"/>
        <v>160870</v>
      </c>
      <c r="D569" s="6">
        <f t="shared" si="163"/>
        <v>717</v>
      </c>
      <c r="E569" s="9">
        <f t="shared" si="168"/>
        <v>94590</v>
      </c>
      <c r="F569" s="3">
        <f t="shared" si="164"/>
        <v>1167</v>
      </c>
      <c r="G569" s="3">
        <f t="shared" si="169"/>
        <v>77210</v>
      </c>
      <c r="J569" s="6">
        <f t="shared" si="170"/>
        <v>6.5349999999999007</v>
      </c>
      <c r="K569" s="11">
        <f t="shared" si="171"/>
        <v>300710</v>
      </c>
      <c r="P569" s="1">
        <f t="shared" si="165"/>
        <v>300710</v>
      </c>
      <c r="Q569" s="1">
        <f t="shared" si="166"/>
        <v>32624008</v>
      </c>
    </row>
    <row r="570" spans="1:17" x14ac:dyDescent="0.3">
      <c r="A570" s="2">
        <f t="shared" si="162"/>
        <v>568</v>
      </c>
      <c r="B570" s="6">
        <f t="shared" si="162"/>
        <v>1118</v>
      </c>
      <c r="C570" s="9">
        <f t="shared" si="167"/>
        <v>162480</v>
      </c>
      <c r="D570" s="6">
        <f t="shared" si="163"/>
        <v>718</v>
      </c>
      <c r="E570" s="9">
        <f t="shared" si="168"/>
        <v>95360</v>
      </c>
      <c r="F570" s="3">
        <f t="shared" si="164"/>
        <v>1168</v>
      </c>
      <c r="G570" s="3">
        <f t="shared" si="169"/>
        <v>77840</v>
      </c>
      <c r="J570" s="6">
        <f t="shared" si="170"/>
        <v>6.5399999999999006</v>
      </c>
      <c r="K570" s="11">
        <f t="shared" si="171"/>
        <v>303840</v>
      </c>
      <c r="P570" s="1">
        <f t="shared" si="165"/>
        <v>303840</v>
      </c>
      <c r="Q570" s="1">
        <f t="shared" si="166"/>
        <v>32927848</v>
      </c>
    </row>
    <row r="571" spans="1:17" x14ac:dyDescent="0.3">
      <c r="A571" s="2">
        <f t="shared" si="162"/>
        <v>569</v>
      </c>
      <c r="B571" s="6">
        <f t="shared" si="162"/>
        <v>1119</v>
      </c>
      <c r="C571" s="9">
        <f t="shared" si="167"/>
        <v>164090</v>
      </c>
      <c r="D571" s="6">
        <f t="shared" si="163"/>
        <v>719</v>
      </c>
      <c r="E571" s="9">
        <f t="shared" si="168"/>
        <v>96130</v>
      </c>
      <c r="F571" s="3">
        <f t="shared" si="164"/>
        <v>1169</v>
      </c>
      <c r="G571" s="3">
        <f t="shared" si="169"/>
        <v>78470</v>
      </c>
      <c r="J571" s="6">
        <f t="shared" si="170"/>
        <v>6.5449999999999005</v>
      </c>
      <c r="K571" s="11">
        <f t="shared" si="171"/>
        <v>306970</v>
      </c>
      <c r="P571" s="1">
        <f t="shared" si="165"/>
        <v>306970</v>
      </c>
      <c r="Q571" s="1">
        <f t="shared" si="166"/>
        <v>33234818</v>
      </c>
    </row>
    <row r="572" spans="1:17" x14ac:dyDescent="0.3">
      <c r="A572" s="2">
        <f t="shared" si="162"/>
        <v>570</v>
      </c>
      <c r="B572" s="6">
        <f t="shared" si="162"/>
        <v>1120</v>
      </c>
      <c r="C572" s="9">
        <f t="shared" si="167"/>
        <v>165700</v>
      </c>
      <c r="D572" s="6">
        <f t="shared" si="163"/>
        <v>720</v>
      </c>
      <c r="E572" s="9">
        <f t="shared" si="168"/>
        <v>96900</v>
      </c>
      <c r="F572" s="3">
        <f t="shared" si="164"/>
        <v>1170</v>
      </c>
      <c r="G572" s="3">
        <f t="shared" si="169"/>
        <v>79100</v>
      </c>
      <c r="J572" s="6">
        <f t="shared" si="170"/>
        <v>6.5499999999999003</v>
      </c>
      <c r="K572" s="11">
        <f t="shared" si="171"/>
        <v>310100</v>
      </c>
      <c r="P572" s="1">
        <f t="shared" si="165"/>
        <v>310100</v>
      </c>
      <c r="Q572" s="1">
        <f t="shared" si="166"/>
        <v>33544918</v>
      </c>
    </row>
    <row r="573" spans="1:17" x14ac:dyDescent="0.3">
      <c r="A573" s="2">
        <f t="shared" si="162"/>
        <v>571</v>
      </c>
      <c r="B573" s="6">
        <f t="shared" si="162"/>
        <v>1121</v>
      </c>
      <c r="C573" s="9">
        <f t="shared" si="167"/>
        <v>167310</v>
      </c>
      <c r="D573" s="6">
        <f t="shared" si="163"/>
        <v>721</v>
      </c>
      <c r="E573" s="9">
        <f t="shared" si="168"/>
        <v>97670</v>
      </c>
      <c r="F573" s="3">
        <f t="shared" si="164"/>
        <v>1171</v>
      </c>
      <c r="G573" s="3">
        <f t="shared" si="169"/>
        <v>79730</v>
      </c>
      <c r="J573" s="6">
        <f t="shared" si="170"/>
        <v>6.5549999999999002</v>
      </c>
      <c r="K573" s="11">
        <f t="shared" si="171"/>
        <v>313230</v>
      </c>
      <c r="P573" s="1">
        <f t="shared" si="165"/>
        <v>313230</v>
      </c>
      <c r="Q573" s="1">
        <f t="shared" si="166"/>
        <v>33858148</v>
      </c>
    </row>
    <row r="574" spans="1:17" x14ac:dyDescent="0.3">
      <c r="A574" s="2">
        <f t="shared" si="162"/>
        <v>572</v>
      </c>
      <c r="B574" s="6">
        <f t="shared" si="162"/>
        <v>1122</v>
      </c>
      <c r="C574" s="9">
        <f t="shared" si="167"/>
        <v>168920</v>
      </c>
      <c r="D574" s="6">
        <f t="shared" si="163"/>
        <v>722</v>
      </c>
      <c r="E574" s="9">
        <f t="shared" si="168"/>
        <v>98440</v>
      </c>
      <c r="F574" s="3">
        <f t="shared" si="164"/>
        <v>1172</v>
      </c>
      <c r="G574" s="3">
        <f t="shared" si="169"/>
        <v>80360</v>
      </c>
      <c r="J574" s="6">
        <f t="shared" si="170"/>
        <v>6.5599999999999001</v>
      </c>
      <c r="K574" s="11">
        <f t="shared" si="171"/>
        <v>316360</v>
      </c>
      <c r="P574" s="1">
        <f t="shared" si="165"/>
        <v>316360</v>
      </c>
      <c r="Q574" s="1">
        <f t="shared" si="166"/>
        <v>34174508</v>
      </c>
    </row>
    <row r="575" spans="1:17" x14ac:dyDescent="0.3">
      <c r="A575" s="2">
        <f t="shared" si="162"/>
        <v>573</v>
      </c>
      <c r="B575" s="6">
        <f t="shared" si="162"/>
        <v>1123</v>
      </c>
      <c r="C575" s="9">
        <f t="shared" si="167"/>
        <v>170530</v>
      </c>
      <c r="D575" s="6">
        <f t="shared" si="163"/>
        <v>723</v>
      </c>
      <c r="E575" s="9">
        <f t="shared" si="168"/>
        <v>99210</v>
      </c>
      <c r="F575" s="3">
        <f t="shared" si="164"/>
        <v>1173</v>
      </c>
      <c r="G575" s="3">
        <f t="shared" si="169"/>
        <v>80990</v>
      </c>
      <c r="J575" s="6">
        <f t="shared" si="170"/>
        <v>6.5649999999999</v>
      </c>
      <c r="K575" s="11">
        <f t="shared" si="171"/>
        <v>319490</v>
      </c>
      <c r="P575" s="1">
        <f t="shared" si="165"/>
        <v>319490</v>
      </c>
      <c r="Q575" s="1">
        <f t="shared" si="166"/>
        <v>34493998</v>
      </c>
    </row>
    <row r="576" spans="1:17" x14ac:dyDescent="0.3">
      <c r="A576" s="2">
        <f t="shared" si="162"/>
        <v>574</v>
      </c>
      <c r="B576" s="6">
        <f t="shared" si="162"/>
        <v>1124</v>
      </c>
      <c r="C576" s="9">
        <f t="shared" si="167"/>
        <v>172140</v>
      </c>
      <c r="D576" s="6">
        <f t="shared" si="163"/>
        <v>724</v>
      </c>
      <c r="E576" s="9">
        <f t="shared" si="168"/>
        <v>99980</v>
      </c>
      <c r="F576" s="3">
        <f t="shared" si="164"/>
        <v>1174</v>
      </c>
      <c r="G576" s="3">
        <f t="shared" si="169"/>
        <v>81620</v>
      </c>
      <c r="J576" s="6">
        <f t="shared" si="170"/>
        <v>6.5699999999998999</v>
      </c>
      <c r="K576" s="11">
        <f t="shared" si="171"/>
        <v>322620</v>
      </c>
      <c r="P576" s="1">
        <f t="shared" si="165"/>
        <v>322620</v>
      </c>
      <c r="Q576" s="1">
        <f t="shared" si="166"/>
        <v>34816618</v>
      </c>
    </row>
    <row r="577" spans="1:17" x14ac:dyDescent="0.3">
      <c r="A577" s="2">
        <f t="shared" si="162"/>
        <v>575</v>
      </c>
      <c r="B577" s="6">
        <f t="shared" si="162"/>
        <v>1125</v>
      </c>
      <c r="C577" s="9">
        <f t="shared" si="167"/>
        <v>173750</v>
      </c>
      <c r="D577" s="6">
        <f t="shared" si="163"/>
        <v>725</v>
      </c>
      <c r="E577" s="9">
        <f t="shared" si="168"/>
        <v>100750</v>
      </c>
      <c r="F577" s="3">
        <f t="shared" si="164"/>
        <v>1175</v>
      </c>
      <c r="G577" s="3">
        <f t="shared" si="169"/>
        <v>82250</v>
      </c>
      <c r="J577" s="6">
        <f t="shared" si="170"/>
        <v>6.5749999999998998</v>
      </c>
      <c r="K577" s="11">
        <f t="shared" si="171"/>
        <v>325750</v>
      </c>
      <c r="P577" s="1">
        <f t="shared" si="165"/>
        <v>325750</v>
      </c>
      <c r="Q577" s="1">
        <f t="shared" si="166"/>
        <v>35142368</v>
      </c>
    </row>
    <row r="578" spans="1:17" x14ac:dyDescent="0.3">
      <c r="A578" s="2">
        <f t="shared" si="162"/>
        <v>576</v>
      </c>
      <c r="B578" s="6">
        <f t="shared" si="162"/>
        <v>1126</v>
      </c>
      <c r="C578" s="9">
        <f t="shared" si="167"/>
        <v>175360</v>
      </c>
      <c r="D578" s="6">
        <f t="shared" si="163"/>
        <v>726</v>
      </c>
      <c r="E578" s="9">
        <f t="shared" si="168"/>
        <v>101520</v>
      </c>
      <c r="F578" s="3">
        <f t="shared" si="164"/>
        <v>1176</v>
      </c>
      <c r="G578" s="3">
        <f t="shared" si="169"/>
        <v>82880</v>
      </c>
      <c r="J578" s="6">
        <f t="shared" si="170"/>
        <v>6.5799999999998997</v>
      </c>
      <c r="K578" s="11">
        <f t="shared" si="171"/>
        <v>328880</v>
      </c>
      <c r="P578" s="1">
        <f t="shared" si="165"/>
        <v>328880</v>
      </c>
      <c r="Q578" s="1">
        <f t="shared" si="166"/>
        <v>35471248</v>
      </c>
    </row>
    <row r="579" spans="1:17" x14ac:dyDescent="0.3">
      <c r="A579" s="2">
        <f t="shared" si="162"/>
        <v>577</v>
      </c>
      <c r="B579" s="6">
        <f t="shared" si="162"/>
        <v>1127</v>
      </c>
      <c r="C579" s="9">
        <f t="shared" si="167"/>
        <v>176970</v>
      </c>
      <c r="D579" s="6">
        <f t="shared" si="163"/>
        <v>727</v>
      </c>
      <c r="E579" s="9">
        <f t="shared" si="168"/>
        <v>102290</v>
      </c>
      <c r="F579" s="3">
        <f t="shared" si="164"/>
        <v>1177</v>
      </c>
      <c r="G579" s="3">
        <f t="shared" si="169"/>
        <v>83510</v>
      </c>
      <c r="J579" s="6">
        <f t="shared" si="170"/>
        <v>6.5849999999998996</v>
      </c>
      <c r="K579" s="11">
        <f t="shared" si="171"/>
        <v>332010</v>
      </c>
      <c r="P579" s="1">
        <f t="shared" si="165"/>
        <v>332010</v>
      </c>
      <c r="Q579" s="1">
        <f t="shared" si="166"/>
        <v>35803258</v>
      </c>
    </row>
    <row r="580" spans="1:17" x14ac:dyDescent="0.3">
      <c r="A580" s="2">
        <f t="shared" si="162"/>
        <v>578</v>
      </c>
      <c r="B580" s="6">
        <f t="shared" si="162"/>
        <v>1128</v>
      </c>
      <c r="C580" s="9">
        <f t="shared" si="167"/>
        <v>178580</v>
      </c>
      <c r="D580" s="6">
        <f t="shared" si="163"/>
        <v>728</v>
      </c>
      <c r="E580" s="9">
        <f t="shared" si="168"/>
        <v>103060</v>
      </c>
      <c r="F580" s="3">
        <f t="shared" si="164"/>
        <v>1178</v>
      </c>
      <c r="G580" s="3">
        <f t="shared" si="169"/>
        <v>84140</v>
      </c>
      <c r="J580" s="6">
        <f t="shared" si="170"/>
        <v>6.5899999999998995</v>
      </c>
      <c r="K580" s="11">
        <f t="shared" si="171"/>
        <v>335140</v>
      </c>
      <c r="P580" s="1">
        <f t="shared" si="165"/>
        <v>335140</v>
      </c>
      <c r="Q580" s="1">
        <f t="shared" si="166"/>
        <v>36138398</v>
      </c>
    </row>
    <row r="581" spans="1:17" x14ac:dyDescent="0.3">
      <c r="A581" s="2">
        <f t="shared" ref="A581:B644" si="172">A580+1</f>
        <v>579</v>
      </c>
      <c r="B581" s="6">
        <f t="shared" si="172"/>
        <v>1129</v>
      </c>
      <c r="C581" s="9">
        <f t="shared" si="167"/>
        <v>180190</v>
      </c>
      <c r="D581" s="6">
        <f t="shared" si="163"/>
        <v>729</v>
      </c>
      <c r="E581" s="9">
        <f t="shared" si="168"/>
        <v>103830</v>
      </c>
      <c r="F581" s="3">
        <f t="shared" si="164"/>
        <v>1179</v>
      </c>
      <c r="G581" s="3">
        <f t="shared" si="169"/>
        <v>84770</v>
      </c>
      <c r="J581" s="6">
        <f t="shared" si="170"/>
        <v>6.5949999999998994</v>
      </c>
      <c r="K581" s="11">
        <f t="shared" si="171"/>
        <v>338270</v>
      </c>
      <c r="P581" s="1">
        <f t="shared" si="165"/>
        <v>338270</v>
      </c>
      <c r="Q581" s="1">
        <f t="shared" si="166"/>
        <v>36476668</v>
      </c>
    </row>
    <row r="582" spans="1:17" x14ac:dyDescent="0.3">
      <c r="A582" s="2">
        <f t="shared" si="172"/>
        <v>580</v>
      </c>
      <c r="B582" s="6">
        <f t="shared" si="172"/>
        <v>1130</v>
      </c>
      <c r="C582" s="9">
        <f t="shared" si="167"/>
        <v>181800</v>
      </c>
      <c r="D582" s="6">
        <f t="shared" si="163"/>
        <v>730</v>
      </c>
      <c r="E582" s="9">
        <f t="shared" si="168"/>
        <v>104600</v>
      </c>
      <c r="F582" s="3">
        <f t="shared" si="164"/>
        <v>1180</v>
      </c>
      <c r="G582" s="3">
        <f t="shared" si="169"/>
        <v>85400</v>
      </c>
      <c r="J582" s="6">
        <f t="shared" si="170"/>
        <v>6.5999999999998993</v>
      </c>
      <c r="K582" s="11">
        <f t="shared" si="171"/>
        <v>341400</v>
      </c>
      <c r="P582" s="1">
        <f t="shared" si="165"/>
        <v>341400</v>
      </c>
      <c r="Q582" s="1">
        <f t="shared" si="166"/>
        <v>36818068</v>
      </c>
    </row>
    <row r="583" spans="1:17" x14ac:dyDescent="0.3">
      <c r="A583" s="2">
        <f t="shared" si="172"/>
        <v>581</v>
      </c>
      <c r="B583" s="6">
        <f t="shared" si="172"/>
        <v>1131</v>
      </c>
      <c r="C583" s="9">
        <f t="shared" si="167"/>
        <v>183410</v>
      </c>
      <c r="D583" s="6">
        <f t="shared" si="163"/>
        <v>731</v>
      </c>
      <c r="E583" s="9">
        <f t="shared" si="168"/>
        <v>105370</v>
      </c>
      <c r="F583" s="3">
        <f t="shared" si="164"/>
        <v>1181</v>
      </c>
      <c r="G583" s="3">
        <f t="shared" si="169"/>
        <v>86030</v>
      </c>
      <c r="J583" s="6">
        <f t="shared" si="170"/>
        <v>6.6049999999998992</v>
      </c>
      <c r="K583" s="11">
        <f t="shared" si="171"/>
        <v>344530</v>
      </c>
      <c r="P583" s="1">
        <f t="shared" si="165"/>
        <v>344530</v>
      </c>
      <c r="Q583" s="1">
        <f t="shared" si="166"/>
        <v>37162598</v>
      </c>
    </row>
    <row r="584" spans="1:17" x14ac:dyDescent="0.3">
      <c r="A584" s="2">
        <f t="shared" si="172"/>
        <v>582</v>
      </c>
      <c r="B584" s="6">
        <f t="shared" si="172"/>
        <v>1132</v>
      </c>
      <c r="C584" s="9">
        <f t="shared" si="167"/>
        <v>185020</v>
      </c>
      <c r="D584" s="6">
        <f t="shared" si="163"/>
        <v>732</v>
      </c>
      <c r="E584" s="9">
        <f t="shared" si="168"/>
        <v>106140</v>
      </c>
      <c r="F584" s="3">
        <f t="shared" si="164"/>
        <v>1182</v>
      </c>
      <c r="G584" s="3">
        <f t="shared" si="169"/>
        <v>86660</v>
      </c>
      <c r="J584" s="6">
        <f t="shared" si="170"/>
        <v>6.6099999999998991</v>
      </c>
      <c r="K584" s="11">
        <f t="shared" si="171"/>
        <v>347660</v>
      </c>
      <c r="P584" s="1">
        <f t="shared" si="165"/>
        <v>347660</v>
      </c>
      <c r="Q584" s="1">
        <f t="shared" si="166"/>
        <v>37510258</v>
      </c>
    </row>
    <row r="585" spans="1:17" x14ac:dyDescent="0.3">
      <c r="A585" s="2">
        <f t="shared" si="172"/>
        <v>583</v>
      </c>
      <c r="B585" s="6">
        <f t="shared" si="172"/>
        <v>1133</v>
      </c>
      <c r="C585" s="9">
        <f t="shared" si="167"/>
        <v>186630</v>
      </c>
      <c r="D585" s="6">
        <f t="shared" si="163"/>
        <v>733</v>
      </c>
      <c r="E585" s="9">
        <f t="shared" si="168"/>
        <v>106910</v>
      </c>
      <c r="F585" s="3">
        <f t="shared" si="164"/>
        <v>1183</v>
      </c>
      <c r="G585" s="3">
        <f t="shared" si="169"/>
        <v>87290</v>
      </c>
      <c r="J585" s="6">
        <f t="shared" si="170"/>
        <v>6.614999999999899</v>
      </c>
      <c r="K585" s="11">
        <f t="shared" si="171"/>
        <v>350790</v>
      </c>
      <c r="P585" s="1">
        <f t="shared" si="165"/>
        <v>350790</v>
      </c>
      <c r="Q585" s="1">
        <f t="shared" si="166"/>
        <v>37861048</v>
      </c>
    </row>
    <row r="586" spans="1:17" x14ac:dyDescent="0.3">
      <c r="A586" s="2">
        <f t="shared" si="172"/>
        <v>584</v>
      </c>
      <c r="B586" s="6">
        <f t="shared" si="172"/>
        <v>1134</v>
      </c>
      <c r="C586" s="9">
        <f t="shared" si="167"/>
        <v>188240</v>
      </c>
      <c r="D586" s="6">
        <f t="shared" si="163"/>
        <v>734</v>
      </c>
      <c r="E586" s="9">
        <f t="shared" si="168"/>
        <v>107680</v>
      </c>
      <c r="F586" s="3">
        <f t="shared" si="164"/>
        <v>1184</v>
      </c>
      <c r="G586" s="3">
        <f t="shared" si="169"/>
        <v>87920</v>
      </c>
      <c r="J586" s="6">
        <f t="shared" si="170"/>
        <v>6.6199999999998989</v>
      </c>
      <c r="K586" s="11">
        <f t="shared" si="171"/>
        <v>353920</v>
      </c>
      <c r="P586" s="1">
        <f t="shared" si="165"/>
        <v>353920</v>
      </c>
      <c r="Q586" s="1">
        <f t="shared" si="166"/>
        <v>38214968</v>
      </c>
    </row>
    <row r="587" spans="1:17" x14ac:dyDescent="0.3">
      <c r="A587" s="2">
        <f t="shared" si="172"/>
        <v>585</v>
      </c>
      <c r="B587" s="6">
        <f t="shared" si="172"/>
        <v>1135</v>
      </c>
      <c r="C587" s="9">
        <f t="shared" si="167"/>
        <v>189850</v>
      </c>
      <c r="D587" s="6">
        <f t="shared" si="163"/>
        <v>735</v>
      </c>
      <c r="E587" s="9">
        <f t="shared" si="168"/>
        <v>108450</v>
      </c>
      <c r="F587" s="3">
        <f t="shared" si="164"/>
        <v>1185</v>
      </c>
      <c r="G587" s="3">
        <f t="shared" si="169"/>
        <v>88550</v>
      </c>
      <c r="J587" s="6">
        <f t="shared" si="170"/>
        <v>6.6249999999998987</v>
      </c>
      <c r="K587" s="11">
        <f t="shared" si="171"/>
        <v>357050</v>
      </c>
      <c r="P587" s="1">
        <f t="shared" si="165"/>
        <v>357050</v>
      </c>
      <c r="Q587" s="1">
        <f t="shared" si="166"/>
        <v>38572018</v>
      </c>
    </row>
    <row r="588" spans="1:17" x14ac:dyDescent="0.3">
      <c r="A588" s="2">
        <f t="shared" si="172"/>
        <v>586</v>
      </c>
      <c r="B588" s="6">
        <f t="shared" si="172"/>
        <v>1136</v>
      </c>
      <c r="C588" s="9">
        <f t="shared" si="167"/>
        <v>191460</v>
      </c>
      <c r="D588" s="6">
        <f t="shared" si="163"/>
        <v>736</v>
      </c>
      <c r="E588" s="9">
        <f t="shared" si="168"/>
        <v>109220</v>
      </c>
      <c r="F588" s="3">
        <f t="shared" si="164"/>
        <v>1186</v>
      </c>
      <c r="G588" s="3">
        <f t="shared" si="169"/>
        <v>89180</v>
      </c>
      <c r="J588" s="6">
        <f t="shared" si="170"/>
        <v>6.6299999999998986</v>
      </c>
      <c r="K588" s="11">
        <f t="shared" si="171"/>
        <v>360180</v>
      </c>
      <c r="P588" s="1">
        <f t="shared" si="165"/>
        <v>360180</v>
      </c>
      <c r="Q588" s="1">
        <f t="shared" si="166"/>
        <v>38932198</v>
      </c>
    </row>
    <row r="589" spans="1:17" x14ac:dyDescent="0.3">
      <c r="A589" s="2">
        <f t="shared" si="172"/>
        <v>587</v>
      </c>
      <c r="B589" s="6">
        <f t="shared" si="172"/>
        <v>1137</v>
      </c>
      <c r="C589" s="9">
        <f t="shared" si="167"/>
        <v>193070</v>
      </c>
      <c r="D589" s="6">
        <f t="shared" si="163"/>
        <v>737</v>
      </c>
      <c r="E589" s="9">
        <f t="shared" si="168"/>
        <v>109990</v>
      </c>
      <c r="F589" s="3">
        <f t="shared" si="164"/>
        <v>1187</v>
      </c>
      <c r="G589" s="3">
        <f t="shared" si="169"/>
        <v>89810</v>
      </c>
      <c r="J589" s="6">
        <f t="shared" si="170"/>
        <v>6.6349999999998985</v>
      </c>
      <c r="K589" s="11">
        <f t="shared" si="171"/>
        <v>363310</v>
      </c>
      <c r="P589" s="1">
        <f t="shared" si="165"/>
        <v>363310</v>
      </c>
      <c r="Q589" s="1">
        <f t="shared" si="166"/>
        <v>39295508</v>
      </c>
    </row>
    <row r="590" spans="1:17" x14ac:dyDescent="0.3">
      <c r="A590" s="2">
        <f t="shared" si="172"/>
        <v>588</v>
      </c>
      <c r="B590" s="6">
        <f t="shared" si="172"/>
        <v>1138</v>
      </c>
      <c r="C590" s="9">
        <f t="shared" si="167"/>
        <v>194680</v>
      </c>
      <c r="D590" s="6">
        <f t="shared" si="163"/>
        <v>738</v>
      </c>
      <c r="E590" s="9">
        <f t="shared" si="168"/>
        <v>110760</v>
      </c>
      <c r="F590" s="3">
        <f t="shared" si="164"/>
        <v>1188</v>
      </c>
      <c r="G590" s="3">
        <f t="shared" si="169"/>
        <v>90440</v>
      </c>
      <c r="J590" s="6">
        <f t="shared" si="170"/>
        <v>6.6399999999998984</v>
      </c>
      <c r="K590" s="11">
        <f t="shared" si="171"/>
        <v>366440</v>
      </c>
      <c r="P590" s="1">
        <f t="shared" si="165"/>
        <v>366440</v>
      </c>
      <c r="Q590" s="1">
        <f t="shared" si="166"/>
        <v>39661948</v>
      </c>
    </row>
    <row r="591" spans="1:17" x14ac:dyDescent="0.3">
      <c r="A591" s="2">
        <f t="shared" si="172"/>
        <v>589</v>
      </c>
      <c r="B591" s="6">
        <f t="shared" si="172"/>
        <v>1139</v>
      </c>
      <c r="C591" s="9">
        <f t="shared" si="167"/>
        <v>196290</v>
      </c>
      <c r="D591" s="6">
        <f t="shared" si="163"/>
        <v>739</v>
      </c>
      <c r="E591" s="9">
        <f t="shared" si="168"/>
        <v>111530</v>
      </c>
      <c r="F591" s="3">
        <f t="shared" si="164"/>
        <v>1189</v>
      </c>
      <c r="G591" s="3">
        <f t="shared" si="169"/>
        <v>91070</v>
      </c>
      <c r="J591" s="6">
        <f t="shared" si="170"/>
        <v>6.6449999999998983</v>
      </c>
      <c r="K591" s="11">
        <f t="shared" si="171"/>
        <v>369570</v>
      </c>
      <c r="P591" s="1">
        <f t="shared" si="165"/>
        <v>369570</v>
      </c>
      <c r="Q591" s="1">
        <f t="shared" si="166"/>
        <v>40031518</v>
      </c>
    </row>
    <row r="592" spans="1:17" x14ac:dyDescent="0.3">
      <c r="A592" s="2">
        <f t="shared" si="172"/>
        <v>590</v>
      </c>
      <c r="B592" s="6">
        <f t="shared" si="172"/>
        <v>1140</v>
      </c>
      <c r="C592" s="9">
        <f t="shared" si="167"/>
        <v>197900</v>
      </c>
      <c r="D592" s="6">
        <f t="shared" si="163"/>
        <v>740</v>
      </c>
      <c r="E592" s="9">
        <f t="shared" si="168"/>
        <v>112300</v>
      </c>
      <c r="F592" s="3">
        <f t="shared" si="164"/>
        <v>1190</v>
      </c>
      <c r="G592" s="3">
        <f t="shared" si="169"/>
        <v>91700</v>
      </c>
      <c r="J592" s="6">
        <f t="shared" si="170"/>
        <v>6.6499999999998982</v>
      </c>
      <c r="K592" s="11">
        <f t="shared" si="171"/>
        <v>372700</v>
      </c>
      <c r="P592" s="1">
        <f t="shared" si="165"/>
        <v>372700</v>
      </c>
      <c r="Q592" s="1">
        <f t="shared" si="166"/>
        <v>40404218</v>
      </c>
    </row>
    <row r="593" spans="1:17" x14ac:dyDescent="0.3">
      <c r="A593" s="2">
        <f t="shared" si="172"/>
        <v>591</v>
      </c>
      <c r="B593" s="6">
        <f t="shared" si="172"/>
        <v>1141</v>
      </c>
      <c r="C593" s="9">
        <f t="shared" si="167"/>
        <v>199510</v>
      </c>
      <c r="D593" s="6">
        <f t="shared" si="163"/>
        <v>741</v>
      </c>
      <c r="E593" s="9">
        <f t="shared" si="168"/>
        <v>113070</v>
      </c>
      <c r="F593" s="3">
        <f t="shared" si="164"/>
        <v>1191</v>
      </c>
      <c r="G593" s="3">
        <f t="shared" si="169"/>
        <v>92330</v>
      </c>
      <c r="J593" s="6">
        <f t="shared" si="170"/>
        <v>6.6549999999998981</v>
      </c>
      <c r="K593" s="11">
        <f t="shared" si="171"/>
        <v>375830</v>
      </c>
      <c r="P593" s="1">
        <f t="shared" si="165"/>
        <v>375830</v>
      </c>
      <c r="Q593" s="1">
        <f t="shared" si="166"/>
        <v>40780048</v>
      </c>
    </row>
    <row r="594" spans="1:17" x14ac:dyDescent="0.3">
      <c r="A594" s="2">
        <f t="shared" si="172"/>
        <v>592</v>
      </c>
      <c r="B594" s="6">
        <f t="shared" si="172"/>
        <v>1142</v>
      </c>
      <c r="C594" s="9">
        <f t="shared" si="167"/>
        <v>201120</v>
      </c>
      <c r="D594" s="6">
        <f t="shared" si="163"/>
        <v>742</v>
      </c>
      <c r="E594" s="9">
        <f t="shared" si="168"/>
        <v>113840</v>
      </c>
      <c r="F594" s="3">
        <f t="shared" si="164"/>
        <v>1192</v>
      </c>
      <c r="G594" s="3">
        <f t="shared" si="169"/>
        <v>92960</v>
      </c>
      <c r="J594" s="6">
        <f t="shared" si="170"/>
        <v>6.659999999999898</v>
      </c>
      <c r="K594" s="11">
        <f t="shared" si="171"/>
        <v>378960</v>
      </c>
      <c r="P594" s="1">
        <f t="shared" si="165"/>
        <v>378960</v>
      </c>
      <c r="Q594" s="1">
        <f t="shared" si="166"/>
        <v>41159008</v>
      </c>
    </row>
    <row r="595" spans="1:17" x14ac:dyDescent="0.3">
      <c r="A595" s="2">
        <f t="shared" si="172"/>
        <v>593</v>
      </c>
      <c r="B595" s="6">
        <f t="shared" si="172"/>
        <v>1143</v>
      </c>
      <c r="C595" s="9">
        <f t="shared" si="167"/>
        <v>202730</v>
      </c>
      <c r="D595" s="6">
        <f t="shared" si="163"/>
        <v>743</v>
      </c>
      <c r="E595" s="9">
        <f t="shared" si="168"/>
        <v>114610</v>
      </c>
      <c r="F595" s="3">
        <f t="shared" si="164"/>
        <v>1193</v>
      </c>
      <c r="G595" s="3">
        <f t="shared" si="169"/>
        <v>93590</v>
      </c>
      <c r="J595" s="6">
        <f t="shared" si="170"/>
        <v>6.6649999999998979</v>
      </c>
      <c r="K595" s="11">
        <f t="shared" si="171"/>
        <v>382090</v>
      </c>
      <c r="P595" s="1">
        <f t="shared" si="165"/>
        <v>382090</v>
      </c>
      <c r="Q595" s="1">
        <f t="shared" si="166"/>
        <v>41541098</v>
      </c>
    </row>
    <row r="596" spans="1:17" x14ac:dyDescent="0.3">
      <c r="A596" s="2">
        <f t="shared" si="172"/>
        <v>594</v>
      </c>
      <c r="B596" s="6">
        <f t="shared" si="172"/>
        <v>1144</v>
      </c>
      <c r="C596" s="9">
        <f t="shared" si="167"/>
        <v>204340</v>
      </c>
      <c r="D596" s="6">
        <f t="shared" si="163"/>
        <v>744</v>
      </c>
      <c r="E596" s="9">
        <f t="shared" si="168"/>
        <v>115380</v>
      </c>
      <c r="F596" s="3">
        <f t="shared" si="164"/>
        <v>1194</v>
      </c>
      <c r="G596" s="3">
        <f t="shared" si="169"/>
        <v>94220</v>
      </c>
      <c r="J596" s="6">
        <f t="shared" si="170"/>
        <v>6.6699999999998978</v>
      </c>
      <c r="K596" s="11">
        <f t="shared" si="171"/>
        <v>385220</v>
      </c>
      <c r="P596" s="1">
        <f t="shared" si="165"/>
        <v>385220</v>
      </c>
      <c r="Q596" s="1">
        <f t="shared" si="166"/>
        <v>41926318</v>
      </c>
    </row>
    <row r="597" spans="1:17" x14ac:dyDescent="0.3">
      <c r="A597" s="2">
        <f t="shared" si="172"/>
        <v>595</v>
      </c>
      <c r="B597" s="6">
        <f t="shared" si="172"/>
        <v>1145</v>
      </c>
      <c r="C597" s="9">
        <f t="shared" si="167"/>
        <v>205950</v>
      </c>
      <c r="D597" s="6">
        <f t="shared" si="163"/>
        <v>745</v>
      </c>
      <c r="E597" s="9">
        <f t="shared" si="168"/>
        <v>116150</v>
      </c>
      <c r="F597" s="3">
        <f t="shared" si="164"/>
        <v>1195</v>
      </c>
      <c r="G597" s="3">
        <f t="shared" si="169"/>
        <v>94850</v>
      </c>
      <c r="J597" s="6">
        <f t="shared" si="170"/>
        <v>6.6749999999998977</v>
      </c>
      <c r="K597" s="11">
        <f t="shared" si="171"/>
        <v>388350</v>
      </c>
      <c r="P597" s="1">
        <f t="shared" si="165"/>
        <v>388350</v>
      </c>
      <c r="Q597" s="1">
        <f t="shared" si="166"/>
        <v>42314668</v>
      </c>
    </row>
    <row r="598" spans="1:17" x14ac:dyDescent="0.3">
      <c r="A598" s="2">
        <f t="shared" si="172"/>
        <v>596</v>
      </c>
      <c r="B598" s="6">
        <f t="shared" si="172"/>
        <v>1146</v>
      </c>
      <c r="C598" s="9">
        <f t="shared" si="167"/>
        <v>207560</v>
      </c>
      <c r="D598" s="6">
        <f t="shared" si="163"/>
        <v>746</v>
      </c>
      <c r="E598" s="9">
        <f t="shared" si="168"/>
        <v>116920</v>
      </c>
      <c r="F598" s="3">
        <f t="shared" si="164"/>
        <v>1196</v>
      </c>
      <c r="G598" s="3">
        <f t="shared" si="169"/>
        <v>95480</v>
      </c>
      <c r="J598" s="6">
        <f t="shared" si="170"/>
        <v>6.6799999999998976</v>
      </c>
      <c r="K598" s="11">
        <f t="shared" si="171"/>
        <v>391480</v>
      </c>
      <c r="P598" s="1">
        <f t="shared" si="165"/>
        <v>391480</v>
      </c>
      <c r="Q598" s="1">
        <f t="shared" si="166"/>
        <v>42706148</v>
      </c>
    </row>
    <row r="599" spans="1:17" x14ac:dyDescent="0.3">
      <c r="A599" s="2">
        <f t="shared" si="172"/>
        <v>597</v>
      </c>
      <c r="B599" s="6">
        <f t="shared" si="172"/>
        <v>1147</v>
      </c>
      <c r="C599" s="9">
        <f t="shared" si="167"/>
        <v>209170</v>
      </c>
      <c r="D599" s="6">
        <f t="shared" si="163"/>
        <v>747</v>
      </c>
      <c r="E599" s="9">
        <f t="shared" si="168"/>
        <v>117690</v>
      </c>
      <c r="F599" s="3">
        <f t="shared" si="164"/>
        <v>1197</v>
      </c>
      <c r="G599" s="3">
        <f t="shared" si="169"/>
        <v>96110</v>
      </c>
      <c r="J599" s="6">
        <f t="shared" si="170"/>
        <v>6.6849999999998975</v>
      </c>
      <c r="K599" s="11">
        <f t="shared" si="171"/>
        <v>394610</v>
      </c>
      <c r="P599" s="1">
        <f t="shared" si="165"/>
        <v>394610</v>
      </c>
      <c r="Q599" s="1">
        <f t="shared" si="166"/>
        <v>43100758</v>
      </c>
    </row>
    <row r="600" spans="1:17" x14ac:dyDescent="0.3">
      <c r="A600" s="2">
        <f t="shared" si="172"/>
        <v>598</v>
      </c>
      <c r="B600" s="6">
        <f t="shared" si="172"/>
        <v>1148</v>
      </c>
      <c r="C600" s="9">
        <f t="shared" si="167"/>
        <v>210780</v>
      </c>
      <c r="D600" s="6">
        <f t="shared" si="163"/>
        <v>748</v>
      </c>
      <c r="E600" s="9">
        <f t="shared" si="168"/>
        <v>118460</v>
      </c>
      <c r="F600" s="3">
        <f t="shared" si="164"/>
        <v>1198</v>
      </c>
      <c r="G600" s="3">
        <f t="shared" si="169"/>
        <v>96740</v>
      </c>
      <c r="J600" s="6">
        <f t="shared" si="170"/>
        <v>6.6899999999998974</v>
      </c>
      <c r="K600" s="11">
        <f t="shared" si="171"/>
        <v>397740</v>
      </c>
      <c r="P600" s="1">
        <f t="shared" si="165"/>
        <v>397740</v>
      </c>
      <c r="Q600" s="1">
        <f t="shared" si="166"/>
        <v>43498498</v>
      </c>
    </row>
    <row r="601" spans="1:17" x14ac:dyDescent="0.3">
      <c r="A601" s="2">
        <f t="shared" si="172"/>
        <v>599</v>
      </c>
      <c r="B601" s="6">
        <f t="shared" si="172"/>
        <v>1149</v>
      </c>
      <c r="C601" s="9">
        <f t="shared" si="167"/>
        <v>212390</v>
      </c>
      <c r="D601" s="6">
        <f t="shared" si="163"/>
        <v>749</v>
      </c>
      <c r="E601" s="9">
        <f t="shared" si="168"/>
        <v>119230</v>
      </c>
      <c r="F601" s="3">
        <f t="shared" si="164"/>
        <v>1199</v>
      </c>
      <c r="G601" s="3">
        <f t="shared" si="169"/>
        <v>97370</v>
      </c>
      <c r="J601" s="6">
        <f t="shared" si="170"/>
        <v>6.6949999999998973</v>
      </c>
      <c r="K601" s="11">
        <f t="shared" si="171"/>
        <v>400870</v>
      </c>
      <c r="P601" s="1">
        <f t="shared" si="165"/>
        <v>400870</v>
      </c>
      <c r="Q601" s="1">
        <f t="shared" si="166"/>
        <v>43899368</v>
      </c>
    </row>
    <row r="602" spans="1:17" x14ac:dyDescent="0.3">
      <c r="A602" s="2">
        <f t="shared" si="172"/>
        <v>600</v>
      </c>
      <c r="B602" s="6">
        <f t="shared" si="172"/>
        <v>1150</v>
      </c>
      <c r="C602" s="9">
        <f t="shared" si="167"/>
        <v>214000</v>
      </c>
      <c r="D602" s="6">
        <f t="shared" si="163"/>
        <v>750</v>
      </c>
      <c r="E602" s="9">
        <f t="shared" si="168"/>
        <v>120000</v>
      </c>
      <c r="F602" s="3">
        <f t="shared" si="164"/>
        <v>1200</v>
      </c>
      <c r="G602" s="3">
        <f t="shared" si="169"/>
        <v>98000</v>
      </c>
      <c r="J602" s="6">
        <f t="shared" si="170"/>
        <v>6.6999999999998971</v>
      </c>
      <c r="K602" s="11">
        <f t="shared" si="171"/>
        <v>404000</v>
      </c>
      <c r="P602" s="1">
        <f t="shared" si="165"/>
        <v>404000</v>
      </c>
      <c r="Q602" s="1">
        <f t="shared" si="166"/>
        <v>44303368</v>
      </c>
    </row>
    <row r="603" spans="1:17" x14ac:dyDescent="0.3">
      <c r="A603" s="2">
        <f t="shared" si="172"/>
        <v>601</v>
      </c>
      <c r="B603" s="6">
        <f t="shared" si="172"/>
        <v>1151</v>
      </c>
      <c r="C603" s="9">
        <f t="shared" si="167"/>
        <v>215610</v>
      </c>
      <c r="D603" s="6">
        <f t="shared" si="163"/>
        <v>751</v>
      </c>
      <c r="E603" s="9">
        <f t="shared" si="168"/>
        <v>120770</v>
      </c>
      <c r="F603" s="3">
        <f t="shared" si="164"/>
        <v>1201</v>
      </c>
      <c r="G603" s="3">
        <f t="shared" si="169"/>
        <v>98630</v>
      </c>
      <c r="J603" s="6">
        <f t="shared" si="170"/>
        <v>6.704999999999897</v>
      </c>
      <c r="K603" s="11">
        <f t="shared" si="171"/>
        <v>407130</v>
      </c>
      <c r="P603" s="1">
        <f t="shared" si="165"/>
        <v>407130</v>
      </c>
      <c r="Q603" s="1">
        <f t="shared" si="166"/>
        <v>44710498</v>
      </c>
    </row>
    <row r="604" spans="1:17" x14ac:dyDescent="0.3">
      <c r="A604" s="2">
        <f t="shared" si="172"/>
        <v>602</v>
      </c>
      <c r="B604" s="6">
        <f t="shared" si="172"/>
        <v>1152</v>
      </c>
      <c r="C604" s="9">
        <f t="shared" si="167"/>
        <v>217220</v>
      </c>
      <c r="D604" s="6">
        <f t="shared" si="163"/>
        <v>752</v>
      </c>
      <c r="E604" s="9">
        <f t="shared" si="168"/>
        <v>121540</v>
      </c>
      <c r="F604" s="3">
        <f t="shared" si="164"/>
        <v>1202</v>
      </c>
      <c r="G604" s="3">
        <f t="shared" si="169"/>
        <v>99260</v>
      </c>
      <c r="J604" s="6">
        <f t="shared" si="170"/>
        <v>6.7099999999998969</v>
      </c>
      <c r="K604" s="11">
        <f t="shared" si="171"/>
        <v>410260</v>
      </c>
      <c r="P604" s="1">
        <f t="shared" si="165"/>
        <v>410260</v>
      </c>
      <c r="Q604" s="1">
        <f t="shared" si="166"/>
        <v>45120758</v>
      </c>
    </row>
    <row r="605" spans="1:17" x14ac:dyDescent="0.3">
      <c r="A605" s="2">
        <f t="shared" si="172"/>
        <v>603</v>
      </c>
      <c r="B605" s="6">
        <f t="shared" si="172"/>
        <v>1153</v>
      </c>
      <c r="C605" s="9">
        <f t="shared" si="167"/>
        <v>218830</v>
      </c>
      <c r="D605" s="6">
        <f t="shared" si="163"/>
        <v>753</v>
      </c>
      <c r="E605" s="9">
        <f t="shared" si="168"/>
        <v>122310</v>
      </c>
      <c r="F605" s="3">
        <f t="shared" si="164"/>
        <v>1203</v>
      </c>
      <c r="G605" s="3">
        <f t="shared" si="169"/>
        <v>99890</v>
      </c>
      <c r="J605" s="6">
        <f t="shared" si="170"/>
        <v>6.7149999999998968</v>
      </c>
      <c r="K605" s="11">
        <f t="shared" si="171"/>
        <v>413390</v>
      </c>
      <c r="P605" s="1">
        <f t="shared" si="165"/>
        <v>413390</v>
      </c>
      <c r="Q605" s="1">
        <f t="shared" si="166"/>
        <v>45534148</v>
      </c>
    </row>
    <row r="606" spans="1:17" x14ac:dyDescent="0.3">
      <c r="A606" s="2">
        <f t="shared" si="172"/>
        <v>604</v>
      </c>
      <c r="B606" s="6">
        <f t="shared" si="172"/>
        <v>1154</v>
      </c>
      <c r="C606" s="9">
        <f t="shared" si="167"/>
        <v>220440</v>
      </c>
      <c r="D606" s="6">
        <f t="shared" si="163"/>
        <v>754</v>
      </c>
      <c r="E606" s="9">
        <f t="shared" si="168"/>
        <v>123080</v>
      </c>
      <c r="F606" s="3">
        <f t="shared" si="164"/>
        <v>1204</v>
      </c>
      <c r="G606" s="3">
        <f t="shared" si="169"/>
        <v>100520</v>
      </c>
      <c r="J606" s="6">
        <f t="shared" si="170"/>
        <v>6.7199999999998967</v>
      </c>
      <c r="K606" s="11">
        <f t="shared" si="171"/>
        <v>416520</v>
      </c>
      <c r="P606" s="1">
        <f t="shared" si="165"/>
        <v>416520</v>
      </c>
      <c r="Q606" s="1">
        <f t="shared" si="166"/>
        <v>45950668</v>
      </c>
    </row>
    <row r="607" spans="1:17" x14ac:dyDescent="0.3">
      <c r="A607" s="2">
        <f t="shared" si="172"/>
        <v>605</v>
      </c>
      <c r="B607" s="6">
        <f t="shared" si="172"/>
        <v>1155</v>
      </c>
      <c r="C607" s="9">
        <f t="shared" si="167"/>
        <v>222050</v>
      </c>
      <c r="D607" s="6">
        <f t="shared" si="163"/>
        <v>755</v>
      </c>
      <c r="E607" s="9">
        <f t="shared" si="168"/>
        <v>123850</v>
      </c>
      <c r="F607" s="3">
        <f t="shared" si="164"/>
        <v>1205</v>
      </c>
      <c r="G607" s="3">
        <f t="shared" si="169"/>
        <v>101150</v>
      </c>
      <c r="J607" s="6">
        <f t="shared" si="170"/>
        <v>6.7249999999998966</v>
      </c>
      <c r="K607" s="11">
        <f t="shared" si="171"/>
        <v>419650</v>
      </c>
      <c r="P607" s="1">
        <f t="shared" si="165"/>
        <v>419650</v>
      </c>
      <c r="Q607" s="1">
        <f t="shared" si="166"/>
        <v>46370318</v>
      </c>
    </row>
    <row r="608" spans="1:17" x14ac:dyDescent="0.3">
      <c r="A608" s="2">
        <f t="shared" si="172"/>
        <v>606</v>
      </c>
      <c r="B608" s="6">
        <f t="shared" si="172"/>
        <v>1156</v>
      </c>
      <c r="C608" s="9">
        <f t="shared" si="167"/>
        <v>223660</v>
      </c>
      <c r="D608" s="6">
        <f t="shared" si="163"/>
        <v>756</v>
      </c>
      <c r="E608" s="9">
        <f t="shared" si="168"/>
        <v>124620</v>
      </c>
      <c r="F608" s="3">
        <f t="shared" si="164"/>
        <v>1206</v>
      </c>
      <c r="G608" s="3">
        <f t="shared" si="169"/>
        <v>101780</v>
      </c>
      <c r="J608" s="6">
        <f t="shared" si="170"/>
        <v>6.7299999999998965</v>
      </c>
      <c r="K608" s="11">
        <f t="shared" si="171"/>
        <v>422780</v>
      </c>
      <c r="P608" s="1">
        <f t="shared" si="165"/>
        <v>422780</v>
      </c>
      <c r="Q608" s="1">
        <f t="shared" si="166"/>
        <v>46793098</v>
      </c>
    </row>
    <row r="609" spans="1:17" x14ac:dyDescent="0.3">
      <c r="A609" s="2">
        <f t="shared" si="172"/>
        <v>607</v>
      </c>
      <c r="B609" s="6">
        <f t="shared" si="172"/>
        <v>1157</v>
      </c>
      <c r="C609" s="9">
        <f t="shared" si="167"/>
        <v>225270</v>
      </c>
      <c r="D609" s="6">
        <f t="shared" si="163"/>
        <v>757</v>
      </c>
      <c r="E609" s="9">
        <f t="shared" si="168"/>
        <v>125390</v>
      </c>
      <c r="F609" s="3">
        <f t="shared" si="164"/>
        <v>1207</v>
      </c>
      <c r="G609" s="3">
        <f t="shared" si="169"/>
        <v>102410</v>
      </c>
      <c r="J609" s="6">
        <f t="shared" si="170"/>
        <v>6.7349999999998964</v>
      </c>
      <c r="K609" s="11">
        <f t="shared" si="171"/>
        <v>425910</v>
      </c>
      <c r="P609" s="1">
        <f t="shared" si="165"/>
        <v>425910</v>
      </c>
      <c r="Q609" s="1">
        <f t="shared" si="166"/>
        <v>47219008</v>
      </c>
    </row>
    <row r="610" spans="1:17" x14ac:dyDescent="0.3">
      <c r="A610" s="2">
        <f t="shared" si="172"/>
        <v>608</v>
      </c>
      <c r="B610" s="6">
        <f t="shared" si="172"/>
        <v>1158</v>
      </c>
      <c r="C610" s="9">
        <f t="shared" si="167"/>
        <v>226880</v>
      </c>
      <c r="D610" s="6">
        <f t="shared" si="163"/>
        <v>758</v>
      </c>
      <c r="E610" s="9">
        <f t="shared" si="168"/>
        <v>126160</v>
      </c>
      <c r="F610" s="3">
        <f t="shared" si="164"/>
        <v>1208</v>
      </c>
      <c r="G610" s="3">
        <f t="shared" si="169"/>
        <v>103040</v>
      </c>
      <c r="J610" s="6">
        <f t="shared" si="170"/>
        <v>6.7399999999998963</v>
      </c>
      <c r="K610" s="11">
        <f t="shared" si="171"/>
        <v>429040</v>
      </c>
      <c r="P610" s="1">
        <f t="shared" si="165"/>
        <v>429040</v>
      </c>
      <c r="Q610" s="1">
        <f t="shared" si="166"/>
        <v>47648048</v>
      </c>
    </row>
    <row r="611" spans="1:17" x14ac:dyDescent="0.3">
      <c r="A611" s="2">
        <f t="shared" si="172"/>
        <v>609</v>
      </c>
      <c r="B611" s="6">
        <f t="shared" si="172"/>
        <v>1159</v>
      </c>
      <c r="C611" s="9">
        <f t="shared" si="167"/>
        <v>228490</v>
      </c>
      <c r="D611" s="6">
        <f t="shared" si="163"/>
        <v>759</v>
      </c>
      <c r="E611" s="9">
        <f t="shared" si="168"/>
        <v>126930</v>
      </c>
      <c r="F611" s="3">
        <f t="shared" si="164"/>
        <v>1209</v>
      </c>
      <c r="G611" s="3">
        <f t="shared" si="169"/>
        <v>103670</v>
      </c>
      <c r="J611" s="6">
        <f t="shared" si="170"/>
        <v>6.7449999999998962</v>
      </c>
      <c r="K611" s="11">
        <f t="shared" si="171"/>
        <v>432170</v>
      </c>
      <c r="P611" s="1">
        <f t="shared" si="165"/>
        <v>432170</v>
      </c>
      <c r="Q611" s="1">
        <f t="shared" si="166"/>
        <v>48080218</v>
      </c>
    </row>
    <row r="612" spans="1:17" x14ac:dyDescent="0.3">
      <c r="A612" s="2">
        <f t="shared" si="172"/>
        <v>610</v>
      </c>
      <c r="B612" s="6">
        <f t="shared" si="172"/>
        <v>1160</v>
      </c>
      <c r="C612" s="9">
        <f t="shared" si="167"/>
        <v>230100</v>
      </c>
      <c r="D612" s="6">
        <f t="shared" si="163"/>
        <v>760</v>
      </c>
      <c r="E612" s="9">
        <f t="shared" si="168"/>
        <v>127700</v>
      </c>
      <c r="F612" s="3">
        <f t="shared" si="164"/>
        <v>1210</v>
      </c>
      <c r="G612" s="3">
        <f t="shared" si="169"/>
        <v>104300</v>
      </c>
      <c r="J612" s="6">
        <f t="shared" si="170"/>
        <v>6.7499999999998961</v>
      </c>
      <c r="K612" s="11">
        <f t="shared" si="171"/>
        <v>435300</v>
      </c>
      <c r="P612" s="1">
        <f t="shared" si="165"/>
        <v>435300</v>
      </c>
      <c r="Q612" s="1">
        <f t="shared" si="166"/>
        <v>48515518</v>
      </c>
    </row>
    <row r="613" spans="1:17" x14ac:dyDescent="0.3">
      <c r="A613" s="2">
        <f t="shared" si="172"/>
        <v>611</v>
      </c>
      <c r="B613" s="6">
        <f t="shared" si="172"/>
        <v>1161</v>
      </c>
      <c r="C613" s="9">
        <f t="shared" si="167"/>
        <v>231710</v>
      </c>
      <c r="D613" s="6">
        <f t="shared" si="163"/>
        <v>761</v>
      </c>
      <c r="E613" s="9">
        <f t="shared" si="168"/>
        <v>128470</v>
      </c>
      <c r="F613" s="3">
        <f t="shared" si="164"/>
        <v>1211</v>
      </c>
      <c r="G613" s="3">
        <f t="shared" si="169"/>
        <v>104930</v>
      </c>
      <c r="J613" s="6">
        <f t="shared" si="170"/>
        <v>6.754999999999896</v>
      </c>
      <c r="K613" s="11">
        <f t="shared" si="171"/>
        <v>438430</v>
      </c>
      <c r="P613" s="1">
        <f t="shared" si="165"/>
        <v>438430</v>
      </c>
      <c r="Q613" s="1">
        <f t="shared" si="166"/>
        <v>48953948</v>
      </c>
    </row>
    <row r="614" spans="1:17" x14ac:dyDescent="0.3">
      <c r="A614" s="2">
        <f t="shared" si="172"/>
        <v>612</v>
      </c>
      <c r="B614" s="6">
        <f t="shared" si="172"/>
        <v>1162</v>
      </c>
      <c r="C614" s="9">
        <f t="shared" si="167"/>
        <v>233320</v>
      </c>
      <c r="D614" s="6">
        <f t="shared" si="163"/>
        <v>762</v>
      </c>
      <c r="E614" s="9">
        <f t="shared" si="168"/>
        <v>129240</v>
      </c>
      <c r="F614" s="3">
        <f t="shared" si="164"/>
        <v>1212</v>
      </c>
      <c r="G614" s="3">
        <f t="shared" si="169"/>
        <v>105560</v>
      </c>
      <c r="J614" s="6">
        <f t="shared" si="170"/>
        <v>6.7599999999998959</v>
      </c>
      <c r="K614" s="11">
        <f t="shared" si="171"/>
        <v>441560</v>
      </c>
      <c r="P614" s="1">
        <f t="shared" si="165"/>
        <v>441560</v>
      </c>
      <c r="Q614" s="1">
        <f t="shared" si="166"/>
        <v>49395508</v>
      </c>
    </row>
    <row r="615" spans="1:17" x14ac:dyDescent="0.3">
      <c r="A615" s="2">
        <f t="shared" si="172"/>
        <v>613</v>
      </c>
      <c r="B615" s="6">
        <f t="shared" si="172"/>
        <v>1163</v>
      </c>
      <c r="C615" s="9">
        <f t="shared" si="167"/>
        <v>234930</v>
      </c>
      <c r="D615" s="6">
        <f t="shared" si="163"/>
        <v>763</v>
      </c>
      <c r="E615" s="9">
        <f t="shared" si="168"/>
        <v>130010</v>
      </c>
      <c r="F615" s="3">
        <f t="shared" si="164"/>
        <v>1213</v>
      </c>
      <c r="G615" s="3">
        <f t="shared" si="169"/>
        <v>106190</v>
      </c>
      <c r="J615" s="6">
        <f t="shared" si="170"/>
        <v>6.7649999999998958</v>
      </c>
      <c r="K615" s="11">
        <f t="shared" si="171"/>
        <v>444690</v>
      </c>
      <c r="P615" s="1">
        <f t="shared" si="165"/>
        <v>444690</v>
      </c>
      <c r="Q615" s="1">
        <f t="shared" si="166"/>
        <v>49840198</v>
      </c>
    </row>
    <row r="616" spans="1:17" x14ac:dyDescent="0.3">
      <c r="A616" s="2">
        <f t="shared" si="172"/>
        <v>614</v>
      </c>
      <c r="B616" s="6">
        <f t="shared" si="172"/>
        <v>1164</v>
      </c>
      <c r="C616" s="9">
        <f t="shared" si="167"/>
        <v>236540</v>
      </c>
      <c r="D616" s="6">
        <f t="shared" ref="D616:D679" si="173">D615+1</f>
        <v>764</v>
      </c>
      <c r="E616" s="9">
        <f t="shared" si="168"/>
        <v>130780</v>
      </c>
      <c r="F616" s="3">
        <f t="shared" ref="F616:F679" si="174">F615+1</f>
        <v>1214</v>
      </c>
      <c r="G616" s="3">
        <f t="shared" si="169"/>
        <v>106820</v>
      </c>
      <c r="J616" s="6">
        <f t="shared" si="170"/>
        <v>6.7699999999998957</v>
      </c>
      <c r="K616" s="11">
        <f t="shared" si="171"/>
        <v>447820</v>
      </c>
      <c r="P616" s="1">
        <f t="shared" si="165"/>
        <v>447820</v>
      </c>
      <c r="Q616" s="1">
        <f t="shared" si="166"/>
        <v>50288018</v>
      </c>
    </row>
    <row r="617" spans="1:17" x14ac:dyDescent="0.3">
      <c r="A617" s="2">
        <f t="shared" si="172"/>
        <v>615</v>
      </c>
      <c r="B617" s="6">
        <f t="shared" si="172"/>
        <v>1165</v>
      </c>
      <c r="C617" s="9">
        <f t="shared" si="167"/>
        <v>238150</v>
      </c>
      <c r="D617" s="6">
        <f t="shared" si="173"/>
        <v>765</v>
      </c>
      <c r="E617" s="9">
        <f t="shared" si="168"/>
        <v>131550</v>
      </c>
      <c r="F617" s="3">
        <f t="shared" si="174"/>
        <v>1215</v>
      </c>
      <c r="G617" s="3">
        <f t="shared" si="169"/>
        <v>107450</v>
      </c>
      <c r="J617" s="6">
        <f t="shared" si="170"/>
        <v>6.7749999999998956</v>
      </c>
      <c r="K617" s="11">
        <f t="shared" si="171"/>
        <v>450950</v>
      </c>
      <c r="P617" s="1">
        <f t="shared" si="165"/>
        <v>450950</v>
      </c>
      <c r="Q617" s="1">
        <f t="shared" si="166"/>
        <v>50738968</v>
      </c>
    </row>
    <row r="618" spans="1:17" x14ac:dyDescent="0.3">
      <c r="A618" s="2">
        <f t="shared" si="172"/>
        <v>616</v>
      </c>
      <c r="B618" s="6">
        <f t="shared" si="172"/>
        <v>1166</v>
      </c>
      <c r="C618" s="9">
        <f t="shared" si="167"/>
        <v>239760</v>
      </c>
      <c r="D618" s="6">
        <f t="shared" si="173"/>
        <v>766</v>
      </c>
      <c r="E618" s="9">
        <f t="shared" si="168"/>
        <v>132320</v>
      </c>
      <c r="F618" s="3">
        <f t="shared" si="174"/>
        <v>1216</v>
      </c>
      <c r="G618" s="3">
        <f t="shared" si="169"/>
        <v>108080</v>
      </c>
      <c r="J618" s="6">
        <f t="shared" si="170"/>
        <v>6.7799999999998954</v>
      </c>
      <c r="K618" s="11">
        <f t="shared" si="171"/>
        <v>454080</v>
      </c>
      <c r="P618" s="1">
        <f t="shared" si="165"/>
        <v>454080</v>
      </c>
      <c r="Q618" s="1">
        <f t="shared" si="166"/>
        <v>51193048</v>
      </c>
    </row>
    <row r="619" spans="1:17" x14ac:dyDescent="0.3">
      <c r="A619" s="2">
        <f t="shared" si="172"/>
        <v>617</v>
      </c>
      <c r="B619" s="6">
        <f t="shared" si="172"/>
        <v>1167</v>
      </c>
      <c r="C619" s="9">
        <f t="shared" si="167"/>
        <v>241370</v>
      </c>
      <c r="D619" s="6">
        <f t="shared" si="173"/>
        <v>767</v>
      </c>
      <c r="E619" s="9">
        <f t="shared" si="168"/>
        <v>133090</v>
      </c>
      <c r="F619" s="3">
        <f t="shared" si="174"/>
        <v>1217</v>
      </c>
      <c r="G619" s="3">
        <f t="shared" si="169"/>
        <v>108710</v>
      </c>
      <c r="J619" s="6">
        <f t="shared" si="170"/>
        <v>6.7849999999998953</v>
      </c>
      <c r="K619" s="11">
        <f t="shared" si="171"/>
        <v>457210</v>
      </c>
      <c r="P619" s="1">
        <f t="shared" si="165"/>
        <v>457210</v>
      </c>
      <c r="Q619" s="1">
        <f t="shared" si="166"/>
        <v>51650258</v>
      </c>
    </row>
    <row r="620" spans="1:17" x14ac:dyDescent="0.3">
      <c r="A620" s="2">
        <f t="shared" si="172"/>
        <v>618</v>
      </c>
      <c r="B620" s="6">
        <f t="shared" si="172"/>
        <v>1168</v>
      </c>
      <c r="C620" s="9">
        <f t="shared" si="167"/>
        <v>242980</v>
      </c>
      <c r="D620" s="6">
        <f t="shared" si="173"/>
        <v>768</v>
      </c>
      <c r="E620" s="9">
        <f t="shared" si="168"/>
        <v>133860</v>
      </c>
      <c r="F620" s="3">
        <f t="shared" si="174"/>
        <v>1218</v>
      </c>
      <c r="G620" s="3">
        <f t="shared" si="169"/>
        <v>109340</v>
      </c>
      <c r="J620" s="6">
        <f t="shared" si="170"/>
        <v>6.7899999999998952</v>
      </c>
      <c r="K620" s="11">
        <f t="shared" si="171"/>
        <v>460340</v>
      </c>
      <c r="P620" s="1">
        <f t="shared" si="165"/>
        <v>460340</v>
      </c>
      <c r="Q620" s="1">
        <f t="shared" si="166"/>
        <v>52110598</v>
      </c>
    </row>
    <row r="621" spans="1:17" x14ac:dyDescent="0.3">
      <c r="A621" s="2">
        <f t="shared" si="172"/>
        <v>619</v>
      </c>
      <c r="B621" s="6">
        <f t="shared" si="172"/>
        <v>1169</v>
      </c>
      <c r="C621" s="9">
        <f t="shared" si="167"/>
        <v>244590</v>
      </c>
      <c r="D621" s="6">
        <f t="shared" si="173"/>
        <v>769</v>
      </c>
      <c r="E621" s="9">
        <f t="shared" si="168"/>
        <v>134630</v>
      </c>
      <c r="F621" s="3">
        <f t="shared" si="174"/>
        <v>1219</v>
      </c>
      <c r="G621" s="3">
        <f t="shared" si="169"/>
        <v>109970</v>
      </c>
      <c r="J621" s="6">
        <f t="shared" si="170"/>
        <v>6.7949999999998951</v>
      </c>
      <c r="K621" s="11">
        <f t="shared" si="171"/>
        <v>463470</v>
      </c>
      <c r="P621" s="1">
        <f t="shared" si="165"/>
        <v>463470</v>
      </c>
      <c r="Q621" s="1">
        <f t="shared" si="166"/>
        <v>52574068</v>
      </c>
    </row>
    <row r="622" spans="1:17" x14ac:dyDescent="0.3">
      <c r="A622" s="2">
        <f t="shared" si="172"/>
        <v>620</v>
      </c>
      <c r="B622" s="6">
        <f t="shared" si="172"/>
        <v>1170</v>
      </c>
      <c r="C622" s="9">
        <f t="shared" si="167"/>
        <v>246200</v>
      </c>
      <c r="D622" s="6">
        <f t="shared" si="173"/>
        <v>770</v>
      </c>
      <c r="E622" s="9">
        <f t="shared" si="168"/>
        <v>135400</v>
      </c>
      <c r="F622" s="3">
        <f t="shared" si="174"/>
        <v>1220</v>
      </c>
      <c r="G622" s="3">
        <f t="shared" si="169"/>
        <v>110600</v>
      </c>
      <c r="J622" s="6">
        <f t="shared" si="170"/>
        <v>6.799999999999895</v>
      </c>
      <c r="K622" s="11">
        <f t="shared" si="171"/>
        <v>466600</v>
      </c>
      <c r="P622" s="1">
        <f t="shared" si="165"/>
        <v>466600</v>
      </c>
      <c r="Q622" s="1">
        <f t="shared" si="166"/>
        <v>53040668</v>
      </c>
    </row>
    <row r="623" spans="1:17" x14ac:dyDescent="0.3">
      <c r="A623" s="2">
        <f t="shared" si="172"/>
        <v>621</v>
      </c>
      <c r="B623" s="6">
        <f t="shared" si="172"/>
        <v>1171</v>
      </c>
      <c r="C623" s="9">
        <f t="shared" si="167"/>
        <v>247810</v>
      </c>
      <c r="D623" s="6">
        <f t="shared" si="173"/>
        <v>771</v>
      </c>
      <c r="E623" s="9">
        <f t="shared" si="168"/>
        <v>136170</v>
      </c>
      <c r="F623" s="3">
        <f t="shared" si="174"/>
        <v>1221</v>
      </c>
      <c r="G623" s="3">
        <f t="shared" si="169"/>
        <v>111230</v>
      </c>
      <c r="J623" s="6">
        <f t="shared" si="170"/>
        <v>6.8049999999998949</v>
      </c>
      <c r="K623" s="11">
        <f t="shared" si="171"/>
        <v>469730</v>
      </c>
      <c r="P623" s="1">
        <f t="shared" si="165"/>
        <v>469730</v>
      </c>
      <c r="Q623" s="1">
        <f t="shared" si="166"/>
        <v>53510398</v>
      </c>
    </row>
    <row r="624" spans="1:17" x14ac:dyDescent="0.3">
      <c r="A624" s="2">
        <f t="shared" si="172"/>
        <v>622</v>
      </c>
      <c r="B624" s="6">
        <f t="shared" si="172"/>
        <v>1172</v>
      </c>
      <c r="C624" s="9">
        <f t="shared" si="167"/>
        <v>249420</v>
      </c>
      <c r="D624" s="6">
        <f t="shared" si="173"/>
        <v>772</v>
      </c>
      <c r="E624" s="9">
        <f t="shared" si="168"/>
        <v>136940</v>
      </c>
      <c r="F624" s="3">
        <f t="shared" si="174"/>
        <v>1222</v>
      </c>
      <c r="G624" s="3">
        <f t="shared" si="169"/>
        <v>111860</v>
      </c>
      <c r="J624" s="6">
        <f t="shared" si="170"/>
        <v>6.8099999999998948</v>
      </c>
      <c r="K624" s="11">
        <f t="shared" si="171"/>
        <v>472860</v>
      </c>
      <c r="P624" s="1">
        <f t="shared" si="165"/>
        <v>472860</v>
      </c>
      <c r="Q624" s="1">
        <f t="shared" si="166"/>
        <v>53983258</v>
      </c>
    </row>
    <row r="625" spans="1:17" x14ac:dyDescent="0.3">
      <c r="A625" s="2">
        <f t="shared" si="172"/>
        <v>623</v>
      </c>
      <c r="B625" s="6">
        <f t="shared" si="172"/>
        <v>1173</v>
      </c>
      <c r="C625" s="9">
        <f t="shared" si="167"/>
        <v>251030</v>
      </c>
      <c r="D625" s="6">
        <f t="shared" si="173"/>
        <v>773</v>
      </c>
      <c r="E625" s="9">
        <f t="shared" si="168"/>
        <v>137710</v>
      </c>
      <c r="F625" s="3">
        <f t="shared" si="174"/>
        <v>1223</v>
      </c>
      <c r="G625" s="3">
        <f t="shared" si="169"/>
        <v>112490</v>
      </c>
      <c r="J625" s="6">
        <f t="shared" si="170"/>
        <v>6.8149999999998947</v>
      </c>
      <c r="K625" s="11">
        <f t="shared" si="171"/>
        <v>475990</v>
      </c>
      <c r="P625" s="1">
        <f t="shared" si="165"/>
        <v>475990</v>
      </c>
      <c r="Q625" s="1">
        <f t="shared" si="166"/>
        <v>54459248</v>
      </c>
    </row>
    <row r="626" spans="1:17" x14ac:dyDescent="0.3">
      <c r="A626" s="2">
        <f t="shared" si="172"/>
        <v>624</v>
      </c>
      <c r="B626" s="6">
        <f t="shared" si="172"/>
        <v>1174</v>
      </c>
      <c r="C626" s="9">
        <f t="shared" si="167"/>
        <v>252640</v>
      </c>
      <c r="D626" s="6">
        <f t="shared" si="173"/>
        <v>774</v>
      </c>
      <c r="E626" s="9">
        <f t="shared" si="168"/>
        <v>138480</v>
      </c>
      <c r="F626" s="3">
        <f t="shared" si="174"/>
        <v>1224</v>
      </c>
      <c r="G626" s="3">
        <f t="shared" si="169"/>
        <v>113120</v>
      </c>
      <c r="J626" s="6">
        <f t="shared" si="170"/>
        <v>6.8199999999998946</v>
      </c>
      <c r="K626" s="11">
        <f t="shared" si="171"/>
        <v>479120</v>
      </c>
      <c r="P626" s="1">
        <f t="shared" si="165"/>
        <v>479120</v>
      </c>
      <c r="Q626" s="1">
        <f t="shared" si="166"/>
        <v>54938368</v>
      </c>
    </row>
    <row r="627" spans="1:17" x14ac:dyDescent="0.3">
      <c r="A627" s="2">
        <f t="shared" si="172"/>
        <v>625</v>
      </c>
      <c r="B627" s="6">
        <f t="shared" si="172"/>
        <v>1175</v>
      </c>
      <c r="C627" s="9">
        <f t="shared" si="167"/>
        <v>254250</v>
      </c>
      <c r="D627" s="6">
        <f t="shared" si="173"/>
        <v>775</v>
      </c>
      <c r="E627" s="9">
        <f t="shared" si="168"/>
        <v>139250</v>
      </c>
      <c r="F627" s="3">
        <f t="shared" si="174"/>
        <v>1225</v>
      </c>
      <c r="G627" s="3">
        <f t="shared" si="169"/>
        <v>113750</v>
      </c>
      <c r="J627" s="6">
        <f t="shared" si="170"/>
        <v>6.8249999999998945</v>
      </c>
      <c r="K627" s="11">
        <f t="shared" si="171"/>
        <v>482250</v>
      </c>
      <c r="P627" s="1">
        <f t="shared" si="165"/>
        <v>482250</v>
      </c>
      <c r="Q627" s="1">
        <f t="shared" si="166"/>
        <v>55420618</v>
      </c>
    </row>
    <row r="628" spans="1:17" x14ac:dyDescent="0.3">
      <c r="A628" s="2">
        <f t="shared" si="172"/>
        <v>626</v>
      </c>
      <c r="B628" s="6">
        <f t="shared" si="172"/>
        <v>1176</v>
      </c>
      <c r="C628" s="9">
        <f t="shared" si="167"/>
        <v>255860</v>
      </c>
      <c r="D628" s="6">
        <f t="shared" si="173"/>
        <v>776</v>
      </c>
      <c r="E628" s="9">
        <f t="shared" si="168"/>
        <v>140020</v>
      </c>
      <c r="F628" s="3">
        <f t="shared" si="174"/>
        <v>1226</v>
      </c>
      <c r="G628" s="3">
        <f t="shared" si="169"/>
        <v>114380</v>
      </c>
      <c r="J628" s="6">
        <f t="shared" si="170"/>
        <v>6.8299999999998944</v>
      </c>
      <c r="K628" s="11">
        <f t="shared" si="171"/>
        <v>485380</v>
      </c>
      <c r="P628" s="1">
        <f t="shared" si="165"/>
        <v>485380</v>
      </c>
      <c r="Q628" s="1">
        <f t="shared" si="166"/>
        <v>55905998</v>
      </c>
    </row>
    <row r="629" spans="1:17" x14ac:dyDescent="0.3">
      <c r="A629" s="2">
        <f t="shared" si="172"/>
        <v>627</v>
      </c>
      <c r="B629" s="6">
        <f t="shared" si="172"/>
        <v>1177</v>
      </c>
      <c r="C629" s="9">
        <f t="shared" si="167"/>
        <v>257470</v>
      </c>
      <c r="D629" s="6">
        <f t="shared" si="173"/>
        <v>777</v>
      </c>
      <c r="E629" s="9">
        <f t="shared" si="168"/>
        <v>140790</v>
      </c>
      <c r="F629" s="3">
        <f t="shared" si="174"/>
        <v>1227</v>
      </c>
      <c r="G629" s="3">
        <f t="shared" si="169"/>
        <v>115010</v>
      </c>
      <c r="J629" s="6">
        <f t="shared" si="170"/>
        <v>6.8349999999998943</v>
      </c>
      <c r="K629" s="11">
        <f t="shared" si="171"/>
        <v>488510</v>
      </c>
      <c r="P629" s="1">
        <f t="shared" si="165"/>
        <v>488510</v>
      </c>
      <c r="Q629" s="1">
        <f t="shared" si="166"/>
        <v>56394508</v>
      </c>
    </row>
    <row r="630" spans="1:17" x14ac:dyDescent="0.3">
      <c r="A630" s="2">
        <f t="shared" si="172"/>
        <v>628</v>
      </c>
      <c r="B630" s="6">
        <f t="shared" si="172"/>
        <v>1178</v>
      </c>
      <c r="C630" s="9">
        <f t="shared" si="167"/>
        <v>259080</v>
      </c>
      <c r="D630" s="6">
        <f t="shared" si="173"/>
        <v>778</v>
      </c>
      <c r="E630" s="9">
        <f t="shared" si="168"/>
        <v>141560</v>
      </c>
      <c r="F630" s="3">
        <f t="shared" si="174"/>
        <v>1228</v>
      </c>
      <c r="G630" s="3">
        <f t="shared" si="169"/>
        <v>115640</v>
      </c>
      <c r="J630" s="6">
        <f t="shared" si="170"/>
        <v>6.8399999999998942</v>
      </c>
      <c r="K630" s="11">
        <f t="shared" si="171"/>
        <v>491640</v>
      </c>
      <c r="P630" s="1">
        <f t="shared" ref="P630:P693" si="175">K630</f>
        <v>491640</v>
      </c>
      <c r="Q630" s="1">
        <f t="shared" ref="Q630:Q693" si="176">Q629+K630</f>
        <v>56886148</v>
      </c>
    </row>
    <row r="631" spans="1:17" x14ac:dyDescent="0.3">
      <c r="A631" s="2">
        <f t="shared" si="172"/>
        <v>629</v>
      </c>
      <c r="B631" s="6">
        <f t="shared" si="172"/>
        <v>1179</v>
      </c>
      <c r="C631" s="9">
        <f t="shared" si="167"/>
        <v>260690</v>
      </c>
      <c r="D631" s="6">
        <f t="shared" si="173"/>
        <v>779</v>
      </c>
      <c r="E631" s="9">
        <f t="shared" si="168"/>
        <v>142330</v>
      </c>
      <c r="F631" s="3">
        <f t="shared" si="174"/>
        <v>1229</v>
      </c>
      <c r="G631" s="3">
        <f t="shared" si="169"/>
        <v>116270</v>
      </c>
      <c r="J631" s="6">
        <f t="shared" si="170"/>
        <v>6.8449999999998941</v>
      </c>
      <c r="K631" s="11">
        <f t="shared" si="171"/>
        <v>494770</v>
      </c>
      <c r="P631" s="1">
        <f t="shared" si="175"/>
        <v>494770</v>
      </c>
      <c r="Q631" s="1">
        <f t="shared" si="176"/>
        <v>57380918</v>
      </c>
    </row>
    <row r="632" spans="1:17" x14ac:dyDescent="0.3">
      <c r="A632" s="2">
        <f t="shared" si="172"/>
        <v>630</v>
      </c>
      <c r="B632" s="6">
        <f t="shared" si="172"/>
        <v>1180</v>
      </c>
      <c r="C632" s="9">
        <f t="shared" ref="C632:C695" si="177">C631+1610</f>
        <v>262300</v>
      </c>
      <c r="D632" s="6">
        <f t="shared" si="173"/>
        <v>780</v>
      </c>
      <c r="E632" s="9">
        <f t="shared" ref="E632:E695" si="178">E631+770</f>
        <v>143100</v>
      </c>
      <c r="F632" s="3">
        <f t="shared" si="174"/>
        <v>1230</v>
      </c>
      <c r="G632" s="3">
        <f t="shared" ref="G632:G695" si="179">G631+630</f>
        <v>116900</v>
      </c>
      <c r="J632" s="6">
        <f t="shared" ref="J632:J695" si="180">J631+0.005</f>
        <v>6.849999999999894</v>
      </c>
      <c r="K632" s="11">
        <f t="shared" ref="K632:K695" si="181">K631+3130</f>
        <v>497900</v>
      </c>
      <c r="P632" s="1">
        <f t="shared" si="175"/>
        <v>497900</v>
      </c>
      <c r="Q632" s="1">
        <f t="shared" si="176"/>
        <v>57878818</v>
      </c>
    </row>
    <row r="633" spans="1:17" x14ac:dyDescent="0.3">
      <c r="A633" s="2">
        <f t="shared" si="172"/>
        <v>631</v>
      </c>
      <c r="B633" s="6">
        <f t="shared" si="172"/>
        <v>1181</v>
      </c>
      <c r="C633" s="9">
        <f t="shared" si="177"/>
        <v>263910</v>
      </c>
      <c r="D633" s="6">
        <f t="shared" si="173"/>
        <v>781</v>
      </c>
      <c r="E633" s="9">
        <f t="shared" si="178"/>
        <v>143870</v>
      </c>
      <c r="F633" s="3">
        <f t="shared" si="174"/>
        <v>1231</v>
      </c>
      <c r="G633" s="3">
        <f t="shared" si="179"/>
        <v>117530</v>
      </c>
      <c r="J633" s="6">
        <f t="shared" si="180"/>
        <v>6.8549999999998938</v>
      </c>
      <c r="K633" s="11">
        <f t="shared" si="181"/>
        <v>501030</v>
      </c>
      <c r="P633" s="1">
        <f t="shared" si="175"/>
        <v>501030</v>
      </c>
      <c r="Q633" s="1">
        <f t="shared" si="176"/>
        <v>58379848</v>
      </c>
    </row>
    <row r="634" spans="1:17" x14ac:dyDescent="0.3">
      <c r="A634" s="2">
        <f t="shared" si="172"/>
        <v>632</v>
      </c>
      <c r="B634" s="6">
        <f t="shared" si="172"/>
        <v>1182</v>
      </c>
      <c r="C634" s="9">
        <f t="shared" si="177"/>
        <v>265520</v>
      </c>
      <c r="D634" s="6">
        <f t="shared" si="173"/>
        <v>782</v>
      </c>
      <c r="E634" s="9">
        <f t="shared" si="178"/>
        <v>144640</v>
      </c>
      <c r="F634" s="3">
        <f t="shared" si="174"/>
        <v>1232</v>
      </c>
      <c r="G634" s="3">
        <f t="shared" si="179"/>
        <v>118160</v>
      </c>
      <c r="J634" s="6">
        <f t="shared" si="180"/>
        <v>6.8599999999998937</v>
      </c>
      <c r="K634" s="11">
        <f t="shared" si="181"/>
        <v>504160</v>
      </c>
      <c r="P634" s="1">
        <f t="shared" si="175"/>
        <v>504160</v>
      </c>
      <c r="Q634" s="1">
        <f t="shared" si="176"/>
        <v>58884008</v>
      </c>
    </row>
    <row r="635" spans="1:17" x14ac:dyDescent="0.3">
      <c r="A635" s="2">
        <f t="shared" si="172"/>
        <v>633</v>
      </c>
      <c r="B635" s="6">
        <f t="shared" si="172"/>
        <v>1183</v>
      </c>
      <c r="C635" s="9">
        <f t="shared" si="177"/>
        <v>267130</v>
      </c>
      <c r="D635" s="6">
        <f t="shared" si="173"/>
        <v>783</v>
      </c>
      <c r="E635" s="9">
        <f t="shared" si="178"/>
        <v>145410</v>
      </c>
      <c r="F635" s="3">
        <f t="shared" si="174"/>
        <v>1233</v>
      </c>
      <c r="G635" s="3">
        <f t="shared" si="179"/>
        <v>118790</v>
      </c>
      <c r="J635" s="6">
        <f t="shared" si="180"/>
        <v>6.8649999999998936</v>
      </c>
      <c r="K635" s="11">
        <f t="shared" si="181"/>
        <v>507290</v>
      </c>
      <c r="P635" s="1">
        <f t="shared" si="175"/>
        <v>507290</v>
      </c>
      <c r="Q635" s="1">
        <f t="shared" si="176"/>
        <v>59391298</v>
      </c>
    </row>
    <row r="636" spans="1:17" x14ac:dyDescent="0.3">
      <c r="A636" s="2">
        <f t="shared" si="172"/>
        <v>634</v>
      </c>
      <c r="B636" s="6">
        <f t="shared" si="172"/>
        <v>1184</v>
      </c>
      <c r="C636" s="9">
        <f t="shared" si="177"/>
        <v>268740</v>
      </c>
      <c r="D636" s="6">
        <f t="shared" si="173"/>
        <v>784</v>
      </c>
      <c r="E636" s="9">
        <f t="shared" si="178"/>
        <v>146180</v>
      </c>
      <c r="F636" s="3">
        <f t="shared" si="174"/>
        <v>1234</v>
      </c>
      <c r="G636" s="3">
        <f t="shared" si="179"/>
        <v>119420</v>
      </c>
      <c r="J636" s="6">
        <f t="shared" si="180"/>
        <v>6.8699999999998935</v>
      </c>
      <c r="K636" s="11">
        <f t="shared" si="181"/>
        <v>510420</v>
      </c>
      <c r="P636" s="1">
        <f t="shared" si="175"/>
        <v>510420</v>
      </c>
      <c r="Q636" s="1">
        <f t="shared" si="176"/>
        <v>59901718</v>
      </c>
    </row>
    <row r="637" spans="1:17" x14ac:dyDescent="0.3">
      <c r="A637" s="2">
        <f t="shared" si="172"/>
        <v>635</v>
      </c>
      <c r="B637" s="6">
        <f t="shared" si="172"/>
        <v>1185</v>
      </c>
      <c r="C637" s="9">
        <f t="shared" si="177"/>
        <v>270350</v>
      </c>
      <c r="D637" s="6">
        <f t="shared" si="173"/>
        <v>785</v>
      </c>
      <c r="E637" s="9">
        <f t="shared" si="178"/>
        <v>146950</v>
      </c>
      <c r="F637" s="3">
        <f t="shared" si="174"/>
        <v>1235</v>
      </c>
      <c r="G637" s="3">
        <f t="shared" si="179"/>
        <v>120050</v>
      </c>
      <c r="J637" s="6">
        <f t="shared" si="180"/>
        <v>6.8749999999998934</v>
      </c>
      <c r="K637" s="11">
        <f t="shared" si="181"/>
        <v>513550</v>
      </c>
      <c r="P637" s="1">
        <f t="shared" si="175"/>
        <v>513550</v>
      </c>
      <c r="Q637" s="1">
        <f t="shared" si="176"/>
        <v>60415268</v>
      </c>
    </row>
    <row r="638" spans="1:17" x14ac:dyDescent="0.3">
      <c r="A638" s="2">
        <f t="shared" si="172"/>
        <v>636</v>
      </c>
      <c r="B638" s="6">
        <f t="shared" si="172"/>
        <v>1186</v>
      </c>
      <c r="C638" s="9">
        <f t="shared" si="177"/>
        <v>271960</v>
      </c>
      <c r="D638" s="6">
        <f t="shared" si="173"/>
        <v>786</v>
      </c>
      <c r="E638" s="9">
        <f t="shared" si="178"/>
        <v>147720</v>
      </c>
      <c r="F638" s="3">
        <f t="shared" si="174"/>
        <v>1236</v>
      </c>
      <c r="G638" s="3">
        <f t="shared" si="179"/>
        <v>120680</v>
      </c>
      <c r="J638" s="6">
        <f t="shared" si="180"/>
        <v>6.8799999999998933</v>
      </c>
      <c r="K638" s="11">
        <f t="shared" si="181"/>
        <v>516680</v>
      </c>
      <c r="P638" s="1">
        <f t="shared" si="175"/>
        <v>516680</v>
      </c>
      <c r="Q638" s="1">
        <f t="shared" si="176"/>
        <v>60931948</v>
      </c>
    </row>
    <row r="639" spans="1:17" x14ac:dyDescent="0.3">
      <c r="A639" s="2">
        <f t="shared" si="172"/>
        <v>637</v>
      </c>
      <c r="B639" s="6">
        <f t="shared" si="172"/>
        <v>1187</v>
      </c>
      <c r="C639" s="9">
        <f t="shared" si="177"/>
        <v>273570</v>
      </c>
      <c r="D639" s="6">
        <f t="shared" si="173"/>
        <v>787</v>
      </c>
      <c r="E639" s="9">
        <f t="shared" si="178"/>
        <v>148490</v>
      </c>
      <c r="F639" s="3">
        <f t="shared" si="174"/>
        <v>1237</v>
      </c>
      <c r="G639" s="3">
        <f t="shared" si="179"/>
        <v>121310</v>
      </c>
      <c r="J639" s="6">
        <f t="shared" si="180"/>
        <v>6.8849999999998932</v>
      </c>
      <c r="K639" s="11">
        <f t="shared" si="181"/>
        <v>519810</v>
      </c>
      <c r="P639" s="1">
        <f t="shared" si="175"/>
        <v>519810</v>
      </c>
      <c r="Q639" s="1">
        <f t="shared" si="176"/>
        <v>61451758</v>
      </c>
    </row>
    <row r="640" spans="1:17" x14ac:dyDescent="0.3">
      <c r="A640" s="2">
        <f t="shared" si="172"/>
        <v>638</v>
      </c>
      <c r="B640" s="6">
        <f t="shared" si="172"/>
        <v>1188</v>
      </c>
      <c r="C640" s="9">
        <f t="shared" si="177"/>
        <v>275180</v>
      </c>
      <c r="D640" s="6">
        <f t="shared" si="173"/>
        <v>788</v>
      </c>
      <c r="E640" s="9">
        <f t="shared" si="178"/>
        <v>149260</v>
      </c>
      <c r="F640" s="3">
        <f t="shared" si="174"/>
        <v>1238</v>
      </c>
      <c r="G640" s="3">
        <f t="shared" si="179"/>
        <v>121940</v>
      </c>
      <c r="J640" s="6">
        <f t="shared" si="180"/>
        <v>6.8899999999998931</v>
      </c>
      <c r="K640" s="11">
        <f t="shared" si="181"/>
        <v>522940</v>
      </c>
      <c r="P640" s="1">
        <f t="shared" si="175"/>
        <v>522940</v>
      </c>
      <c r="Q640" s="1">
        <f t="shared" si="176"/>
        <v>61974698</v>
      </c>
    </row>
    <row r="641" spans="1:17" x14ac:dyDescent="0.3">
      <c r="A641" s="2">
        <f t="shared" si="172"/>
        <v>639</v>
      </c>
      <c r="B641" s="6">
        <f t="shared" si="172"/>
        <v>1189</v>
      </c>
      <c r="C641" s="9">
        <f t="shared" si="177"/>
        <v>276790</v>
      </c>
      <c r="D641" s="6">
        <f t="shared" si="173"/>
        <v>789</v>
      </c>
      <c r="E641" s="9">
        <f t="shared" si="178"/>
        <v>150030</v>
      </c>
      <c r="F641" s="3">
        <f t="shared" si="174"/>
        <v>1239</v>
      </c>
      <c r="G641" s="3">
        <f t="shared" si="179"/>
        <v>122570</v>
      </c>
      <c r="J641" s="6">
        <f t="shared" si="180"/>
        <v>6.894999999999893</v>
      </c>
      <c r="K641" s="11">
        <f t="shared" si="181"/>
        <v>526070</v>
      </c>
      <c r="P641" s="1">
        <f t="shared" si="175"/>
        <v>526070</v>
      </c>
      <c r="Q641" s="1">
        <f t="shared" si="176"/>
        <v>62500768</v>
      </c>
    </row>
    <row r="642" spans="1:17" x14ac:dyDescent="0.3">
      <c r="A642" s="2">
        <f t="shared" si="172"/>
        <v>640</v>
      </c>
      <c r="B642" s="6">
        <f t="shared" si="172"/>
        <v>1190</v>
      </c>
      <c r="C642" s="9">
        <f t="shared" si="177"/>
        <v>278400</v>
      </c>
      <c r="D642" s="6">
        <f t="shared" si="173"/>
        <v>790</v>
      </c>
      <c r="E642" s="9">
        <f t="shared" si="178"/>
        <v>150800</v>
      </c>
      <c r="F642" s="3">
        <f t="shared" si="174"/>
        <v>1240</v>
      </c>
      <c r="G642" s="3">
        <f t="shared" si="179"/>
        <v>123200</v>
      </c>
      <c r="J642" s="6">
        <f t="shared" si="180"/>
        <v>6.8999999999998929</v>
      </c>
      <c r="K642" s="11">
        <f t="shared" si="181"/>
        <v>529200</v>
      </c>
      <c r="P642" s="1">
        <f t="shared" si="175"/>
        <v>529200</v>
      </c>
      <c r="Q642" s="1">
        <f t="shared" si="176"/>
        <v>63029968</v>
      </c>
    </row>
    <row r="643" spans="1:17" x14ac:dyDescent="0.3">
      <c r="A643" s="2">
        <f t="shared" si="172"/>
        <v>641</v>
      </c>
      <c r="B643" s="6">
        <f t="shared" si="172"/>
        <v>1191</v>
      </c>
      <c r="C643" s="9">
        <f t="shared" si="177"/>
        <v>280010</v>
      </c>
      <c r="D643" s="6">
        <f t="shared" si="173"/>
        <v>791</v>
      </c>
      <c r="E643" s="9">
        <f t="shared" si="178"/>
        <v>151570</v>
      </c>
      <c r="F643" s="3">
        <f t="shared" si="174"/>
        <v>1241</v>
      </c>
      <c r="G643" s="3">
        <f t="shared" si="179"/>
        <v>123830</v>
      </c>
      <c r="J643" s="6">
        <f t="shared" si="180"/>
        <v>6.9049999999998928</v>
      </c>
      <c r="K643" s="11">
        <f t="shared" si="181"/>
        <v>532330</v>
      </c>
      <c r="P643" s="1">
        <f t="shared" si="175"/>
        <v>532330</v>
      </c>
      <c r="Q643" s="1">
        <f t="shared" si="176"/>
        <v>63562298</v>
      </c>
    </row>
    <row r="644" spans="1:17" x14ac:dyDescent="0.3">
      <c r="A644" s="2">
        <f t="shared" si="172"/>
        <v>642</v>
      </c>
      <c r="B644" s="6">
        <f t="shared" si="172"/>
        <v>1192</v>
      </c>
      <c r="C644" s="9">
        <f t="shared" si="177"/>
        <v>281620</v>
      </c>
      <c r="D644" s="6">
        <f t="shared" si="173"/>
        <v>792</v>
      </c>
      <c r="E644" s="9">
        <f t="shared" si="178"/>
        <v>152340</v>
      </c>
      <c r="F644" s="3">
        <f t="shared" si="174"/>
        <v>1242</v>
      </c>
      <c r="G644" s="3">
        <f t="shared" si="179"/>
        <v>124460</v>
      </c>
      <c r="J644" s="6">
        <f t="shared" si="180"/>
        <v>6.9099999999998927</v>
      </c>
      <c r="K644" s="11">
        <f t="shared" si="181"/>
        <v>535460</v>
      </c>
      <c r="P644" s="1">
        <f t="shared" si="175"/>
        <v>535460</v>
      </c>
      <c r="Q644" s="1">
        <f t="shared" si="176"/>
        <v>64097758</v>
      </c>
    </row>
    <row r="645" spans="1:17" x14ac:dyDescent="0.3">
      <c r="A645" s="2">
        <f t="shared" ref="A645:B708" si="182">A644+1</f>
        <v>643</v>
      </c>
      <c r="B645" s="6">
        <f t="shared" si="182"/>
        <v>1193</v>
      </c>
      <c r="C645" s="9">
        <f t="shared" si="177"/>
        <v>283230</v>
      </c>
      <c r="D645" s="6">
        <f t="shared" si="173"/>
        <v>793</v>
      </c>
      <c r="E645" s="9">
        <f t="shared" si="178"/>
        <v>153110</v>
      </c>
      <c r="F645" s="3">
        <f t="shared" si="174"/>
        <v>1243</v>
      </c>
      <c r="G645" s="3">
        <f t="shared" si="179"/>
        <v>125090</v>
      </c>
      <c r="J645" s="6">
        <f t="shared" si="180"/>
        <v>6.9149999999998926</v>
      </c>
      <c r="K645" s="11">
        <f t="shared" si="181"/>
        <v>538590</v>
      </c>
      <c r="P645" s="1">
        <f t="shared" si="175"/>
        <v>538590</v>
      </c>
      <c r="Q645" s="1">
        <f t="shared" si="176"/>
        <v>64636348</v>
      </c>
    </row>
    <row r="646" spans="1:17" x14ac:dyDescent="0.3">
      <c r="A646" s="2">
        <f t="shared" si="182"/>
        <v>644</v>
      </c>
      <c r="B646" s="6">
        <f t="shared" si="182"/>
        <v>1194</v>
      </c>
      <c r="C646" s="9">
        <f t="shared" si="177"/>
        <v>284840</v>
      </c>
      <c r="D646" s="6">
        <f t="shared" si="173"/>
        <v>794</v>
      </c>
      <c r="E646" s="9">
        <f t="shared" si="178"/>
        <v>153880</v>
      </c>
      <c r="F646" s="3">
        <f t="shared" si="174"/>
        <v>1244</v>
      </c>
      <c r="G646" s="3">
        <f t="shared" si="179"/>
        <v>125720</v>
      </c>
      <c r="J646" s="6">
        <f t="shared" si="180"/>
        <v>6.9199999999998925</v>
      </c>
      <c r="K646" s="11">
        <f t="shared" si="181"/>
        <v>541720</v>
      </c>
      <c r="P646" s="1">
        <f t="shared" si="175"/>
        <v>541720</v>
      </c>
      <c r="Q646" s="1">
        <f t="shared" si="176"/>
        <v>65178068</v>
      </c>
    </row>
    <row r="647" spans="1:17" x14ac:dyDescent="0.3">
      <c r="A647" s="2">
        <f t="shared" si="182"/>
        <v>645</v>
      </c>
      <c r="B647" s="6">
        <f t="shared" si="182"/>
        <v>1195</v>
      </c>
      <c r="C647" s="9">
        <f t="shared" si="177"/>
        <v>286450</v>
      </c>
      <c r="D647" s="6">
        <f t="shared" si="173"/>
        <v>795</v>
      </c>
      <c r="E647" s="9">
        <f t="shared" si="178"/>
        <v>154650</v>
      </c>
      <c r="F647" s="3">
        <f t="shared" si="174"/>
        <v>1245</v>
      </c>
      <c r="G647" s="3">
        <f t="shared" si="179"/>
        <v>126350</v>
      </c>
      <c r="J647" s="6">
        <f t="shared" si="180"/>
        <v>6.9249999999998924</v>
      </c>
      <c r="K647" s="11">
        <f t="shared" si="181"/>
        <v>544850</v>
      </c>
      <c r="P647" s="1">
        <f t="shared" si="175"/>
        <v>544850</v>
      </c>
      <c r="Q647" s="1">
        <f t="shared" si="176"/>
        <v>65722918</v>
      </c>
    </row>
    <row r="648" spans="1:17" x14ac:dyDescent="0.3">
      <c r="A648" s="2">
        <f t="shared" si="182"/>
        <v>646</v>
      </c>
      <c r="B648" s="6">
        <f t="shared" si="182"/>
        <v>1196</v>
      </c>
      <c r="C648" s="9">
        <f t="shared" si="177"/>
        <v>288060</v>
      </c>
      <c r="D648" s="6">
        <f t="shared" si="173"/>
        <v>796</v>
      </c>
      <c r="E648" s="9">
        <f t="shared" si="178"/>
        <v>155420</v>
      </c>
      <c r="F648" s="3">
        <f t="shared" si="174"/>
        <v>1246</v>
      </c>
      <c r="G648" s="3">
        <f t="shared" si="179"/>
        <v>126980</v>
      </c>
      <c r="J648" s="6">
        <f t="shared" si="180"/>
        <v>6.9299999999998922</v>
      </c>
      <c r="K648" s="11">
        <f t="shared" si="181"/>
        <v>547980</v>
      </c>
      <c r="P648" s="1">
        <f t="shared" si="175"/>
        <v>547980</v>
      </c>
      <c r="Q648" s="1">
        <f t="shared" si="176"/>
        <v>66270898</v>
      </c>
    </row>
    <row r="649" spans="1:17" x14ac:dyDescent="0.3">
      <c r="A649" s="2">
        <f t="shared" si="182"/>
        <v>647</v>
      </c>
      <c r="B649" s="6">
        <f t="shared" si="182"/>
        <v>1197</v>
      </c>
      <c r="C649" s="9">
        <f t="shared" si="177"/>
        <v>289670</v>
      </c>
      <c r="D649" s="6">
        <f t="shared" si="173"/>
        <v>797</v>
      </c>
      <c r="E649" s="9">
        <f t="shared" si="178"/>
        <v>156190</v>
      </c>
      <c r="F649" s="3">
        <f t="shared" si="174"/>
        <v>1247</v>
      </c>
      <c r="G649" s="3">
        <f t="shared" si="179"/>
        <v>127610</v>
      </c>
      <c r="J649" s="6">
        <f t="shared" si="180"/>
        <v>6.9349999999998921</v>
      </c>
      <c r="K649" s="11">
        <f t="shared" si="181"/>
        <v>551110</v>
      </c>
      <c r="P649" s="1">
        <f t="shared" si="175"/>
        <v>551110</v>
      </c>
      <c r="Q649" s="1">
        <f t="shared" si="176"/>
        <v>66822008</v>
      </c>
    </row>
    <row r="650" spans="1:17" x14ac:dyDescent="0.3">
      <c r="A650" s="2">
        <f t="shared" si="182"/>
        <v>648</v>
      </c>
      <c r="B650" s="6">
        <f t="shared" si="182"/>
        <v>1198</v>
      </c>
      <c r="C650" s="9">
        <f t="shared" si="177"/>
        <v>291280</v>
      </c>
      <c r="D650" s="6">
        <f t="shared" si="173"/>
        <v>798</v>
      </c>
      <c r="E650" s="9">
        <f t="shared" si="178"/>
        <v>156960</v>
      </c>
      <c r="F650" s="3">
        <f t="shared" si="174"/>
        <v>1248</v>
      </c>
      <c r="G650" s="3">
        <f t="shared" si="179"/>
        <v>128240</v>
      </c>
      <c r="J650" s="6">
        <f t="shared" si="180"/>
        <v>6.939999999999892</v>
      </c>
      <c r="K650" s="11">
        <f t="shared" si="181"/>
        <v>554240</v>
      </c>
      <c r="P650" s="1">
        <f t="shared" si="175"/>
        <v>554240</v>
      </c>
      <c r="Q650" s="1">
        <f t="shared" si="176"/>
        <v>67376248</v>
      </c>
    </row>
    <row r="651" spans="1:17" x14ac:dyDescent="0.3">
      <c r="A651" s="2">
        <f t="shared" si="182"/>
        <v>649</v>
      </c>
      <c r="B651" s="6">
        <f t="shared" si="182"/>
        <v>1199</v>
      </c>
      <c r="C651" s="9">
        <f t="shared" si="177"/>
        <v>292890</v>
      </c>
      <c r="D651" s="6">
        <f t="shared" si="173"/>
        <v>799</v>
      </c>
      <c r="E651" s="9">
        <f t="shared" si="178"/>
        <v>157730</v>
      </c>
      <c r="F651" s="3">
        <f t="shared" si="174"/>
        <v>1249</v>
      </c>
      <c r="G651" s="3">
        <f t="shared" si="179"/>
        <v>128870</v>
      </c>
      <c r="J651" s="6">
        <f t="shared" si="180"/>
        <v>6.9449999999998919</v>
      </c>
      <c r="K651" s="11">
        <f t="shared" si="181"/>
        <v>557370</v>
      </c>
      <c r="P651" s="1">
        <f t="shared" si="175"/>
        <v>557370</v>
      </c>
      <c r="Q651" s="1">
        <f t="shared" si="176"/>
        <v>67933618</v>
      </c>
    </row>
    <row r="652" spans="1:17" x14ac:dyDescent="0.3">
      <c r="A652" s="2">
        <f t="shared" si="182"/>
        <v>650</v>
      </c>
      <c r="B652" s="6">
        <f t="shared" si="182"/>
        <v>1200</v>
      </c>
      <c r="C652" s="9">
        <f t="shared" si="177"/>
        <v>294500</v>
      </c>
      <c r="D652" s="6">
        <f t="shared" si="173"/>
        <v>800</v>
      </c>
      <c r="E652" s="9">
        <f t="shared" si="178"/>
        <v>158500</v>
      </c>
      <c r="F652" s="3">
        <f t="shared" si="174"/>
        <v>1250</v>
      </c>
      <c r="G652" s="3">
        <f t="shared" si="179"/>
        <v>129500</v>
      </c>
      <c r="J652" s="6">
        <f t="shared" si="180"/>
        <v>6.9499999999998918</v>
      </c>
      <c r="K652" s="11">
        <f t="shared" si="181"/>
        <v>560500</v>
      </c>
      <c r="P652" s="1">
        <f t="shared" si="175"/>
        <v>560500</v>
      </c>
      <c r="Q652" s="1">
        <f t="shared" si="176"/>
        <v>68494118</v>
      </c>
    </row>
    <row r="653" spans="1:17" x14ac:dyDescent="0.3">
      <c r="A653" s="2">
        <f t="shared" si="182"/>
        <v>651</v>
      </c>
      <c r="B653" s="6">
        <f t="shared" si="182"/>
        <v>1201</v>
      </c>
      <c r="C653" s="9">
        <f t="shared" si="177"/>
        <v>296110</v>
      </c>
      <c r="D653" s="6">
        <f t="shared" si="173"/>
        <v>801</v>
      </c>
      <c r="E653" s="9">
        <f t="shared" si="178"/>
        <v>159270</v>
      </c>
      <c r="F653" s="3">
        <f t="shared" si="174"/>
        <v>1251</v>
      </c>
      <c r="G653" s="3">
        <f t="shared" si="179"/>
        <v>130130</v>
      </c>
      <c r="J653" s="6">
        <f t="shared" si="180"/>
        <v>6.9549999999998917</v>
      </c>
      <c r="K653" s="11">
        <f t="shared" si="181"/>
        <v>563630</v>
      </c>
      <c r="P653" s="1">
        <f t="shared" si="175"/>
        <v>563630</v>
      </c>
      <c r="Q653" s="1">
        <f t="shared" si="176"/>
        <v>69057748</v>
      </c>
    </row>
    <row r="654" spans="1:17" x14ac:dyDescent="0.3">
      <c r="A654" s="2">
        <f t="shared" si="182"/>
        <v>652</v>
      </c>
      <c r="B654" s="6">
        <f t="shared" si="182"/>
        <v>1202</v>
      </c>
      <c r="C654" s="9">
        <f t="shared" si="177"/>
        <v>297720</v>
      </c>
      <c r="D654" s="6">
        <f t="shared" si="173"/>
        <v>802</v>
      </c>
      <c r="E654" s="9">
        <f t="shared" si="178"/>
        <v>160040</v>
      </c>
      <c r="F654" s="3">
        <f t="shared" si="174"/>
        <v>1252</v>
      </c>
      <c r="G654" s="3">
        <f t="shared" si="179"/>
        <v>130760</v>
      </c>
      <c r="J654" s="6">
        <f t="shared" si="180"/>
        <v>6.9599999999998916</v>
      </c>
      <c r="K654" s="11">
        <f t="shared" si="181"/>
        <v>566760</v>
      </c>
      <c r="P654" s="1">
        <f t="shared" si="175"/>
        <v>566760</v>
      </c>
      <c r="Q654" s="1">
        <f t="shared" si="176"/>
        <v>69624508</v>
      </c>
    </row>
    <row r="655" spans="1:17" x14ac:dyDescent="0.3">
      <c r="A655" s="2">
        <f t="shared" si="182"/>
        <v>653</v>
      </c>
      <c r="B655" s="6">
        <f t="shared" si="182"/>
        <v>1203</v>
      </c>
      <c r="C655" s="9">
        <f t="shared" si="177"/>
        <v>299330</v>
      </c>
      <c r="D655" s="6">
        <f t="shared" si="173"/>
        <v>803</v>
      </c>
      <c r="E655" s="9">
        <f t="shared" si="178"/>
        <v>160810</v>
      </c>
      <c r="F655" s="3">
        <f t="shared" si="174"/>
        <v>1253</v>
      </c>
      <c r="G655" s="3">
        <f t="shared" si="179"/>
        <v>131390</v>
      </c>
      <c r="J655" s="6">
        <f t="shared" si="180"/>
        <v>6.9649999999998915</v>
      </c>
      <c r="K655" s="11">
        <f t="shared" si="181"/>
        <v>569890</v>
      </c>
      <c r="P655" s="1">
        <f t="shared" si="175"/>
        <v>569890</v>
      </c>
      <c r="Q655" s="1">
        <f t="shared" si="176"/>
        <v>70194398</v>
      </c>
    </row>
    <row r="656" spans="1:17" x14ac:dyDescent="0.3">
      <c r="A656" s="2">
        <f t="shared" si="182"/>
        <v>654</v>
      </c>
      <c r="B656" s="6">
        <f t="shared" si="182"/>
        <v>1204</v>
      </c>
      <c r="C656" s="9">
        <f t="shared" si="177"/>
        <v>300940</v>
      </c>
      <c r="D656" s="6">
        <f t="shared" si="173"/>
        <v>804</v>
      </c>
      <c r="E656" s="9">
        <f t="shared" si="178"/>
        <v>161580</v>
      </c>
      <c r="F656" s="3">
        <f t="shared" si="174"/>
        <v>1254</v>
      </c>
      <c r="G656" s="3">
        <f t="shared" si="179"/>
        <v>132020</v>
      </c>
      <c r="J656" s="6">
        <f t="shared" si="180"/>
        <v>6.9699999999998914</v>
      </c>
      <c r="K656" s="11">
        <f t="shared" si="181"/>
        <v>573020</v>
      </c>
      <c r="P656" s="1">
        <f t="shared" si="175"/>
        <v>573020</v>
      </c>
      <c r="Q656" s="1">
        <f t="shared" si="176"/>
        <v>70767418</v>
      </c>
    </row>
    <row r="657" spans="1:17" x14ac:dyDescent="0.3">
      <c r="A657" s="2">
        <f t="shared" si="182"/>
        <v>655</v>
      </c>
      <c r="B657" s="6">
        <f t="shared" si="182"/>
        <v>1205</v>
      </c>
      <c r="C657" s="9">
        <f t="shared" si="177"/>
        <v>302550</v>
      </c>
      <c r="D657" s="6">
        <f t="shared" si="173"/>
        <v>805</v>
      </c>
      <c r="E657" s="9">
        <f t="shared" si="178"/>
        <v>162350</v>
      </c>
      <c r="F657" s="3">
        <f t="shared" si="174"/>
        <v>1255</v>
      </c>
      <c r="G657" s="3">
        <f t="shared" si="179"/>
        <v>132650</v>
      </c>
      <c r="J657" s="6">
        <f t="shared" si="180"/>
        <v>6.9749999999998913</v>
      </c>
      <c r="K657" s="11">
        <f t="shared" si="181"/>
        <v>576150</v>
      </c>
      <c r="P657" s="1">
        <f t="shared" si="175"/>
        <v>576150</v>
      </c>
      <c r="Q657" s="1">
        <f t="shared" si="176"/>
        <v>71343568</v>
      </c>
    </row>
    <row r="658" spans="1:17" x14ac:dyDescent="0.3">
      <c r="A658" s="2">
        <f t="shared" si="182"/>
        <v>656</v>
      </c>
      <c r="B658" s="6">
        <f t="shared" si="182"/>
        <v>1206</v>
      </c>
      <c r="C658" s="9">
        <f t="shared" si="177"/>
        <v>304160</v>
      </c>
      <c r="D658" s="6">
        <f t="shared" si="173"/>
        <v>806</v>
      </c>
      <c r="E658" s="9">
        <f t="shared" si="178"/>
        <v>163120</v>
      </c>
      <c r="F658" s="3">
        <f t="shared" si="174"/>
        <v>1256</v>
      </c>
      <c r="G658" s="3">
        <f t="shared" si="179"/>
        <v>133280</v>
      </c>
      <c r="J658" s="6">
        <f t="shared" si="180"/>
        <v>6.9799999999998912</v>
      </c>
      <c r="K658" s="11">
        <f t="shared" si="181"/>
        <v>579280</v>
      </c>
      <c r="P658" s="1">
        <f t="shared" si="175"/>
        <v>579280</v>
      </c>
      <c r="Q658" s="1">
        <f t="shared" si="176"/>
        <v>71922848</v>
      </c>
    </row>
    <row r="659" spans="1:17" x14ac:dyDescent="0.3">
      <c r="A659" s="2">
        <f t="shared" si="182"/>
        <v>657</v>
      </c>
      <c r="B659" s="6">
        <f t="shared" si="182"/>
        <v>1207</v>
      </c>
      <c r="C659" s="9">
        <f t="shared" si="177"/>
        <v>305770</v>
      </c>
      <c r="D659" s="6">
        <f t="shared" si="173"/>
        <v>807</v>
      </c>
      <c r="E659" s="9">
        <f t="shared" si="178"/>
        <v>163890</v>
      </c>
      <c r="F659" s="3">
        <f t="shared" si="174"/>
        <v>1257</v>
      </c>
      <c r="G659" s="3">
        <f t="shared" si="179"/>
        <v>133910</v>
      </c>
      <c r="J659" s="6">
        <f t="shared" si="180"/>
        <v>6.9849999999998911</v>
      </c>
      <c r="K659" s="11">
        <f t="shared" si="181"/>
        <v>582410</v>
      </c>
      <c r="P659" s="1">
        <f t="shared" si="175"/>
        <v>582410</v>
      </c>
      <c r="Q659" s="1">
        <f t="shared" si="176"/>
        <v>72505258</v>
      </c>
    </row>
    <row r="660" spans="1:17" x14ac:dyDescent="0.3">
      <c r="A660" s="2">
        <f t="shared" si="182"/>
        <v>658</v>
      </c>
      <c r="B660" s="6">
        <f t="shared" si="182"/>
        <v>1208</v>
      </c>
      <c r="C660" s="9">
        <f t="shared" si="177"/>
        <v>307380</v>
      </c>
      <c r="D660" s="6">
        <f t="shared" si="173"/>
        <v>808</v>
      </c>
      <c r="E660" s="9">
        <f t="shared" si="178"/>
        <v>164660</v>
      </c>
      <c r="F660" s="3">
        <f t="shared" si="174"/>
        <v>1258</v>
      </c>
      <c r="G660" s="3">
        <f t="shared" si="179"/>
        <v>134540</v>
      </c>
      <c r="J660" s="6">
        <f t="shared" si="180"/>
        <v>6.989999999999891</v>
      </c>
      <c r="K660" s="11">
        <f t="shared" si="181"/>
        <v>585540</v>
      </c>
      <c r="P660" s="1">
        <f t="shared" si="175"/>
        <v>585540</v>
      </c>
      <c r="Q660" s="1">
        <f t="shared" si="176"/>
        <v>73090798</v>
      </c>
    </row>
    <row r="661" spans="1:17" x14ac:dyDescent="0.3">
      <c r="A661" s="2">
        <f t="shared" si="182"/>
        <v>659</v>
      </c>
      <c r="B661" s="6">
        <f t="shared" si="182"/>
        <v>1209</v>
      </c>
      <c r="C661" s="9">
        <f t="shared" si="177"/>
        <v>308990</v>
      </c>
      <c r="D661" s="6">
        <f t="shared" si="173"/>
        <v>809</v>
      </c>
      <c r="E661" s="9">
        <f t="shared" si="178"/>
        <v>165430</v>
      </c>
      <c r="F661" s="3">
        <f t="shared" si="174"/>
        <v>1259</v>
      </c>
      <c r="G661" s="3">
        <f t="shared" si="179"/>
        <v>135170</v>
      </c>
      <c r="J661" s="6">
        <f t="shared" si="180"/>
        <v>6.9949999999998909</v>
      </c>
      <c r="K661" s="11">
        <f t="shared" si="181"/>
        <v>588670</v>
      </c>
      <c r="P661" s="1">
        <f t="shared" si="175"/>
        <v>588670</v>
      </c>
      <c r="Q661" s="1">
        <f t="shared" si="176"/>
        <v>73679468</v>
      </c>
    </row>
    <row r="662" spans="1:17" x14ac:dyDescent="0.3">
      <c r="A662" s="2">
        <f t="shared" si="182"/>
        <v>660</v>
      </c>
      <c r="B662" s="6">
        <f t="shared" si="182"/>
        <v>1210</v>
      </c>
      <c r="C662" s="9">
        <f t="shared" si="177"/>
        <v>310600</v>
      </c>
      <c r="D662" s="6">
        <f t="shared" si="173"/>
        <v>810</v>
      </c>
      <c r="E662" s="9">
        <f t="shared" si="178"/>
        <v>166200</v>
      </c>
      <c r="F662" s="3">
        <f t="shared" si="174"/>
        <v>1260</v>
      </c>
      <c r="G662" s="3">
        <f t="shared" si="179"/>
        <v>135800</v>
      </c>
      <c r="J662" s="6">
        <f t="shared" si="180"/>
        <v>6.9999999999998908</v>
      </c>
      <c r="K662" s="11">
        <f t="shared" si="181"/>
        <v>591800</v>
      </c>
      <c r="P662" s="1">
        <f t="shared" si="175"/>
        <v>591800</v>
      </c>
      <c r="Q662" s="1">
        <f t="shared" si="176"/>
        <v>74271268</v>
      </c>
    </row>
    <row r="663" spans="1:17" x14ac:dyDescent="0.3">
      <c r="A663" s="2">
        <f t="shared" si="182"/>
        <v>661</v>
      </c>
      <c r="B663" s="6">
        <f t="shared" si="182"/>
        <v>1211</v>
      </c>
      <c r="C663" s="9">
        <f t="shared" si="177"/>
        <v>312210</v>
      </c>
      <c r="D663" s="6">
        <f t="shared" si="173"/>
        <v>811</v>
      </c>
      <c r="E663" s="9">
        <f t="shared" si="178"/>
        <v>166970</v>
      </c>
      <c r="F663" s="3">
        <f t="shared" si="174"/>
        <v>1261</v>
      </c>
      <c r="G663" s="3">
        <f t="shared" si="179"/>
        <v>136430</v>
      </c>
      <c r="J663" s="6">
        <f t="shared" si="180"/>
        <v>7.0049999999998906</v>
      </c>
      <c r="K663" s="11">
        <f t="shared" si="181"/>
        <v>594930</v>
      </c>
      <c r="P663" s="1">
        <f t="shared" si="175"/>
        <v>594930</v>
      </c>
      <c r="Q663" s="1">
        <f t="shared" si="176"/>
        <v>74866198</v>
      </c>
    </row>
    <row r="664" spans="1:17" x14ac:dyDescent="0.3">
      <c r="A664" s="2">
        <f t="shared" si="182"/>
        <v>662</v>
      </c>
      <c r="B664" s="6">
        <f t="shared" si="182"/>
        <v>1212</v>
      </c>
      <c r="C664" s="9">
        <f t="shared" si="177"/>
        <v>313820</v>
      </c>
      <c r="D664" s="6">
        <f t="shared" si="173"/>
        <v>812</v>
      </c>
      <c r="E664" s="9">
        <f t="shared" si="178"/>
        <v>167740</v>
      </c>
      <c r="F664" s="3">
        <f t="shared" si="174"/>
        <v>1262</v>
      </c>
      <c r="G664" s="3">
        <f t="shared" si="179"/>
        <v>137060</v>
      </c>
      <c r="J664" s="6">
        <f t="shared" si="180"/>
        <v>7.0099999999998905</v>
      </c>
      <c r="K664" s="11">
        <f t="shared" si="181"/>
        <v>598060</v>
      </c>
      <c r="P664" s="1">
        <f t="shared" si="175"/>
        <v>598060</v>
      </c>
      <c r="Q664" s="1">
        <f t="shared" si="176"/>
        <v>75464258</v>
      </c>
    </row>
    <row r="665" spans="1:17" x14ac:dyDescent="0.3">
      <c r="A665" s="2">
        <f t="shared" si="182"/>
        <v>663</v>
      </c>
      <c r="B665" s="6">
        <f t="shared" si="182"/>
        <v>1213</v>
      </c>
      <c r="C665" s="9">
        <f t="shared" si="177"/>
        <v>315430</v>
      </c>
      <c r="D665" s="6">
        <f t="shared" si="173"/>
        <v>813</v>
      </c>
      <c r="E665" s="9">
        <f t="shared" si="178"/>
        <v>168510</v>
      </c>
      <c r="F665" s="3">
        <f t="shared" si="174"/>
        <v>1263</v>
      </c>
      <c r="G665" s="3">
        <f t="shared" si="179"/>
        <v>137690</v>
      </c>
      <c r="J665" s="6">
        <f t="shared" si="180"/>
        <v>7.0149999999998904</v>
      </c>
      <c r="K665" s="11">
        <f t="shared" si="181"/>
        <v>601190</v>
      </c>
      <c r="P665" s="1">
        <f t="shared" si="175"/>
        <v>601190</v>
      </c>
      <c r="Q665" s="1">
        <f t="shared" si="176"/>
        <v>76065448</v>
      </c>
    </row>
    <row r="666" spans="1:17" x14ac:dyDescent="0.3">
      <c r="A666" s="2">
        <f t="shared" si="182"/>
        <v>664</v>
      </c>
      <c r="B666" s="6">
        <f t="shared" si="182"/>
        <v>1214</v>
      </c>
      <c r="C666" s="9">
        <f t="shared" si="177"/>
        <v>317040</v>
      </c>
      <c r="D666" s="6">
        <f t="shared" si="173"/>
        <v>814</v>
      </c>
      <c r="E666" s="9">
        <f t="shared" si="178"/>
        <v>169280</v>
      </c>
      <c r="F666" s="3">
        <f t="shared" si="174"/>
        <v>1264</v>
      </c>
      <c r="G666" s="3">
        <f t="shared" si="179"/>
        <v>138320</v>
      </c>
      <c r="J666" s="6">
        <f t="shared" si="180"/>
        <v>7.0199999999998903</v>
      </c>
      <c r="K666" s="11">
        <f t="shared" si="181"/>
        <v>604320</v>
      </c>
      <c r="P666" s="1">
        <f t="shared" si="175"/>
        <v>604320</v>
      </c>
      <c r="Q666" s="1">
        <f t="shared" si="176"/>
        <v>76669768</v>
      </c>
    </row>
    <row r="667" spans="1:17" x14ac:dyDescent="0.3">
      <c r="A667" s="2">
        <f t="shared" si="182"/>
        <v>665</v>
      </c>
      <c r="B667" s="6">
        <f t="shared" si="182"/>
        <v>1215</v>
      </c>
      <c r="C667" s="9">
        <f t="shared" si="177"/>
        <v>318650</v>
      </c>
      <c r="D667" s="6">
        <f t="shared" si="173"/>
        <v>815</v>
      </c>
      <c r="E667" s="9">
        <f t="shared" si="178"/>
        <v>170050</v>
      </c>
      <c r="F667" s="3">
        <f t="shared" si="174"/>
        <v>1265</v>
      </c>
      <c r="G667" s="3">
        <f t="shared" si="179"/>
        <v>138950</v>
      </c>
      <c r="J667" s="6">
        <f t="shared" si="180"/>
        <v>7.0249999999998902</v>
      </c>
      <c r="K667" s="11">
        <f t="shared" si="181"/>
        <v>607450</v>
      </c>
      <c r="P667" s="1">
        <f t="shared" si="175"/>
        <v>607450</v>
      </c>
      <c r="Q667" s="1">
        <f t="shared" si="176"/>
        <v>77277218</v>
      </c>
    </row>
    <row r="668" spans="1:17" x14ac:dyDescent="0.3">
      <c r="A668" s="2">
        <f t="shared" si="182"/>
        <v>666</v>
      </c>
      <c r="B668" s="6">
        <f t="shared" si="182"/>
        <v>1216</v>
      </c>
      <c r="C668" s="9">
        <f t="shared" si="177"/>
        <v>320260</v>
      </c>
      <c r="D668" s="6">
        <f t="shared" si="173"/>
        <v>816</v>
      </c>
      <c r="E668" s="9">
        <f t="shared" si="178"/>
        <v>170820</v>
      </c>
      <c r="F668" s="3">
        <f t="shared" si="174"/>
        <v>1266</v>
      </c>
      <c r="G668" s="3">
        <f t="shared" si="179"/>
        <v>139580</v>
      </c>
      <c r="J668" s="6">
        <f t="shared" si="180"/>
        <v>7.0299999999998901</v>
      </c>
      <c r="K668" s="11">
        <f t="shared" si="181"/>
        <v>610580</v>
      </c>
      <c r="P668" s="1">
        <f t="shared" si="175"/>
        <v>610580</v>
      </c>
      <c r="Q668" s="1">
        <f t="shared" si="176"/>
        <v>77887798</v>
      </c>
    </row>
    <row r="669" spans="1:17" x14ac:dyDescent="0.3">
      <c r="A669" s="2">
        <f t="shared" si="182"/>
        <v>667</v>
      </c>
      <c r="B669" s="6">
        <f t="shared" si="182"/>
        <v>1217</v>
      </c>
      <c r="C669" s="9">
        <f t="shared" si="177"/>
        <v>321870</v>
      </c>
      <c r="D669" s="6">
        <f t="shared" si="173"/>
        <v>817</v>
      </c>
      <c r="E669" s="9">
        <f t="shared" si="178"/>
        <v>171590</v>
      </c>
      <c r="F669" s="3">
        <f t="shared" si="174"/>
        <v>1267</v>
      </c>
      <c r="G669" s="3">
        <f t="shared" si="179"/>
        <v>140210</v>
      </c>
      <c r="J669" s="6">
        <f t="shared" si="180"/>
        <v>7.03499999999989</v>
      </c>
      <c r="K669" s="11">
        <f t="shared" si="181"/>
        <v>613710</v>
      </c>
      <c r="P669" s="1">
        <f t="shared" si="175"/>
        <v>613710</v>
      </c>
      <c r="Q669" s="1">
        <f t="shared" si="176"/>
        <v>78501508</v>
      </c>
    </row>
    <row r="670" spans="1:17" x14ac:dyDescent="0.3">
      <c r="A670" s="2">
        <f t="shared" si="182"/>
        <v>668</v>
      </c>
      <c r="B670" s="6">
        <f t="shared" si="182"/>
        <v>1218</v>
      </c>
      <c r="C670" s="9">
        <f t="shared" si="177"/>
        <v>323480</v>
      </c>
      <c r="D670" s="6">
        <f t="shared" si="173"/>
        <v>818</v>
      </c>
      <c r="E670" s="9">
        <f t="shared" si="178"/>
        <v>172360</v>
      </c>
      <c r="F670" s="3">
        <f t="shared" si="174"/>
        <v>1268</v>
      </c>
      <c r="G670" s="3">
        <f t="shared" si="179"/>
        <v>140840</v>
      </c>
      <c r="J670" s="6">
        <f t="shared" si="180"/>
        <v>7.0399999999998899</v>
      </c>
      <c r="K670" s="11">
        <f t="shared" si="181"/>
        <v>616840</v>
      </c>
      <c r="P670" s="1">
        <f t="shared" si="175"/>
        <v>616840</v>
      </c>
      <c r="Q670" s="1">
        <f t="shared" si="176"/>
        <v>79118348</v>
      </c>
    </row>
    <row r="671" spans="1:17" x14ac:dyDescent="0.3">
      <c r="A671" s="2">
        <f t="shared" si="182"/>
        <v>669</v>
      </c>
      <c r="B671" s="6">
        <f t="shared" si="182"/>
        <v>1219</v>
      </c>
      <c r="C671" s="9">
        <f t="shared" si="177"/>
        <v>325090</v>
      </c>
      <c r="D671" s="6">
        <f t="shared" si="173"/>
        <v>819</v>
      </c>
      <c r="E671" s="9">
        <f t="shared" si="178"/>
        <v>173130</v>
      </c>
      <c r="F671" s="3">
        <f t="shared" si="174"/>
        <v>1269</v>
      </c>
      <c r="G671" s="3">
        <f t="shared" si="179"/>
        <v>141470</v>
      </c>
      <c r="J671" s="6">
        <f t="shared" si="180"/>
        <v>7.0449999999998898</v>
      </c>
      <c r="K671" s="11">
        <f t="shared" si="181"/>
        <v>619970</v>
      </c>
      <c r="P671" s="1">
        <f t="shared" si="175"/>
        <v>619970</v>
      </c>
      <c r="Q671" s="1">
        <f t="shared" si="176"/>
        <v>79738318</v>
      </c>
    </row>
    <row r="672" spans="1:17" x14ac:dyDescent="0.3">
      <c r="A672" s="2">
        <f t="shared" si="182"/>
        <v>670</v>
      </c>
      <c r="B672" s="6">
        <f t="shared" si="182"/>
        <v>1220</v>
      </c>
      <c r="C672" s="9">
        <f t="shared" si="177"/>
        <v>326700</v>
      </c>
      <c r="D672" s="6">
        <f t="shared" si="173"/>
        <v>820</v>
      </c>
      <c r="E672" s="9">
        <f t="shared" si="178"/>
        <v>173900</v>
      </c>
      <c r="F672" s="3">
        <f t="shared" si="174"/>
        <v>1270</v>
      </c>
      <c r="G672" s="3">
        <f t="shared" si="179"/>
        <v>142100</v>
      </c>
      <c r="J672" s="6">
        <f t="shared" si="180"/>
        <v>7.0499999999998897</v>
      </c>
      <c r="K672" s="11">
        <f t="shared" si="181"/>
        <v>623100</v>
      </c>
      <c r="P672" s="1">
        <f t="shared" si="175"/>
        <v>623100</v>
      </c>
      <c r="Q672" s="1">
        <f t="shared" si="176"/>
        <v>80361418</v>
      </c>
    </row>
    <row r="673" spans="1:17" x14ac:dyDescent="0.3">
      <c r="A673" s="2">
        <f t="shared" si="182"/>
        <v>671</v>
      </c>
      <c r="B673" s="6">
        <f t="shared" si="182"/>
        <v>1221</v>
      </c>
      <c r="C673" s="9">
        <f t="shared" si="177"/>
        <v>328310</v>
      </c>
      <c r="D673" s="6">
        <f t="shared" si="173"/>
        <v>821</v>
      </c>
      <c r="E673" s="9">
        <f t="shared" si="178"/>
        <v>174670</v>
      </c>
      <c r="F673" s="3">
        <f t="shared" si="174"/>
        <v>1271</v>
      </c>
      <c r="G673" s="3">
        <f t="shared" si="179"/>
        <v>142730</v>
      </c>
      <c r="J673" s="6">
        <f t="shared" si="180"/>
        <v>7.0549999999998896</v>
      </c>
      <c r="K673" s="11">
        <f t="shared" si="181"/>
        <v>626230</v>
      </c>
      <c r="P673" s="1">
        <f t="shared" si="175"/>
        <v>626230</v>
      </c>
      <c r="Q673" s="1">
        <f t="shared" si="176"/>
        <v>80987648</v>
      </c>
    </row>
    <row r="674" spans="1:17" x14ac:dyDescent="0.3">
      <c r="A674" s="2">
        <f t="shared" si="182"/>
        <v>672</v>
      </c>
      <c r="B674" s="6">
        <f t="shared" si="182"/>
        <v>1222</v>
      </c>
      <c r="C674" s="9">
        <f t="shared" si="177"/>
        <v>329920</v>
      </c>
      <c r="D674" s="6">
        <f t="shared" si="173"/>
        <v>822</v>
      </c>
      <c r="E674" s="9">
        <f t="shared" si="178"/>
        <v>175440</v>
      </c>
      <c r="F674" s="3">
        <f t="shared" si="174"/>
        <v>1272</v>
      </c>
      <c r="G674" s="3">
        <f t="shared" si="179"/>
        <v>143360</v>
      </c>
      <c r="J674" s="6">
        <f t="shared" si="180"/>
        <v>7.0599999999998895</v>
      </c>
      <c r="K674" s="11">
        <f t="shared" si="181"/>
        <v>629360</v>
      </c>
      <c r="P674" s="1">
        <f t="shared" si="175"/>
        <v>629360</v>
      </c>
      <c r="Q674" s="1">
        <f t="shared" si="176"/>
        <v>81617008</v>
      </c>
    </row>
    <row r="675" spans="1:17" x14ac:dyDescent="0.3">
      <c r="A675" s="2">
        <f t="shared" si="182"/>
        <v>673</v>
      </c>
      <c r="B675" s="6">
        <f t="shared" si="182"/>
        <v>1223</v>
      </c>
      <c r="C675" s="9">
        <f t="shared" si="177"/>
        <v>331530</v>
      </c>
      <c r="D675" s="6">
        <f t="shared" si="173"/>
        <v>823</v>
      </c>
      <c r="E675" s="9">
        <f t="shared" si="178"/>
        <v>176210</v>
      </c>
      <c r="F675" s="3">
        <f t="shared" si="174"/>
        <v>1273</v>
      </c>
      <c r="G675" s="3">
        <f t="shared" si="179"/>
        <v>143990</v>
      </c>
      <c r="J675" s="6">
        <f t="shared" si="180"/>
        <v>7.0649999999998894</v>
      </c>
      <c r="K675" s="11">
        <f t="shared" si="181"/>
        <v>632490</v>
      </c>
      <c r="P675" s="1">
        <f t="shared" si="175"/>
        <v>632490</v>
      </c>
      <c r="Q675" s="1">
        <f t="shared" si="176"/>
        <v>82249498</v>
      </c>
    </row>
    <row r="676" spans="1:17" x14ac:dyDescent="0.3">
      <c r="A676" s="2">
        <f t="shared" si="182"/>
        <v>674</v>
      </c>
      <c r="B676" s="6">
        <f t="shared" si="182"/>
        <v>1224</v>
      </c>
      <c r="C676" s="9">
        <f t="shared" si="177"/>
        <v>333140</v>
      </c>
      <c r="D676" s="6">
        <f t="shared" si="173"/>
        <v>824</v>
      </c>
      <c r="E676" s="9">
        <f t="shared" si="178"/>
        <v>176980</v>
      </c>
      <c r="F676" s="3">
        <f t="shared" si="174"/>
        <v>1274</v>
      </c>
      <c r="G676" s="3">
        <f t="shared" si="179"/>
        <v>144620</v>
      </c>
      <c r="J676" s="6">
        <f t="shared" si="180"/>
        <v>7.0699999999998893</v>
      </c>
      <c r="K676" s="11">
        <f t="shared" si="181"/>
        <v>635620</v>
      </c>
      <c r="P676" s="1">
        <f t="shared" si="175"/>
        <v>635620</v>
      </c>
      <c r="Q676" s="1">
        <f t="shared" si="176"/>
        <v>82885118</v>
      </c>
    </row>
    <row r="677" spans="1:17" x14ac:dyDescent="0.3">
      <c r="A677" s="2">
        <f t="shared" si="182"/>
        <v>675</v>
      </c>
      <c r="B677" s="6">
        <f t="shared" si="182"/>
        <v>1225</v>
      </c>
      <c r="C677" s="9">
        <f t="shared" si="177"/>
        <v>334750</v>
      </c>
      <c r="D677" s="6">
        <f t="shared" si="173"/>
        <v>825</v>
      </c>
      <c r="E677" s="9">
        <f t="shared" si="178"/>
        <v>177750</v>
      </c>
      <c r="F677" s="3">
        <f t="shared" si="174"/>
        <v>1275</v>
      </c>
      <c r="G677" s="3">
        <f t="shared" si="179"/>
        <v>145250</v>
      </c>
      <c r="J677" s="6">
        <f t="shared" si="180"/>
        <v>7.0749999999998892</v>
      </c>
      <c r="K677" s="11">
        <f t="shared" si="181"/>
        <v>638750</v>
      </c>
      <c r="P677" s="1">
        <f t="shared" si="175"/>
        <v>638750</v>
      </c>
      <c r="Q677" s="1">
        <f t="shared" si="176"/>
        <v>83523868</v>
      </c>
    </row>
    <row r="678" spans="1:17" x14ac:dyDescent="0.3">
      <c r="A678" s="2">
        <f t="shared" si="182"/>
        <v>676</v>
      </c>
      <c r="B678" s="6">
        <f t="shared" si="182"/>
        <v>1226</v>
      </c>
      <c r="C678" s="9">
        <f t="shared" si="177"/>
        <v>336360</v>
      </c>
      <c r="D678" s="6">
        <f t="shared" si="173"/>
        <v>826</v>
      </c>
      <c r="E678" s="9">
        <f t="shared" si="178"/>
        <v>178520</v>
      </c>
      <c r="F678" s="3">
        <f t="shared" si="174"/>
        <v>1276</v>
      </c>
      <c r="G678" s="3">
        <f t="shared" si="179"/>
        <v>145880</v>
      </c>
      <c r="J678" s="6">
        <f t="shared" si="180"/>
        <v>7.079999999999889</v>
      </c>
      <c r="K678" s="11">
        <f t="shared" si="181"/>
        <v>641880</v>
      </c>
      <c r="P678" s="1">
        <f t="shared" si="175"/>
        <v>641880</v>
      </c>
      <c r="Q678" s="1">
        <f t="shared" si="176"/>
        <v>84165748</v>
      </c>
    </row>
    <row r="679" spans="1:17" x14ac:dyDescent="0.3">
      <c r="A679" s="2">
        <f t="shared" si="182"/>
        <v>677</v>
      </c>
      <c r="B679" s="6">
        <f t="shared" si="182"/>
        <v>1227</v>
      </c>
      <c r="C679" s="9">
        <f t="shared" si="177"/>
        <v>337970</v>
      </c>
      <c r="D679" s="6">
        <f t="shared" si="173"/>
        <v>827</v>
      </c>
      <c r="E679" s="9">
        <f t="shared" si="178"/>
        <v>179290</v>
      </c>
      <c r="F679" s="3">
        <f t="shared" si="174"/>
        <v>1277</v>
      </c>
      <c r="G679" s="3">
        <f t="shared" si="179"/>
        <v>146510</v>
      </c>
      <c r="J679" s="6">
        <f t="shared" si="180"/>
        <v>7.0849999999998889</v>
      </c>
      <c r="K679" s="11">
        <f t="shared" si="181"/>
        <v>645010</v>
      </c>
      <c r="P679" s="1">
        <f t="shared" si="175"/>
        <v>645010</v>
      </c>
      <c r="Q679" s="1">
        <f t="shared" si="176"/>
        <v>84810758</v>
      </c>
    </row>
    <row r="680" spans="1:17" x14ac:dyDescent="0.3">
      <c r="A680" s="2">
        <f t="shared" si="182"/>
        <v>678</v>
      </c>
      <c r="B680" s="6">
        <f t="shared" si="182"/>
        <v>1228</v>
      </c>
      <c r="C680" s="9">
        <f t="shared" si="177"/>
        <v>339580</v>
      </c>
      <c r="D680" s="6">
        <f t="shared" ref="D680:D743" si="183">D679+1</f>
        <v>828</v>
      </c>
      <c r="E680" s="9">
        <f t="shared" si="178"/>
        <v>180060</v>
      </c>
      <c r="F680" s="3">
        <f t="shared" ref="F680:F743" si="184">F679+1</f>
        <v>1278</v>
      </c>
      <c r="G680" s="3">
        <f t="shared" si="179"/>
        <v>147140</v>
      </c>
      <c r="J680" s="6">
        <f t="shared" si="180"/>
        <v>7.0899999999998888</v>
      </c>
      <c r="K680" s="11">
        <f t="shared" si="181"/>
        <v>648140</v>
      </c>
      <c r="P680" s="1">
        <f t="shared" si="175"/>
        <v>648140</v>
      </c>
      <c r="Q680" s="1">
        <f t="shared" si="176"/>
        <v>85458898</v>
      </c>
    </row>
    <row r="681" spans="1:17" x14ac:dyDescent="0.3">
      <c r="A681" s="2">
        <f t="shared" si="182"/>
        <v>679</v>
      </c>
      <c r="B681" s="6">
        <f t="shared" si="182"/>
        <v>1229</v>
      </c>
      <c r="C681" s="9">
        <f t="shared" si="177"/>
        <v>341190</v>
      </c>
      <c r="D681" s="6">
        <f t="shared" si="183"/>
        <v>829</v>
      </c>
      <c r="E681" s="9">
        <f t="shared" si="178"/>
        <v>180830</v>
      </c>
      <c r="F681" s="3">
        <f t="shared" si="184"/>
        <v>1279</v>
      </c>
      <c r="G681" s="3">
        <f t="shared" si="179"/>
        <v>147770</v>
      </c>
      <c r="J681" s="6">
        <f t="shared" si="180"/>
        <v>7.0949999999998887</v>
      </c>
      <c r="K681" s="11">
        <f t="shared" si="181"/>
        <v>651270</v>
      </c>
      <c r="P681" s="1">
        <f t="shared" si="175"/>
        <v>651270</v>
      </c>
      <c r="Q681" s="1">
        <f t="shared" si="176"/>
        <v>86110168</v>
      </c>
    </row>
    <row r="682" spans="1:17" x14ac:dyDescent="0.3">
      <c r="A682" s="2">
        <f t="shared" si="182"/>
        <v>680</v>
      </c>
      <c r="B682" s="6">
        <f t="shared" si="182"/>
        <v>1230</v>
      </c>
      <c r="C682" s="9">
        <f t="shared" si="177"/>
        <v>342800</v>
      </c>
      <c r="D682" s="6">
        <f t="shared" si="183"/>
        <v>830</v>
      </c>
      <c r="E682" s="9">
        <f t="shared" si="178"/>
        <v>181600</v>
      </c>
      <c r="F682" s="3">
        <f t="shared" si="184"/>
        <v>1280</v>
      </c>
      <c r="G682" s="3">
        <f t="shared" si="179"/>
        <v>148400</v>
      </c>
      <c r="J682" s="6">
        <f t="shared" si="180"/>
        <v>7.0999999999998886</v>
      </c>
      <c r="K682" s="11">
        <f t="shared" si="181"/>
        <v>654400</v>
      </c>
      <c r="P682" s="1">
        <f t="shared" si="175"/>
        <v>654400</v>
      </c>
      <c r="Q682" s="1">
        <f t="shared" si="176"/>
        <v>86764568</v>
      </c>
    </row>
    <row r="683" spans="1:17" x14ac:dyDescent="0.3">
      <c r="A683" s="2">
        <f t="shared" si="182"/>
        <v>681</v>
      </c>
      <c r="B683" s="6">
        <f t="shared" si="182"/>
        <v>1231</v>
      </c>
      <c r="C683" s="9">
        <f t="shared" si="177"/>
        <v>344410</v>
      </c>
      <c r="D683" s="6">
        <f t="shared" si="183"/>
        <v>831</v>
      </c>
      <c r="E683" s="9">
        <f t="shared" si="178"/>
        <v>182370</v>
      </c>
      <c r="F683" s="3">
        <f t="shared" si="184"/>
        <v>1281</v>
      </c>
      <c r="G683" s="3">
        <f t="shared" si="179"/>
        <v>149030</v>
      </c>
      <c r="J683" s="6">
        <f t="shared" si="180"/>
        <v>7.1049999999998885</v>
      </c>
      <c r="K683" s="11">
        <f t="shared" si="181"/>
        <v>657530</v>
      </c>
      <c r="P683" s="1">
        <f t="shared" si="175"/>
        <v>657530</v>
      </c>
      <c r="Q683" s="1">
        <f t="shared" si="176"/>
        <v>87422098</v>
      </c>
    </row>
    <row r="684" spans="1:17" x14ac:dyDescent="0.3">
      <c r="A684" s="2">
        <f t="shared" si="182"/>
        <v>682</v>
      </c>
      <c r="B684" s="6">
        <f t="shared" si="182"/>
        <v>1232</v>
      </c>
      <c r="C684" s="9">
        <f t="shared" si="177"/>
        <v>346020</v>
      </c>
      <c r="D684" s="6">
        <f t="shared" si="183"/>
        <v>832</v>
      </c>
      <c r="E684" s="9">
        <f t="shared" si="178"/>
        <v>183140</v>
      </c>
      <c r="F684" s="3">
        <f t="shared" si="184"/>
        <v>1282</v>
      </c>
      <c r="G684" s="3">
        <f t="shared" si="179"/>
        <v>149660</v>
      </c>
      <c r="J684" s="6">
        <f t="shared" si="180"/>
        <v>7.1099999999998884</v>
      </c>
      <c r="K684" s="11">
        <f t="shared" si="181"/>
        <v>660660</v>
      </c>
      <c r="P684" s="1">
        <f t="shared" si="175"/>
        <v>660660</v>
      </c>
      <c r="Q684" s="1">
        <f t="shared" si="176"/>
        <v>88082758</v>
      </c>
    </row>
    <row r="685" spans="1:17" x14ac:dyDescent="0.3">
      <c r="A685" s="2">
        <f t="shared" si="182"/>
        <v>683</v>
      </c>
      <c r="B685" s="6">
        <f t="shared" si="182"/>
        <v>1233</v>
      </c>
      <c r="C685" s="9">
        <f t="shared" si="177"/>
        <v>347630</v>
      </c>
      <c r="D685" s="6">
        <f t="shared" si="183"/>
        <v>833</v>
      </c>
      <c r="E685" s="9">
        <f t="shared" si="178"/>
        <v>183910</v>
      </c>
      <c r="F685" s="3">
        <f t="shared" si="184"/>
        <v>1283</v>
      </c>
      <c r="G685" s="3">
        <f t="shared" si="179"/>
        <v>150290</v>
      </c>
      <c r="J685" s="6">
        <f t="shared" si="180"/>
        <v>7.1149999999998883</v>
      </c>
      <c r="K685" s="11">
        <f t="shared" si="181"/>
        <v>663790</v>
      </c>
      <c r="P685" s="1">
        <f t="shared" si="175"/>
        <v>663790</v>
      </c>
      <c r="Q685" s="1">
        <f t="shared" si="176"/>
        <v>88746548</v>
      </c>
    </row>
    <row r="686" spans="1:17" x14ac:dyDescent="0.3">
      <c r="A686" s="2">
        <f t="shared" si="182"/>
        <v>684</v>
      </c>
      <c r="B686" s="6">
        <f t="shared" si="182"/>
        <v>1234</v>
      </c>
      <c r="C686" s="9">
        <f t="shared" si="177"/>
        <v>349240</v>
      </c>
      <c r="D686" s="6">
        <f t="shared" si="183"/>
        <v>834</v>
      </c>
      <c r="E686" s="9">
        <f t="shared" si="178"/>
        <v>184680</v>
      </c>
      <c r="F686" s="3">
        <f t="shared" si="184"/>
        <v>1284</v>
      </c>
      <c r="G686" s="3">
        <f t="shared" si="179"/>
        <v>150920</v>
      </c>
      <c r="J686" s="6">
        <f t="shared" si="180"/>
        <v>7.1199999999998882</v>
      </c>
      <c r="K686" s="11">
        <f t="shared" si="181"/>
        <v>666920</v>
      </c>
      <c r="P686" s="1">
        <f t="shared" si="175"/>
        <v>666920</v>
      </c>
      <c r="Q686" s="1">
        <f t="shared" si="176"/>
        <v>89413468</v>
      </c>
    </row>
    <row r="687" spans="1:17" x14ac:dyDescent="0.3">
      <c r="A687" s="2">
        <f t="shared" si="182"/>
        <v>685</v>
      </c>
      <c r="B687" s="6">
        <f t="shared" si="182"/>
        <v>1235</v>
      </c>
      <c r="C687" s="9">
        <f t="shared" si="177"/>
        <v>350850</v>
      </c>
      <c r="D687" s="6">
        <f t="shared" si="183"/>
        <v>835</v>
      </c>
      <c r="E687" s="9">
        <f t="shared" si="178"/>
        <v>185450</v>
      </c>
      <c r="F687" s="3">
        <f t="shared" si="184"/>
        <v>1285</v>
      </c>
      <c r="G687" s="3">
        <f t="shared" si="179"/>
        <v>151550</v>
      </c>
      <c r="J687" s="6">
        <f t="shared" si="180"/>
        <v>7.1249999999998881</v>
      </c>
      <c r="K687" s="11">
        <f t="shared" si="181"/>
        <v>670050</v>
      </c>
      <c r="P687" s="1">
        <f t="shared" si="175"/>
        <v>670050</v>
      </c>
      <c r="Q687" s="1">
        <f t="shared" si="176"/>
        <v>90083518</v>
      </c>
    </row>
    <row r="688" spans="1:17" x14ac:dyDescent="0.3">
      <c r="A688" s="2">
        <f t="shared" si="182"/>
        <v>686</v>
      </c>
      <c r="B688" s="6">
        <f t="shared" si="182"/>
        <v>1236</v>
      </c>
      <c r="C688" s="9">
        <f t="shared" si="177"/>
        <v>352460</v>
      </c>
      <c r="D688" s="6">
        <f t="shared" si="183"/>
        <v>836</v>
      </c>
      <c r="E688" s="9">
        <f t="shared" si="178"/>
        <v>186220</v>
      </c>
      <c r="F688" s="3">
        <f t="shared" si="184"/>
        <v>1286</v>
      </c>
      <c r="G688" s="3">
        <f t="shared" si="179"/>
        <v>152180</v>
      </c>
      <c r="J688" s="6">
        <f t="shared" si="180"/>
        <v>7.129999999999888</v>
      </c>
      <c r="K688" s="11">
        <f t="shared" si="181"/>
        <v>673180</v>
      </c>
      <c r="P688" s="1">
        <f t="shared" si="175"/>
        <v>673180</v>
      </c>
      <c r="Q688" s="1">
        <f t="shared" si="176"/>
        <v>90756698</v>
      </c>
    </row>
    <row r="689" spans="1:17" x14ac:dyDescent="0.3">
      <c r="A689" s="2">
        <f t="shared" si="182"/>
        <v>687</v>
      </c>
      <c r="B689" s="6">
        <f t="shared" si="182"/>
        <v>1237</v>
      </c>
      <c r="C689" s="9">
        <f t="shared" si="177"/>
        <v>354070</v>
      </c>
      <c r="D689" s="6">
        <f t="shared" si="183"/>
        <v>837</v>
      </c>
      <c r="E689" s="9">
        <f t="shared" si="178"/>
        <v>186990</v>
      </c>
      <c r="F689" s="3">
        <f t="shared" si="184"/>
        <v>1287</v>
      </c>
      <c r="G689" s="3">
        <f t="shared" si="179"/>
        <v>152810</v>
      </c>
      <c r="J689" s="6">
        <f t="shared" si="180"/>
        <v>7.1349999999998879</v>
      </c>
      <c r="K689" s="11">
        <f t="shared" si="181"/>
        <v>676310</v>
      </c>
      <c r="P689" s="1">
        <f t="shared" si="175"/>
        <v>676310</v>
      </c>
      <c r="Q689" s="1">
        <f t="shared" si="176"/>
        <v>91433008</v>
      </c>
    </row>
    <row r="690" spans="1:17" x14ac:dyDescent="0.3">
      <c r="A690" s="2">
        <f t="shared" si="182"/>
        <v>688</v>
      </c>
      <c r="B690" s="6">
        <f t="shared" si="182"/>
        <v>1238</v>
      </c>
      <c r="C690" s="9">
        <f t="shared" si="177"/>
        <v>355680</v>
      </c>
      <c r="D690" s="6">
        <f t="shared" si="183"/>
        <v>838</v>
      </c>
      <c r="E690" s="9">
        <f t="shared" si="178"/>
        <v>187760</v>
      </c>
      <c r="F690" s="3">
        <f t="shared" si="184"/>
        <v>1288</v>
      </c>
      <c r="G690" s="3">
        <f t="shared" si="179"/>
        <v>153440</v>
      </c>
      <c r="J690" s="6">
        <f t="shared" si="180"/>
        <v>7.1399999999998878</v>
      </c>
      <c r="K690" s="11">
        <f t="shared" si="181"/>
        <v>679440</v>
      </c>
      <c r="P690" s="1">
        <f t="shared" si="175"/>
        <v>679440</v>
      </c>
      <c r="Q690" s="1">
        <f t="shared" si="176"/>
        <v>92112448</v>
      </c>
    </row>
    <row r="691" spans="1:17" x14ac:dyDescent="0.3">
      <c r="A691" s="2">
        <f t="shared" si="182"/>
        <v>689</v>
      </c>
      <c r="B691" s="6">
        <f t="shared" si="182"/>
        <v>1239</v>
      </c>
      <c r="C691" s="9">
        <f t="shared" si="177"/>
        <v>357290</v>
      </c>
      <c r="D691" s="6">
        <f t="shared" si="183"/>
        <v>839</v>
      </c>
      <c r="E691" s="9">
        <f t="shared" si="178"/>
        <v>188530</v>
      </c>
      <c r="F691" s="3">
        <f t="shared" si="184"/>
        <v>1289</v>
      </c>
      <c r="G691" s="3">
        <f t="shared" si="179"/>
        <v>154070</v>
      </c>
      <c r="J691" s="6">
        <f t="shared" si="180"/>
        <v>7.1449999999998877</v>
      </c>
      <c r="K691" s="11">
        <f t="shared" si="181"/>
        <v>682570</v>
      </c>
      <c r="P691" s="1">
        <f t="shared" si="175"/>
        <v>682570</v>
      </c>
      <c r="Q691" s="1">
        <f t="shared" si="176"/>
        <v>92795018</v>
      </c>
    </row>
    <row r="692" spans="1:17" x14ac:dyDescent="0.3">
      <c r="A692" s="2">
        <f t="shared" si="182"/>
        <v>690</v>
      </c>
      <c r="B692" s="6">
        <f t="shared" si="182"/>
        <v>1240</v>
      </c>
      <c r="C692" s="9">
        <f t="shared" si="177"/>
        <v>358900</v>
      </c>
      <c r="D692" s="6">
        <f t="shared" si="183"/>
        <v>840</v>
      </c>
      <c r="E692" s="9">
        <f t="shared" si="178"/>
        <v>189300</v>
      </c>
      <c r="F692" s="3">
        <f t="shared" si="184"/>
        <v>1290</v>
      </c>
      <c r="G692" s="3">
        <f t="shared" si="179"/>
        <v>154700</v>
      </c>
      <c r="J692" s="6">
        <f t="shared" si="180"/>
        <v>7.1499999999998876</v>
      </c>
      <c r="K692" s="11">
        <f t="shared" si="181"/>
        <v>685700</v>
      </c>
      <c r="P692" s="1">
        <f t="shared" si="175"/>
        <v>685700</v>
      </c>
      <c r="Q692" s="1">
        <f t="shared" si="176"/>
        <v>93480718</v>
      </c>
    </row>
    <row r="693" spans="1:17" x14ac:dyDescent="0.3">
      <c r="A693" s="2">
        <f t="shared" si="182"/>
        <v>691</v>
      </c>
      <c r="B693" s="6">
        <f t="shared" si="182"/>
        <v>1241</v>
      </c>
      <c r="C693" s="9">
        <f t="shared" si="177"/>
        <v>360510</v>
      </c>
      <c r="D693" s="6">
        <f t="shared" si="183"/>
        <v>841</v>
      </c>
      <c r="E693" s="9">
        <f t="shared" si="178"/>
        <v>190070</v>
      </c>
      <c r="F693" s="3">
        <f t="shared" si="184"/>
        <v>1291</v>
      </c>
      <c r="G693" s="3">
        <f t="shared" si="179"/>
        <v>155330</v>
      </c>
      <c r="J693" s="6">
        <f t="shared" si="180"/>
        <v>7.1549999999998875</v>
      </c>
      <c r="K693" s="11">
        <f t="shared" si="181"/>
        <v>688830</v>
      </c>
      <c r="P693" s="1">
        <f t="shared" si="175"/>
        <v>688830</v>
      </c>
      <c r="Q693" s="1">
        <f t="shared" si="176"/>
        <v>94169548</v>
      </c>
    </row>
    <row r="694" spans="1:17" x14ac:dyDescent="0.3">
      <c r="A694" s="2">
        <f t="shared" si="182"/>
        <v>692</v>
      </c>
      <c r="B694" s="6">
        <f t="shared" si="182"/>
        <v>1242</v>
      </c>
      <c r="C694" s="9">
        <f t="shared" si="177"/>
        <v>362120</v>
      </c>
      <c r="D694" s="6">
        <f t="shared" si="183"/>
        <v>842</v>
      </c>
      <c r="E694" s="9">
        <f t="shared" si="178"/>
        <v>190840</v>
      </c>
      <c r="F694" s="3">
        <f t="shared" si="184"/>
        <v>1292</v>
      </c>
      <c r="G694" s="3">
        <f t="shared" si="179"/>
        <v>155960</v>
      </c>
      <c r="J694" s="6">
        <f t="shared" si="180"/>
        <v>7.1599999999998873</v>
      </c>
      <c r="K694" s="11">
        <f t="shared" si="181"/>
        <v>691960</v>
      </c>
      <c r="P694" s="1">
        <f t="shared" ref="P694:P757" si="185">K694</f>
        <v>691960</v>
      </c>
      <c r="Q694" s="1">
        <f t="shared" ref="Q694:Q757" si="186">Q693+K694</f>
        <v>94861508</v>
      </c>
    </row>
    <row r="695" spans="1:17" x14ac:dyDescent="0.3">
      <c r="A695" s="2">
        <f t="shared" si="182"/>
        <v>693</v>
      </c>
      <c r="B695" s="6">
        <f t="shared" si="182"/>
        <v>1243</v>
      </c>
      <c r="C695" s="9">
        <f t="shared" si="177"/>
        <v>363730</v>
      </c>
      <c r="D695" s="6">
        <f t="shared" si="183"/>
        <v>843</v>
      </c>
      <c r="E695" s="9">
        <f t="shared" si="178"/>
        <v>191610</v>
      </c>
      <c r="F695" s="3">
        <f t="shared" si="184"/>
        <v>1293</v>
      </c>
      <c r="G695" s="3">
        <f t="shared" si="179"/>
        <v>156590</v>
      </c>
      <c r="J695" s="6">
        <f t="shared" si="180"/>
        <v>7.1649999999998872</v>
      </c>
      <c r="K695" s="11">
        <f t="shared" si="181"/>
        <v>695090</v>
      </c>
      <c r="P695" s="1">
        <f t="shared" si="185"/>
        <v>695090</v>
      </c>
      <c r="Q695" s="1">
        <f t="shared" si="186"/>
        <v>95556598</v>
      </c>
    </row>
    <row r="696" spans="1:17" x14ac:dyDescent="0.3">
      <c r="A696" s="2">
        <f t="shared" si="182"/>
        <v>694</v>
      </c>
      <c r="B696" s="6">
        <f t="shared" si="182"/>
        <v>1244</v>
      </c>
      <c r="C696" s="9">
        <f t="shared" ref="C696:C759" si="187">C695+1610</f>
        <v>365340</v>
      </c>
      <c r="D696" s="6">
        <f t="shared" si="183"/>
        <v>844</v>
      </c>
      <c r="E696" s="9">
        <f t="shared" ref="E696:E759" si="188">E695+770</f>
        <v>192380</v>
      </c>
      <c r="F696" s="3">
        <f t="shared" si="184"/>
        <v>1294</v>
      </c>
      <c r="G696" s="3">
        <f t="shared" ref="G696:G759" si="189">G695+630</f>
        <v>157220</v>
      </c>
      <c r="J696" s="6">
        <f t="shared" ref="J696:J759" si="190">J695+0.005</f>
        <v>7.1699999999998871</v>
      </c>
      <c r="K696" s="11">
        <f t="shared" ref="K696:K759" si="191">K695+3130</f>
        <v>698220</v>
      </c>
      <c r="P696" s="1">
        <f t="shared" si="185"/>
        <v>698220</v>
      </c>
      <c r="Q696" s="1">
        <f t="shared" si="186"/>
        <v>96254818</v>
      </c>
    </row>
    <row r="697" spans="1:17" x14ac:dyDescent="0.3">
      <c r="A697" s="2">
        <f t="shared" si="182"/>
        <v>695</v>
      </c>
      <c r="B697" s="6">
        <f t="shared" si="182"/>
        <v>1245</v>
      </c>
      <c r="C697" s="9">
        <f t="shared" si="187"/>
        <v>366950</v>
      </c>
      <c r="D697" s="6">
        <f t="shared" si="183"/>
        <v>845</v>
      </c>
      <c r="E697" s="9">
        <f t="shared" si="188"/>
        <v>193150</v>
      </c>
      <c r="F697" s="3">
        <f t="shared" si="184"/>
        <v>1295</v>
      </c>
      <c r="G697" s="3">
        <f t="shared" si="189"/>
        <v>157850</v>
      </c>
      <c r="J697" s="6">
        <f t="shared" si="190"/>
        <v>7.174999999999887</v>
      </c>
      <c r="K697" s="11">
        <f t="shared" si="191"/>
        <v>701350</v>
      </c>
      <c r="P697" s="1">
        <f t="shared" si="185"/>
        <v>701350</v>
      </c>
      <c r="Q697" s="1">
        <f t="shared" si="186"/>
        <v>96956168</v>
      </c>
    </row>
    <row r="698" spans="1:17" x14ac:dyDescent="0.3">
      <c r="A698" s="2">
        <f t="shared" si="182"/>
        <v>696</v>
      </c>
      <c r="B698" s="6">
        <f t="shared" si="182"/>
        <v>1246</v>
      </c>
      <c r="C698" s="9">
        <f t="shared" si="187"/>
        <v>368560</v>
      </c>
      <c r="D698" s="6">
        <f t="shared" si="183"/>
        <v>846</v>
      </c>
      <c r="E698" s="9">
        <f t="shared" si="188"/>
        <v>193920</v>
      </c>
      <c r="F698" s="3">
        <f t="shared" si="184"/>
        <v>1296</v>
      </c>
      <c r="G698" s="3">
        <f t="shared" si="189"/>
        <v>158480</v>
      </c>
      <c r="J698" s="6">
        <f t="shared" si="190"/>
        <v>7.1799999999998869</v>
      </c>
      <c r="K698" s="11">
        <f t="shared" si="191"/>
        <v>704480</v>
      </c>
      <c r="P698" s="1">
        <f t="shared" si="185"/>
        <v>704480</v>
      </c>
      <c r="Q698" s="1">
        <f t="shared" si="186"/>
        <v>97660648</v>
      </c>
    </row>
    <row r="699" spans="1:17" x14ac:dyDescent="0.3">
      <c r="A699" s="2">
        <f t="shared" si="182"/>
        <v>697</v>
      </c>
      <c r="B699" s="6">
        <f t="shared" si="182"/>
        <v>1247</v>
      </c>
      <c r="C699" s="9">
        <f t="shared" si="187"/>
        <v>370170</v>
      </c>
      <c r="D699" s="6">
        <f t="shared" si="183"/>
        <v>847</v>
      </c>
      <c r="E699" s="9">
        <f t="shared" si="188"/>
        <v>194690</v>
      </c>
      <c r="F699" s="3">
        <f t="shared" si="184"/>
        <v>1297</v>
      </c>
      <c r="G699" s="3">
        <f t="shared" si="189"/>
        <v>159110</v>
      </c>
      <c r="J699" s="6">
        <f t="shared" si="190"/>
        <v>7.1849999999998868</v>
      </c>
      <c r="K699" s="11">
        <f t="shared" si="191"/>
        <v>707610</v>
      </c>
      <c r="P699" s="1">
        <f t="shared" si="185"/>
        <v>707610</v>
      </c>
      <c r="Q699" s="1">
        <f t="shared" si="186"/>
        <v>98368258</v>
      </c>
    </row>
    <row r="700" spans="1:17" x14ac:dyDescent="0.3">
      <c r="A700" s="2">
        <f t="shared" si="182"/>
        <v>698</v>
      </c>
      <c r="B700" s="6">
        <f t="shared" si="182"/>
        <v>1248</v>
      </c>
      <c r="C700" s="9">
        <f t="shared" si="187"/>
        <v>371780</v>
      </c>
      <c r="D700" s="6">
        <f t="shared" si="183"/>
        <v>848</v>
      </c>
      <c r="E700" s="9">
        <f t="shared" si="188"/>
        <v>195460</v>
      </c>
      <c r="F700" s="3">
        <f t="shared" si="184"/>
        <v>1298</v>
      </c>
      <c r="G700" s="3">
        <f t="shared" si="189"/>
        <v>159740</v>
      </c>
      <c r="J700" s="6">
        <f t="shared" si="190"/>
        <v>7.1899999999998867</v>
      </c>
      <c r="K700" s="11">
        <f t="shared" si="191"/>
        <v>710740</v>
      </c>
      <c r="P700" s="1">
        <f t="shared" si="185"/>
        <v>710740</v>
      </c>
      <c r="Q700" s="1">
        <f t="shared" si="186"/>
        <v>99078998</v>
      </c>
    </row>
    <row r="701" spans="1:17" x14ac:dyDescent="0.3">
      <c r="A701" s="2">
        <f t="shared" si="182"/>
        <v>699</v>
      </c>
      <c r="B701" s="6">
        <f t="shared" si="182"/>
        <v>1249</v>
      </c>
      <c r="C701" s="9">
        <f t="shared" si="187"/>
        <v>373390</v>
      </c>
      <c r="D701" s="6">
        <f t="shared" si="183"/>
        <v>849</v>
      </c>
      <c r="E701" s="9">
        <f t="shared" si="188"/>
        <v>196230</v>
      </c>
      <c r="F701" s="3">
        <f t="shared" si="184"/>
        <v>1299</v>
      </c>
      <c r="G701" s="3">
        <f t="shared" si="189"/>
        <v>160370</v>
      </c>
      <c r="J701" s="6">
        <f t="shared" si="190"/>
        <v>7.1949999999998866</v>
      </c>
      <c r="K701" s="11">
        <f t="shared" si="191"/>
        <v>713870</v>
      </c>
      <c r="P701" s="1">
        <f t="shared" si="185"/>
        <v>713870</v>
      </c>
      <c r="Q701" s="1">
        <f t="shared" si="186"/>
        <v>99792868</v>
      </c>
    </row>
    <row r="702" spans="1:17" x14ac:dyDescent="0.3">
      <c r="A702" s="2">
        <f t="shared" si="182"/>
        <v>700</v>
      </c>
      <c r="B702" s="6">
        <f t="shared" si="182"/>
        <v>1250</v>
      </c>
      <c r="C702" s="9">
        <f t="shared" si="187"/>
        <v>375000</v>
      </c>
      <c r="D702" s="6">
        <f t="shared" si="183"/>
        <v>850</v>
      </c>
      <c r="E702" s="9">
        <f t="shared" si="188"/>
        <v>197000</v>
      </c>
      <c r="F702" s="3">
        <f t="shared" si="184"/>
        <v>1300</v>
      </c>
      <c r="G702" s="3">
        <f t="shared" si="189"/>
        <v>161000</v>
      </c>
      <c r="J702" s="6">
        <f t="shared" si="190"/>
        <v>7.1999999999998865</v>
      </c>
      <c r="K702" s="11">
        <f t="shared" si="191"/>
        <v>717000</v>
      </c>
      <c r="P702" s="1">
        <f t="shared" si="185"/>
        <v>717000</v>
      </c>
      <c r="Q702" s="1">
        <f t="shared" si="186"/>
        <v>100509868</v>
      </c>
    </row>
    <row r="703" spans="1:17" x14ac:dyDescent="0.3">
      <c r="A703" s="2">
        <f t="shared" si="182"/>
        <v>701</v>
      </c>
      <c r="B703" s="6">
        <f t="shared" si="182"/>
        <v>1251</v>
      </c>
      <c r="C703" s="9">
        <f t="shared" si="187"/>
        <v>376610</v>
      </c>
      <c r="D703" s="6">
        <f t="shared" si="183"/>
        <v>851</v>
      </c>
      <c r="E703" s="9">
        <f t="shared" si="188"/>
        <v>197770</v>
      </c>
      <c r="F703" s="3">
        <f t="shared" si="184"/>
        <v>1301</v>
      </c>
      <c r="G703" s="3">
        <f t="shared" si="189"/>
        <v>161630</v>
      </c>
      <c r="J703" s="6">
        <f t="shared" si="190"/>
        <v>7.2049999999998864</v>
      </c>
      <c r="K703" s="11">
        <f t="shared" si="191"/>
        <v>720130</v>
      </c>
      <c r="P703" s="1">
        <f t="shared" si="185"/>
        <v>720130</v>
      </c>
      <c r="Q703" s="1">
        <f t="shared" si="186"/>
        <v>101229998</v>
      </c>
    </row>
    <row r="704" spans="1:17" x14ac:dyDescent="0.3">
      <c r="A704" s="2">
        <f t="shared" si="182"/>
        <v>702</v>
      </c>
      <c r="B704" s="6">
        <f t="shared" si="182"/>
        <v>1252</v>
      </c>
      <c r="C704" s="9">
        <f t="shared" si="187"/>
        <v>378220</v>
      </c>
      <c r="D704" s="6">
        <f t="shared" si="183"/>
        <v>852</v>
      </c>
      <c r="E704" s="9">
        <f t="shared" si="188"/>
        <v>198540</v>
      </c>
      <c r="F704" s="3">
        <f t="shared" si="184"/>
        <v>1302</v>
      </c>
      <c r="G704" s="3">
        <f t="shared" si="189"/>
        <v>162260</v>
      </c>
      <c r="J704" s="6">
        <f t="shared" si="190"/>
        <v>7.2099999999998863</v>
      </c>
      <c r="K704" s="11">
        <f t="shared" si="191"/>
        <v>723260</v>
      </c>
      <c r="P704" s="1">
        <f t="shared" si="185"/>
        <v>723260</v>
      </c>
      <c r="Q704" s="1">
        <f t="shared" si="186"/>
        <v>101953258</v>
      </c>
    </row>
    <row r="705" spans="1:17" x14ac:dyDescent="0.3">
      <c r="A705" s="2">
        <f t="shared" si="182"/>
        <v>703</v>
      </c>
      <c r="B705" s="6">
        <f t="shared" si="182"/>
        <v>1253</v>
      </c>
      <c r="C705" s="9">
        <f t="shared" si="187"/>
        <v>379830</v>
      </c>
      <c r="D705" s="6">
        <f t="shared" si="183"/>
        <v>853</v>
      </c>
      <c r="E705" s="9">
        <f t="shared" si="188"/>
        <v>199310</v>
      </c>
      <c r="F705" s="3">
        <f t="shared" si="184"/>
        <v>1303</v>
      </c>
      <c r="G705" s="3">
        <f t="shared" si="189"/>
        <v>162890</v>
      </c>
      <c r="J705" s="6">
        <f t="shared" si="190"/>
        <v>7.2149999999998862</v>
      </c>
      <c r="K705" s="11">
        <f t="shared" si="191"/>
        <v>726390</v>
      </c>
      <c r="P705" s="1">
        <f t="shared" si="185"/>
        <v>726390</v>
      </c>
      <c r="Q705" s="1">
        <f t="shared" si="186"/>
        <v>102679648</v>
      </c>
    </row>
    <row r="706" spans="1:17" x14ac:dyDescent="0.3">
      <c r="A706" s="2">
        <f t="shared" si="182"/>
        <v>704</v>
      </c>
      <c r="B706" s="6">
        <f t="shared" si="182"/>
        <v>1254</v>
      </c>
      <c r="C706" s="9">
        <f t="shared" si="187"/>
        <v>381440</v>
      </c>
      <c r="D706" s="6">
        <f t="shared" si="183"/>
        <v>854</v>
      </c>
      <c r="E706" s="9">
        <f t="shared" si="188"/>
        <v>200080</v>
      </c>
      <c r="F706" s="3">
        <f t="shared" si="184"/>
        <v>1304</v>
      </c>
      <c r="G706" s="3">
        <f t="shared" si="189"/>
        <v>163520</v>
      </c>
      <c r="J706" s="6">
        <f t="shared" si="190"/>
        <v>7.2199999999998861</v>
      </c>
      <c r="K706" s="11">
        <f t="shared" si="191"/>
        <v>729520</v>
      </c>
      <c r="P706" s="1">
        <f t="shared" si="185"/>
        <v>729520</v>
      </c>
      <c r="Q706" s="1">
        <f t="shared" si="186"/>
        <v>103409168</v>
      </c>
    </row>
    <row r="707" spans="1:17" x14ac:dyDescent="0.3">
      <c r="A707" s="2">
        <f t="shared" si="182"/>
        <v>705</v>
      </c>
      <c r="B707" s="6">
        <f t="shared" si="182"/>
        <v>1255</v>
      </c>
      <c r="C707" s="9">
        <f t="shared" si="187"/>
        <v>383050</v>
      </c>
      <c r="D707" s="6">
        <f t="shared" si="183"/>
        <v>855</v>
      </c>
      <c r="E707" s="9">
        <f t="shared" si="188"/>
        <v>200850</v>
      </c>
      <c r="F707" s="3">
        <f t="shared" si="184"/>
        <v>1305</v>
      </c>
      <c r="G707" s="3">
        <f t="shared" si="189"/>
        <v>164150</v>
      </c>
      <c r="J707" s="6">
        <f t="shared" si="190"/>
        <v>7.224999999999886</v>
      </c>
      <c r="K707" s="11">
        <f t="shared" si="191"/>
        <v>732650</v>
      </c>
      <c r="P707" s="1">
        <f t="shared" si="185"/>
        <v>732650</v>
      </c>
      <c r="Q707" s="1">
        <f t="shared" si="186"/>
        <v>104141818</v>
      </c>
    </row>
    <row r="708" spans="1:17" x14ac:dyDescent="0.3">
      <c r="A708" s="2">
        <f t="shared" si="182"/>
        <v>706</v>
      </c>
      <c r="B708" s="6">
        <f t="shared" si="182"/>
        <v>1256</v>
      </c>
      <c r="C708" s="9">
        <f t="shared" si="187"/>
        <v>384660</v>
      </c>
      <c r="D708" s="6">
        <f t="shared" si="183"/>
        <v>856</v>
      </c>
      <c r="E708" s="9">
        <f t="shared" si="188"/>
        <v>201620</v>
      </c>
      <c r="F708" s="3">
        <f t="shared" si="184"/>
        <v>1306</v>
      </c>
      <c r="G708" s="3">
        <f t="shared" si="189"/>
        <v>164780</v>
      </c>
      <c r="J708" s="6">
        <f t="shared" si="190"/>
        <v>7.2299999999998859</v>
      </c>
      <c r="K708" s="11">
        <f t="shared" si="191"/>
        <v>735780</v>
      </c>
      <c r="P708" s="1">
        <f t="shared" si="185"/>
        <v>735780</v>
      </c>
      <c r="Q708" s="1">
        <f t="shared" si="186"/>
        <v>104877598</v>
      </c>
    </row>
    <row r="709" spans="1:17" x14ac:dyDescent="0.3">
      <c r="A709" s="2">
        <f t="shared" ref="A709:B772" si="192">A708+1</f>
        <v>707</v>
      </c>
      <c r="B709" s="6">
        <f t="shared" si="192"/>
        <v>1257</v>
      </c>
      <c r="C709" s="9">
        <f t="shared" si="187"/>
        <v>386270</v>
      </c>
      <c r="D709" s="6">
        <f t="shared" si="183"/>
        <v>857</v>
      </c>
      <c r="E709" s="9">
        <f t="shared" si="188"/>
        <v>202390</v>
      </c>
      <c r="F709" s="3">
        <f t="shared" si="184"/>
        <v>1307</v>
      </c>
      <c r="G709" s="3">
        <f t="shared" si="189"/>
        <v>165410</v>
      </c>
      <c r="J709" s="6">
        <f t="shared" si="190"/>
        <v>7.2349999999998857</v>
      </c>
      <c r="K709" s="11">
        <f t="shared" si="191"/>
        <v>738910</v>
      </c>
      <c r="P709" s="1">
        <f t="shared" si="185"/>
        <v>738910</v>
      </c>
      <c r="Q709" s="1">
        <f t="shared" si="186"/>
        <v>105616508</v>
      </c>
    </row>
    <row r="710" spans="1:17" x14ac:dyDescent="0.3">
      <c r="A710" s="2">
        <f t="shared" si="192"/>
        <v>708</v>
      </c>
      <c r="B710" s="6">
        <f t="shared" si="192"/>
        <v>1258</v>
      </c>
      <c r="C710" s="9">
        <f t="shared" si="187"/>
        <v>387880</v>
      </c>
      <c r="D710" s="6">
        <f t="shared" si="183"/>
        <v>858</v>
      </c>
      <c r="E710" s="9">
        <f t="shared" si="188"/>
        <v>203160</v>
      </c>
      <c r="F710" s="3">
        <f t="shared" si="184"/>
        <v>1308</v>
      </c>
      <c r="G710" s="3">
        <f t="shared" si="189"/>
        <v>166040</v>
      </c>
      <c r="J710" s="6">
        <f t="shared" si="190"/>
        <v>7.2399999999998856</v>
      </c>
      <c r="K710" s="11">
        <f t="shared" si="191"/>
        <v>742040</v>
      </c>
      <c r="P710" s="1">
        <f t="shared" si="185"/>
        <v>742040</v>
      </c>
      <c r="Q710" s="1">
        <f t="shared" si="186"/>
        <v>106358548</v>
      </c>
    </row>
    <row r="711" spans="1:17" x14ac:dyDescent="0.3">
      <c r="A711" s="2">
        <f t="shared" si="192"/>
        <v>709</v>
      </c>
      <c r="B711" s="6">
        <f t="shared" si="192"/>
        <v>1259</v>
      </c>
      <c r="C711" s="9">
        <f t="shared" si="187"/>
        <v>389490</v>
      </c>
      <c r="D711" s="6">
        <f t="shared" si="183"/>
        <v>859</v>
      </c>
      <c r="E711" s="9">
        <f t="shared" si="188"/>
        <v>203930</v>
      </c>
      <c r="F711" s="3">
        <f t="shared" si="184"/>
        <v>1309</v>
      </c>
      <c r="G711" s="3">
        <f t="shared" si="189"/>
        <v>166670</v>
      </c>
      <c r="J711" s="6">
        <f t="shared" si="190"/>
        <v>7.2449999999998855</v>
      </c>
      <c r="K711" s="11">
        <f t="shared" si="191"/>
        <v>745170</v>
      </c>
      <c r="P711" s="1">
        <f t="shared" si="185"/>
        <v>745170</v>
      </c>
      <c r="Q711" s="1">
        <f t="shared" si="186"/>
        <v>107103718</v>
      </c>
    </row>
    <row r="712" spans="1:17" x14ac:dyDescent="0.3">
      <c r="A712" s="2">
        <f t="shared" si="192"/>
        <v>710</v>
      </c>
      <c r="B712" s="6">
        <f t="shared" si="192"/>
        <v>1260</v>
      </c>
      <c r="C712" s="9">
        <f t="shared" si="187"/>
        <v>391100</v>
      </c>
      <c r="D712" s="6">
        <f t="shared" si="183"/>
        <v>860</v>
      </c>
      <c r="E712" s="9">
        <f t="shared" si="188"/>
        <v>204700</v>
      </c>
      <c r="F712" s="3">
        <f t="shared" si="184"/>
        <v>1310</v>
      </c>
      <c r="G712" s="3">
        <f t="shared" si="189"/>
        <v>167300</v>
      </c>
      <c r="J712" s="6">
        <f t="shared" si="190"/>
        <v>7.2499999999998854</v>
      </c>
      <c r="K712" s="11">
        <f t="shared" si="191"/>
        <v>748300</v>
      </c>
      <c r="P712" s="1">
        <f t="shared" si="185"/>
        <v>748300</v>
      </c>
      <c r="Q712" s="1">
        <f t="shared" si="186"/>
        <v>107852018</v>
      </c>
    </row>
    <row r="713" spans="1:17" x14ac:dyDescent="0.3">
      <c r="A713" s="2">
        <f t="shared" si="192"/>
        <v>711</v>
      </c>
      <c r="B713" s="6">
        <f t="shared" si="192"/>
        <v>1261</v>
      </c>
      <c r="C713" s="9">
        <f t="shared" si="187"/>
        <v>392710</v>
      </c>
      <c r="D713" s="6">
        <f t="shared" si="183"/>
        <v>861</v>
      </c>
      <c r="E713" s="9">
        <f t="shared" si="188"/>
        <v>205470</v>
      </c>
      <c r="F713" s="3">
        <f t="shared" si="184"/>
        <v>1311</v>
      </c>
      <c r="G713" s="3">
        <f t="shared" si="189"/>
        <v>167930</v>
      </c>
      <c r="J713" s="6">
        <f t="shared" si="190"/>
        <v>7.2549999999998853</v>
      </c>
      <c r="K713" s="11">
        <f t="shared" si="191"/>
        <v>751430</v>
      </c>
      <c r="P713" s="1">
        <f t="shared" si="185"/>
        <v>751430</v>
      </c>
      <c r="Q713" s="1">
        <f t="shared" si="186"/>
        <v>108603448</v>
      </c>
    </row>
    <row r="714" spans="1:17" x14ac:dyDescent="0.3">
      <c r="A714" s="2">
        <f t="shared" si="192"/>
        <v>712</v>
      </c>
      <c r="B714" s="6">
        <f t="shared" si="192"/>
        <v>1262</v>
      </c>
      <c r="C714" s="9">
        <f t="shared" si="187"/>
        <v>394320</v>
      </c>
      <c r="D714" s="6">
        <f t="shared" si="183"/>
        <v>862</v>
      </c>
      <c r="E714" s="9">
        <f t="shared" si="188"/>
        <v>206240</v>
      </c>
      <c r="F714" s="3">
        <f t="shared" si="184"/>
        <v>1312</v>
      </c>
      <c r="G714" s="3">
        <f t="shared" si="189"/>
        <v>168560</v>
      </c>
      <c r="J714" s="6">
        <f t="shared" si="190"/>
        <v>7.2599999999998852</v>
      </c>
      <c r="K714" s="11">
        <f t="shared" si="191"/>
        <v>754560</v>
      </c>
      <c r="P714" s="1">
        <f t="shared" si="185"/>
        <v>754560</v>
      </c>
      <c r="Q714" s="1">
        <f t="shared" si="186"/>
        <v>109358008</v>
      </c>
    </row>
    <row r="715" spans="1:17" x14ac:dyDescent="0.3">
      <c r="A715" s="2">
        <f t="shared" si="192"/>
        <v>713</v>
      </c>
      <c r="B715" s="6">
        <f t="shared" si="192"/>
        <v>1263</v>
      </c>
      <c r="C715" s="9">
        <f t="shared" si="187"/>
        <v>395930</v>
      </c>
      <c r="D715" s="6">
        <f t="shared" si="183"/>
        <v>863</v>
      </c>
      <c r="E715" s="9">
        <f t="shared" si="188"/>
        <v>207010</v>
      </c>
      <c r="F715" s="3">
        <f t="shared" si="184"/>
        <v>1313</v>
      </c>
      <c r="G715" s="3">
        <f t="shared" si="189"/>
        <v>169190</v>
      </c>
      <c r="J715" s="6">
        <f t="shared" si="190"/>
        <v>7.2649999999998851</v>
      </c>
      <c r="K715" s="11">
        <f t="shared" si="191"/>
        <v>757690</v>
      </c>
      <c r="P715" s="1">
        <f t="shared" si="185"/>
        <v>757690</v>
      </c>
      <c r="Q715" s="1">
        <f t="shared" si="186"/>
        <v>110115698</v>
      </c>
    </row>
    <row r="716" spans="1:17" x14ac:dyDescent="0.3">
      <c r="A716" s="2">
        <f t="shared" si="192"/>
        <v>714</v>
      </c>
      <c r="B716" s="6">
        <f t="shared" si="192"/>
        <v>1264</v>
      </c>
      <c r="C716" s="9">
        <f t="shared" si="187"/>
        <v>397540</v>
      </c>
      <c r="D716" s="6">
        <f t="shared" si="183"/>
        <v>864</v>
      </c>
      <c r="E716" s="9">
        <f t="shared" si="188"/>
        <v>207780</v>
      </c>
      <c r="F716" s="3">
        <f t="shared" si="184"/>
        <v>1314</v>
      </c>
      <c r="G716" s="3">
        <f t="shared" si="189"/>
        <v>169820</v>
      </c>
      <c r="J716" s="6">
        <f t="shared" si="190"/>
        <v>7.269999999999885</v>
      </c>
      <c r="K716" s="11">
        <f t="shared" si="191"/>
        <v>760820</v>
      </c>
      <c r="P716" s="1">
        <f t="shared" si="185"/>
        <v>760820</v>
      </c>
      <c r="Q716" s="1">
        <f t="shared" si="186"/>
        <v>110876518</v>
      </c>
    </row>
    <row r="717" spans="1:17" x14ac:dyDescent="0.3">
      <c r="A717" s="2">
        <f t="shared" si="192"/>
        <v>715</v>
      </c>
      <c r="B717" s="6">
        <f t="shared" si="192"/>
        <v>1265</v>
      </c>
      <c r="C717" s="9">
        <f t="shared" si="187"/>
        <v>399150</v>
      </c>
      <c r="D717" s="6">
        <f t="shared" si="183"/>
        <v>865</v>
      </c>
      <c r="E717" s="9">
        <f t="shared" si="188"/>
        <v>208550</v>
      </c>
      <c r="F717" s="3">
        <f t="shared" si="184"/>
        <v>1315</v>
      </c>
      <c r="G717" s="3">
        <f t="shared" si="189"/>
        <v>170450</v>
      </c>
      <c r="J717" s="6">
        <f t="shared" si="190"/>
        <v>7.2749999999998849</v>
      </c>
      <c r="K717" s="11">
        <f t="shared" si="191"/>
        <v>763950</v>
      </c>
      <c r="P717" s="1">
        <f t="shared" si="185"/>
        <v>763950</v>
      </c>
      <c r="Q717" s="1">
        <f t="shared" si="186"/>
        <v>111640468</v>
      </c>
    </row>
    <row r="718" spans="1:17" x14ac:dyDescent="0.3">
      <c r="A718" s="2">
        <f t="shared" si="192"/>
        <v>716</v>
      </c>
      <c r="B718" s="6">
        <f t="shared" si="192"/>
        <v>1266</v>
      </c>
      <c r="C718" s="9">
        <f t="shared" si="187"/>
        <v>400760</v>
      </c>
      <c r="D718" s="6">
        <f t="shared" si="183"/>
        <v>866</v>
      </c>
      <c r="E718" s="9">
        <f t="shared" si="188"/>
        <v>209320</v>
      </c>
      <c r="F718" s="3">
        <f t="shared" si="184"/>
        <v>1316</v>
      </c>
      <c r="G718" s="3">
        <f t="shared" si="189"/>
        <v>171080</v>
      </c>
      <c r="J718" s="6">
        <f t="shared" si="190"/>
        <v>7.2799999999998848</v>
      </c>
      <c r="K718" s="11">
        <f t="shared" si="191"/>
        <v>767080</v>
      </c>
      <c r="P718" s="1">
        <f t="shared" si="185"/>
        <v>767080</v>
      </c>
      <c r="Q718" s="1">
        <f t="shared" si="186"/>
        <v>112407548</v>
      </c>
    </row>
    <row r="719" spans="1:17" x14ac:dyDescent="0.3">
      <c r="A719" s="2">
        <f t="shared" si="192"/>
        <v>717</v>
      </c>
      <c r="B719" s="6">
        <f t="shared" si="192"/>
        <v>1267</v>
      </c>
      <c r="C719" s="9">
        <f t="shared" si="187"/>
        <v>402370</v>
      </c>
      <c r="D719" s="6">
        <f t="shared" si="183"/>
        <v>867</v>
      </c>
      <c r="E719" s="9">
        <f t="shared" si="188"/>
        <v>210090</v>
      </c>
      <c r="F719" s="3">
        <f t="shared" si="184"/>
        <v>1317</v>
      </c>
      <c r="G719" s="3">
        <f t="shared" si="189"/>
        <v>171710</v>
      </c>
      <c r="J719" s="6">
        <f t="shared" si="190"/>
        <v>7.2849999999998847</v>
      </c>
      <c r="K719" s="11">
        <f t="shared" si="191"/>
        <v>770210</v>
      </c>
      <c r="P719" s="1">
        <f t="shared" si="185"/>
        <v>770210</v>
      </c>
      <c r="Q719" s="1">
        <f t="shared" si="186"/>
        <v>113177758</v>
      </c>
    </row>
    <row r="720" spans="1:17" x14ac:dyDescent="0.3">
      <c r="A720" s="2">
        <f t="shared" si="192"/>
        <v>718</v>
      </c>
      <c r="B720" s="6">
        <f t="shared" si="192"/>
        <v>1268</v>
      </c>
      <c r="C720" s="9">
        <f t="shared" si="187"/>
        <v>403980</v>
      </c>
      <c r="D720" s="6">
        <f t="shared" si="183"/>
        <v>868</v>
      </c>
      <c r="E720" s="9">
        <f t="shared" si="188"/>
        <v>210860</v>
      </c>
      <c r="F720" s="3">
        <f t="shared" si="184"/>
        <v>1318</v>
      </c>
      <c r="G720" s="3">
        <f t="shared" si="189"/>
        <v>172340</v>
      </c>
      <c r="J720" s="6">
        <f t="shared" si="190"/>
        <v>7.2899999999998846</v>
      </c>
      <c r="K720" s="11">
        <f t="shared" si="191"/>
        <v>773340</v>
      </c>
      <c r="P720" s="1">
        <f t="shared" si="185"/>
        <v>773340</v>
      </c>
      <c r="Q720" s="1">
        <f t="shared" si="186"/>
        <v>113951098</v>
      </c>
    </row>
    <row r="721" spans="1:17" x14ac:dyDescent="0.3">
      <c r="A721" s="2">
        <f t="shared" si="192"/>
        <v>719</v>
      </c>
      <c r="B721" s="6">
        <f t="shared" si="192"/>
        <v>1269</v>
      </c>
      <c r="C721" s="9">
        <f t="shared" si="187"/>
        <v>405590</v>
      </c>
      <c r="D721" s="6">
        <f t="shared" si="183"/>
        <v>869</v>
      </c>
      <c r="E721" s="9">
        <f t="shared" si="188"/>
        <v>211630</v>
      </c>
      <c r="F721" s="3">
        <f t="shared" si="184"/>
        <v>1319</v>
      </c>
      <c r="G721" s="3">
        <f t="shared" si="189"/>
        <v>172970</v>
      </c>
      <c r="J721" s="6">
        <f t="shared" si="190"/>
        <v>7.2949999999998845</v>
      </c>
      <c r="K721" s="11">
        <f t="shared" si="191"/>
        <v>776470</v>
      </c>
      <c r="P721" s="1">
        <f t="shared" si="185"/>
        <v>776470</v>
      </c>
      <c r="Q721" s="1">
        <f t="shared" si="186"/>
        <v>114727568</v>
      </c>
    </row>
    <row r="722" spans="1:17" x14ac:dyDescent="0.3">
      <c r="A722" s="2">
        <f t="shared" si="192"/>
        <v>720</v>
      </c>
      <c r="B722" s="6">
        <f t="shared" si="192"/>
        <v>1270</v>
      </c>
      <c r="C722" s="9">
        <f t="shared" si="187"/>
        <v>407200</v>
      </c>
      <c r="D722" s="6">
        <f t="shared" si="183"/>
        <v>870</v>
      </c>
      <c r="E722" s="9">
        <f t="shared" si="188"/>
        <v>212400</v>
      </c>
      <c r="F722" s="3">
        <f t="shared" si="184"/>
        <v>1320</v>
      </c>
      <c r="G722" s="3">
        <f t="shared" si="189"/>
        <v>173600</v>
      </c>
      <c r="J722" s="6">
        <f t="shared" si="190"/>
        <v>7.2999999999998844</v>
      </c>
      <c r="K722" s="11">
        <f t="shared" si="191"/>
        <v>779600</v>
      </c>
      <c r="P722" s="1">
        <f t="shared" si="185"/>
        <v>779600</v>
      </c>
      <c r="Q722" s="1">
        <f t="shared" si="186"/>
        <v>115507168</v>
      </c>
    </row>
    <row r="723" spans="1:17" x14ac:dyDescent="0.3">
      <c r="A723" s="2">
        <f t="shared" si="192"/>
        <v>721</v>
      </c>
      <c r="B723" s="6">
        <f t="shared" si="192"/>
        <v>1271</v>
      </c>
      <c r="C723" s="9">
        <f t="shared" si="187"/>
        <v>408810</v>
      </c>
      <c r="D723" s="6">
        <f t="shared" si="183"/>
        <v>871</v>
      </c>
      <c r="E723" s="9">
        <f t="shared" si="188"/>
        <v>213170</v>
      </c>
      <c r="F723" s="3">
        <f t="shared" si="184"/>
        <v>1321</v>
      </c>
      <c r="G723" s="3">
        <f t="shared" si="189"/>
        <v>174230</v>
      </c>
      <c r="J723" s="6">
        <f t="shared" si="190"/>
        <v>7.3049999999998843</v>
      </c>
      <c r="K723" s="11">
        <f t="shared" si="191"/>
        <v>782730</v>
      </c>
      <c r="P723" s="1">
        <f t="shared" si="185"/>
        <v>782730</v>
      </c>
      <c r="Q723" s="1">
        <f t="shared" si="186"/>
        <v>116289898</v>
      </c>
    </row>
    <row r="724" spans="1:17" x14ac:dyDescent="0.3">
      <c r="A724" s="2">
        <f t="shared" si="192"/>
        <v>722</v>
      </c>
      <c r="B724" s="6">
        <f t="shared" si="192"/>
        <v>1272</v>
      </c>
      <c r="C724" s="9">
        <f t="shared" si="187"/>
        <v>410420</v>
      </c>
      <c r="D724" s="6">
        <f t="shared" si="183"/>
        <v>872</v>
      </c>
      <c r="E724" s="9">
        <f t="shared" si="188"/>
        <v>213940</v>
      </c>
      <c r="F724" s="3">
        <f t="shared" si="184"/>
        <v>1322</v>
      </c>
      <c r="G724" s="3">
        <f t="shared" si="189"/>
        <v>174860</v>
      </c>
      <c r="J724" s="6">
        <f t="shared" si="190"/>
        <v>7.3099999999998841</v>
      </c>
      <c r="K724" s="11">
        <f t="shared" si="191"/>
        <v>785860</v>
      </c>
      <c r="P724" s="1">
        <f t="shared" si="185"/>
        <v>785860</v>
      </c>
      <c r="Q724" s="1">
        <f t="shared" si="186"/>
        <v>117075758</v>
      </c>
    </row>
    <row r="725" spans="1:17" x14ac:dyDescent="0.3">
      <c r="A725" s="2">
        <f t="shared" si="192"/>
        <v>723</v>
      </c>
      <c r="B725" s="6">
        <f t="shared" si="192"/>
        <v>1273</v>
      </c>
      <c r="C725" s="9">
        <f t="shared" si="187"/>
        <v>412030</v>
      </c>
      <c r="D725" s="6">
        <f t="shared" si="183"/>
        <v>873</v>
      </c>
      <c r="E725" s="9">
        <f t="shared" si="188"/>
        <v>214710</v>
      </c>
      <c r="F725" s="3">
        <f t="shared" si="184"/>
        <v>1323</v>
      </c>
      <c r="G725" s="3">
        <f t="shared" si="189"/>
        <v>175490</v>
      </c>
      <c r="J725" s="6">
        <f t="shared" si="190"/>
        <v>7.314999999999884</v>
      </c>
      <c r="K725" s="11">
        <f t="shared" si="191"/>
        <v>788990</v>
      </c>
      <c r="P725" s="1">
        <f t="shared" si="185"/>
        <v>788990</v>
      </c>
      <c r="Q725" s="1">
        <f t="shared" si="186"/>
        <v>117864748</v>
      </c>
    </row>
    <row r="726" spans="1:17" x14ac:dyDescent="0.3">
      <c r="A726" s="2">
        <f t="shared" si="192"/>
        <v>724</v>
      </c>
      <c r="B726" s="6">
        <f t="shared" si="192"/>
        <v>1274</v>
      </c>
      <c r="C726" s="9">
        <f t="shared" si="187"/>
        <v>413640</v>
      </c>
      <c r="D726" s="6">
        <f t="shared" si="183"/>
        <v>874</v>
      </c>
      <c r="E726" s="9">
        <f t="shared" si="188"/>
        <v>215480</v>
      </c>
      <c r="F726" s="3">
        <f t="shared" si="184"/>
        <v>1324</v>
      </c>
      <c r="G726" s="3">
        <f t="shared" si="189"/>
        <v>176120</v>
      </c>
      <c r="J726" s="6">
        <f t="shared" si="190"/>
        <v>7.3199999999998839</v>
      </c>
      <c r="K726" s="11">
        <f t="shared" si="191"/>
        <v>792120</v>
      </c>
      <c r="P726" s="1">
        <f t="shared" si="185"/>
        <v>792120</v>
      </c>
      <c r="Q726" s="1">
        <f t="shared" si="186"/>
        <v>118656868</v>
      </c>
    </row>
    <row r="727" spans="1:17" x14ac:dyDescent="0.3">
      <c r="A727" s="2">
        <f t="shared" si="192"/>
        <v>725</v>
      </c>
      <c r="B727" s="6">
        <f t="shared" si="192"/>
        <v>1275</v>
      </c>
      <c r="C727" s="9">
        <f t="shared" si="187"/>
        <v>415250</v>
      </c>
      <c r="D727" s="6">
        <f t="shared" si="183"/>
        <v>875</v>
      </c>
      <c r="E727" s="9">
        <f t="shared" si="188"/>
        <v>216250</v>
      </c>
      <c r="F727" s="3">
        <f t="shared" si="184"/>
        <v>1325</v>
      </c>
      <c r="G727" s="3">
        <f t="shared" si="189"/>
        <v>176750</v>
      </c>
      <c r="J727" s="6">
        <f t="shared" si="190"/>
        <v>7.3249999999998838</v>
      </c>
      <c r="K727" s="11">
        <f t="shared" si="191"/>
        <v>795250</v>
      </c>
      <c r="P727" s="1">
        <f t="shared" si="185"/>
        <v>795250</v>
      </c>
      <c r="Q727" s="1">
        <f t="shared" si="186"/>
        <v>119452118</v>
      </c>
    </row>
    <row r="728" spans="1:17" x14ac:dyDescent="0.3">
      <c r="A728" s="2">
        <f t="shared" si="192"/>
        <v>726</v>
      </c>
      <c r="B728" s="6">
        <f t="shared" si="192"/>
        <v>1276</v>
      </c>
      <c r="C728" s="9">
        <f t="shared" si="187"/>
        <v>416860</v>
      </c>
      <c r="D728" s="6">
        <f t="shared" si="183"/>
        <v>876</v>
      </c>
      <c r="E728" s="9">
        <f t="shared" si="188"/>
        <v>217020</v>
      </c>
      <c r="F728" s="3">
        <f t="shared" si="184"/>
        <v>1326</v>
      </c>
      <c r="G728" s="3">
        <f t="shared" si="189"/>
        <v>177380</v>
      </c>
      <c r="J728" s="6">
        <f t="shared" si="190"/>
        <v>7.3299999999998837</v>
      </c>
      <c r="K728" s="11">
        <f t="shared" si="191"/>
        <v>798380</v>
      </c>
      <c r="P728" s="1">
        <f t="shared" si="185"/>
        <v>798380</v>
      </c>
      <c r="Q728" s="1">
        <f t="shared" si="186"/>
        <v>120250498</v>
      </c>
    </row>
    <row r="729" spans="1:17" x14ac:dyDescent="0.3">
      <c r="A729" s="2">
        <f t="shared" si="192"/>
        <v>727</v>
      </c>
      <c r="B729" s="6">
        <f t="shared" si="192"/>
        <v>1277</v>
      </c>
      <c r="C729" s="9">
        <f t="shared" si="187"/>
        <v>418470</v>
      </c>
      <c r="D729" s="6">
        <f t="shared" si="183"/>
        <v>877</v>
      </c>
      <c r="E729" s="9">
        <f t="shared" si="188"/>
        <v>217790</v>
      </c>
      <c r="F729" s="3">
        <f t="shared" si="184"/>
        <v>1327</v>
      </c>
      <c r="G729" s="3">
        <f t="shared" si="189"/>
        <v>178010</v>
      </c>
      <c r="J729" s="6">
        <f t="shared" si="190"/>
        <v>7.3349999999998836</v>
      </c>
      <c r="K729" s="11">
        <f t="shared" si="191"/>
        <v>801510</v>
      </c>
      <c r="P729" s="1">
        <f t="shared" si="185"/>
        <v>801510</v>
      </c>
      <c r="Q729" s="1">
        <f t="shared" si="186"/>
        <v>121052008</v>
      </c>
    </row>
    <row r="730" spans="1:17" x14ac:dyDescent="0.3">
      <c r="A730" s="2">
        <f t="shared" si="192"/>
        <v>728</v>
      </c>
      <c r="B730" s="6">
        <f t="shared" si="192"/>
        <v>1278</v>
      </c>
      <c r="C730" s="9">
        <f t="shared" si="187"/>
        <v>420080</v>
      </c>
      <c r="D730" s="6">
        <f t="shared" si="183"/>
        <v>878</v>
      </c>
      <c r="E730" s="9">
        <f t="shared" si="188"/>
        <v>218560</v>
      </c>
      <c r="F730" s="3">
        <f t="shared" si="184"/>
        <v>1328</v>
      </c>
      <c r="G730" s="3">
        <f t="shared" si="189"/>
        <v>178640</v>
      </c>
      <c r="J730" s="6">
        <f t="shared" si="190"/>
        <v>7.3399999999998835</v>
      </c>
      <c r="K730" s="11">
        <f t="shared" si="191"/>
        <v>804640</v>
      </c>
      <c r="P730" s="1">
        <f t="shared" si="185"/>
        <v>804640</v>
      </c>
      <c r="Q730" s="1">
        <f t="shared" si="186"/>
        <v>121856648</v>
      </c>
    </row>
    <row r="731" spans="1:17" x14ac:dyDescent="0.3">
      <c r="A731" s="2">
        <f t="shared" si="192"/>
        <v>729</v>
      </c>
      <c r="B731" s="6">
        <f t="shared" si="192"/>
        <v>1279</v>
      </c>
      <c r="C731" s="9">
        <f t="shared" si="187"/>
        <v>421690</v>
      </c>
      <c r="D731" s="6">
        <f t="shared" si="183"/>
        <v>879</v>
      </c>
      <c r="E731" s="9">
        <f t="shared" si="188"/>
        <v>219330</v>
      </c>
      <c r="F731" s="3">
        <f t="shared" si="184"/>
        <v>1329</v>
      </c>
      <c r="G731" s="3">
        <f t="shared" si="189"/>
        <v>179270</v>
      </c>
      <c r="J731" s="6">
        <f t="shared" si="190"/>
        <v>7.3449999999998834</v>
      </c>
      <c r="K731" s="11">
        <f t="shared" si="191"/>
        <v>807770</v>
      </c>
      <c r="P731" s="1">
        <f t="shared" si="185"/>
        <v>807770</v>
      </c>
      <c r="Q731" s="1">
        <f t="shared" si="186"/>
        <v>122664418</v>
      </c>
    </row>
    <row r="732" spans="1:17" x14ac:dyDescent="0.3">
      <c r="A732" s="2">
        <f t="shared" si="192"/>
        <v>730</v>
      </c>
      <c r="B732" s="6">
        <f t="shared" si="192"/>
        <v>1280</v>
      </c>
      <c r="C732" s="9">
        <f t="shared" si="187"/>
        <v>423300</v>
      </c>
      <c r="D732" s="6">
        <f t="shared" si="183"/>
        <v>880</v>
      </c>
      <c r="E732" s="9">
        <f t="shared" si="188"/>
        <v>220100</v>
      </c>
      <c r="F732" s="3">
        <f t="shared" si="184"/>
        <v>1330</v>
      </c>
      <c r="G732" s="3">
        <f t="shared" si="189"/>
        <v>179900</v>
      </c>
      <c r="J732" s="6">
        <f t="shared" si="190"/>
        <v>7.3499999999998833</v>
      </c>
      <c r="K732" s="11">
        <f t="shared" si="191"/>
        <v>810900</v>
      </c>
      <c r="P732" s="1">
        <f t="shared" si="185"/>
        <v>810900</v>
      </c>
      <c r="Q732" s="1">
        <f t="shared" si="186"/>
        <v>123475318</v>
      </c>
    </row>
    <row r="733" spans="1:17" x14ac:dyDescent="0.3">
      <c r="A733" s="2">
        <f t="shared" si="192"/>
        <v>731</v>
      </c>
      <c r="B733" s="6">
        <f t="shared" si="192"/>
        <v>1281</v>
      </c>
      <c r="C733" s="9">
        <f t="shared" si="187"/>
        <v>424910</v>
      </c>
      <c r="D733" s="6">
        <f t="shared" si="183"/>
        <v>881</v>
      </c>
      <c r="E733" s="9">
        <f t="shared" si="188"/>
        <v>220870</v>
      </c>
      <c r="F733" s="3">
        <f t="shared" si="184"/>
        <v>1331</v>
      </c>
      <c r="G733" s="3">
        <f t="shared" si="189"/>
        <v>180530</v>
      </c>
      <c r="J733" s="6">
        <f t="shared" si="190"/>
        <v>7.3549999999998832</v>
      </c>
      <c r="K733" s="11">
        <f t="shared" si="191"/>
        <v>814030</v>
      </c>
      <c r="P733" s="1">
        <f t="shared" si="185"/>
        <v>814030</v>
      </c>
      <c r="Q733" s="1">
        <f t="shared" si="186"/>
        <v>124289348</v>
      </c>
    </row>
    <row r="734" spans="1:17" x14ac:dyDescent="0.3">
      <c r="A734" s="2">
        <f t="shared" si="192"/>
        <v>732</v>
      </c>
      <c r="B734" s="6">
        <f t="shared" si="192"/>
        <v>1282</v>
      </c>
      <c r="C734" s="9">
        <f t="shared" si="187"/>
        <v>426520</v>
      </c>
      <c r="D734" s="6">
        <f t="shared" si="183"/>
        <v>882</v>
      </c>
      <c r="E734" s="9">
        <f t="shared" si="188"/>
        <v>221640</v>
      </c>
      <c r="F734" s="3">
        <f t="shared" si="184"/>
        <v>1332</v>
      </c>
      <c r="G734" s="3">
        <f t="shared" si="189"/>
        <v>181160</v>
      </c>
      <c r="J734" s="6">
        <f t="shared" si="190"/>
        <v>7.3599999999998831</v>
      </c>
      <c r="K734" s="11">
        <f t="shared" si="191"/>
        <v>817160</v>
      </c>
      <c r="P734" s="1">
        <f t="shared" si="185"/>
        <v>817160</v>
      </c>
      <c r="Q734" s="1">
        <f t="shared" si="186"/>
        <v>125106508</v>
      </c>
    </row>
    <row r="735" spans="1:17" x14ac:dyDescent="0.3">
      <c r="A735" s="2">
        <f t="shared" si="192"/>
        <v>733</v>
      </c>
      <c r="B735" s="6">
        <f t="shared" si="192"/>
        <v>1283</v>
      </c>
      <c r="C735" s="9">
        <f t="shared" si="187"/>
        <v>428130</v>
      </c>
      <c r="D735" s="6">
        <f t="shared" si="183"/>
        <v>883</v>
      </c>
      <c r="E735" s="9">
        <f t="shared" si="188"/>
        <v>222410</v>
      </c>
      <c r="F735" s="3">
        <f t="shared" si="184"/>
        <v>1333</v>
      </c>
      <c r="G735" s="3">
        <f t="shared" si="189"/>
        <v>181790</v>
      </c>
      <c r="J735" s="6">
        <f t="shared" si="190"/>
        <v>7.364999999999883</v>
      </c>
      <c r="K735" s="11">
        <f t="shared" si="191"/>
        <v>820290</v>
      </c>
      <c r="P735" s="1">
        <f t="shared" si="185"/>
        <v>820290</v>
      </c>
      <c r="Q735" s="1">
        <f t="shared" si="186"/>
        <v>125926798</v>
      </c>
    </row>
    <row r="736" spans="1:17" x14ac:dyDescent="0.3">
      <c r="A736" s="2">
        <f t="shared" si="192"/>
        <v>734</v>
      </c>
      <c r="B736" s="6">
        <f t="shared" si="192"/>
        <v>1284</v>
      </c>
      <c r="C736" s="9">
        <f t="shared" si="187"/>
        <v>429740</v>
      </c>
      <c r="D736" s="6">
        <f t="shared" si="183"/>
        <v>884</v>
      </c>
      <c r="E736" s="9">
        <f t="shared" si="188"/>
        <v>223180</v>
      </c>
      <c r="F736" s="3">
        <f t="shared" si="184"/>
        <v>1334</v>
      </c>
      <c r="G736" s="3">
        <f t="shared" si="189"/>
        <v>182420</v>
      </c>
      <c r="J736" s="6">
        <f t="shared" si="190"/>
        <v>7.3699999999998829</v>
      </c>
      <c r="K736" s="11">
        <f t="shared" si="191"/>
        <v>823420</v>
      </c>
      <c r="P736" s="1">
        <f t="shared" si="185"/>
        <v>823420</v>
      </c>
      <c r="Q736" s="1">
        <f t="shared" si="186"/>
        <v>126750218</v>
      </c>
    </row>
    <row r="737" spans="1:17" x14ac:dyDescent="0.3">
      <c r="A737" s="2">
        <f t="shared" si="192"/>
        <v>735</v>
      </c>
      <c r="B737" s="6">
        <f t="shared" si="192"/>
        <v>1285</v>
      </c>
      <c r="C737" s="9">
        <f t="shared" si="187"/>
        <v>431350</v>
      </c>
      <c r="D737" s="6">
        <f t="shared" si="183"/>
        <v>885</v>
      </c>
      <c r="E737" s="9">
        <f t="shared" si="188"/>
        <v>223950</v>
      </c>
      <c r="F737" s="3">
        <f t="shared" si="184"/>
        <v>1335</v>
      </c>
      <c r="G737" s="3">
        <f t="shared" si="189"/>
        <v>183050</v>
      </c>
      <c r="J737" s="6">
        <f t="shared" si="190"/>
        <v>7.3749999999998828</v>
      </c>
      <c r="K737" s="11">
        <f t="shared" si="191"/>
        <v>826550</v>
      </c>
      <c r="P737" s="1">
        <f t="shared" si="185"/>
        <v>826550</v>
      </c>
      <c r="Q737" s="1">
        <f t="shared" si="186"/>
        <v>127576768</v>
      </c>
    </row>
    <row r="738" spans="1:17" x14ac:dyDescent="0.3">
      <c r="A738" s="2">
        <f t="shared" si="192"/>
        <v>736</v>
      </c>
      <c r="B738" s="6">
        <f t="shared" si="192"/>
        <v>1286</v>
      </c>
      <c r="C738" s="9">
        <f t="shared" si="187"/>
        <v>432960</v>
      </c>
      <c r="D738" s="6">
        <f t="shared" si="183"/>
        <v>886</v>
      </c>
      <c r="E738" s="9">
        <f t="shared" si="188"/>
        <v>224720</v>
      </c>
      <c r="F738" s="3">
        <f t="shared" si="184"/>
        <v>1336</v>
      </c>
      <c r="G738" s="3">
        <f t="shared" si="189"/>
        <v>183680</v>
      </c>
      <c r="J738" s="6">
        <f t="shared" si="190"/>
        <v>7.3799999999998827</v>
      </c>
      <c r="K738" s="11">
        <f t="shared" si="191"/>
        <v>829680</v>
      </c>
      <c r="P738" s="1">
        <f t="shared" si="185"/>
        <v>829680</v>
      </c>
      <c r="Q738" s="1">
        <f t="shared" si="186"/>
        <v>128406448</v>
      </c>
    </row>
    <row r="739" spans="1:17" x14ac:dyDescent="0.3">
      <c r="A739" s="2">
        <f t="shared" si="192"/>
        <v>737</v>
      </c>
      <c r="B739" s="6">
        <f t="shared" si="192"/>
        <v>1287</v>
      </c>
      <c r="C739" s="9">
        <f t="shared" si="187"/>
        <v>434570</v>
      </c>
      <c r="D739" s="6">
        <f t="shared" si="183"/>
        <v>887</v>
      </c>
      <c r="E739" s="9">
        <f t="shared" si="188"/>
        <v>225490</v>
      </c>
      <c r="F739" s="3">
        <f t="shared" si="184"/>
        <v>1337</v>
      </c>
      <c r="G739" s="3">
        <f t="shared" si="189"/>
        <v>184310</v>
      </c>
      <c r="J739" s="6">
        <f t="shared" si="190"/>
        <v>7.3849999999998825</v>
      </c>
      <c r="K739" s="11">
        <f t="shared" si="191"/>
        <v>832810</v>
      </c>
      <c r="P739" s="1">
        <f t="shared" si="185"/>
        <v>832810</v>
      </c>
      <c r="Q739" s="1">
        <f t="shared" si="186"/>
        <v>129239258</v>
      </c>
    </row>
    <row r="740" spans="1:17" x14ac:dyDescent="0.3">
      <c r="A740" s="2">
        <f t="shared" si="192"/>
        <v>738</v>
      </c>
      <c r="B740" s="6">
        <f t="shared" si="192"/>
        <v>1288</v>
      </c>
      <c r="C740" s="9">
        <f t="shared" si="187"/>
        <v>436180</v>
      </c>
      <c r="D740" s="6">
        <f t="shared" si="183"/>
        <v>888</v>
      </c>
      <c r="E740" s="9">
        <f t="shared" si="188"/>
        <v>226260</v>
      </c>
      <c r="F740" s="3">
        <f t="shared" si="184"/>
        <v>1338</v>
      </c>
      <c r="G740" s="3">
        <f t="shared" si="189"/>
        <v>184940</v>
      </c>
      <c r="J740" s="6">
        <f t="shared" si="190"/>
        <v>7.3899999999998824</v>
      </c>
      <c r="K740" s="11">
        <f t="shared" si="191"/>
        <v>835940</v>
      </c>
      <c r="P740" s="1">
        <f t="shared" si="185"/>
        <v>835940</v>
      </c>
      <c r="Q740" s="1">
        <f t="shared" si="186"/>
        <v>130075198</v>
      </c>
    </row>
    <row r="741" spans="1:17" x14ac:dyDescent="0.3">
      <c r="A741" s="2">
        <f t="shared" si="192"/>
        <v>739</v>
      </c>
      <c r="B741" s="6">
        <f t="shared" si="192"/>
        <v>1289</v>
      </c>
      <c r="C741" s="9">
        <f t="shared" si="187"/>
        <v>437790</v>
      </c>
      <c r="D741" s="6">
        <f t="shared" si="183"/>
        <v>889</v>
      </c>
      <c r="E741" s="9">
        <f t="shared" si="188"/>
        <v>227030</v>
      </c>
      <c r="F741" s="3">
        <f t="shared" si="184"/>
        <v>1339</v>
      </c>
      <c r="G741" s="3">
        <f t="shared" si="189"/>
        <v>185570</v>
      </c>
      <c r="J741" s="6">
        <f t="shared" si="190"/>
        <v>7.3949999999998823</v>
      </c>
      <c r="K741" s="11">
        <f t="shared" si="191"/>
        <v>839070</v>
      </c>
      <c r="P741" s="1">
        <f t="shared" si="185"/>
        <v>839070</v>
      </c>
      <c r="Q741" s="1">
        <f t="shared" si="186"/>
        <v>130914268</v>
      </c>
    </row>
    <row r="742" spans="1:17" x14ac:dyDescent="0.3">
      <c r="A742" s="2">
        <f t="shared" si="192"/>
        <v>740</v>
      </c>
      <c r="B742" s="6">
        <f t="shared" si="192"/>
        <v>1290</v>
      </c>
      <c r="C742" s="9">
        <f t="shared" si="187"/>
        <v>439400</v>
      </c>
      <c r="D742" s="6">
        <f t="shared" si="183"/>
        <v>890</v>
      </c>
      <c r="E742" s="9">
        <f t="shared" si="188"/>
        <v>227800</v>
      </c>
      <c r="F742" s="3">
        <f t="shared" si="184"/>
        <v>1340</v>
      </c>
      <c r="G742" s="3">
        <f t="shared" si="189"/>
        <v>186200</v>
      </c>
      <c r="J742" s="6">
        <f t="shared" si="190"/>
        <v>7.3999999999998822</v>
      </c>
      <c r="K742" s="11">
        <f t="shared" si="191"/>
        <v>842200</v>
      </c>
      <c r="P742" s="1">
        <f t="shared" si="185"/>
        <v>842200</v>
      </c>
      <c r="Q742" s="1">
        <f t="shared" si="186"/>
        <v>131756468</v>
      </c>
    </row>
    <row r="743" spans="1:17" x14ac:dyDescent="0.3">
      <c r="A743" s="2">
        <f t="shared" si="192"/>
        <v>741</v>
      </c>
      <c r="B743" s="6">
        <f t="shared" si="192"/>
        <v>1291</v>
      </c>
      <c r="C743" s="9">
        <f t="shared" si="187"/>
        <v>441010</v>
      </c>
      <c r="D743" s="6">
        <f t="shared" si="183"/>
        <v>891</v>
      </c>
      <c r="E743" s="9">
        <f t="shared" si="188"/>
        <v>228570</v>
      </c>
      <c r="F743" s="3">
        <f t="shared" si="184"/>
        <v>1341</v>
      </c>
      <c r="G743" s="3">
        <f t="shared" si="189"/>
        <v>186830</v>
      </c>
      <c r="J743" s="6">
        <f t="shared" si="190"/>
        <v>7.4049999999998821</v>
      </c>
      <c r="K743" s="11">
        <f t="shared" si="191"/>
        <v>845330</v>
      </c>
      <c r="P743" s="1">
        <f t="shared" si="185"/>
        <v>845330</v>
      </c>
      <c r="Q743" s="1">
        <f t="shared" si="186"/>
        <v>132601798</v>
      </c>
    </row>
    <row r="744" spans="1:17" x14ac:dyDescent="0.3">
      <c r="A744" s="2">
        <f t="shared" si="192"/>
        <v>742</v>
      </c>
      <c r="B744" s="6">
        <f t="shared" si="192"/>
        <v>1292</v>
      </c>
      <c r="C744" s="9">
        <f t="shared" si="187"/>
        <v>442620</v>
      </c>
      <c r="D744" s="6">
        <f t="shared" ref="D744:D807" si="193">D743+1</f>
        <v>892</v>
      </c>
      <c r="E744" s="9">
        <f t="shared" si="188"/>
        <v>229340</v>
      </c>
      <c r="F744" s="3">
        <f t="shared" ref="F744:F807" si="194">F743+1</f>
        <v>1342</v>
      </c>
      <c r="G744" s="3">
        <f t="shared" si="189"/>
        <v>187460</v>
      </c>
      <c r="J744" s="6">
        <f t="shared" si="190"/>
        <v>7.409999999999882</v>
      </c>
      <c r="K744" s="11">
        <f t="shared" si="191"/>
        <v>848460</v>
      </c>
      <c r="P744" s="1">
        <f t="shared" si="185"/>
        <v>848460</v>
      </c>
      <c r="Q744" s="1">
        <f t="shared" si="186"/>
        <v>133450258</v>
      </c>
    </row>
    <row r="745" spans="1:17" x14ac:dyDescent="0.3">
      <c r="A745" s="2">
        <f t="shared" si="192"/>
        <v>743</v>
      </c>
      <c r="B745" s="6">
        <f t="shared" si="192"/>
        <v>1293</v>
      </c>
      <c r="C745" s="9">
        <f t="shared" si="187"/>
        <v>444230</v>
      </c>
      <c r="D745" s="6">
        <f t="shared" si="193"/>
        <v>893</v>
      </c>
      <c r="E745" s="9">
        <f t="shared" si="188"/>
        <v>230110</v>
      </c>
      <c r="F745" s="3">
        <f t="shared" si="194"/>
        <v>1343</v>
      </c>
      <c r="G745" s="3">
        <f t="shared" si="189"/>
        <v>188090</v>
      </c>
      <c r="J745" s="6">
        <f t="shared" si="190"/>
        <v>7.4149999999998819</v>
      </c>
      <c r="K745" s="11">
        <f t="shared" si="191"/>
        <v>851590</v>
      </c>
      <c r="P745" s="1">
        <f t="shared" si="185"/>
        <v>851590</v>
      </c>
      <c r="Q745" s="1">
        <f t="shared" si="186"/>
        <v>134301848</v>
      </c>
    </row>
    <row r="746" spans="1:17" x14ac:dyDescent="0.3">
      <c r="A746" s="2">
        <f t="shared" si="192"/>
        <v>744</v>
      </c>
      <c r="B746" s="6">
        <f t="shared" si="192"/>
        <v>1294</v>
      </c>
      <c r="C746" s="9">
        <f t="shared" si="187"/>
        <v>445840</v>
      </c>
      <c r="D746" s="6">
        <f t="shared" si="193"/>
        <v>894</v>
      </c>
      <c r="E746" s="9">
        <f t="shared" si="188"/>
        <v>230880</v>
      </c>
      <c r="F746" s="3">
        <f t="shared" si="194"/>
        <v>1344</v>
      </c>
      <c r="G746" s="3">
        <f t="shared" si="189"/>
        <v>188720</v>
      </c>
      <c r="J746" s="6">
        <f t="shared" si="190"/>
        <v>7.4199999999998818</v>
      </c>
      <c r="K746" s="11">
        <f t="shared" si="191"/>
        <v>854720</v>
      </c>
      <c r="P746" s="1">
        <f t="shared" si="185"/>
        <v>854720</v>
      </c>
      <c r="Q746" s="1">
        <f t="shared" si="186"/>
        <v>135156568</v>
      </c>
    </row>
    <row r="747" spans="1:17" x14ac:dyDescent="0.3">
      <c r="A747" s="2">
        <f t="shared" si="192"/>
        <v>745</v>
      </c>
      <c r="B747" s="6">
        <f t="shared" si="192"/>
        <v>1295</v>
      </c>
      <c r="C747" s="9">
        <f t="shared" si="187"/>
        <v>447450</v>
      </c>
      <c r="D747" s="6">
        <f t="shared" si="193"/>
        <v>895</v>
      </c>
      <c r="E747" s="9">
        <f t="shared" si="188"/>
        <v>231650</v>
      </c>
      <c r="F747" s="3">
        <f t="shared" si="194"/>
        <v>1345</v>
      </c>
      <c r="G747" s="3">
        <f t="shared" si="189"/>
        <v>189350</v>
      </c>
      <c r="J747" s="6">
        <f t="shared" si="190"/>
        <v>7.4249999999998817</v>
      </c>
      <c r="K747" s="11">
        <f t="shared" si="191"/>
        <v>857850</v>
      </c>
      <c r="P747" s="1">
        <f t="shared" si="185"/>
        <v>857850</v>
      </c>
      <c r="Q747" s="1">
        <f t="shared" si="186"/>
        <v>136014418</v>
      </c>
    </row>
    <row r="748" spans="1:17" x14ac:dyDescent="0.3">
      <c r="A748" s="2">
        <f t="shared" si="192"/>
        <v>746</v>
      </c>
      <c r="B748" s="6">
        <f t="shared" si="192"/>
        <v>1296</v>
      </c>
      <c r="C748" s="9">
        <f t="shared" si="187"/>
        <v>449060</v>
      </c>
      <c r="D748" s="6">
        <f t="shared" si="193"/>
        <v>896</v>
      </c>
      <c r="E748" s="9">
        <f t="shared" si="188"/>
        <v>232420</v>
      </c>
      <c r="F748" s="3">
        <f t="shared" si="194"/>
        <v>1346</v>
      </c>
      <c r="G748" s="3">
        <f t="shared" si="189"/>
        <v>189980</v>
      </c>
      <c r="J748" s="6">
        <f t="shared" si="190"/>
        <v>7.4299999999998816</v>
      </c>
      <c r="K748" s="11">
        <f t="shared" si="191"/>
        <v>860980</v>
      </c>
      <c r="P748" s="1">
        <f t="shared" si="185"/>
        <v>860980</v>
      </c>
      <c r="Q748" s="1">
        <f t="shared" si="186"/>
        <v>136875398</v>
      </c>
    </row>
    <row r="749" spans="1:17" x14ac:dyDescent="0.3">
      <c r="A749" s="2">
        <f t="shared" si="192"/>
        <v>747</v>
      </c>
      <c r="B749" s="6">
        <f t="shared" si="192"/>
        <v>1297</v>
      </c>
      <c r="C749" s="9">
        <f t="shared" si="187"/>
        <v>450670</v>
      </c>
      <c r="D749" s="6">
        <f t="shared" si="193"/>
        <v>897</v>
      </c>
      <c r="E749" s="9">
        <f t="shared" si="188"/>
        <v>233190</v>
      </c>
      <c r="F749" s="3">
        <f t="shared" si="194"/>
        <v>1347</v>
      </c>
      <c r="G749" s="3">
        <f t="shared" si="189"/>
        <v>190610</v>
      </c>
      <c r="J749" s="6">
        <f t="shared" si="190"/>
        <v>7.4349999999998815</v>
      </c>
      <c r="K749" s="11">
        <f t="shared" si="191"/>
        <v>864110</v>
      </c>
      <c r="P749" s="1">
        <f t="shared" si="185"/>
        <v>864110</v>
      </c>
      <c r="Q749" s="1">
        <f t="shared" si="186"/>
        <v>137739508</v>
      </c>
    </row>
    <row r="750" spans="1:17" x14ac:dyDescent="0.3">
      <c r="A750" s="2">
        <f t="shared" si="192"/>
        <v>748</v>
      </c>
      <c r="B750" s="6">
        <f t="shared" si="192"/>
        <v>1298</v>
      </c>
      <c r="C750" s="9">
        <f t="shared" si="187"/>
        <v>452280</v>
      </c>
      <c r="D750" s="6">
        <f t="shared" si="193"/>
        <v>898</v>
      </c>
      <c r="E750" s="9">
        <f t="shared" si="188"/>
        <v>233960</v>
      </c>
      <c r="F750" s="3">
        <f t="shared" si="194"/>
        <v>1348</v>
      </c>
      <c r="G750" s="3">
        <f t="shared" si="189"/>
        <v>191240</v>
      </c>
      <c r="J750" s="6">
        <f t="shared" si="190"/>
        <v>7.4399999999998814</v>
      </c>
      <c r="K750" s="11">
        <f t="shared" si="191"/>
        <v>867240</v>
      </c>
      <c r="P750" s="1">
        <f t="shared" si="185"/>
        <v>867240</v>
      </c>
      <c r="Q750" s="1">
        <f t="shared" si="186"/>
        <v>138606748</v>
      </c>
    </row>
    <row r="751" spans="1:17" x14ac:dyDescent="0.3">
      <c r="A751" s="2">
        <f t="shared" si="192"/>
        <v>749</v>
      </c>
      <c r="B751" s="6">
        <f t="shared" si="192"/>
        <v>1299</v>
      </c>
      <c r="C751" s="9">
        <f t="shared" si="187"/>
        <v>453890</v>
      </c>
      <c r="D751" s="6">
        <f t="shared" si="193"/>
        <v>899</v>
      </c>
      <c r="E751" s="9">
        <f t="shared" si="188"/>
        <v>234730</v>
      </c>
      <c r="F751" s="3">
        <f t="shared" si="194"/>
        <v>1349</v>
      </c>
      <c r="G751" s="3">
        <f t="shared" si="189"/>
        <v>191870</v>
      </c>
      <c r="J751" s="6">
        <f t="shared" si="190"/>
        <v>7.4449999999998813</v>
      </c>
      <c r="K751" s="11">
        <f t="shared" si="191"/>
        <v>870370</v>
      </c>
      <c r="P751" s="1">
        <f t="shared" si="185"/>
        <v>870370</v>
      </c>
      <c r="Q751" s="1">
        <f t="shared" si="186"/>
        <v>139477118</v>
      </c>
    </row>
    <row r="752" spans="1:17" x14ac:dyDescent="0.3">
      <c r="A752" s="2">
        <f t="shared" si="192"/>
        <v>750</v>
      </c>
      <c r="B752" s="6">
        <f t="shared" si="192"/>
        <v>1300</v>
      </c>
      <c r="C752" s="9">
        <f t="shared" si="187"/>
        <v>455500</v>
      </c>
      <c r="D752" s="6">
        <f t="shared" si="193"/>
        <v>900</v>
      </c>
      <c r="E752" s="9">
        <f t="shared" si="188"/>
        <v>235500</v>
      </c>
      <c r="F752" s="3">
        <f t="shared" si="194"/>
        <v>1350</v>
      </c>
      <c r="G752" s="3">
        <f t="shared" si="189"/>
        <v>192500</v>
      </c>
      <c r="J752" s="6">
        <f t="shared" si="190"/>
        <v>7.4499999999998812</v>
      </c>
      <c r="K752" s="11">
        <f t="shared" si="191"/>
        <v>873500</v>
      </c>
      <c r="P752" s="1">
        <f t="shared" si="185"/>
        <v>873500</v>
      </c>
      <c r="Q752" s="1">
        <f t="shared" si="186"/>
        <v>140350618</v>
      </c>
    </row>
    <row r="753" spans="1:17" x14ac:dyDescent="0.3">
      <c r="A753" s="2">
        <f t="shared" si="192"/>
        <v>751</v>
      </c>
      <c r="B753" s="6">
        <f t="shared" si="192"/>
        <v>1301</v>
      </c>
      <c r="C753" s="9">
        <f t="shared" si="187"/>
        <v>457110</v>
      </c>
      <c r="D753" s="6">
        <f t="shared" si="193"/>
        <v>901</v>
      </c>
      <c r="E753" s="9">
        <f t="shared" si="188"/>
        <v>236270</v>
      </c>
      <c r="F753" s="3">
        <f t="shared" si="194"/>
        <v>1351</v>
      </c>
      <c r="G753" s="3">
        <f t="shared" si="189"/>
        <v>193130</v>
      </c>
      <c r="J753" s="6">
        <f t="shared" si="190"/>
        <v>7.4549999999998811</v>
      </c>
      <c r="K753" s="11">
        <f t="shared" si="191"/>
        <v>876630</v>
      </c>
      <c r="P753" s="1">
        <f t="shared" si="185"/>
        <v>876630</v>
      </c>
      <c r="Q753" s="1">
        <f t="shared" si="186"/>
        <v>141227248</v>
      </c>
    </row>
    <row r="754" spans="1:17" x14ac:dyDescent="0.3">
      <c r="A754" s="2">
        <f t="shared" si="192"/>
        <v>752</v>
      </c>
      <c r="B754" s="6">
        <f t="shared" si="192"/>
        <v>1302</v>
      </c>
      <c r="C754" s="9">
        <f t="shared" si="187"/>
        <v>458720</v>
      </c>
      <c r="D754" s="6">
        <f t="shared" si="193"/>
        <v>902</v>
      </c>
      <c r="E754" s="9">
        <f t="shared" si="188"/>
        <v>237040</v>
      </c>
      <c r="F754" s="3">
        <f t="shared" si="194"/>
        <v>1352</v>
      </c>
      <c r="G754" s="3">
        <f t="shared" si="189"/>
        <v>193760</v>
      </c>
      <c r="J754" s="6">
        <f t="shared" si="190"/>
        <v>7.4599999999998809</v>
      </c>
      <c r="K754" s="11">
        <f t="shared" si="191"/>
        <v>879760</v>
      </c>
      <c r="P754" s="1">
        <f t="shared" si="185"/>
        <v>879760</v>
      </c>
      <c r="Q754" s="1">
        <f t="shared" si="186"/>
        <v>142107008</v>
      </c>
    </row>
    <row r="755" spans="1:17" x14ac:dyDescent="0.3">
      <c r="A755" s="2">
        <f t="shared" si="192"/>
        <v>753</v>
      </c>
      <c r="B755" s="6">
        <f t="shared" si="192"/>
        <v>1303</v>
      </c>
      <c r="C755" s="9">
        <f t="shared" si="187"/>
        <v>460330</v>
      </c>
      <c r="D755" s="6">
        <f t="shared" si="193"/>
        <v>903</v>
      </c>
      <c r="E755" s="9">
        <f t="shared" si="188"/>
        <v>237810</v>
      </c>
      <c r="F755" s="3">
        <f t="shared" si="194"/>
        <v>1353</v>
      </c>
      <c r="G755" s="3">
        <f t="shared" si="189"/>
        <v>194390</v>
      </c>
      <c r="J755" s="6">
        <f t="shared" si="190"/>
        <v>7.4649999999998808</v>
      </c>
      <c r="K755" s="11">
        <f t="shared" si="191"/>
        <v>882890</v>
      </c>
      <c r="P755" s="1">
        <f t="shared" si="185"/>
        <v>882890</v>
      </c>
      <c r="Q755" s="1">
        <f t="shared" si="186"/>
        <v>142989898</v>
      </c>
    </row>
    <row r="756" spans="1:17" x14ac:dyDescent="0.3">
      <c r="A756" s="2">
        <f t="shared" si="192"/>
        <v>754</v>
      </c>
      <c r="B756" s="6">
        <f t="shared" si="192"/>
        <v>1304</v>
      </c>
      <c r="C756" s="9">
        <f t="shared" si="187"/>
        <v>461940</v>
      </c>
      <c r="D756" s="6">
        <f t="shared" si="193"/>
        <v>904</v>
      </c>
      <c r="E756" s="9">
        <f t="shared" si="188"/>
        <v>238580</v>
      </c>
      <c r="F756" s="3">
        <f t="shared" si="194"/>
        <v>1354</v>
      </c>
      <c r="G756" s="3">
        <f t="shared" si="189"/>
        <v>195020</v>
      </c>
      <c r="J756" s="6">
        <f t="shared" si="190"/>
        <v>7.4699999999998807</v>
      </c>
      <c r="K756" s="11">
        <f t="shared" si="191"/>
        <v>886020</v>
      </c>
      <c r="P756" s="1">
        <f t="shared" si="185"/>
        <v>886020</v>
      </c>
      <c r="Q756" s="1">
        <f t="shared" si="186"/>
        <v>143875918</v>
      </c>
    </row>
    <row r="757" spans="1:17" x14ac:dyDescent="0.3">
      <c r="A757" s="2">
        <f t="shared" si="192"/>
        <v>755</v>
      </c>
      <c r="B757" s="6">
        <f t="shared" si="192"/>
        <v>1305</v>
      </c>
      <c r="C757" s="9">
        <f t="shared" si="187"/>
        <v>463550</v>
      </c>
      <c r="D757" s="6">
        <f t="shared" si="193"/>
        <v>905</v>
      </c>
      <c r="E757" s="9">
        <f t="shared" si="188"/>
        <v>239350</v>
      </c>
      <c r="F757" s="3">
        <f t="shared" si="194"/>
        <v>1355</v>
      </c>
      <c r="G757" s="3">
        <f t="shared" si="189"/>
        <v>195650</v>
      </c>
      <c r="J757" s="6">
        <f t="shared" si="190"/>
        <v>7.4749999999998806</v>
      </c>
      <c r="K757" s="11">
        <f t="shared" si="191"/>
        <v>889150</v>
      </c>
      <c r="P757" s="1">
        <f t="shared" si="185"/>
        <v>889150</v>
      </c>
      <c r="Q757" s="1">
        <f t="shared" si="186"/>
        <v>144765068</v>
      </c>
    </row>
    <row r="758" spans="1:17" x14ac:dyDescent="0.3">
      <c r="A758" s="2">
        <f t="shared" si="192"/>
        <v>756</v>
      </c>
      <c r="B758" s="6">
        <f t="shared" si="192"/>
        <v>1306</v>
      </c>
      <c r="C758" s="9">
        <f t="shared" si="187"/>
        <v>465160</v>
      </c>
      <c r="D758" s="6">
        <f t="shared" si="193"/>
        <v>906</v>
      </c>
      <c r="E758" s="9">
        <f t="shared" si="188"/>
        <v>240120</v>
      </c>
      <c r="F758" s="3">
        <f t="shared" si="194"/>
        <v>1356</v>
      </c>
      <c r="G758" s="3">
        <f t="shared" si="189"/>
        <v>196280</v>
      </c>
      <c r="J758" s="6">
        <f t="shared" si="190"/>
        <v>7.4799999999998805</v>
      </c>
      <c r="K758" s="11">
        <f t="shared" si="191"/>
        <v>892280</v>
      </c>
      <c r="P758" s="1">
        <f t="shared" ref="P758:P821" si="195">K758</f>
        <v>892280</v>
      </c>
      <c r="Q758" s="1">
        <f t="shared" ref="Q758:Q821" si="196">Q757+K758</f>
        <v>145657348</v>
      </c>
    </row>
    <row r="759" spans="1:17" x14ac:dyDescent="0.3">
      <c r="A759" s="2">
        <f t="shared" si="192"/>
        <v>757</v>
      </c>
      <c r="B759" s="6">
        <f t="shared" si="192"/>
        <v>1307</v>
      </c>
      <c r="C759" s="9">
        <f t="shared" si="187"/>
        <v>466770</v>
      </c>
      <c r="D759" s="6">
        <f t="shared" si="193"/>
        <v>907</v>
      </c>
      <c r="E759" s="9">
        <f t="shared" si="188"/>
        <v>240890</v>
      </c>
      <c r="F759" s="3">
        <f t="shared" si="194"/>
        <v>1357</v>
      </c>
      <c r="G759" s="3">
        <f t="shared" si="189"/>
        <v>196910</v>
      </c>
      <c r="J759" s="6">
        <f t="shared" si="190"/>
        <v>7.4849999999998804</v>
      </c>
      <c r="K759" s="11">
        <f t="shared" si="191"/>
        <v>895410</v>
      </c>
      <c r="P759" s="1">
        <f t="shared" si="195"/>
        <v>895410</v>
      </c>
      <c r="Q759" s="1">
        <f t="shared" si="196"/>
        <v>146552758</v>
      </c>
    </row>
    <row r="760" spans="1:17" x14ac:dyDescent="0.3">
      <c r="A760" s="2">
        <f t="shared" si="192"/>
        <v>758</v>
      </c>
      <c r="B760" s="6">
        <f t="shared" si="192"/>
        <v>1308</v>
      </c>
      <c r="C760" s="9">
        <f t="shared" ref="C760:C823" si="197">C759+1610</f>
        <v>468380</v>
      </c>
      <c r="D760" s="6">
        <f t="shared" si="193"/>
        <v>908</v>
      </c>
      <c r="E760" s="9">
        <f t="shared" ref="E760:E823" si="198">E759+770</f>
        <v>241660</v>
      </c>
      <c r="F760" s="3">
        <f t="shared" si="194"/>
        <v>1358</v>
      </c>
      <c r="G760" s="3">
        <f t="shared" ref="G760:G823" si="199">G759+630</f>
        <v>197540</v>
      </c>
      <c r="J760" s="6">
        <f t="shared" ref="J760:J823" si="200">J759+0.005</f>
        <v>7.4899999999998803</v>
      </c>
      <c r="K760" s="11">
        <f t="shared" ref="K760:K823" si="201">K759+3130</f>
        <v>898540</v>
      </c>
      <c r="P760" s="1">
        <f t="shared" si="195"/>
        <v>898540</v>
      </c>
      <c r="Q760" s="1">
        <f t="shared" si="196"/>
        <v>147451298</v>
      </c>
    </row>
    <row r="761" spans="1:17" x14ac:dyDescent="0.3">
      <c r="A761" s="2">
        <f t="shared" si="192"/>
        <v>759</v>
      </c>
      <c r="B761" s="6">
        <f t="shared" si="192"/>
        <v>1309</v>
      </c>
      <c r="C761" s="9">
        <f t="shared" si="197"/>
        <v>469990</v>
      </c>
      <c r="D761" s="6">
        <f t="shared" si="193"/>
        <v>909</v>
      </c>
      <c r="E761" s="9">
        <f t="shared" si="198"/>
        <v>242430</v>
      </c>
      <c r="F761" s="3">
        <f t="shared" si="194"/>
        <v>1359</v>
      </c>
      <c r="G761" s="3">
        <f t="shared" si="199"/>
        <v>198170</v>
      </c>
      <c r="J761" s="6">
        <f t="shared" si="200"/>
        <v>7.4949999999998802</v>
      </c>
      <c r="K761" s="11">
        <f t="shared" si="201"/>
        <v>901670</v>
      </c>
      <c r="P761" s="1">
        <f t="shared" si="195"/>
        <v>901670</v>
      </c>
      <c r="Q761" s="1">
        <f t="shared" si="196"/>
        <v>148352968</v>
      </c>
    </row>
    <row r="762" spans="1:17" x14ac:dyDescent="0.3">
      <c r="A762" s="2">
        <f t="shared" si="192"/>
        <v>760</v>
      </c>
      <c r="B762" s="6">
        <f t="shared" si="192"/>
        <v>1310</v>
      </c>
      <c r="C762" s="9">
        <f t="shared" si="197"/>
        <v>471600</v>
      </c>
      <c r="D762" s="6">
        <f t="shared" si="193"/>
        <v>910</v>
      </c>
      <c r="E762" s="9">
        <f t="shared" si="198"/>
        <v>243200</v>
      </c>
      <c r="F762" s="3">
        <f t="shared" si="194"/>
        <v>1360</v>
      </c>
      <c r="G762" s="3">
        <f t="shared" si="199"/>
        <v>198800</v>
      </c>
      <c r="J762" s="6">
        <f t="shared" si="200"/>
        <v>7.4999999999998801</v>
      </c>
      <c r="K762" s="11">
        <f t="shared" si="201"/>
        <v>904800</v>
      </c>
      <c r="P762" s="1">
        <f t="shared" si="195"/>
        <v>904800</v>
      </c>
      <c r="Q762" s="1">
        <f t="shared" si="196"/>
        <v>149257768</v>
      </c>
    </row>
    <row r="763" spans="1:17" x14ac:dyDescent="0.3">
      <c r="A763" s="2">
        <f t="shared" si="192"/>
        <v>761</v>
      </c>
      <c r="B763" s="6">
        <f t="shared" si="192"/>
        <v>1311</v>
      </c>
      <c r="C763" s="9">
        <f t="shared" si="197"/>
        <v>473210</v>
      </c>
      <c r="D763" s="6">
        <f t="shared" si="193"/>
        <v>911</v>
      </c>
      <c r="E763" s="9">
        <f t="shared" si="198"/>
        <v>243970</v>
      </c>
      <c r="F763" s="3">
        <f t="shared" si="194"/>
        <v>1361</v>
      </c>
      <c r="G763" s="3">
        <f t="shared" si="199"/>
        <v>199430</v>
      </c>
      <c r="J763" s="6">
        <f t="shared" si="200"/>
        <v>7.50499999999988</v>
      </c>
      <c r="K763" s="11">
        <f t="shared" si="201"/>
        <v>907930</v>
      </c>
      <c r="P763" s="1">
        <f t="shared" si="195"/>
        <v>907930</v>
      </c>
      <c r="Q763" s="1">
        <f t="shared" si="196"/>
        <v>150165698</v>
      </c>
    </row>
    <row r="764" spans="1:17" x14ac:dyDescent="0.3">
      <c r="A764" s="2">
        <f t="shared" si="192"/>
        <v>762</v>
      </c>
      <c r="B764" s="6">
        <f t="shared" si="192"/>
        <v>1312</v>
      </c>
      <c r="C764" s="9">
        <f t="shared" si="197"/>
        <v>474820</v>
      </c>
      <c r="D764" s="6">
        <f t="shared" si="193"/>
        <v>912</v>
      </c>
      <c r="E764" s="9">
        <f t="shared" si="198"/>
        <v>244740</v>
      </c>
      <c r="F764" s="3">
        <f t="shared" si="194"/>
        <v>1362</v>
      </c>
      <c r="G764" s="3">
        <f t="shared" si="199"/>
        <v>200060</v>
      </c>
      <c r="J764" s="6">
        <f t="shared" si="200"/>
        <v>7.5099999999998799</v>
      </c>
      <c r="K764" s="11">
        <f t="shared" si="201"/>
        <v>911060</v>
      </c>
      <c r="P764" s="1">
        <f t="shared" si="195"/>
        <v>911060</v>
      </c>
      <c r="Q764" s="1">
        <f t="shared" si="196"/>
        <v>151076758</v>
      </c>
    </row>
    <row r="765" spans="1:17" x14ac:dyDescent="0.3">
      <c r="A765" s="2">
        <f t="shared" si="192"/>
        <v>763</v>
      </c>
      <c r="B765" s="6">
        <f t="shared" si="192"/>
        <v>1313</v>
      </c>
      <c r="C765" s="9">
        <f t="shared" si="197"/>
        <v>476430</v>
      </c>
      <c r="D765" s="6">
        <f t="shared" si="193"/>
        <v>913</v>
      </c>
      <c r="E765" s="9">
        <f t="shared" si="198"/>
        <v>245510</v>
      </c>
      <c r="F765" s="3">
        <f t="shared" si="194"/>
        <v>1363</v>
      </c>
      <c r="G765" s="3">
        <f t="shared" si="199"/>
        <v>200690</v>
      </c>
      <c r="J765" s="6">
        <f t="shared" si="200"/>
        <v>7.5149999999998798</v>
      </c>
      <c r="K765" s="11">
        <f t="shared" si="201"/>
        <v>914190</v>
      </c>
      <c r="P765" s="1">
        <f t="shared" si="195"/>
        <v>914190</v>
      </c>
      <c r="Q765" s="1">
        <f t="shared" si="196"/>
        <v>151990948</v>
      </c>
    </row>
    <row r="766" spans="1:17" x14ac:dyDescent="0.3">
      <c r="A766" s="2">
        <f t="shared" si="192"/>
        <v>764</v>
      </c>
      <c r="B766" s="6">
        <f t="shared" si="192"/>
        <v>1314</v>
      </c>
      <c r="C766" s="9">
        <f t="shared" si="197"/>
        <v>478040</v>
      </c>
      <c r="D766" s="6">
        <f t="shared" si="193"/>
        <v>914</v>
      </c>
      <c r="E766" s="9">
        <f t="shared" si="198"/>
        <v>246280</v>
      </c>
      <c r="F766" s="3">
        <f t="shared" si="194"/>
        <v>1364</v>
      </c>
      <c r="G766" s="3">
        <f t="shared" si="199"/>
        <v>201320</v>
      </c>
      <c r="J766" s="6">
        <f t="shared" si="200"/>
        <v>7.5199999999998797</v>
      </c>
      <c r="K766" s="11">
        <f t="shared" si="201"/>
        <v>917320</v>
      </c>
      <c r="P766" s="1">
        <f t="shared" si="195"/>
        <v>917320</v>
      </c>
      <c r="Q766" s="1">
        <f t="shared" si="196"/>
        <v>152908268</v>
      </c>
    </row>
    <row r="767" spans="1:17" x14ac:dyDescent="0.3">
      <c r="A767" s="2">
        <f t="shared" si="192"/>
        <v>765</v>
      </c>
      <c r="B767" s="6">
        <f t="shared" si="192"/>
        <v>1315</v>
      </c>
      <c r="C767" s="9">
        <f t="shared" si="197"/>
        <v>479650</v>
      </c>
      <c r="D767" s="6">
        <f t="shared" si="193"/>
        <v>915</v>
      </c>
      <c r="E767" s="9">
        <f t="shared" si="198"/>
        <v>247050</v>
      </c>
      <c r="F767" s="3">
        <f t="shared" si="194"/>
        <v>1365</v>
      </c>
      <c r="G767" s="3">
        <f t="shared" si="199"/>
        <v>201950</v>
      </c>
      <c r="J767" s="6">
        <f t="shared" si="200"/>
        <v>7.5249999999998796</v>
      </c>
      <c r="K767" s="11">
        <f t="shared" si="201"/>
        <v>920450</v>
      </c>
      <c r="P767" s="1">
        <f t="shared" si="195"/>
        <v>920450</v>
      </c>
      <c r="Q767" s="1">
        <f t="shared" si="196"/>
        <v>153828718</v>
      </c>
    </row>
    <row r="768" spans="1:17" x14ac:dyDescent="0.3">
      <c r="A768" s="2">
        <f t="shared" si="192"/>
        <v>766</v>
      </c>
      <c r="B768" s="6">
        <f t="shared" si="192"/>
        <v>1316</v>
      </c>
      <c r="C768" s="9">
        <f t="shared" si="197"/>
        <v>481260</v>
      </c>
      <c r="D768" s="6">
        <f t="shared" si="193"/>
        <v>916</v>
      </c>
      <c r="E768" s="9">
        <f t="shared" si="198"/>
        <v>247820</v>
      </c>
      <c r="F768" s="3">
        <f t="shared" si="194"/>
        <v>1366</v>
      </c>
      <c r="G768" s="3">
        <f t="shared" si="199"/>
        <v>202580</v>
      </c>
      <c r="J768" s="6">
        <f t="shared" si="200"/>
        <v>7.5299999999998795</v>
      </c>
      <c r="K768" s="11">
        <f t="shared" si="201"/>
        <v>923580</v>
      </c>
      <c r="P768" s="1">
        <f t="shared" si="195"/>
        <v>923580</v>
      </c>
      <c r="Q768" s="1">
        <f t="shared" si="196"/>
        <v>154752298</v>
      </c>
    </row>
    <row r="769" spans="1:17" x14ac:dyDescent="0.3">
      <c r="A769" s="2">
        <f t="shared" si="192"/>
        <v>767</v>
      </c>
      <c r="B769" s="6">
        <f t="shared" si="192"/>
        <v>1317</v>
      </c>
      <c r="C769" s="9">
        <f t="shared" si="197"/>
        <v>482870</v>
      </c>
      <c r="D769" s="6">
        <f t="shared" si="193"/>
        <v>917</v>
      </c>
      <c r="E769" s="9">
        <f t="shared" si="198"/>
        <v>248590</v>
      </c>
      <c r="F769" s="3">
        <f t="shared" si="194"/>
        <v>1367</v>
      </c>
      <c r="G769" s="3">
        <f t="shared" si="199"/>
        <v>203210</v>
      </c>
      <c r="J769" s="6">
        <f t="shared" si="200"/>
        <v>7.5349999999998793</v>
      </c>
      <c r="K769" s="11">
        <f t="shared" si="201"/>
        <v>926710</v>
      </c>
      <c r="P769" s="1">
        <f t="shared" si="195"/>
        <v>926710</v>
      </c>
      <c r="Q769" s="1">
        <f t="shared" si="196"/>
        <v>155679008</v>
      </c>
    </row>
    <row r="770" spans="1:17" x14ac:dyDescent="0.3">
      <c r="A770" s="2">
        <f t="shared" si="192"/>
        <v>768</v>
      </c>
      <c r="B770" s="6">
        <f t="shared" si="192"/>
        <v>1318</v>
      </c>
      <c r="C770" s="9">
        <f t="shared" si="197"/>
        <v>484480</v>
      </c>
      <c r="D770" s="6">
        <f t="shared" si="193"/>
        <v>918</v>
      </c>
      <c r="E770" s="9">
        <f t="shared" si="198"/>
        <v>249360</v>
      </c>
      <c r="F770" s="3">
        <f t="shared" si="194"/>
        <v>1368</v>
      </c>
      <c r="G770" s="3">
        <f t="shared" si="199"/>
        <v>203840</v>
      </c>
      <c r="J770" s="6">
        <f t="shared" si="200"/>
        <v>7.5399999999998792</v>
      </c>
      <c r="K770" s="11">
        <f t="shared" si="201"/>
        <v>929840</v>
      </c>
      <c r="P770" s="1">
        <f t="shared" si="195"/>
        <v>929840</v>
      </c>
      <c r="Q770" s="1">
        <f t="shared" si="196"/>
        <v>156608848</v>
      </c>
    </row>
    <row r="771" spans="1:17" x14ac:dyDescent="0.3">
      <c r="A771" s="2">
        <f t="shared" si="192"/>
        <v>769</v>
      </c>
      <c r="B771" s="6">
        <f t="shared" si="192"/>
        <v>1319</v>
      </c>
      <c r="C771" s="9">
        <f t="shared" si="197"/>
        <v>486090</v>
      </c>
      <c r="D771" s="6">
        <f t="shared" si="193"/>
        <v>919</v>
      </c>
      <c r="E771" s="9">
        <f t="shared" si="198"/>
        <v>250130</v>
      </c>
      <c r="F771" s="3">
        <f t="shared" si="194"/>
        <v>1369</v>
      </c>
      <c r="G771" s="3">
        <f t="shared" si="199"/>
        <v>204470</v>
      </c>
      <c r="J771" s="6">
        <f t="shared" si="200"/>
        <v>7.5449999999998791</v>
      </c>
      <c r="K771" s="11">
        <f t="shared" si="201"/>
        <v>932970</v>
      </c>
      <c r="P771" s="1">
        <f t="shared" si="195"/>
        <v>932970</v>
      </c>
      <c r="Q771" s="1">
        <f t="shared" si="196"/>
        <v>157541818</v>
      </c>
    </row>
    <row r="772" spans="1:17" x14ac:dyDescent="0.3">
      <c r="A772" s="2">
        <f t="shared" si="192"/>
        <v>770</v>
      </c>
      <c r="B772" s="6">
        <f t="shared" si="192"/>
        <v>1320</v>
      </c>
      <c r="C772" s="9">
        <f t="shared" si="197"/>
        <v>487700</v>
      </c>
      <c r="D772" s="6">
        <f t="shared" si="193"/>
        <v>920</v>
      </c>
      <c r="E772" s="9">
        <f t="shared" si="198"/>
        <v>250900</v>
      </c>
      <c r="F772" s="3">
        <f t="shared" si="194"/>
        <v>1370</v>
      </c>
      <c r="G772" s="3">
        <f t="shared" si="199"/>
        <v>205100</v>
      </c>
      <c r="J772" s="6">
        <f t="shared" si="200"/>
        <v>7.549999999999879</v>
      </c>
      <c r="K772" s="11">
        <f t="shared" si="201"/>
        <v>936100</v>
      </c>
      <c r="P772" s="1">
        <f t="shared" si="195"/>
        <v>936100</v>
      </c>
      <c r="Q772" s="1">
        <f t="shared" si="196"/>
        <v>158477918</v>
      </c>
    </row>
    <row r="773" spans="1:17" x14ac:dyDescent="0.3">
      <c r="A773" s="2">
        <f t="shared" ref="A773:B836" si="202">A772+1</f>
        <v>771</v>
      </c>
      <c r="B773" s="6">
        <f t="shared" si="202"/>
        <v>1321</v>
      </c>
      <c r="C773" s="9">
        <f t="shared" si="197"/>
        <v>489310</v>
      </c>
      <c r="D773" s="6">
        <f t="shared" si="193"/>
        <v>921</v>
      </c>
      <c r="E773" s="9">
        <f t="shared" si="198"/>
        <v>251670</v>
      </c>
      <c r="F773" s="3">
        <f t="shared" si="194"/>
        <v>1371</v>
      </c>
      <c r="G773" s="3">
        <f t="shared" si="199"/>
        <v>205730</v>
      </c>
      <c r="J773" s="6">
        <f t="shared" si="200"/>
        <v>7.5549999999998789</v>
      </c>
      <c r="K773" s="11">
        <f t="shared" si="201"/>
        <v>939230</v>
      </c>
      <c r="P773" s="1">
        <f t="shared" si="195"/>
        <v>939230</v>
      </c>
      <c r="Q773" s="1">
        <f t="shared" si="196"/>
        <v>159417148</v>
      </c>
    </row>
    <row r="774" spans="1:17" x14ac:dyDescent="0.3">
      <c r="A774" s="2">
        <f t="shared" si="202"/>
        <v>772</v>
      </c>
      <c r="B774" s="6">
        <f t="shared" si="202"/>
        <v>1322</v>
      </c>
      <c r="C774" s="9">
        <f t="shared" si="197"/>
        <v>490920</v>
      </c>
      <c r="D774" s="6">
        <f t="shared" si="193"/>
        <v>922</v>
      </c>
      <c r="E774" s="9">
        <f t="shared" si="198"/>
        <v>252440</v>
      </c>
      <c r="F774" s="3">
        <f t="shared" si="194"/>
        <v>1372</v>
      </c>
      <c r="G774" s="3">
        <f t="shared" si="199"/>
        <v>206360</v>
      </c>
      <c r="J774" s="6">
        <f t="shared" si="200"/>
        <v>7.5599999999998788</v>
      </c>
      <c r="K774" s="11">
        <f t="shared" si="201"/>
        <v>942360</v>
      </c>
      <c r="P774" s="1">
        <f t="shared" si="195"/>
        <v>942360</v>
      </c>
      <c r="Q774" s="1">
        <f t="shared" si="196"/>
        <v>160359508</v>
      </c>
    </row>
    <row r="775" spans="1:17" x14ac:dyDescent="0.3">
      <c r="A775" s="2">
        <f t="shared" si="202"/>
        <v>773</v>
      </c>
      <c r="B775" s="6">
        <f t="shared" si="202"/>
        <v>1323</v>
      </c>
      <c r="C775" s="9">
        <f t="shared" si="197"/>
        <v>492530</v>
      </c>
      <c r="D775" s="6">
        <f t="shared" si="193"/>
        <v>923</v>
      </c>
      <c r="E775" s="9">
        <f t="shared" si="198"/>
        <v>253210</v>
      </c>
      <c r="F775" s="3">
        <f t="shared" si="194"/>
        <v>1373</v>
      </c>
      <c r="G775" s="3">
        <f t="shared" si="199"/>
        <v>206990</v>
      </c>
      <c r="J775" s="6">
        <f t="shared" si="200"/>
        <v>7.5649999999998787</v>
      </c>
      <c r="K775" s="11">
        <f t="shared" si="201"/>
        <v>945490</v>
      </c>
      <c r="P775" s="1">
        <f t="shared" si="195"/>
        <v>945490</v>
      </c>
      <c r="Q775" s="1">
        <f t="shared" si="196"/>
        <v>161304998</v>
      </c>
    </row>
    <row r="776" spans="1:17" x14ac:dyDescent="0.3">
      <c r="A776" s="2">
        <f t="shared" si="202"/>
        <v>774</v>
      </c>
      <c r="B776" s="6">
        <f t="shared" si="202"/>
        <v>1324</v>
      </c>
      <c r="C776" s="9">
        <f t="shared" si="197"/>
        <v>494140</v>
      </c>
      <c r="D776" s="6">
        <f t="shared" si="193"/>
        <v>924</v>
      </c>
      <c r="E776" s="9">
        <f t="shared" si="198"/>
        <v>253980</v>
      </c>
      <c r="F776" s="3">
        <f t="shared" si="194"/>
        <v>1374</v>
      </c>
      <c r="G776" s="3">
        <f t="shared" si="199"/>
        <v>207620</v>
      </c>
      <c r="J776" s="6">
        <f t="shared" si="200"/>
        <v>7.5699999999998786</v>
      </c>
      <c r="K776" s="11">
        <f t="shared" si="201"/>
        <v>948620</v>
      </c>
      <c r="P776" s="1">
        <f t="shared" si="195"/>
        <v>948620</v>
      </c>
      <c r="Q776" s="1">
        <f t="shared" si="196"/>
        <v>162253618</v>
      </c>
    </row>
    <row r="777" spans="1:17" x14ac:dyDescent="0.3">
      <c r="A777" s="2">
        <f t="shared" si="202"/>
        <v>775</v>
      </c>
      <c r="B777" s="6">
        <f t="shared" si="202"/>
        <v>1325</v>
      </c>
      <c r="C777" s="9">
        <f t="shared" si="197"/>
        <v>495750</v>
      </c>
      <c r="D777" s="6">
        <f t="shared" si="193"/>
        <v>925</v>
      </c>
      <c r="E777" s="9">
        <f t="shared" si="198"/>
        <v>254750</v>
      </c>
      <c r="F777" s="3">
        <f t="shared" si="194"/>
        <v>1375</v>
      </c>
      <c r="G777" s="3">
        <f t="shared" si="199"/>
        <v>208250</v>
      </c>
      <c r="J777" s="6">
        <f t="shared" si="200"/>
        <v>7.5749999999998785</v>
      </c>
      <c r="K777" s="11">
        <f t="shared" si="201"/>
        <v>951750</v>
      </c>
      <c r="P777" s="1">
        <f t="shared" si="195"/>
        <v>951750</v>
      </c>
      <c r="Q777" s="1">
        <f t="shared" si="196"/>
        <v>163205368</v>
      </c>
    </row>
    <row r="778" spans="1:17" x14ac:dyDescent="0.3">
      <c r="A778" s="2">
        <f t="shared" si="202"/>
        <v>776</v>
      </c>
      <c r="B778" s="6">
        <f t="shared" si="202"/>
        <v>1326</v>
      </c>
      <c r="C778" s="9">
        <f t="shared" si="197"/>
        <v>497360</v>
      </c>
      <c r="D778" s="6">
        <f t="shared" si="193"/>
        <v>926</v>
      </c>
      <c r="E778" s="9">
        <f t="shared" si="198"/>
        <v>255520</v>
      </c>
      <c r="F778" s="3">
        <f t="shared" si="194"/>
        <v>1376</v>
      </c>
      <c r="G778" s="3">
        <f t="shared" si="199"/>
        <v>208880</v>
      </c>
      <c r="J778" s="6">
        <f t="shared" si="200"/>
        <v>7.5799999999998784</v>
      </c>
      <c r="K778" s="11">
        <f t="shared" si="201"/>
        <v>954880</v>
      </c>
      <c r="P778" s="1">
        <f t="shared" si="195"/>
        <v>954880</v>
      </c>
      <c r="Q778" s="1">
        <f t="shared" si="196"/>
        <v>164160248</v>
      </c>
    </row>
    <row r="779" spans="1:17" x14ac:dyDescent="0.3">
      <c r="A779" s="2">
        <f t="shared" si="202"/>
        <v>777</v>
      </c>
      <c r="B779" s="6">
        <f t="shared" si="202"/>
        <v>1327</v>
      </c>
      <c r="C779" s="9">
        <f t="shared" si="197"/>
        <v>498970</v>
      </c>
      <c r="D779" s="6">
        <f t="shared" si="193"/>
        <v>927</v>
      </c>
      <c r="E779" s="9">
        <f t="shared" si="198"/>
        <v>256290</v>
      </c>
      <c r="F779" s="3">
        <f t="shared" si="194"/>
        <v>1377</v>
      </c>
      <c r="G779" s="3">
        <f t="shared" si="199"/>
        <v>209510</v>
      </c>
      <c r="J779" s="6">
        <f t="shared" si="200"/>
        <v>7.5849999999998783</v>
      </c>
      <c r="K779" s="11">
        <f t="shared" si="201"/>
        <v>958010</v>
      </c>
      <c r="P779" s="1">
        <f t="shared" si="195"/>
        <v>958010</v>
      </c>
      <c r="Q779" s="1">
        <f t="shared" si="196"/>
        <v>165118258</v>
      </c>
    </row>
    <row r="780" spans="1:17" x14ac:dyDescent="0.3">
      <c r="A780" s="2">
        <f t="shared" si="202"/>
        <v>778</v>
      </c>
      <c r="B780" s="6">
        <f t="shared" si="202"/>
        <v>1328</v>
      </c>
      <c r="C780" s="9">
        <f t="shared" si="197"/>
        <v>500580</v>
      </c>
      <c r="D780" s="6">
        <f t="shared" si="193"/>
        <v>928</v>
      </c>
      <c r="E780" s="9">
        <f t="shared" si="198"/>
        <v>257060</v>
      </c>
      <c r="F780" s="3">
        <f t="shared" si="194"/>
        <v>1378</v>
      </c>
      <c r="G780" s="3">
        <f t="shared" si="199"/>
        <v>210140</v>
      </c>
      <c r="J780" s="6">
        <f t="shared" si="200"/>
        <v>7.5899999999998782</v>
      </c>
      <c r="K780" s="11">
        <f t="shared" si="201"/>
        <v>961140</v>
      </c>
      <c r="P780" s="1">
        <f t="shared" si="195"/>
        <v>961140</v>
      </c>
      <c r="Q780" s="1">
        <f t="shared" si="196"/>
        <v>166079398</v>
      </c>
    </row>
    <row r="781" spans="1:17" x14ac:dyDescent="0.3">
      <c r="A781" s="2">
        <f t="shared" si="202"/>
        <v>779</v>
      </c>
      <c r="B781" s="6">
        <f t="shared" si="202"/>
        <v>1329</v>
      </c>
      <c r="C781" s="9">
        <f t="shared" si="197"/>
        <v>502190</v>
      </c>
      <c r="D781" s="6">
        <f t="shared" si="193"/>
        <v>929</v>
      </c>
      <c r="E781" s="9">
        <f t="shared" si="198"/>
        <v>257830</v>
      </c>
      <c r="F781" s="3">
        <f t="shared" si="194"/>
        <v>1379</v>
      </c>
      <c r="G781" s="3">
        <f t="shared" si="199"/>
        <v>210770</v>
      </c>
      <c r="J781" s="6">
        <f t="shared" si="200"/>
        <v>7.5949999999998781</v>
      </c>
      <c r="K781" s="11">
        <f t="shared" si="201"/>
        <v>964270</v>
      </c>
      <c r="P781" s="1">
        <f t="shared" si="195"/>
        <v>964270</v>
      </c>
      <c r="Q781" s="1">
        <f t="shared" si="196"/>
        <v>167043668</v>
      </c>
    </row>
    <row r="782" spans="1:17" x14ac:dyDescent="0.3">
      <c r="A782" s="2">
        <f t="shared" si="202"/>
        <v>780</v>
      </c>
      <c r="B782" s="6">
        <f t="shared" si="202"/>
        <v>1330</v>
      </c>
      <c r="C782" s="9">
        <f t="shared" si="197"/>
        <v>503800</v>
      </c>
      <c r="D782" s="6">
        <f t="shared" si="193"/>
        <v>930</v>
      </c>
      <c r="E782" s="9">
        <f t="shared" si="198"/>
        <v>258600</v>
      </c>
      <c r="F782" s="3">
        <f t="shared" si="194"/>
        <v>1380</v>
      </c>
      <c r="G782" s="3">
        <f t="shared" si="199"/>
        <v>211400</v>
      </c>
      <c r="J782" s="6">
        <f t="shared" si="200"/>
        <v>7.599999999999878</v>
      </c>
      <c r="K782" s="11">
        <f t="shared" si="201"/>
        <v>967400</v>
      </c>
      <c r="P782" s="1">
        <f t="shared" si="195"/>
        <v>967400</v>
      </c>
      <c r="Q782" s="1">
        <f t="shared" si="196"/>
        <v>168011068</v>
      </c>
    </row>
    <row r="783" spans="1:17" x14ac:dyDescent="0.3">
      <c r="A783" s="2">
        <f t="shared" si="202"/>
        <v>781</v>
      </c>
      <c r="B783" s="6">
        <f t="shared" si="202"/>
        <v>1331</v>
      </c>
      <c r="C783" s="9">
        <f t="shared" si="197"/>
        <v>505410</v>
      </c>
      <c r="D783" s="6">
        <f t="shared" si="193"/>
        <v>931</v>
      </c>
      <c r="E783" s="9">
        <f t="shared" si="198"/>
        <v>259370</v>
      </c>
      <c r="F783" s="3">
        <f t="shared" si="194"/>
        <v>1381</v>
      </c>
      <c r="G783" s="3">
        <f t="shared" si="199"/>
        <v>212030</v>
      </c>
      <c r="J783" s="6">
        <f t="shared" si="200"/>
        <v>7.6049999999998779</v>
      </c>
      <c r="K783" s="11">
        <f t="shared" si="201"/>
        <v>970530</v>
      </c>
      <c r="P783" s="1">
        <f t="shared" si="195"/>
        <v>970530</v>
      </c>
      <c r="Q783" s="1">
        <f t="shared" si="196"/>
        <v>168981598</v>
      </c>
    </row>
    <row r="784" spans="1:17" x14ac:dyDescent="0.3">
      <c r="A784" s="2">
        <f t="shared" si="202"/>
        <v>782</v>
      </c>
      <c r="B784" s="6">
        <f t="shared" si="202"/>
        <v>1332</v>
      </c>
      <c r="C784" s="9">
        <f t="shared" si="197"/>
        <v>507020</v>
      </c>
      <c r="D784" s="6">
        <f t="shared" si="193"/>
        <v>932</v>
      </c>
      <c r="E784" s="9">
        <f t="shared" si="198"/>
        <v>260140</v>
      </c>
      <c r="F784" s="3">
        <f t="shared" si="194"/>
        <v>1382</v>
      </c>
      <c r="G784" s="3">
        <f t="shared" si="199"/>
        <v>212660</v>
      </c>
      <c r="J784" s="6">
        <f t="shared" si="200"/>
        <v>7.6099999999998778</v>
      </c>
      <c r="K784" s="11">
        <f t="shared" si="201"/>
        <v>973660</v>
      </c>
      <c r="P784" s="1">
        <f t="shared" si="195"/>
        <v>973660</v>
      </c>
      <c r="Q784" s="1">
        <f t="shared" si="196"/>
        <v>169955258</v>
      </c>
    </row>
    <row r="785" spans="1:17" x14ac:dyDescent="0.3">
      <c r="A785" s="2">
        <f t="shared" si="202"/>
        <v>783</v>
      </c>
      <c r="B785" s="6">
        <f t="shared" si="202"/>
        <v>1333</v>
      </c>
      <c r="C785" s="9">
        <f t="shared" si="197"/>
        <v>508630</v>
      </c>
      <c r="D785" s="6">
        <f t="shared" si="193"/>
        <v>933</v>
      </c>
      <c r="E785" s="9">
        <f t="shared" si="198"/>
        <v>260910</v>
      </c>
      <c r="F785" s="3">
        <f t="shared" si="194"/>
        <v>1383</v>
      </c>
      <c r="G785" s="3">
        <f t="shared" si="199"/>
        <v>213290</v>
      </c>
      <c r="J785" s="6">
        <f t="shared" si="200"/>
        <v>7.6149999999998776</v>
      </c>
      <c r="K785" s="11">
        <f t="shared" si="201"/>
        <v>976790</v>
      </c>
      <c r="P785" s="1">
        <f t="shared" si="195"/>
        <v>976790</v>
      </c>
      <c r="Q785" s="1">
        <f t="shared" si="196"/>
        <v>170932048</v>
      </c>
    </row>
    <row r="786" spans="1:17" x14ac:dyDescent="0.3">
      <c r="A786" s="2">
        <f t="shared" si="202"/>
        <v>784</v>
      </c>
      <c r="B786" s="6">
        <f t="shared" si="202"/>
        <v>1334</v>
      </c>
      <c r="C786" s="9">
        <f t="shared" si="197"/>
        <v>510240</v>
      </c>
      <c r="D786" s="6">
        <f t="shared" si="193"/>
        <v>934</v>
      </c>
      <c r="E786" s="9">
        <f t="shared" si="198"/>
        <v>261680</v>
      </c>
      <c r="F786" s="3">
        <f t="shared" si="194"/>
        <v>1384</v>
      </c>
      <c r="G786" s="3">
        <f t="shared" si="199"/>
        <v>213920</v>
      </c>
      <c r="J786" s="6">
        <f t="shared" si="200"/>
        <v>7.6199999999998775</v>
      </c>
      <c r="K786" s="11">
        <f t="shared" si="201"/>
        <v>979920</v>
      </c>
      <c r="P786" s="1">
        <f t="shared" si="195"/>
        <v>979920</v>
      </c>
      <c r="Q786" s="1">
        <f t="shared" si="196"/>
        <v>171911968</v>
      </c>
    </row>
    <row r="787" spans="1:17" x14ac:dyDescent="0.3">
      <c r="A787" s="2">
        <f t="shared" si="202"/>
        <v>785</v>
      </c>
      <c r="B787" s="6">
        <f t="shared" si="202"/>
        <v>1335</v>
      </c>
      <c r="C787" s="9">
        <f t="shared" si="197"/>
        <v>511850</v>
      </c>
      <c r="D787" s="6">
        <f t="shared" si="193"/>
        <v>935</v>
      </c>
      <c r="E787" s="9">
        <f t="shared" si="198"/>
        <v>262450</v>
      </c>
      <c r="F787" s="3">
        <f t="shared" si="194"/>
        <v>1385</v>
      </c>
      <c r="G787" s="3">
        <f t="shared" si="199"/>
        <v>214550</v>
      </c>
      <c r="J787" s="6">
        <f t="shared" si="200"/>
        <v>7.6249999999998774</v>
      </c>
      <c r="K787" s="11">
        <f t="shared" si="201"/>
        <v>983050</v>
      </c>
      <c r="P787" s="1">
        <f t="shared" si="195"/>
        <v>983050</v>
      </c>
      <c r="Q787" s="1">
        <f t="shared" si="196"/>
        <v>172895018</v>
      </c>
    </row>
    <row r="788" spans="1:17" x14ac:dyDescent="0.3">
      <c r="A788" s="2">
        <f t="shared" si="202"/>
        <v>786</v>
      </c>
      <c r="B788" s="6">
        <f t="shared" si="202"/>
        <v>1336</v>
      </c>
      <c r="C788" s="9">
        <f t="shared" si="197"/>
        <v>513460</v>
      </c>
      <c r="D788" s="6">
        <f t="shared" si="193"/>
        <v>936</v>
      </c>
      <c r="E788" s="9">
        <f t="shared" si="198"/>
        <v>263220</v>
      </c>
      <c r="F788" s="3">
        <f t="shared" si="194"/>
        <v>1386</v>
      </c>
      <c r="G788" s="3">
        <f t="shared" si="199"/>
        <v>215180</v>
      </c>
      <c r="J788" s="6">
        <f t="shared" si="200"/>
        <v>7.6299999999998773</v>
      </c>
      <c r="K788" s="11">
        <f t="shared" si="201"/>
        <v>986180</v>
      </c>
      <c r="P788" s="1">
        <f t="shared" si="195"/>
        <v>986180</v>
      </c>
      <c r="Q788" s="1">
        <f t="shared" si="196"/>
        <v>173881198</v>
      </c>
    </row>
    <row r="789" spans="1:17" x14ac:dyDescent="0.3">
      <c r="A789" s="2">
        <f t="shared" si="202"/>
        <v>787</v>
      </c>
      <c r="B789" s="6">
        <f t="shared" si="202"/>
        <v>1337</v>
      </c>
      <c r="C789" s="9">
        <f t="shared" si="197"/>
        <v>515070</v>
      </c>
      <c r="D789" s="6">
        <f t="shared" si="193"/>
        <v>937</v>
      </c>
      <c r="E789" s="9">
        <f t="shared" si="198"/>
        <v>263990</v>
      </c>
      <c r="F789" s="3">
        <f t="shared" si="194"/>
        <v>1387</v>
      </c>
      <c r="G789" s="3">
        <f t="shared" si="199"/>
        <v>215810</v>
      </c>
      <c r="J789" s="6">
        <f t="shared" si="200"/>
        <v>7.6349999999998772</v>
      </c>
      <c r="K789" s="11">
        <f t="shared" si="201"/>
        <v>989310</v>
      </c>
      <c r="P789" s="1">
        <f t="shared" si="195"/>
        <v>989310</v>
      </c>
      <c r="Q789" s="1">
        <f t="shared" si="196"/>
        <v>174870508</v>
      </c>
    </row>
    <row r="790" spans="1:17" x14ac:dyDescent="0.3">
      <c r="A790" s="2">
        <f t="shared" si="202"/>
        <v>788</v>
      </c>
      <c r="B790" s="6">
        <f t="shared" si="202"/>
        <v>1338</v>
      </c>
      <c r="C790" s="9">
        <f t="shared" si="197"/>
        <v>516680</v>
      </c>
      <c r="D790" s="6">
        <f t="shared" si="193"/>
        <v>938</v>
      </c>
      <c r="E790" s="9">
        <f t="shared" si="198"/>
        <v>264760</v>
      </c>
      <c r="F790" s="3">
        <f t="shared" si="194"/>
        <v>1388</v>
      </c>
      <c r="G790" s="3">
        <f t="shared" si="199"/>
        <v>216440</v>
      </c>
      <c r="J790" s="6">
        <f t="shared" si="200"/>
        <v>7.6399999999998771</v>
      </c>
      <c r="K790" s="11">
        <f t="shared" si="201"/>
        <v>992440</v>
      </c>
      <c r="P790" s="1">
        <f t="shared" si="195"/>
        <v>992440</v>
      </c>
      <c r="Q790" s="1">
        <f t="shared" si="196"/>
        <v>175862948</v>
      </c>
    </row>
    <row r="791" spans="1:17" x14ac:dyDescent="0.3">
      <c r="A791" s="2">
        <f t="shared" si="202"/>
        <v>789</v>
      </c>
      <c r="B791" s="6">
        <f t="shared" si="202"/>
        <v>1339</v>
      </c>
      <c r="C791" s="9">
        <f t="shared" si="197"/>
        <v>518290</v>
      </c>
      <c r="D791" s="6">
        <f t="shared" si="193"/>
        <v>939</v>
      </c>
      <c r="E791" s="9">
        <f t="shared" si="198"/>
        <v>265530</v>
      </c>
      <c r="F791" s="3">
        <f t="shared" si="194"/>
        <v>1389</v>
      </c>
      <c r="G791" s="3">
        <f t="shared" si="199"/>
        <v>217070</v>
      </c>
      <c r="J791" s="6">
        <f t="shared" si="200"/>
        <v>7.644999999999877</v>
      </c>
      <c r="K791" s="11">
        <f t="shared" si="201"/>
        <v>995570</v>
      </c>
      <c r="P791" s="1">
        <f t="shared" si="195"/>
        <v>995570</v>
      </c>
      <c r="Q791" s="1">
        <f t="shared" si="196"/>
        <v>176858518</v>
      </c>
    </row>
    <row r="792" spans="1:17" x14ac:dyDescent="0.3">
      <c r="A792" s="2">
        <f t="shared" si="202"/>
        <v>790</v>
      </c>
      <c r="B792" s="6">
        <f t="shared" si="202"/>
        <v>1340</v>
      </c>
      <c r="C792" s="9">
        <f t="shared" si="197"/>
        <v>519900</v>
      </c>
      <c r="D792" s="6">
        <f t="shared" si="193"/>
        <v>940</v>
      </c>
      <c r="E792" s="9">
        <f t="shared" si="198"/>
        <v>266300</v>
      </c>
      <c r="F792" s="3">
        <f t="shared" si="194"/>
        <v>1390</v>
      </c>
      <c r="G792" s="3">
        <f t="shared" si="199"/>
        <v>217700</v>
      </c>
      <c r="J792" s="6">
        <f t="shared" si="200"/>
        <v>7.6499999999998769</v>
      </c>
      <c r="K792" s="11">
        <f t="shared" si="201"/>
        <v>998700</v>
      </c>
      <c r="P792" s="1">
        <f t="shared" si="195"/>
        <v>998700</v>
      </c>
      <c r="Q792" s="1">
        <f t="shared" si="196"/>
        <v>177857218</v>
      </c>
    </row>
    <row r="793" spans="1:17" x14ac:dyDescent="0.3">
      <c r="A793" s="2">
        <f t="shared" si="202"/>
        <v>791</v>
      </c>
      <c r="B793" s="6">
        <f t="shared" si="202"/>
        <v>1341</v>
      </c>
      <c r="C793" s="9">
        <f t="shared" si="197"/>
        <v>521510</v>
      </c>
      <c r="D793" s="6">
        <f t="shared" si="193"/>
        <v>941</v>
      </c>
      <c r="E793" s="9">
        <f t="shared" si="198"/>
        <v>267070</v>
      </c>
      <c r="F793" s="3">
        <f t="shared" si="194"/>
        <v>1391</v>
      </c>
      <c r="G793" s="3">
        <f t="shared" si="199"/>
        <v>218330</v>
      </c>
      <c r="J793" s="6">
        <f t="shared" si="200"/>
        <v>7.6549999999998768</v>
      </c>
      <c r="K793" s="11">
        <f t="shared" si="201"/>
        <v>1001830</v>
      </c>
      <c r="P793" s="1">
        <f t="shared" si="195"/>
        <v>1001830</v>
      </c>
      <c r="Q793" s="1">
        <f t="shared" si="196"/>
        <v>178859048</v>
      </c>
    </row>
    <row r="794" spans="1:17" x14ac:dyDescent="0.3">
      <c r="A794" s="2">
        <f t="shared" si="202"/>
        <v>792</v>
      </c>
      <c r="B794" s="6">
        <f t="shared" si="202"/>
        <v>1342</v>
      </c>
      <c r="C794" s="9">
        <f t="shared" si="197"/>
        <v>523120</v>
      </c>
      <c r="D794" s="6">
        <f t="shared" si="193"/>
        <v>942</v>
      </c>
      <c r="E794" s="9">
        <f t="shared" si="198"/>
        <v>267840</v>
      </c>
      <c r="F794" s="3">
        <f t="shared" si="194"/>
        <v>1392</v>
      </c>
      <c r="G794" s="3">
        <f t="shared" si="199"/>
        <v>218960</v>
      </c>
      <c r="J794" s="6">
        <f t="shared" si="200"/>
        <v>7.6599999999998767</v>
      </c>
      <c r="K794" s="11">
        <f t="shared" si="201"/>
        <v>1004960</v>
      </c>
      <c r="P794" s="1">
        <f t="shared" si="195"/>
        <v>1004960</v>
      </c>
      <c r="Q794" s="1">
        <f t="shared" si="196"/>
        <v>179864008</v>
      </c>
    </row>
    <row r="795" spans="1:17" x14ac:dyDescent="0.3">
      <c r="A795" s="2">
        <f t="shared" si="202"/>
        <v>793</v>
      </c>
      <c r="B795" s="6">
        <f t="shared" si="202"/>
        <v>1343</v>
      </c>
      <c r="C795" s="9">
        <f t="shared" si="197"/>
        <v>524730</v>
      </c>
      <c r="D795" s="6">
        <f t="shared" si="193"/>
        <v>943</v>
      </c>
      <c r="E795" s="9">
        <f t="shared" si="198"/>
        <v>268610</v>
      </c>
      <c r="F795" s="3">
        <f t="shared" si="194"/>
        <v>1393</v>
      </c>
      <c r="G795" s="3">
        <f t="shared" si="199"/>
        <v>219590</v>
      </c>
      <c r="J795" s="6">
        <f t="shared" si="200"/>
        <v>7.6649999999998766</v>
      </c>
      <c r="K795" s="11">
        <f t="shared" si="201"/>
        <v>1008090</v>
      </c>
      <c r="P795" s="1">
        <f t="shared" si="195"/>
        <v>1008090</v>
      </c>
      <c r="Q795" s="1">
        <f t="shared" si="196"/>
        <v>180872098</v>
      </c>
    </row>
    <row r="796" spans="1:17" x14ac:dyDescent="0.3">
      <c r="A796" s="2">
        <f t="shared" si="202"/>
        <v>794</v>
      </c>
      <c r="B796" s="6">
        <f t="shared" si="202"/>
        <v>1344</v>
      </c>
      <c r="C796" s="9">
        <f t="shared" si="197"/>
        <v>526340</v>
      </c>
      <c r="D796" s="6">
        <f t="shared" si="193"/>
        <v>944</v>
      </c>
      <c r="E796" s="9">
        <f t="shared" si="198"/>
        <v>269380</v>
      </c>
      <c r="F796" s="3">
        <f t="shared" si="194"/>
        <v>1394</v>
      </c>
      <c r="G796" s="3">
        <f t="shared" si="199"/>
        <v>220220</v>
      </c>
      <c r="J796" s="6">
        <f t="shared" si="200"/>
        <v>7.6699999999998765</v>
      </c>
      <c r="K796" s="11">
        <f t="shared" si="201"/>
        <v>1011220</v>
      </c>
      <c r="P796" s="1">
        <f t="shared" si="195"/>
        <v>1011220</v>
      </c>
      <c r="Q796" s="1">
        <f t="shared" si="196"/>
        <v>181883318</v>
      </c>
    </row>
    <row r="797" spans="1:17" x14ac:dyDescent="0.3">
      <c r="A797" s="2">
        <f t="shared" si="202"/>
        <v>795</v>
      </c>
      <c r="B797" s="6">
        <f t="shared" si="202"/>
        <v>1345</v>
      </c>
      <c r="C797" s="9">
        <f t="shared" si="197"/>
        <v>527950</v>
      </c>
      <c r="D797" s="6">
        <f t="shared" si="193"/>
        <v>945</v>
      </c>
      <c r="E797" s="9">
        <f t="shared" si="198"/>
        <v>270150</v>
      </c>
      <c r="F797" s="3">
        <f t="shared" si="194"/>
        <v>1395</v>
      </c>
      <c r="G797" s="3">
        <f t="shared" si="199"/>
        <v>220850</v>
      </c>
      <c r="J797" s="6">
        <f t="shared" si="200"/>
        <v>7.6749999999998764</v>
      </c>
      <c r="K797" s="11">
        <f t="shared" si="201"/>
        <v>1014350</v>
      </c>
      <c r="P797" s="1">
        <f t="shared" si="195"/>
        <v>1014350</v>
      </c>
      <c r="Q797" s="1">
        <f t="shared" si="196"/>
        <v>182897668</v>
      </c>
    </row>
    <row r="798" spans="1:17" x14ac:dyDescent="0.3">
      <c r="A798" s="2">
        <f t="shared" si="202"/>
        <v>796</v>
      </c>
      <c r="B798" s="6">
        <f t="shared" si="202"/>
        <v>1346</v>
      </c>
      <c r="C798" s="9">
        <f t="shared" si="197"/>
        <v>529560</v>
      </c>
      <c r="D798" s="6">
        <f t="shared" si="193"/>
        <v>946</v>
      </c>
      <c r="E798" s="9">
        <f t="shared" si="198"/>
        <v>270920</v>
      </c>
      <c r="F798" s="3">
        <f t="shared" si="194"/>
        <v>1396</v>
      </c>
      <c r="G798" s="3">
        <f t="shared" si="199"/>
        <v>221480</v>
      </c>
      <c r="J798" s="6">
        <f t="shared" si="200"/>
        <v>7.6799999999998763</v>
      </c>
      <c r="K798" s="11">
        <f t="shared" si="201"/>
        <v>1017480</v>
      </c>
      <c r="P798" s="1">
        <f t="shared" si="195"/>
        <v>1017480</v>
      </c>
      <c r="Q798" s="1">
        <f t="shared" si="196"/>
        <v>183915148</v>
      </c>
    </row>
    <row r="799" spans="1:17" x14ac:dyDescent="0.3">
      <c r="A799" s="2">
        <f t="shared" si="202"/>
        <v>797</v>
      </c>
      <c r="B799" s="6">
        <f t="shared" si="202"/>
        <v>1347</v>
      </c>
      <c r="C799" s="9">
        <f t="shared" si="197"/>
        <v>531170</v>
      </c>
      <c r="D799" s="6">
        <f t="shared" si="193"/>
        <v>947</v>
      </c>
      <c r="E799" s="9">
        <f t="shared" si="198"/>
        <v>271690</v>
      </c>
      <c r="F799" s="3">
        <f t="shared" si="194"/>
        <v>1397</v>
      </c>
      <c r="G799" s="3">
        <f t="shared" si="199"/>
        <v>222110</v>
      </c>
      <c r="J799" s="6">
        <f t="shared" si="200"/>
        <v>7.6849999999998762</v>
      </c>
      <c r="K799" s="11">
        <f t="shared" si="201"/>
        <v>1020610</v>
      </c>
      <c r="P799" s="1">
        <f t="shared" si="195"/>
        <v>1020610</v>
      </c>
      <c r="Q799" s="1">
        <f t="shared" si="196"/>
        <v>184935758</v>
      </c>
    </row>
    <row r="800" spans="1:17" x14ac:dyDescent="0.3">
      <c r="A800" s="2">
        <f t="shared" si="202"/>
        <v>798</v>
      </c>
      <c r="B800" s="6">
        <f t="shared" si="202"/>
        <v>1348</v>
      </c>
      <c r="C800" s="9">
        <f t="shared" si="197"/>
        <v>532780</v>
      </c>
      <c r="D800" s="6">
        <f t="shared" si="193"/>
        <v>948</v>
      </c>
      <c r="E800" s="9">
        <f t="shared" si="198"/>
        <v>272460</v>
      </c>
      <c r="F800" s="3">
        <f t="shared" si="194"/>
        <v>1398</v>
      </c>
      <c r="G800" s="3">
        <f t="shared" si="199"/>
        <v>222740</v>
      </c>
      <c r="J800" s="6">
        <f t="shared" si="200"/>
        <v>7.689999999999876</v>
      </c>
      <c r="K800" s="11">
        <f t="shared" si="201"/>
        <v>1023740</v>
      </c>
      <c r="P800" s="1">
        <f t="shared" si="195"/>
        <v>1023740</v>
      </c>
      <c r="Q800" s="1">
        <f t="shared" si="196"/>
        <v>185959498</v>
      </c>
    </row>
    <row r="801" spans="1:17" x14ac:dyDescent="0.3">
      <c r="A801" s="2">
        <f t="shared" si="202"/>
        <v>799</v>
      </c>
      <c r="B801" s="6">
        <f t="shared" si="202"/>
        <v>1349</v>
      </c>
      <c r="C801" s="9">
        <f t="shared" si="197"/>
        <v>534390</v>
      </c>
      <c r="D801" s="6">
        <f t="shared" si="193"/>
        <v>949</v>
      </c>
      <c r="E801" s="9">
        <f t="shared" si="198"/>
        <v>273230</v>
      </c>
      <c r="F801" s="3">
        <f t="shared" si="194"/>
        <v>1399</v>
      </c>
      <c r="G801" s="3">
        <f t="shared" si="199"/>
        <v>223370</v>
      </c>
      <c r="J801" s="6">
        <f t="shared" si="200"/>
        <v>7.6949999999998759</v>
      </c>
      <c r="K801" s="11">
        <f t="shared" si="201"/>
        <v>1026870</v>
      </c>
      <c r="P801" s="1">
        <f t="shared" si="195"/>
        <v>1026870</v>
      </c>
      <c r="Q801" s="1">
        <f t="shared" si="196"/>
        <v>186986368</v>
      </c>
    </row>
    <row r="802" spans="1:17" x14ac:dyDescent="0.3">
      <c r="A802" s="2">
        <f t="shared" si="202"/>
        <v>800</v>
      </c>
      <c r="B802" s="6">
        <f t="shared" si="202"/>
        <v>1350</v>
      </c>
      <c r="C802" s="9">
        <f t="shared" si="197"/>
        <v>536000</v>
      </c>
      <c r="D802" s="6">
        <f t="shared" si="193"/>
        <v>950</v>
      </c>
      <c r="E802" s="9">
        <f t="shared" si="198"/>
        <v>274000</v>
      </c>
      <c r="F802" s="3">
        <f t="shared" si="194"/>
        <v>1400</v>
      </c>
      <c r="G802" s="3">
        <f t="shared" si="199"/>
        <v>224000</v>
      </c>
      <c r="J802" s="6">
        <f t="shared" si="200"/>
        <v>7.6999999999998758</v>
      </c>
      <c r="K802" s="11">
        <f t="shared" si="201"/>
        <v>1030000</v>
      </c>
      <c r="P802" s="1">
        <f t="shared" si="195"/>
        <v>1030000</v>
      </c>
      <c r="Q802" s="1">
        <f t="shared" si="196"/>
        <v>188016368</v>
      </c>
    </row>
    <row r="803" spans="1:17" x14ac:dyDescent="0.3">
      <c r="A803" s="2">
        <f t="shared" si="202"/>
        <v>801</v>
      </c>
      <c r="B803" s="6">
        <f t="shared" si="202"/>
        <v>1351</v>
      </c>
      <c r="C803" s="9">
        <f t="shared" si="197"/>
        <v>537610</v>
      </c>
      <c r="D803" s="6">
        <f t="shared" si="193"/>
        <v>951</v>
      </c>
      <c r="E803" s="9">
        <f t="shared" si="198"/>
        <v>274770</v>
      </c>
      <c r="F803" s="3">
        <f t="shared" si="194"/>
        <v>1401</v>
      </c>
      <c r="G803" s="3">
        <f t="shared" si="199"/>
        <v>224630</v>
      </c>
      <c r="J803" s="6">
        <f t="shared" si="200"/>
        <v>7.7049999999998757</v>
      </c>
      <c r="K803" s="11">
        <f t="shared" si="201"/>
        <v>1033130</v>
      </c>
      <c r="P803" s="1">
        <f t="shared" si="195"/>
        <v>1033130</v>
      </c>
      <c r="Q803" s="1">
        <f t="shared" si="196"/>
        <v>189049498</v>
      </c>
    </row>
    <row r="804" spans="1:17" x14ac:dyDescent="0.3">
      <c r="A804" s="2">
        <f t="shared" si="202"/>
        <v>802</v>
      </c>
      <c r="B804" s="6">
        <f t="shared" si="202"/>
        <v>1352</v>
      </c>
      <c r="C804" s="9">
        <f t="shared" si="197"/>
        <v>539220</v>
      </c>
      <c r="D804" s="6">
        <f t="shared" si="193"/>
        <v>952</v>
      </c>
      <c r="E804" s="9">
        <f t="shared" si="198"/>
        <v>275540</v>
      </c>
      <c r="F804" s="3">
        <f t="shared" si="194"/>
        <v>1402</v>
      </c>
      <c r="G804" s="3">
        <f t="shared" si="199"/>
        <v>225260</v>
      </c>
      <c r="J804" s="6">
        <f t="shared" si="200"/>
        <v>7.7099999999998756</v>
      </c>
      <c r="K804" s="11">
        <f t="shared" si="201"/>
        <v>1036260</v>
      </c>
      <c r="P804" s="1">
        <f t="shared" si="195"/>
        <v>1036260</v>
      </c>
      <c r="Q804" s="1">
        <f t="shared" si="196"/>
        <v>190085758</v>
      </c>
    </row>
    <row r="805" spans="1:17" x14ac:dyDescent="0.3">
      <c r="A805" s="2">
        <f t="shared" si="202"/>
        <v>803</v>
      </c>
      <c r="B805" s="6">
        <f t="shared" si="202"/>
        <v>1353</v>
      </c>
      <c r="C805" s="9">
        <f t="shared" si="197"/>
        <v>540830</v>
      </c>
      <c r="D805" s="6">
        <f t="shared" si="193"/>
        <v>953</v>
      </c>
      <c r="E805" s="9">
        <f t="shared" si="198"/>
        <v>276310</v>
      </c>
      <c r="F805" s="3">
        <f t="shared" si="194"/>
        <v>1403</v>
      </c>
      <c r="G805" s="3">
        <f t="shared" si="199"/>
        <v>225890</v>
      </c>
      <c r="J805" s="6">
        <f t="shared" si="200"/>
        <v>7.7149999999998755</v>
      </c>
      <c r="K805" s="11">
        <f t="shared" si="201"/>
        <v>1039390</v>
      </c>
      <c r="P805" s="1">
        <f t="shared" si="195"/>
        <v>1039390</v>
      </c>
      <c r="Q805" s="1">
        <f t="shared" si="196"/>
        <v>191125148</v>
      </c>
    </row>
    <row r="806" spans="1:17" x14ac:dyDescent="0.3">
      <c r="A806" s="2">
        <f t="shared" si="202"/>
        <v>804</v>
      </c>
      <c r="B806" s="6">
        <f t="shared" si="202"/>
        <v>1354</v>
      </c>
      <c r="C806" s="9">
        <f t="shared" si="197"/>
        <v>542440</v>
      </c>
      <c r="D806" s="6">
        <f t="shared" si="193"/>
        <v>954</v>
      </c>
      <c r="E806" s="9">
        <f t="shared" si="198"/>
        <v>277080</v>
      </c>
      <c r="F806" s="3">
        <f t="shared" si="194"/>
        <v>1404</v>
      </c>
      <c r="G806" s="3">
        <f t="shared" si="199"/>
        <v>226520</v>
      </c>
      <c r="J806" s="6">
        <f t="shared" si="200"/>
        <v>7.7199999999998754</v>
      </c>
      <c r="K806" s="11">
        <f t="shared" si="201"/>
        <v>1042520</v>
      </c>
      <c r="P806" s="1">
        <f t="shared" si="195"/>
        <v>1042520</v>
      </c>
      <c r="Q806" s="1">
        <f t="shared" si="196"/>
        <v>192167668</v>
      </c>
    </row>
    <row r="807" spans="1:17" x14ac:dyDescent="0.3">
      <c r="A807" s="2">
        <f t="shared" si="202"/>
        <v>805</v>
      </c>
      <c r="B807" s="6">
        <f t="shared" si="202"/>
        <v>1355</v>
      </c>
      <c r="C807" s="9">
        <f t="shared" si="197"/>
        <v>544050</v>
      </c>
      <c r="D807" s="6">
        <f t="shared" si="193"/>
        <v>955</v>
      </c>
      <c r="E807" s="9">
        <f t="shared" si="198"/>
        <v>277850</v>
      </c>
      <c r="F807" s="3">
        <f t="shared" si="194"/>
        <v>1405</v>
      </c>
      <c r="G807" s="3">
        <f t="shared" si="199"/>
        <v>227150</v>
      </c>
      <c r="J807" s="6">
        <f t="shared" si="200"/>
        <v>7.7249999999998753</v>
      </c>
      <c r="K807" s="11">
        <f t="shared" si="201"/>
        <v>1045650</v>
      </c>
      <c r="P807" s="1">
        <f t="shared" si="195"/>
        <v>1045650</v>
      </c>
      <c r="Q807" s="1">
        <f t="shared" si="196"/>
        <v>193213318</v>
      </c>
    </row>
    <row r="808" spans="1:17" x14ac:dyDescent="0.3">
      <c r="A808" s="2">
        <f t="shared" si="202"/>
        <v>806</v>
      </c>
      <c r="B808" s="6">
        <f t="shared" si="202"/>
        <v>1356</v>
      </c>
      <c r="C808" s="9">
        <f t="shared" si="197"/>
        <v>545660</v>
      </c>
      <c r="D808" s="6">
        <f t="shared" ref="D808:D871" si="203">D807+1</f>
        <v>956</v>
      </c>
      <c r="E808" s="9">
        <f t="shared" si="198"/>
        <v>278620</v>
      </c>
      <c r="F808" s="3">
        <f t="shared" ref="F808:F871" si="204">F807+1</f>
        <v>1406</v>
      </c>
      <c r="G808" s="3">
        <f t="shared" si="199"/>
        <v>227780</v>
      </c>
      <c r="J808" s="6">
        <f t="shared" si="200"/>
        <v>7.7299999999998752</v>
      </c>
      <c r="K808" s="11">
        <f t="shared" si="201"/>
        <v>1048780</v>
      </c>
      <c r="P808" s="1">
        <f t="shared" si="195"/>
        <v>1048780</v>
      </c>
      <c r="Q808" s="1">
        <f t="shared" si="196"/>
        <v>194262098</v>
      </c>
    </row>
    <row r="809" spans="1:17" x14ac:dyDescent="0.3">
      <c r="A809" s="2">
        <f t="shared" si="202"/>
        <v>807</v>
      </c>
      <c r="B809" s="6">
        <f t="shared" si="202"/>
        <v>1357</v>
      </c>
      <c r="C809" s="9">
        <f t="shared" si="197"/>
        <v>547270</v>
      </c>
      <c r="D809" s="6">
        <f t="shared" si="203"/>
        <v>957</v>
      </c>
      <c r="E809" s="9">
        <f t="shared" si="198"/>
        <v>279390</v>
      </c>
      <c r="F809" s="3">
        <f t="shared" si="204"/>
        <v>1407</v>
      </c>
      <c r="G809" s="3">
        <f t="shared" si="199"/>
        <v>228410</v>
      </c>
      <c r="J809" s="6">
        <f t="shared" si="200"/>
        <v>7.7349999999998751</v>
      </c>
      <c r="K809" s="11">
        <f t="shared" si="201"/>
        <v>1051910</v>
      </c>
      <c r="P809" s="1">
        <f t="shared" si="195"/>
        <v>1051910</v>
      </c>
      <c r="Q809" s="1">
        <f t="shared" si="196"/>
        <v>195314008</v>
      </c>
    </row>
    <row r="810" spans="1:17" x14ac:dyDescent="0.3">
      <c r="A810" s="2">
        <f t="shared" si="202"/>
        <v>808</v>
      </c>
      <c r="B810" s="6">
        <f t="shared" si="202"/>
        <v>1358</v>
      </c>
      <c r="C810" s="9">
        <f t="shared" si="197"/>
        <v>548880</v>
      </c>
      <c r="D810" s="6">
        <f t="shared" si="203"/>
        <v>958</v>
      </c>
      <c r="E810" s="9">
        <f t="shared" si="198"/>
        <v>280160</v>
      </c>
      <c r="F810" s="3">
        <f t="shared" si="204"/>
        <v>1408</v>
      </c>
      <c r="G810" s="3">
        <f t="shared" si="199"/>
        <v>229040</v>
      </c>
      <c r="J810" s="6">
        <f t="shared" si="200"/>
        <v>7.739999999999875</v>
      </c>
      <c r="K810" s="11">
        <f t="shared" si="201"/>
        <v>1055040</v>
      </c>
      <c r="P810" s="1">
        <f t="shared" si="195"/>
        <v>1055040</v>
      </c>
      <c r="Q810" s="1">
        <f t="shared" si="196"/>
        <v>196369048</v>
      </c>
    </row>
    <row r="811" spans="1:17" x14ac:dyDescent="0.3">
      <c r="A811" s="2">
        <f t="shared" si="202"/>
        <v>809</v>
      </c>
      <c r="B811" s="6">
        <f t="shared" si="202"/>
        <v>1359</v>
      </c>
      <c r="C811" s="9">
        <f t="shared" si="197"/>
        <v>550490</v>
      </c>
      <c r="D811" s="6">
        <f t="shared" si="203"/>
        <v>959</v>
      </c>
      <c r="E811" s="9">
        <f t="shared" si="198"/>
        <v>280930</v>
      </c>
      <c r="F811" s="3">
        <f t="shared" si="204"/>
        <v>1409</v>
      </c>
      <c r="G811" s="3">
        <f t="shared" si="199"/>
        <v>229670</v>
      </c>
      <c r="J811" s="6">
        <f t="shared" si="200"/>
        <v>7.7449999999998749</v>
      </c>
      <c r="K811" s="11">
        <f t="shared" si="201"/>
        <v>1058170</v>
      </c>
      <c r="P811" s="1">
        <f t="shared" si="195"/>
        <v>1058170</v>
      </c>
      <c r="Q811" s="1">
        <f t="shared" si="196"/>
        <v>197427218</v>
      </c>
    </row>
    <row r="812" spans="1:17" x14ac:dyDescent="0.3">
      <c r="A812" s="2">
        <f t="shared" si="202"/>
        <v>810</v>
      </c>
      <c r="B812" s="6">
        <f t="shared" si="202"/>
        <v>1360</v>
      </c>
      <c r="C812" s="9">
        <f t="shared" si="197"/>
        <v>552100</v>
      </c>
      <c r="D812" s="6">
        <f t="shared" si="203"/>
        <v>960</v>
      </c>
      <c r="E812" s="9">
        <f t="shared" si="198"/>
        <v>281700</v>
      </c>
      <c r="F812" s="3">
        <f t="shared" si="204"/>
        <v>1410</v>
      </c>
      <c r="G812" s="3">
        <f t="shared" si="199"/>
        <v>230300</v>
      </c>
      <c r="J812" s="6">
        <f t="shared" si="200"/>
        <v>7.7499999999998748</v>
      </c>
      <c r="K812" s="11">
        <f t="shared" si="201"/>
        <v>1061300</v>
      </c>
      <c r="P812" s="1">
        <f t="shared" si="195"/>
        <v>1061300</v>
      </c>
      <c r="Q812" s="1">
        <f t="shared" si="196"/>
        <v>198488518</v>
      </c>
    </row>
    <row r="813" spans="1:17" x14ac:dyDescent="0.3">
      <c r="A813" s="2">
        <f t="shared" si="202"/>
        <v>811</v>
      </c>
      <c r="B813" s="6">
        <f t="shared" si="202"/>
        <v>1361</v>
      </c>
      <c r="C813" s="9">
        <f t="shared" si="197"/>
        <v>553710</v>
      </c>
      <c r="D813" s="6">
        <f t="shared" si="203"/>
        <v>961</v>
      </c>
      <c r="E813" s="9">
        <f t="shared" si="198"/>
        <v>282470</v>
      </c>
      <c r="F813" s="3">
        <f t="shared" si="204"/>
        <v>1411</v>
      </c>
      <c r="G813" s="3">
        <f t="shared" si="199"/>
        <v>230930</v>
      </c>
      <c r="J813" s="6">
        <f t="shared" si="200"/>
        <v>7.7549999999998747</v>
      </c>
      <c r="K813" s="11">
        <f t="shared" si="201"/>
        <v>1064430</v>
      </c>
      <c r="P813" s="1">
        <f t="shared" si="195"/>
        <v>1064430</v>
      </c>
      <c r="Q813" s="1">
        <f t="shared" si="196"/>
        <v>199552948</v>
      </c>
    </row>
    <row r="814" spans="1:17" x14ac:dyDescent="0.3">
      <c r="A814" s="2">
        <f t="shared" si="202"/>
        <v>812</v>
      </c>
      <c r="B814" s="6">
        <f t="shared" si="202"/>
        <v>1362</v>
      </c>
      <c r="C814" s="9">
        <f t="shared" si="197"/>
        <v>555320</v>
      </c>
      <c r="D814" s="6">
        <f t="shared" si="203"/>
        <v>962</v>
      </c>
      <c r="E814" s="9">
        <f t="shared" si="198"/>
        <v>283240</v>
      </c>
      <c r="F814" s="3">
        <f t="shared" si="204"/>
        <v>1412</v>
      </c>
      <c r="G814" s="3">
        <f t="shared" si="199"/>
        <v>231560</v>
      </c>
      <c r="J814" s="6">
        <f t="shared" si="200"/>
        <v>7.7599999999998746</v>
      </c>
      <c r="K814" s="11">
        <f t="shared" si="201"/>
        <v>1067560</v>
      </c>
      <c r="P814" s="1">
        <f t="shared" si="195"/>
        <v>1067560</v>
      </c>
      <c r="Q814" s="1">
        <f t="shared" si="196"/>
        <v>200620508</v>
      </c>
    </row>
    <row r="815" spans="1:17" x14ac:dyDescent="0.3">
      <c r="A815" s="2">
        <f t="shared" si="202"/>
        <v>813</v>
      </c>
      <c r="B815" s="6">
        <f t="shared" si="202"/>
        <v>1363</v>
      </c>
      <c r="C815" s="9">
        <f t="shared" si="197"/>
        <v>556930</v>
      </c>
      <c r="D815" s="6">
        <f t="shared" si="203"/>
        <v>963</v>
      </c>
      <c r="E815" s="9">
        <f t="shared" si="198"/>
        <v>284010</v>
      </c>
      <c r="F815" s="3">
        <f t="shared" si="204"/>
        <v>1413</v>
      </c>
      <c r="G815" s="3">
        <f t="shared" si="199"/>
        <v>232190</v>
      </c>
      <c r="J815" s="6">
        <f t="shared" si="200"/>
        <v>7.7649999999998744</v>
      </c>
      <c r="K815" s="11">
        <f t="shared" si="201"/>
        <v>1070690</v>
      </c>
      <c r="P815" s="1">
        <f t="shared" si="195"/>
        <v>1070690</v>
      </c>
      <c r="Q815" s="1">
        <f t="shared" si="196"/>
        <v>201691198</v>
      </c>
    </row>
    <row r="816" spans="1:17" x14ac:dyDescent="0.3">
      <c r="A816" s="2">
        <f t="shared" si="202"/>
        <v>814</v>
      </c>
      <c r="B816" s="6">
        <f t="shared" si="202"/>
        <v>1364</v>
      </c>
      <c r="C816" s="9">
        <f t="shared" si="197"/>
        <v>558540</v>
      </c>
      <c r="D816" s="6">
        <f t="shared" si="203"/>
        <v>964</v>
      </c>
      <c r="E816" s="9">
        <f t="shared" si="198"/>
        <v>284780</v>
      </c>
      <c r="F816" s="3">
        <f t="shared" si="204"/>
        <v>1414</v>
      </c>
      <c r="G816" s="3">
        <f t="shared" si="199"/>
        <v>232820</v>
      </c>
      <c r="J816" s="6">
        <f t="shared" si="200"/>
        <v>7.7699999999998743</v>
      </c>
      <c r="K816" s="11">
        <f t="shared" si="201"/>
        <v>1073820</v>
      </c>
      <c r="P816" s="1">
        <f t="shared" si="195"/>
        <v>1073820</v>
      </c>
      <c r="Q816" s="1">
        <f t="shared" si="196"/>
        <v>202765018</v>
      </c>
    </row>
    <row r="817" spans="1:17" x14ac:dyDescent="0.3">
      <c r="A817" s="2">
        <f t="shared" si="202"/>
        <v>815</v>
      </c>
      <c r="B817" s="6">
        <f t="shared" si="202"/>
        <v>1365</v>
      </c>
      <c r="C817" s="9">
        <f t="shared" si="197"/>
        <v>560150</v>
      </c>
      <c r="D817" s="6">
        <f t="shared" si="203"/>
        <v>965</v>
      </c>
      <c r="E817" s="9">
        <f t="shared" si="198"/>
        <v>285550</v>
      </c>
      <c r="F817" s="3">
        <f t="shared" si="204"/>
        <v>1415</v>
      </c>
      <c r="G817" s="3">
        <f t="shared" si="199"/>
        <v>233450</v>
      </c>
      <c r="J817" s="6">
        <f t="shared" si="200"/>
        <v>7.7749999999998742</v>
      </c>
      <c r="K817" s="11">
        <f t="shared" si="201"/>
        <v>1076950</v>
      </c>
      <c r="P817" s="1">
        <f t="shared" si="195"/>
        <v>1076950</v>
      </c>
      <c r="Q817" s="1">
        <f t="shared" si="196"/>
        <v>203841968</v>
      </c>
    </row>
    <row r="818" spans="1:17" x14ac:dyDescent="0.3">
      <c r="A818" s="2">
        <f t="shared" si="202"/>
        <v>816</v>
      </c>
      <c r="B818" s="6">
        <f t="shared" si="202"/>
        <v>1366</v>
      </c>
      <c r="C818" s="9">
        <f t="shared" si="197"/>
        <v>561760</v>
      </c>
      <c r="D818" s="6">
        <f t="shared" si="203"/>
        <v>966</v>
      </c>
      <c r="E818" s="9">
        <f t="shared" si="198"/>
        <v>286320</v>
      </c>
      <c r="F818" s="3">
        <f t="shared" si="204"/>
        <v>1416</v>
      </c>
      <c r="G818" s="3">
        <f t="shared" si="199"/>
        <v>234080</v>
      </c>
      <c r="J818" s="6">
        <f t="shared" si="200"/>
        <v>7.7799999999998741</v>
      </c>
      <c r="K818" s="11">
        <f t="shared" si="201"/>
        <v>1080080</v>
      </c>
      <c r="P818" s="1">
        <f t="shared" si="195"/>
        <v>1080080</v>
      </c>
      <c r="Q818" s="1">
        <f t="shared" si="196"/>
        <v>204922048</v>
      </c>
    </row>
    <row r="819" spans="1:17" x14ac:dyDescent="0.3">
      <c r="A819" s="2">
        <f t="shared" si="202"/>
        <v>817</v>
      </c>
      <c r="B819" s="6">
        <f t="shared" si="202"/>
        <v>1367</v>
      </c>
      <c r="C819" s="9">
        <f t="shared" si="197"/>
        <v>563370</v>
      </c>
      <c r="D819" s="6">
        <f t="shared" si="203"/>
        <v>967</v>
      </c>
      <c r="E819" s="9">
        <f t="shared" si="198"/>
        <v>287090</v>
      </c>
      <c r="F819" s="3">
        <f t="shared" si="204"/>
        <v>1417</v>
      </c>
      <c r="G819" s="3">
        <f t="shared" si="199"/>
        <v>234710</v>
      </c>
      <c r="J819" s="6">
        <f t="shared" si="200"/>
        <v>7.784999999999874</v>
      </c>
      <c r="K819" s="11">
        <f t="shared" si="201"/>
        <v>1083210</v>
      </c>
      <c r="P819" s="1">
        <f t="shared" si="195"/>
        <v>1083210</v>
      </c>
      <c r="Q819" s="1">
        <f t="shared" si="196"/>
        <v>206005258</v>
      </c>
    </row>
    <row r="820" spans="1:17" x14ac:dyDescent="0.3">
      <c r="A820" s="2">
        <f t="shared" si="202"/>
        <v>818</v>
      </c>
      <c r="B820" s="6">
        <f t="shared" si="202"/>
        <v>1368</v>
      </c>
      <c r="C820" s="9">
        <f t="shared" si="197"/>
        <v>564980</v>
      </c>
      <c r="D820" s="6">
        <f t="shared" si="203"/>
        <v>968</v>
      </c>
      <c r="E820" s="9">
        <f t="shared" si="198"/>
        <v>287860</v>
      </c>
      <c r="F820" s="3">
        <f t="shared" si="204"/>
        <v>1418</v>
      </c>
      <c r="G820" s="3">
        <f t="shared" si="199"/>
        <v>235340</v>
      </c>
      <c r="J820" s="6">
        <f t="shared" si="200"/>
        <v>7.7899999999998739</v>
      </c>
      <c r="K820" s="11">
        <f t="shared" si="201"/>
        <v>1086340</v>
      </c>
      <c r="P820" s="1">
        <f t="shared" si="195"/>
        <v>1086340</v>
      </c>
      <c r="Q820" s="1">
        <f t="shared" si="196"/>
        <v>207091598</v>
      </c>
    </row>
    <row r="821" spans="1:17" x14ac:dyDescent="0.3">
      <c r="A821" s="2">
        <f t="shared" si="202"/>
        <v>819</v>
      </c>
      <c r="B821" s="6">
        <f t="shared" si="202"/>
        <v>1369</v>
      </c>
      <c r="C821" s="9">
        <f t="shared" si="197"/>
        <v>566590</v>
      </c>
      <c r="D821" s="6">
        <f t="shared" si="203"/>
        <v>969</v>
      </c>
      <c r="E821" s="9">
        <f t="shared" si="198"/>
        <v>288630</v>
      </c>
      <c r="F821" s="3">
        <f t="shared" si="204"/>
        <v>1419</v>
      </c>
      <c r="G821" s="3">
        <f t="shared" si="199"/>
        <v>235970</v>
      </c>
      <c r="J821" s="6">
        <f t="shared" si="200"/>
        <v>7.7949999999998738</v>
      </c>
      <c r="K821" s="11">
        <f t="shared" si="201"/>
        <v>1089470</v>
      </c>
      <c r="P821" s="1">
        <f t="shared" si="195"/>
        <v>1089470</v>
      </c>
      <c r="Q821" s="1">
        <f t="shared" si="196"/>
        <v>208181068</v>
      </c>
    </row>
    <row r="822" spans="1:17" x14ac:dyDescent="0.3">
      <c r="A822" s="2">
        <f t="shared" si="202"/>
        <v>820</v>
      </c>
      <c r="B822" s="6">
        <f t="shared" si="202"/>
        <v>1370</v>
      </c>
      <c r="C822" s="9">
        <f t="shared" si="197"/>
        <v>568200</v>
      </c>
      <c r="D822" s="6">
        <f t="shared" si="203"/>
        <v>970</v>
      </c>
      <c r="E822" s="9">
        <f t="shared" si="198"/>
        <v>289400</v>
      </c>
      <c r="F822" s="3">
        <f t="shared" si="204"/>
        <v>1420</v>
      </c>
      <c r="G822" s="3">
        <f t="shared" si="199"/>
        <v>236600</v>
      </c>
      <c r="J822" s="6">
        <f t="shared" si="200"/>
        <v>7.7999999999998737</v>
      </c>
      <c r="K822" s="11">
        <f t="shared" si="201"/>
        <v>1092600</v>
      </c>
      <c r="P822" s="1">
        <f t="shared" ref="P822:P885" si="205">K822</f>
        <v>1092600</v>
      </c>
      <c r="Q822" s="1">
        <f t="shared" ref="Q822:Q885" si="206">Q821+K822</f>
        <v>209273668</v>
      </c>
    </row>
    <row r="823" spans="1:17" x14ac:dyDescent="0.3">
      <c r="A823" s="2">
        <f t="shared" si="202"/>
        <v>821</v>
      </c>
      <c r="B823" s="6">
        <f t="shared" si="202"/>
        <v>1371</v>
      </c>
      <c r="C823" s="9">
        <f t="shared" si="197"/>
        <v>569810</v>
      </c>
      <c r="D823" s="6">
        <f t="shared" si="203"/>
        <v>971</v>
      </c>
      <c r="E823" s="9">
        <f t="shared" si="198"/>
        <v>290170</v>
      </c>
      <c r="F823" s="3">
        <f t="shared" si="204"/>
        <v>1421</v>
      </c>
      <c r="G823" s="3">
        <f t="shared" si="199"/>
        <v>237230</v>
      </c>
      <c r="J823" s="6">
        <f t="shared" si="200"/>
        <v>7.8049999999998736</v>
      </c>
      <c r="K823" s="11">
        <f t="shared" si="201"/>
        <v>1095730</v>
      </c>
      <c r="P823" s="1">
        <f t="shared" si="205"/>
        <v>1095730</v>
      </c>
      <c r="Q823" s="1">
        <f t="shared" si="206"/>
        <v>210369398</v>
      </c>
    </row>
    <row r="824" spans="1:17" x14ac:dyDescent="0.3">
      <c r="A824" s="2">
        <f t="shared" si="202"/>
        <v>822</v>
      </c>
      <c r="B824" s="6">
        <f t="shared" si="202"/>
        <v>1372</v>
      </c>
      <c r="C824" s="9">
        <f t="shared" ref="C824:C887" si="207">C823+1610</f>
        <v>571420</v>
      </c>
      <c r="D824" s="6">
        <f t="shared" si="203"/>
        <v>972</v>
      </c>
      <c r="E824" s="9">
        <f t="shared" ref="E824:E887" si="208">E823+770</f>
        <v>290940</v>
      </c>
      <c r="F824" s="3">
        <f t="shared" si="204"/>
        <v>1422</v>
      </c>
      <c r="G824" s="3">
        <f t="shared" ref="G824:G887" si="209">G823+630</f>
        <v>237860</v>
      </c>
      <c r="J824" s="6">
        <f t="shared" ref="J824:J887" si="210">J823+0.005</f>
        <v>7.8099999999998735</v>
      </c>
      <c r="K824" s="11">
        <f t="shared" ref="K824:K887" si="211">K823+3130</f>
        <v>1098860</v>
      </c>
      <c r="P824" s="1">
        <f t="shared" si="205"/>
        <v>1098860</v>
      </c>
      <c r="Q824" s="1">
        <f t="shared" si="206"/>
        <v>211468258</v>
      </c>
    </row>
    <row r="825" spans="1:17" x14ac:dyDescent="0.3">
      <c r="A825" s="2">
        <f t="shared" si="202"/>
        <v>823</v>
      </c>
      <c r="B825" s="6">
        <f t="shared" si="202"/>
        <v>1373</v>
      </c>
      <c r="C825" s="9">
        <f t="shared" si="207"/>
        <v>573030</v>
      </c>
      <c r="D825" s="6">
        <f t="shared" si="203"/>
        <v>973</v>
      </c>
      <c r="E825" s="9">
        <f t="shared" si="208"/>
        <v>291710</v>
      </c>
      <c r="F825" s="3">
        <f t="shared" si="204"/>
        <v>1423</v>
      </c>
      <c r="G825" s="3">
        <f t="shared" si="209"/>
        <v>238490</v>
      </c>
      <c r="J825" s="6">
        <f t="shared" si="210"/>
        <v>7.8149999999998734</v>
      </c>
      <c r="K825" s="11">
        <f t="shared" si="211"/>
        <v>1101990</v>
      </c>
      <c r="P825" s="1">
        <f t="shared" si="205"/>
        <v>1101990</v>
      </c>
      <c r="Q825" s="1">
        <f t="shared" si="206"/>
        <v>212570248</v>
      </c>
    </row>
    <row r="826" spans="1:17" x14ac:dyDescent="0.3">
      <c r="A826" s="2">
        <f t="shared" si="202"/>
        <v>824</v>
      </c>
      <c r="B826" s="6">
        <f t="shared" si="202"/>
        <v>1374</v>
      </c>
      <c r="C826" s="9">
        <f t="shared" si="207"/>
        <v>574640</v>
      </c>
      <c r="D826" s="6">
        <f t="shared" si="203"/>
        <v>974</v>
      </c>
      <c r="E826" s="9">
        <f t="shared" si="208"/>
        <v>292480</v>
      </c>
      <c r="F826" s="3">
        <f t="shared" si="204"/>
        <v>1424</v>
      </c>
      <c r="G826" s="3">
        <f t="shared" si="209"/>
        <v>239120</v>
      </c>
      <c r="J826" s="6">
        <f t="shared" si="210"/>
        <v>7.8199999999998733</v>
      </c>
      <c r="K826" s="11">
        <f t="shared" si="211"/>
        <v>1105120</v>
      </c>
      <c r="P826" s="1">
        <f t="shared" si="205"/>
        <v>1105120</v>
      </c>
      <c r="Q826" s="1">
        <f t="shared" si="206"/>
        <v>213675368</v>
      </c>
    </row>
    <row r="827" spans="1:17" x14ac:dyDescent="0.3">
      <c r="A827" s="2">
        <f t="shared" si="202"/>
        <v>825</v>
      </c>
      <c r="B827" s="6">
        <f t="shared" si="202"/>
        <v>1375</v>
      </c>
      <c r="C827" s="9">
        <f t="shared" si="207"/>
        <v>576250</v>
      </c>
      <c r="D827" s="6">
        <f t="shared" si="203"/>
        <v>975</v>
      </c>
      <c r="E827" s="9">
        <f t="shared" si="208"/>
        <v>293250</v>
      </c>
      <c r="F827" s="3">
        <f t="shared" si="204"/>
        <v>1425</v>
      </c>
      <c r="G827" s="3">
        <f t="shared" si="209"/>
        <v>239750</v>
      </c>
      <c r="J827" s="6">
        <f t="shared" si="210"/>
        <v>7.8249999999998732</v>
      </c>
      <c r="K827" s="11">
        <f t="shared" si="211"/>
        <v>1108250</v>
      </c>
      <c r="P827" s="1">
        <f t="shared" si="205"/>
        <v>1108250</v>
      </c>
      <c r="Q827" s="1">
        <f t="shared" si="206"/>
        <v>214783618</v>
      </c>
    </row>
    <row r="828" spans="1:17" x14ac:dyDescent="0.3">
      <c r="A828" s="2">
        <f t="shared" si="202"/>
        <v>826</v>
      </c>
      <c r="B828" s="6">
        <f t="shared" si="202"/>
        <v>1376</v>
      </c>
      <c r="C828" s="9">
        <f t="shared" si="207"/>
        <v>577860</v>
      </c>
      <c r="D828" s="6">
        <f t="shared" si="203"/>
        <v>976</v>
      </c>
      <c r="E828" s="9">
        <f t="shared" si="208"/>
        <v>294020</v>
      </c>
      <c r="F828" s="3">
        <f t="shared" si="204"/>
        <v>1426</v>
      </c>
      <c r="G828" s="3">
        <f t="shared" si="209"/>
        <v>240380</v>
      </c>
      <c r="J828" s="6">
        <f t="shared" si="210"/>
        <v>7.8299999999998731</v>
      </c>
      <c r="K828" s="11">
        <f t="shared" si="211"/>
        <v>1111380</v>
      </c>
      <c r="P828" s="1">
        <f t="shared" si="205"/>
        <v>1111380</v>
      </c>
      <c r="Q828" s="1">
        <f t="shared" si="206"/>
        <v>215894998</v>
      </c>
    </row>
    <row r="829" spans="1:17" x14ac:dyDescent="0.3">
      <c r="A829" s="2">
        <f t="shared" si="202"/>
        <v>827</v>
      </c>
      <c r="B829" s="6">
        <f t="shared" si="202"/>
        <v>1377</v>
      </c>
      <c r="C829" s="9">
        <f t="shared" si="207"/>
        <v>579470</v>
      </c>
      <c r="D829" s="6">
        <f t="shared" si="203"/>
        <v>977</v>
      </c>
      <c r="E829" s="9">
        <f t="shared" si="208"/>
        <v>294790</v>
      </c>
      <c r="F829" s="3">
        <f t="shared" si="204"/>
        <v>1427</v>
      </c>
      <c r="G829" s="3">
        <f t="shared" si="209"/>
        <v>241010</v>
      </c>
      <c r="J829" s="6">
        <f t="shared" si="210"/>
        <v>7.834999999999873</v>
      </c>
      <c r="K829" s="11">
        <f t="shared" si="211"/>
        <v>1114510</v>
      </c>
      <c r="P829" s="1">
        <f t="shared" si="205"/>
        <v>1114510</v>
      </c>
      <c r="Q829" s="1">
        <f t="shared" si="206"/>
        <v>217009508</v>
      </c>
    </row>
    <row r="830" spans="1:17" x14ac:dyDescent="0.3">
      <c r="A830" s="2">
        <f t="shared" si="202"/>
        <v>828</v>
      </c>
      <c r="B830" s="6">
        <f t="shared" si="202"/>
        <v>1378</v>
      </c>
      <c r="C830" s="9">
        <f t="shared" si="207"/>
        <v>581080</v>
      </c>
      <c r="D830" s="6">
        <f t="shared" si="203"/>
        <v>978</v>
      </c>
      <c r="E830" s="9">
        <f t="shared" si="208"/>
        <v>295560</v>
      </c>
      <c r="F830" s="3">
        <f t="shared" si="204"/>
        <v>1428</v>
      </c>
      <c r="G830" s="3">
        <f t="shared" si="209"/>
        <v>241640</v>
      </c>
      <c r="J830" s="6">
        <f t="shared" si="210"/>
        <v>7.8399999999998728</v>
      </c>
      <c r="K830" s="11">
        <f t="shared" si="211"/>
        <v>1117640</v>
      </c>
      <c r="P830" s="1">
        <f t="shared" si="205"/>
        <v>1117640</v>
      </c>
      <c r="Q830" s="1">
        <f t="shared" si="206"/>
        <v>218127148</v>
      </c>
    </row>
    <row r="831" spans="1:17" x14ac:dyDescent="0.3">
      <c r="A831" s="2">
        <f t="shared" si="202"/>
        <v>829</v>
      </c>
      <c r="B831" s="6">
        <f t="shared" si="202"/>
        <v>1379</v>
      </c>
      <c r="C831" s="9">
        <f t="shared" si="207"/>
        <v>582690</v>
      </c>
      <c r="D831" s="6">
        <f t="shared" si="203"/>
        <v>979</v>
      </c>
      <c r="E831" s="9">
        <f t="shared" si="208"/>
        <v>296330</v>
      </c>
      <c r="F831" s="3">
        <f t="shared" si="204"/>
        <v>1429</v>
      </c>
      <c r="G831" s="3">
        <f t="shared" si="209"/>
        <v>242270</v>
      </c>
      <c r="J831" s="6">
        <f t="shared" si="210"/>
        <v>7.8449999999998727</v>
      </c>
      <c r="K831" s="11">
        <f t="shared" si="211"/>
        <v>1120770</v>
      </c>
      <c r="P831" s="1">
        <f t="shared" si="205"/>
        <v>1120770</v>
      </c>
      <c r="Q831" s="1">
        <f t="shared" si="206"/>
        <v>219247918</v>
      </c>
    </row>
    <row r="832" spans="1:17" x14ac:dyDescent="0.3">
      <c r="A832" s="2">
        <f t="shared" si="202"/>
        <v>830</v>
      </c>
      <c r="B832" s="6">
        <f t="shared" si="202"/>
        <v>1380</v>
      </c>
      <c r="C832" s="9">
        <f t="shared" si="207"/>
        <v>584300</v>
      </c>
      <c r="D832" s="6">
        <f t="shared" si="203"/>
        <v>980</v>
      </c>
      <c r="E832" s="9">
        <f t="shared" si="208"/>
        <v>297100</v>
      </c>
      <c r="F832" s="3">
        <f t="shared" si="204"/>
        <v>1430</v>
      </c>
      <c r="G832" s="3">
        <f t="shared" si="209"/>
        <v>242900</v>
      </c>
      <c r="J832" s="6">
        <f t="shared" si="210"/>
        <v>7.8499999999998726</v>
      </c>
      <c r="K832" s="11">
        <f t="shared" si="211"/>
        <v>1123900</v>
      </c>
      <c r="P832" s="1">
        <f t="shared" si="205"/>
        <v>1123900</v>
      </c>
      <c r="Q832" s="1">
        <f t="shared" si="206"/>
        <v>220371818</v>
      </c>
    </row>
    <row r="833" spans="1:17" x14ac:dyDescent="0.3">
      <c r="A833" s="2">
        <f t="shared" si="202"/>
        <v>831</v>
      </c>
      <c r="B833" s="6">
        <f t="shared" si="202"/>
        <v>1381</v>
      </c>
      <c r="C833" s="9">
        <f t="shared" si="207"/>
        <v>585910</v>
      </c>
      <c r="D833" s="6">
        <f t="shared" si="203"/>
        <v>981</v>
      </c>
      <c r="E833" s="9">
        <f t="shared" si="208"/>
        <v>297870</v>
      </c>
      <c r="F833" s="3">
        <f t="shared" si="204"/>
        <v>1431</v>
      </c>
      <c r="G833" s="3">
        <f t="shared" si="209"/>
        <v>243530</v>
      </c>
      <c r="J833" s="6">
        <f t="shared" si="210"/>
        <v>7.8549999999998725</v>
      </c>
      <c r="K833" s="11">
        <f t="shared" si="211"/>
        <v>1127030</v>
      </c>
      <c r="P833" s="1">
        <f t="shared" si="205"/>
        <v>1127030</v>
      </c>
      <c r="Q833" s="1">
        <f t="shared" si="206"/>
        <v>221498848</v>
      </c>
    </row>
    <row r="834" spans="1:17" x14ac:dyDescent="0.3">
      <c r="A834" s="2">
        <f t="shared" si="202"/>
        <v>832</v>
      </c>
      <c r="B834" s="6">
        <f t="shared" si="202"/>
        <v>1382</v>
      </c>
      <c r="C834" s="9">
        <f t="shared" si="207"/>
        <v>587520</v>
      </c>
      <c r="D834" s="6">
        <f t="shared" si="203"/>
        <v>982</v>
      </c>
      <c r="E834" s="9">
        <f t="shared" si="208"/>
        <v>298640</v>
      </c>
      <c r="F834" s="3">
        <f t="shared" si="204"/>
        <v>1432</v>
      </c>
      <c r="G834" s="3">
        <f t="shared" si="209"/>
        <v>244160</v>
      </c>
      <c r="J834" s="6">
        <f t="shared" si="210"/>
        <v>7.8599999999998724</v>
      </c>
      <c r="K834" s="11">
        <f t="shared" si="211"/>
        <v>1130160</v>
      </c>
      <c r="P834" s="1">
        <f t="shared" si="205"/>
        <v>1130160</v>
      </c>
      <c r="Q834" s="1">
        <f t="shared" si="206"/>
        <v>222629008</v>
      </c>
    </row>
    <row r="835" spans="1:17" x14ac:dyDescent="0.3">
      <c r="A835" s="2">
        <f t="shared" si="202"/>
        <v>833</v>
      </c>
      <c r="B835" s="6">
        <f t="shared" si="202"/>
        <v>1383</v>
      </c>
      <c r="C835" s="9">
        <f t="shared" si="207"/>
        <v>589130</v>
      </c>
      <c r="D835" s="6">
        <f t="shared" si="203"/>
        <v>983</v>
      </c>
      <c r="E835" s="9">
        <f t="shared" si="208"/>
        <v>299410</v>
      </c>
      <c r="F835" s="3">
        <f t="shared" si="204"/>
        <v>1433</v>
      </c>
      <c r="G835" s="3">
        <f t="shared" si="209"/>
        <v>244790</v>
      </c>
      <c r="J835" s="6">
        <f t="shared" si="210"/>
        <v>7.8649999999998723</v>
      </c>
      <c r="K835" s="11">
        <f t="shared" si="211"/>
        <v>1133290</v>
      </c>
      <c r="P835" s="1">
        <f t="shared" si="205"/>
        <v>1133290</v>
      </c>
      <c r="Q835" s="1">
        <f t="shared" si="206"/>
        <v>223762298</v>
      </c>
    </row>
    <row r="836" spans="1:17" x14ac:dyDescent="0.3">
      <c r="A836" s="2">
        <f t="shared" si="202"/>
        <v>834</v>
      </c>
      <c r="B836" s="6">
        <f t="shared" si="202"/>
        <v>1384</v>
      </c>
      <c r="C836" s="9">
        <f t="shared" si="207"/>
        <v>590740</v>
      </c>
      <c r="D836" s="6">
        <f t="shared" si="203"/>
        <v>984</v>
      </c>
      <c r="E836" s="9">
        <f t="shared" si="208"/>
        <v>300180</v>
      </c>
      <c r="F836" s="3">
        <f t="shared" si="204"/>
        <v>1434</v>
      </c>
      <c r="G836" s="3">
        <f t="shared" si="209"/>
        <v>245420</v>
      </c>
      <c r="J836" s="6">
        <f t="shared" si="210"/>
        <v>7.8699999999998722</v>
      </c>
      <c r="K836" s="11">
        <f t="shared" si="211"/>
        <v>1136420</v>
      </c>
      <c r="P836" s="1">
        <f t="shared" si="205"/>
        <v>1136420</v>
      </c>
      <c r="Q836" s="1">
        <f t="shared" si="206"/>
        <v>224898718</v>
      </c>
    </row>
    <row r="837" spans="1:17" x14ac:dyDescent="0.3">
      <c r="A837" s="2">
        <f t="shared" ref="A837:B900" si="212">A836+1</f>
        <v>835</v>
      </c>
      <c r="B837" s="6">
        <f t="shared" si="212"/>
        <v>1385</v>
      </c>
      <c r="C837" s="9">
        <f t="shared" si="207"/>
        <v>592350</v>
      </c>
      <c r="D837" s="6">
        <f t="shared" si="203"/>
        <v>985</v>
      </c>
      <c r="E837" s="9">
        <f t="shared" si="208"/>
        <v>300950</v>
      </c>
      <c r="F837" s="3">
        <f t="shared" si="204"/>
        <v>1435</v>
      </c>
      <c r="G837" s="3">
        <f t="shared" si="209"/>
        <v>246050</v>
      </c>
      <c r="J837" s="6">
        <f t="shared" si="210"/>
        <v>7.8749999999998721</v>
      </c>
      <c r="K837" s="11">
        <f t="shared" si="211"/>
        <v>1139550</v>
      </c>
      <c r="P837" s="1">
        <f t="shared" si="205"/>
        <v>1139550</v>
      </c>
      <c r="Q837" s="1">
        <f t="shared" si="206"/>
        <v>226038268</v>
      </c>
    </row>
    <row r="838" spans="1:17" x14ac:dyDescent="0.3">
      <c r="A838" s="2">
        <f t="shared" si="212"/>
        <v>836</v>
      </c>
      <c r="B838" s="6">
        <f t="shared" si="212"/>
        <v>1386</v>
      </c>
      <c r="C838" s="9">
        <f t="shared" si="207"/>
        <v>593960</v>
      </c>
      <c r="D838" s="6">
        <f t="shared" si="203"/>
        <v>986</v>
      </c>
      <c r="E838" s="9">
        <f t="shared" si="208"/>
        <v>301720</v>
      </c>
      <c r="F838" s="3">
        <f t="shared" si="204"/>
        <v>1436</v>
      </c>
      <c r="G838" s="3">
        <f t="shared" si="209"/>
        <v>246680</v>
      </c>
      <c r="J838" s="6">
        <f t="shared" si="210"/>
        <v>7.879999999999872</v>
      </c>
      <c r="K838" s="11">
        <f t="shared" si="211"/>
        <v>1142680</v>
      </c>
      <c r="P838" s="1">
        <f t="shared" si="205"/>
        <v>1142680</v>
      </c>
      <c r="Q838" s="1">
        <f t="shared" si="206"/>
        <v>227180948</v>
      </c>
    </row>
    <row r="839" spans="1:17" x14ac:dyDescent="0.3">
      <c r="A839" s="2">
        <f t="shared" si="212"/>
        <v>837</v>
      </c>
      <c r="B839" s="6">
        <f t="shared" si="212"/>
        <v>1387</v>
      </c>
      <c r="C839" s="9">
        <f t="shared" si="207"/>
        <v>595570</v>
      </c>
      <c r="D839" s="6">
        <f t="shared" si="203"/>
        <v>987</v>
      </c>
      <c r="E839" s="9">
        <f t="shared" si="208"/>
        <v>302490</v>
      </c>
      <c r="F839" s="3">
        <f t="shared" si="204"/>
        <v>1437</v>
      </c>
      <c r="G839" s="3">
        <f t="shared" si="209"/>
        <v>247310</v>
      </c>
      <c r="J839" s="6">
        <f t="shared" si="210"/>
        <v>7.8849999999998719</v>
      </c>
      <c r="K839" s="11">
        <f t="shared" si="211"/>
        <v>1145810</v>
      </c>
      <c r="P839" s="1">
        <f t="shared" si="205"/>
        <v>1145810</v>
      </c>
      <c r="Q839" s="1">
        <f t="shared" si="206"/>
        <v>228326758</v>
      </c>
    </row>
    <row r="840" spans="1:17" x14ac:dyDescent="0.3">
      <c r="A840" s="2">
        <f t="shared" si="212"/>
        <v>838</v>
      </c>
      <c r="B840" s="6">
        <f t="shared" si="212"/>
        <v>1388</v>
      </c>
      <c r="C840" s="9">
        <f t="shared" si="207"/>
        <v>597180</v>
      </c>
      <c r="D840" s="6">
        <f t="shared" si="203"/>
        <v>988</v>
      </c>
      <c r="E840" s="9">
        <f t="shared" si="208"/>
        <v>303260</v>
      </c>
      <c r="F840" s="3">
        <f t="shared" si="204"/>
        <v>1438</v>
      </c>
      <c r="G840" s="3">
        <f t="shared" si="209"/>
        <v>247940</v>
      </c>
      <c r="J840" s="6">
        <f t="shared" si="210"/>
        <v>7.8899999999998718</v>
      </c>
      <c r="K840" s="11">
        <f t="shared" si="211"/>
        <v>1148940</v>
      </c>
      <c r="P840" s="1">
        <f t="shared" si="205"/>
        <v>1148940</v>
      </c>
      <c r="Q840" s="1">
        <f t="shared" si="206"/>
        <v>229475698</v>
      </c>
    </row>
    <row r="841" spans="1:17" x14ac:dyDescent="0.3">
      <c r="A841" s="2">
        <f t="shared" si="212"/>
        <v>839</v>
      </c>
      <c r="B841" s="6">
        <f t="shared" si="212"/>
        <v>1389</v>
      </c>
      <c r="C841" s="9">
        <f t="shared" si="207"/>
        <v>598790</v>
      </c>
      <c r="D841" s="6">
        <f t="shared" si="203"/>
        <v>989</v>
      </c>
      <c r="E841" s="9">
        <f t="shared" si="208"/>
        <v>304030</v>
      </c>
      <c r="F841" s="3">
        <f t="shared" si="204"/>
        <v>1439</v>
      </c>
      <c r="G841" s="3">
        <f t="shared" si="209"/>
        <v>248570</v>
      </c>
      <c r="J841" s="6">
        <f t="shared" si="210"/>
        <v>7.8949999999998717</v>
      </c>
      <c r="K841" s="11">
        <f t="shared" si="211"/>
        <v>1152070</v>
      </c>
      <c r="P841" s="1">
        <f t="shared" si="205"/>
        <v>1152070</v>
      </c>
      <c r="Q841" s="1">
        <f t="shared" si="206"/>
        <v>230627768</v>
      </c>
    </row>
    <row r="842" spans="1:17" x14ac:dyDescent="0.3">
      <c r="A842" s="2">
        <f t="shared" si="212"/>
        <v>840</v>
      </c>
      <c r="B842" s="6">
        <f t="shared" si="212"/>
        <v>1390</v>
      </c>
      <c r="C842" s="9">
        <f t="shared" si="207"/>
        <v>600400</v>
      </c>
      <c r="D842" s="6">
        <f t="shared" si="203"/>
        <v>990</v>
      </c>
      <c r="E842" s="9">
        <f t="shared" si="208"/>
        <v>304800</v>
      </c>
      <c r="F842" s="3">
        <f t="shared" si="204"/>
        <v>1440</v>
      </c>
      <c r="G842" s="3">
        <f t="shared" si="209"/>
        <v>249200</v>
      </c>
      <c r="J842" s="6">
        <f t="shared" si="210"/>
        <v>7.8999999999998716</v>
      </c>
      <c r="K842" s="11">
        <f t="shared" si="211"/>
        <v>1155200</v>
      </c>
      <c r="P842" s="1">
        <f t="shared" si="205"/>
        <v>1155200</v>
      </c>
      <c r="Q842" s="1">
        <f t="shared" si="206"/>
        <v>231782968</v>
      </c>
    </row>
    <row r="843" spans="1:17" x14ac:dyDescent="0.3">
      <c r="A843" s="2">
        <f t="shared" si="212"/>
        <v>841</v>
      </c>
      <c r="B843" s="6">
        <f t="shared" si="212"/>
        <v>1391</v>
      </c>
      <c r="C843" s="9">
        <f t="shared" si="207"/>
        <v>602010</v>
      </c>
      <c r="D843" s="6">
        <f t="shared" si="203"/>
        <v>991</v>
      </c>
      <c r="E843" s="9">
        <f t="shared" si="208"/>
        <v>305570</v>
      </c>
      <c r="F843" s="3">
        <f t="shared" si="204"/>
        <v>1441</v>
      </c>
      <c r="G843" s="3">
        <f t="shared" si="209"/>
        <v>249830</v>
      </c>
      <c r="J843" s="6">
        <f t="shared" si="210"/>
        <v>7.9049999999998715</v>
      </c>
      <c r="K843" s="11">
        <f t="shared" si="211"/>
        <v>1158330</v>
      </c>
      <c r="P843" s="1">
        <f t="shared" si="205"/>
        <v>1158330</v>
      </c>
      <c r="Q843" s="1">
        <f t="shared" si="206"/>
        <v>232941298</v>
      </c>
    </row>
    <row r="844" spans="1:17" x14ac:dyDescent="0.3">
      <c r="A844" s="2">
        <f t="shared" si="212"/>
        <v>842</v>
      </c>
      <c r="B844" s="6">
        <f t="shared" si="212"/>
        <v>1392</v>
      </c>
      <c r="C844" s="9">
        <f t="shared" si="207"/>
        <v>603620</v>
      </c>
      <c r="D844" s="6">
        <f t="shared" si="203"/>
        <v>992</v>
      </c>
      <c r="E844" s="9">
        <f t="shared" si="208"/>
        <v>306340</v>
      </c>
      <c r="F844" s="3">
        <f t="shared" si="204"/>
        <v>1442</v>
      </c>
      <c r="G844" s="3">
        <f t="shared" si="209"/>
        <v>250460</v>
      </c>
      <c r="J844" s="6">
        <f t="shared" si="210"/>
        <v>7.9099999999998714</v>
      </c>
      <c r="K844" s="11">
        <f t="shared" si="211"/>
        <v>1161460</v>
      </c>
      <c r="P844" s="1">
        <f t="shared" si="205"/>
        <v>1161460</v>
      </c>
      <c r="Q844" s="1">
        <f t="shared" si="206"/>
        <v>234102758</v>
      </c>
    </row>
    <row r="845" spans="1:17" x14ac:dyDescent="0.3">
      <c r="A845" s="2">
        <f t="shared" si="212"/>
        <v>843</v>
      </c>
      <c r="B845" s="6">
        <f t="shared" si="212"/>
        <v>1393</v>
      </c>
      <c r="C845" s="9">
        <f t="shared" si="207"/>
        <v>605230</v>
      </c>
      <c r="D845" s="6">
        <f t="shared" si="203"/>
        <v>993</v>
      </c>
      <c r="E845" s="9">
        <f t="shared" si="208"/>
        <v>307110</v>
      </c>
      <c r="F845" s="3">
        <f t="shared" si="204"/>
        <v>1443</v>
      </c>
      <c r="G845" s="3">
        <f t="shared" si="209"/>
        <v>251090</v>
      </c>
      <c r="J845" s="6">
        <f t="shared" si="210"/>
        <v>7.9149999999998712</v>
      </c>
      <c r="K845" s="11">
        <f t="shared" si="211"/>
        <v>1164590</v>
      </c>
      <c r="P845" s="1">
        <f t="shared" si="205"/>
        <v>1164590</v>
      </c>
      <c r="Q845" s="1">
        <f t="shared" si="206"/>
        <v>235267348</v>
      </c>
    </row>
    <row r="846" spans="1:17" x14ac:dyDescent="0.3">
      <c r="A846" s="2">
        <f t="shared" si="212"/>
        <v>844</v>
      </c>
      <c r="B846" s="6">
        <f t="shared" si="212"/>
        <v>1394</v>
      </c>
      <c r="C846" s="9">
        <f t="shared" si="207"/>
        <v>606840</v>
      </c>
      <c r="D846" s="6">
        <f t="shared" si="203"/>
        <v>994</v>
      </c>
      <c r="E846" s="9">
        <f t="shared" si="208"/>
        <v>307880</v>
      </c>
      <c r="F846" s="3">
        <f t="shared" si="204"/>
        <v>1444</v>
      </c>
      <c r="G846" s="3">
        <f t="shared" si="209"/>
        <v>251720</v>
      </c>
      <c r="J846" s="6">
        <f t="shared" si="210"/>
        <v>7.9199999999998711</v>
      </c>
      <c r="K846" s="11">
        <f t="shared" si="211"/>
        <v>1167720</v>
      </c>
      <c r="P846" s="1">
        <f t="shared" si="205"/>
        <v>1167720</v>
      </c>
      <c r="Q846" s="1">
        <f t="shared" si="206"/>
        <v>236435068</v>
      </c>
    </row>
    <row r="847" spans="1:17" x14ac:dyDescent="0.3">
      <c r="A847" s="2">
        <f t="shared" si="212"/>
        <v>845</v>
      </c>
      <c r="B847" s="6">
        <f t="shared" si="212"/>
        <v>1395</v>
      </c>
      <c r="C847" s="9">
        <f t="shared" si="207"/>
        <v>608450</v>
      </c>
      <c r="D847" s="6">
        <f t="shared" si="203"/>
        <v>995</v>
      </c>
      <c r="E847" s="9">
        <f t="shared" si="208"/>
        <v>308650</v>
      </c>
      <c r="F847" s="3">
        <f t="shared" si="204"/>
        <v>1445</v>
      </c>
      <c r="G847" s="3">
        <f t="shared" si="209"/>
        <v>252350</v>
      </c>
      <c r="J847" s="6">
        <f t="shared" si="210"/>
        <v>7.924999999999871</v>
      </c>
      <c r="K847" s="11">
        <f t="shared" si="211"/>
        <v>1170850</v>
      </c>
      <c r="P847" s="1">
        <f t="shared" si="205"/>
        <v>1170850</v>
      </c>
      <c r="Q847" s="1">
        <f t="shared" si="206"/>
        <v>237605918</v>
      </c>
    </row>
    <row r="848" spans="1:17" x14ac:dyDescent="0.3">
      <c r="A848" s="2">
        <f t="shared" si="212"/>
        <v>846</v>
      </c>
      <c r="B848" s="6">
        <f t="shared" si="212"/>
        <v>1396</v>
      </c>
      <c r="C848" s="9">
        <f t="shared" si="207"/>
        <v>610060</v>
      </c>
      <c r="D848" s="6">
        <f t="shared" si="203"/>
        <v>996</v>
      </c>
      <c r="E848" s="9">
        <f t="shared" si="208"/>
        <v>309420</v>
      </c>
      <c r="F848" s="3">
        <f t="shared" si="204"/>
        <v>1446</v>
      </c>
      <c r="G848" s="3">
        <f t="shared" si="209"/>
        <v>252980</v>
      </c>
      <c r="J848" s="6">
        <f t="shared" si="210"/>
        <v>7.9299999999998709</v>
      </c>
      <c r="K848" s="11">
        <f t="shared" si="211"/>
        <v>1173980</v>
      </c>
      <c r="P848" s="1">
        <f t="shared" si="205"/>
        <v>1173980</v>
      </c>
      <c r="Q848" s="1">
        <f t="shared" si="206"/>
        <v>238779898</v>
      </c>
    </row>
    <row r="849" spans="1:17" x14ac:dyDescent="0.3">
      <c r="A849" s="2">
        <f t="shared" si="212"/>
        <v>847</v>
      </c>
      <c r="B849" s="6">
        <f t="shared" si="212"/>
        <v>1397</v>
      </c>
      <c r="C849" s="9">
        <f t="shared" si="207"/>
        <v>611670</v>
      </c>
      <c r="D849" s="6">
        <f t="shared" si="203"/>
        <v>997</v>
      </c>
      <c r="E849" s="9">
        <f t="shared" si="208"/>
        <v>310190</v>
      </c>
      <c r="F849" s="3">
        <f t="shared" si="204"/>
        <v>1447</v>
      </c>
      <c r="G849" s="3">
        <f t="shared" si="209"/>
        <v>253610</v>
      </c>
      <c r="J849" s="6">
        <f t="shared" si="210"/>
        <v>7.9349999999998708</v>
      </c>
      <c r="K849" s="11">
        <f t="shared" si="211"/>
        <v>1177110</v>
      </c>
      <c r="P849" s="1">
        <f t="shared" si="205"/>
        <v>1177110</v>
      </c>
      <c r="Q849" s="1">
        <f t="shared" si="206"/>
        <v>239957008</v>
      </c>
    </row>
    <row r="850" spans="1:17" x14ac:dyDescent="0.3">
      <c r="A850" s="2">
        <f t="shared" si="212"/>
        <v>848</v>
      </c>
      <c r="B850" s="6">
        <f t="shared" si="212"/>
        <v>1398</v>
      </c>
      <c r="C850" s="9">
        <f t="shared" si="207"/>
        <v>613280</v>
      </c>
      <c r="D850" s="6">
        <f t="shared" si="203"/>
        <v>998</v>
      </c>
      <c r="E850" s="9">
        <f t="shared" si="208"/>
        <v>310960</v>
      </c>
      <c r="F850" s="3">
        <f t="shared" si="204"/>
        <v>1448</v>
      </c>
      <c r="G850" s="3">
        <f t="shared" si="209"/>
        <v>254240</v>
      </c>
      <c r="J850" s="6">
        <f t="shared" si="210"/>
        <v>7.9399999999998707</v>
      </c>
      <c r="K850" s="11">
        <f t="shared" si="211"/>
        <v>1180240</v>
      </c>
      <c r="P850" s="1">
        <f t="shared" si="205"/>
        <v>1180240</v>
      </c>
      <c r="Q850" s="1">
        <f t="shared" si="206"/>
        <v>241137248</v>
      </c>
    </row>
    <row r="851" spans="1:17" x14ac:dyDescent="0.3">
      <c r="A851" s="2">
        <f t="shared" si="212"/>
        <v>849</v>
      </c>
      <c r="B851" s="6">
        <f t="shared" si="212"/>
        <v>1399</v>
      </c>
      <c r="C851" s="9">
        <f t="shared" si="207"/>
        <v>614890</v>
      </c>
      <c r="D851" s="6">
        <f t="shared" si="203"/>
        <v>999</v>
      </c>
      <c r="E851" s="9">
        <f t="shared" si="208"/>
        <v>311730</v>
      </c>
      <c r="F851" s="3">
        <f t="shared" si="204"/>
        <v>1449</v>
      </c>
      <c r="G851" s="3">
        <f t="shared" si="209"/>
        <v>254870</v>
      </c>
      <c r="J851" s="6">
        <f t="shared" si="210"/>
        <v>7.9449999999998706</v>
      </c>
      <c r="K851" s="11">
        <f t="shared" si="211"/>
        <v>1183370</v>
      </c>
      <c r="P851" s="1">
        <f t="shared" si="205"/>
        <v>1183370</v>
      </c>
      <c r="Q851" s="1">
        <f t="shared" si="206"/>
        <v>242320618</v>
      </c>
    </row>
    <row r="852" spans="1:17" x14ac:dyDescent="0.3">
      <c r="A852" s="2">
        <f t="shared" si="212"/>
        <v>850</v>
      </c>
      <c r="B852" s="6">
        <f t="shared" si="212"/>
        <v>1400</v>
      </c>
      <c r="C852" s="9">
        <f t="shared" si="207"/>
        <v>616500</v>
      </c>
      <c r="D852" s="6">
        <f t="shared" si="203"/>
        <v>1000</v>
      </c>
      <c r="E852" s="9">
        <f t="shared" si="208"/>
        <v>312500</v>
      </c>
      <c r="F852" s="3">
        <f t="shared" si="204"/>
        <v>1450</v>
      </c>
      <c r="G852" s="3">
        <f t="shared" si="209"/>
        <v>255500</v>
      </c>
      <c r="J852" s="6">
        <f t="shared" si="210"/>
        <v>7.9499999999998705</v>
      </c>
      <c r="K852" s="11">
        <f t="shared" si="211"/>
        <v>1186500</v>
      </c>
      <c r="P852" s="1">
        <f t="shared" si="205"/>
        <v>1186500</v>
      </c>
      <c r="Q852" s="1">
        <f t="shared" si="206"/>
        <v>243507118</v>
      </c>
    </row>
    <row r="853" spans="1:17" x14ac:dyDescent="0.3">
      <c r="A853" s="2">
        <f t="shared" si="212"/>
        <v>851</v>
      </c>
      <c r="B853" s="6">
        <f t="shared" si="212"/>
        <v>1401</v>
      </c>
      <c r="C853" s="9">
        <f t="shared" si="207"/>
        <v>618110</v>
      </c>
      <c r="D853" s="6">
        <f t="shared" si="203"/>
        <v>1001</v>
      </c>
      <c r="E853" s="9">
        <f t="shared" si="208"/>
        <v>313270</v>
      </c>
      <c r="F853" s="3">
        <f t="shared" si="204"/>
        <v>1451</v>
      </c>
      <c r="G853" s="3">
        <f t="shared" si="209"/>
        <v>256130</v>
      </c>
      <c r="J853" s="6">
        <f t="shared" si="210"/>
        <v>7.9549999999998704</v>
      </c>
      <c r="K853" s="11">
        <f t="shared" si="211"/>
        <v>1189630</v>
      </c>
      <c r="P853" s="1">
        <f t="shared" si="205"/>
        <v>1189630</v>
      </c>
      <c r="Q853" s="1">
        <f t="shared" si="206"/>
        <v>244696748</v>
      </c>
    </row>
    <row r="854" spans="1:17" x14ac:dyDescent="0.3">
      <c r="A854" s="2">
        <f t="shared" si="212"/>
        <v>852</v>
      </c>
      <c r="B854" s="6">
        <f t="shared" si="212"/>
        <v>1402</v>
      </c>
      <c r="C854" s="9">
        <f t="shared" si="207"/>
        <v>619720</v>
      </c>
      <c r="D854" s="6">
        <f t="shared" si="203"/>
        <v>1002</v>
      </c>
      <c r="E854" s="9">
        <f t="shared" si="208"/>
        <v>314040</v>
      </c>
      <c r="F854" s="3">
        <f t="shared" si="204"/>
        <v>1452</v>
      </c>
      <c r="G854" s="3">
        <f t="shared" si="209"/>
        <v>256760</v>
      </c>
      <c r="J854" s="6">
        <f t="shared" si="210"/>
        <v>7.9599999999998703</v>
      </c>
      <c r="K854" s="11">
        <f t="shared" si="211"/>
        <v>1192760</v>
      </c>
      <c r="P854" s="1">
        <f t="shared" si="205"/>
        <v>1192760</v>
      </c>
      <c r="Q854" s="1">
        <f t="shared" si="206"/>
        <v>245889508</v>
      </c>
    </row>
    <row r="855" spans="1:17" x14ac:dyDescent="0.3">
      <c r="A855" s="2">
        <f t="shared" si="212"/>
        <v>853</v>
      </c>
      <c r="B855" s="6">
        <f t="shared" si="212"/>
        <v>1403</v>
      </c>
      <c r="C855" s="9">
        <f t="shared" si="207"/>
        <v>621330</v>
      </c>
      <c r="D855" s="6">
        <f t="shared" si="203"/>
        <v>1003</v>
      </c>
      <c r="E855" s="9">
        <f t="shared" si="208"/>
        <v>314810</v>
      </c>
      <c r="F855" s="3">
        <f t="shared" si="204"/>
        <v>1453</v>
      </c>
      <c r="G855" s="3">
        <f t="shared" si="209"/>
        <v>257390</v>
      </c>
      <c r="J855" s="6">
        <f t="shared" si="210"/>
        <v>7.9649999999998702</v>
      </c>
      <c r="K855" s="11">
        <f t="shared" si="211"/>
        <v>1195890</v>
      </c>
      <c r="P855" s="1">
        <f t="shared" si="205"/>
        <v>1195890</v>
      </c>
      <c r="Q855" s="1">
        <f t="shared" si="206"/>
        <v>247085398</v>
      </c>
    </row>
    <row r="856" spans="1:17" x14ac:dyDescent="0.3">
      <c r="A856" s="2">
        <f t="shared" si="212"/>
        <v>854</v>
      </c>
      <c r="B856" s="6">
        <f t="shared" si="212"/>
        <v>1404</v>
      </c>
      <c r="C856" s="9">
        <f t="shared" si="207"/>
        <v>622940</v>
      </c>
      <c r="D856" s="6">
        <f t="shared" si="203"/>
        <v>1004</v>
      </c>
      <c r="E856" s="9">
        <f t="shared" si="208"/>
        <v>315580</v>
      </c>
      <c r="F856" s="3">
        <f t="shared" si="204"/>
        <v>1454</v>
      </c>
      <c r="G856" s="3">
        <f t="shared" si="209"/>
        <v>258020</v>
      </c>
      <c r="J856" s="6">
        <f t="shared" si="210"/>
        <v>7.9699999999998701</v>
      </c>
      <c r="K856" s="11">
        <f t="shared" si="211"/>
        <v>1199020</v>
      </c>
      <c r="P856" s="1">
        <f t="shared" si="205"/>
        <v>1199020</v>
      </c>
      <c r="Q856" s="1">
        <f t="shared" si="206"/>
        <v>248284418</v>
      </c>
    </row>
    <row r="857" spans="1:17" x14ac:dyDescent="0.3">
      <c r="A857" s="2">
        <f t="shared" si="212"/>
        <v>855</v>
      </c>
      <c r="B857" s="6">
        <f t="shared" si="212"/>
        <v>1405</v>
      </c>
      <c r="C857" s="9">
        <f t="shared" si="207"/>
        <v>624550</v>
      </c>
      <c r="D857" s="6">
        <f t="shared" si="203"/>
        <v>1005</v>
      </c>
      <c r="E857" s="9">
        <f t="shared" si="208"/>
        <v>316350</v>
      </c>
      <c r="F857" s="3">
        <f t="shared" si="204"/>
        <v>1455</v>
      </c>
      <c r="G857" s="3">
        <f t="shared" si="209"/>
        <v>258650</v>
      </c>
      <c r="J857" s="6">
        <f t="shared" si="210"/>
        <v>7.97499999999987</v>
      </c>
      <c r="K857" s="11">
        <f t="shared" si="211"/>
        <v>1202150</v>
      </c>
      <c r="P857" s="1">
        <f t="shared" si="205"/>
        <v>1202150</v>
      </c>
      <c r="Q857" s="1">
        <f t="shared" si="206"/>
        <v>249486568</v>
      </c>
    </row>
    <row r="858" spans="1:17" x14ac:dyDescent="0.3">
      <c r="A858" s="2">
        <f t="shared" si="212"/>
        <v>856</v>
      </c>
      <c r="B858" s="6">
        <f t="shared" si="212"/>
        <v>1406</v>
      </c>
      <c r="C858" s="9">
        <f t="shared" si="207"/>
        <v>626160</v>
      </c>
      <c r="D858" s="6">
        <f t="shared" si="203"/>
        <v>1006</v>
      </c>
      <c r="E858" s="9">
        <f t="shared" si="208"/>
        <v>317120</v>
      </c>
      <c r="F858" s="3">
        <f t="shared" si="204"/>
        <v>1456</v>
      </c>
      <c r="G858" s="3">
        <f t="shared" si="209"/>
        <v>259280</v>
      </c>
      <c r="J858" s="6">
        <f t="shared" si="210"/>
        <v>7.9799999999998699</v>
      </c>
      <c r="K858" s="11">
        <f t="shared" si="211"/>
        <v>1205280</v>
      </c>
      <c r="P858" s="1">
        <f t="shared" si="205"/>
        <v>1205280</v>
      </c>
      <c r="Q858" s="1">
        <f t="shared" si="206"/>
        <v>250691848</v>
      </c>
    </row>
    <row r="859" spans="1:17" x14ac:dyDescent="0.3">
      <c r="A859" s="2">
        <f t="shared" si="212"/>
        <v>857</v>
      </c>
      <c r="B859" s="6">
        <f t="shared" si="212"/>
        <v>1407</v>
      </c>
      <c r="C859" s="9">
        <f t="shared" si="207"/>
        <v>627770</v>
      </c>
      <c r="D859" s="6">
        <f t="shared" si="203"/>
        <v>1007</v>
      </c>
      <c r="E859" s="9">
        <f t="shared" si="208"/>
        <v>317890</v>
      </c>
      <c r="F859" s="3">
        <f t="shared" si="204"/>
        <v>1457</v>
      </c>
      <c r="G859" s="3">
        <f t="shared" si="209"/>
        <v>259910</v>
      </c>
      <c r="J859" s="6">
        <f t="shared" si="210"/>
        <v>7.9849999999998698</v>
      </c>
      <c r="K859" s="11">
        <f t="shared" si="211"/>
        <v>1208410</v>
      </c>
      <c r="P859" s="1">
        <f t="shared" si="205"/>
        <v>1208410</v>
      </c>
      <c r="Q859" s="1">
        <f t="shared" si="206"/>
        <v>251900258</v>
      </c>
    </row>
    <row r="860" spans="1:17" x14ac:dyDescent="0.3">
      <c r="A860" s="2">
        <f t="shared" si="212"/>
        <v>858</v>
      </c>
      <c r="B860" s="6">
        <f t="shared" si="212"/>
        <v>1408</v>
      </c>
      <c r="C860" s="9">
        <f t="shared" si="207"/>
        <v>629380</v>
      </c>
      <c r="D860" s="6">
        <f t="shared" si="203"/>
        <v>1008</v>
      </c>
      <c r="E860" s="9">
        <f t="shared" si="208"/>
        <v>318660</v>
      </c>
      <c r="F860" s="3">
        <f t="shared" si="204"/>
        <v>1458</v>
      </c>
      <c r="G860" s="3">
        <f t="shared" si="209"/>
        <v>260540</v>
      </c>
      <c r="J860" s="6">
        <f t="shared" si="210"/>
        <v>7.9899999999998697</v>
      </c>
      <c r="K860" s="11">
        <f t="shared" si="211"/>
        <v>1211540</v>
      </c>
      <c r="P860" s="1">
        <f t="shared" si="205"/>
        <v>1211540</v>
      </c>
      <c r="Q860" s="1">
        <f t="shared" si="206"/>
        <v>253111798</v>
      </c>
    </row>
    <row r="861" spans="1:17" x14ac:dyDescent="0.3">
      <c r="A861" s="2">
        <f t="shared" si="212"/>
        <v>859</v>
      </c>
      <c r="B861" s="6">
        <f t="shared" si="212"/>
        <v>1409</v>
      </c>
      <c r="C861" s="9">
        <f t="shared" si="207"/>
        <v>630990</v>
      </c>
      <c r="D861" s="6">
        <f t="shared" si="203"/>
        <v>1009</v>
      </c>
      <c r="E861" s="9">
        <f t="shared" si="208"/>
        <v>319430</v>
      </c>
      <c r="F861" s="3">
        <f t="shared" si="204"/>
        <v>1459</v>
      </c>
      <c r="G861" s="3">
        <f t="shared" si="209"/>
        <v>261170</v>
      </c>
      <c r="J861" s="6">
        <f t="shared" si="210"/>
        <v>7.9949999999998695</v>
      </c>
      <c r="K861" s="11">
        <f t="shared" si="211"/>
        <v>1214670</v>
      </c>
      <c r="P861" s="1">
        <f t="shared" si="205"/>
        <v>1214670</v>
      </c>
      <c r="Q861" s="1">
        <f t="shared" si="206"/>
        <v>254326468</v>
      </c>
    </row>
    <row r="862" spans="1:17" x14ac:dyDescent="0.3">
      <c r="A862" s="2">
        <f t="shared" si="212"/>
        <v>860</v>
      </c>
      <c r="B862" s="6">
        <f t="shared" si="212"/>
        <v>1410</v>
      </c>
      <c r="C862" s="9">
        <f t="shared" si="207"/>
        <v>632600</v>
      </c>
      <c r="D862" s="6">
        <f t="shared" si="203"/>
        <v>1010</v>
      </c>
      <c r="E862" s="9">
        <f t="shared" si="208"/>
        <v>320200</v>
      </c>
      <c r="F862" s="3">
        <f t="shared" si="204"/>
        <v>1460</v>
      </c>
      <c r="G862" s="3">
        <f t="shared" si="209"/>
        <v>261800</v>
      </c>
      <c r="J862" s="6">
        <f t="shared" si="210"/>
        <v>7.9999999999998694</v>
      </c>
      <c r="K862" s="11">
        <f t="shared" si="211"/>
        <v>1217800</v>
      </c>
      <c r="P862" s="1">
        <f t="shared" si="205"/>
        <v>1217800</v>
      </c>
      <c r="Q862" s="1">
        <f t="shared" si="206"/>
        <v>255544268</v>
      </c>
    </row>
    <row r="863" spans="1:17" x14ac:dyDescent="0.3">
      <c r="A863" s="2">
        <f t="shared" si="212"/>
        <v>861</v>
      </c>
      <c r="B863" s="6">
        <f t="shared" si="212"/>
        <v>1411</v>
      </c>
      <c r="C863" s="9">
        <f t="shared" si="207"/>
        <v>634210</v>
      </c>
      <c r="D863" s="6">
        <f t="shared" si="203"/>
        <v>1011</v>
      </c>
      <c r="E863" s="9">
        <f t="shared" si="208"/>
        <v>320970</v>
      </c>
      <c r="F863" s="3">
        <f t="shared" si="204"/>
        <v>1461</v>
      </c>
      <c r="G863" s="3">
        <f t="shared" si="209"/>
        <v>262430</v>
      </c>
      <c r="J863" s="6">
        <f t="shared" si="210"/>
        <v>8.0049999999998693</v>
      </c>
      <c r="K863" s="11">
        <f t="shared" si="211"/>
        <v>1220930</v>
      </c>
      <c r="P863" s="1">
        <f t="shared" si="205"/>
        <v>1220930</v>
      </c>
      <c r="Q863" s="1">
        <f t="shared" si="206"/>
        <v>256765198</v>
      </c>
    </row>
    <row r="864" spans="1:17" x14ac:dyDescent="0.3">
      <c r="A864" s="2">
        <f t="shared" si="212"/>
        <v>862</v>
      </c>
      <c r="B864" s="6">
        <f t="shared" si="212"/>
        <v>1412</v>
      </c>
      <c r="C864" s="9">
        <f t="shared" si="207"/>
        <v>635820</v>
      </c>
      <c r="D864" s="6">
        <f t="shared" si="203"/>
        <v>1012</v>
      </c>
      <c r="E864" s="9">
        <f t="shared" si="208"/>
        <v>321740</v>
      </c>
      <c r="F864" s="3">
        <f t="shared" si="204"/>
        <v>1462</v>
      </c>
      <c r="G864" s="3">
        <f t="shared" si="209"/>
        <v>263060</v>
      </c>
      <c r="J864" s="6">
        <f t="shared" si="210"/>
        <v>8.0099999999998701</v>
      </c>
      <c r="K864" s="11">
        <f t="shared" si="211"/>
        <v>1224060</v>
      </c>
      <c r="P864" s="1">
        <f t="shared" si="205"/>
        <v>1224060</v>
      </c>
      <c r="Q864" s="1">
        <f t="shared" si="206"/>
        <v>257989258</v>
      </c>
    </row>
    <row r="865" spans="1:17" x14ac:dyDescent="0.3">
      <c r="A865" s="2">
        <f t="shared" si="212"/>
        <v>863</v>
      </c>
      <c r="B865" s="6">
        <f t="shared" si="212"/>
        <v>1413</v>
      </c>
      <c r="C865" s="9">
        <f t="shared" si="207"/>
        <v>637430</v>
      </c>
      <c r="D865" s="6">
        <f t="shared" si="203"/>
        <v>1013</v>
      </c>
      <c r="E865" s="9">
        <f t="shared" si="208"/>
        <v>322510</v>
      </c>
      <c r="F865" s="3">
        <f t="shared" si="204"/>
        <v>1463</v>
      </c>
      <c r="G865" s="3">
        <f t="shared" si="209"/>
        <v>263690</v>
      </c>
      <c r="J865" s="6">
        <f t="shared" si="210"/>
        <v>8.0149999999998709</v>
      </c>
      <c r="K865" s="11">
        <f t="shared" si="211"/>
        <v>1227190</v>
      </c>
      <c r="P865" s="1">
        <f t="shared" si="205"/>
        <v>1227190</v>
      </c>
      <c r="Q865" s="1">
        <f t="shared" si="206"/>
        <v>259216448</v>
      </c>
    </row>
    <row r="866" spans="1:17" x14ac:dyDescent="0.3">
      <c r="A866" s="2">
        <f t="shared" si="212"/>
        <v>864</v>
      </c>
      <c r="B866" s="6">
        <f t="shared" si="212"/>
        <v>1414</v>
      </c>
      <c r="C866" s="9">
        <f t="shared" si="207"/>
        <v>639040</v>
      </c>
      <c r="D866" s="6">
        <f t="shared" si="203"/>
        <v>1014</v>
      </c>
      <c r="E866" s="9">
        <f t="shared" si="208"/>
        <v>323280</v>
      </c>
      <c r="F866" s="3">
        <f t="shared" si="204"/>
        <v>1464</v>
      </c>
      <c r="G866" s="3">
        <f t="shared" si="209"/>
        <v>264320</v>
      </c>
      <c r="J866" s="6">
        <f t="shared" si="210"/>
        <v>8.0199999999998717</v>
      </c>
      <c r="K866" s="11">
        <f t="shared" si="211"/>
        <v>1230320</v>
      </c>
      <c r="P866" s="1">
        <f t="shared" si="205"/>
        <v>1230320</v>
      </c>
      <c r="Q866" s="1">
        <f t="shared" si="206"/>
        <v>260446768</v>
      </c>
    </row>
    <row r="867" spans="1:17" x14ac:dyDescent="0.3">
      <c r="A867" s="2">
        <f t="shared" si="212"/>
        <v>865</v>
      </c>
      <c r="B867" s="6">
        <f t="shared" si="212"/>
        <v>1415</v>
      </c>
      <c r="C867" s="9">
        <f t="shared" si="207"/>
        <v>640650</v>
      </c>
      <c r="D867" s="6">
        <f t="shared" si="203"/>
        <v>1015</v>
      </c>
      <c r="E867" s="9">
        <f t="shared" si="208"/>
        <v>324050</v>
      </c>
      <c r="F867" s="3">
        <f t="shared" si="204"/>
        <v>1465</v>
      </c>
      <c r="G867" s="3">
        <f t="shared" si="209"/>
        <v>264950</v>
      </c>
      <c r="J867" s="6">
        <f t="shared" si="210"/>
        <v>8.0249999999998725</v>
      </c>
      <c r="K867" s="11">
        <f t="shared" si="211"/>
        <v>1233450</v>
      </c>
      <c r="P867" s="1">
        <f t="shared" si="205"/>
        <v>1233450</v>
      </c>
      <c r="Q867" s="1">
        <f t="shared" si="206"/>
        <v>261680218</v>
      </c>
    </row>
    <row r="868" spans="1:17" x14ac:dyDescent="0.3">
      <c r="A868" s="2">
        <f t="shared" si="212"/>
        <v>866</v>
      </c>
      <c r="B868" s="6">
        <f t="shared" si="212"/>
        <v>1416</v>
      </c>
      <c r="C868" s="9">
        <f t="shared" si="207"/>
        <v>642260</v>
      </c>
      <c r="D868" s="6">
        <f t="shared" si="203"/>
        <v>1016</v>
      </c>
      <c r="E868" s="9">
        <f t="shared" si="208"/>
        <v>324820</v>
      </c>
      <c r="F868" s="3">
        <f t="shared" si="204"/>
        <v>1466</v>
      </c>
      <c r="G868" s="3">
        <f t="shared" si="209"/>
        <v>265580</v>
      </c>
      <c r="J868" s="6">
        <f t="shared" si="210"/>
        <v>8.0299999999998732</v>
      </c>
      <c r="K868" s="11">
        <f t="shared" si="211"/>
        <v>1236580</v>
      </c>
      <c r="P868" s="1">
        <f t="shared" si="205"/>
        <v>1236580</v>
      </c>
      <c r="Q868" s="1">
        <f t="shared" si="206"/>
        <v>262916798</v>
      </c>
    </row>
    <row r="869" spans="1:17" x14ac:dyDescent="0.3">
      <c r="A869" s="2">
        <f t="shared" si="212"/>
        <v>867</v>
      </c>
      <c r="B869" s="6">
        <f t="shared" si="212"/>
        <v>1417</v>
      </c>
      <c r="C869" s="9">
        <f t="shared" si="207"/>
        <v>643870</v>
      </c>
      <c r="D869" s="6">
        <f t="shared" si="203"/>
        <v>1017</v>
      </c>
      <c r="E869" s="9">
        <f t="shared" si="208"/>
        <v>325590</v>
      </c>
      <c r="F869" s="3">
        <f t="shared" si="204"/>
        <v>1467</v>
      </c>
      <c r="G869" s="3">
        <f t="shared" si="209"/>
        <v>266210</v>
      </c>
      <c r="J869" s="6">
        <f t="shared" si="210"/>
        <v>8.034999999999874</v>
      </c>
      <c r="K869" s="11">
        <f t="shared" si="211"/>
        <v>1239710</v>
      </c>
      <c r="P869" s="1">
        <f t="shared" si="205"/>
        <v>1239710</v>
      </c>
      <c r="Q869" s="1">
        <f t="shared" si="206"/>
        <v>264156508</v>
      </c>
    </row>
    <row r="870" spans="1:17" x14ac:dyDescent="0.3">
      <c r="A870" s="2">
        <f t="shared" si="212"/>
        <v>868</v>
      </c>
      <c r="B870" s="6">
        <f t="shared" si="212"/>
        <v>1418</v>
      </c>
      <c r="C870" s="9">
        <f t="shared" si="207"/>
        <v>645480</v>
      </c>
      <c r="D870" s="6">
        <f t="shared" si="203"/>
        <v>1018</v>
      </c>
      <c r="E870" s="9">
        <f t="shared" si="208"/>
        <v>326360</v>
      </c>
      <c r="F870" s="3">
        <f t="shared" si="204"/>
        <v>1468</v>
      </c>
      <c r="G870" s="3">
        <f t="shared" si="209"/>
        <v>266840</v>
      </c>
      <c r="J870" s="6">
        <f t="shared" si="210"/>
        <v>8.0399999999998748</v>
      </c>
      <c r="K870" s="11">
        <f t="shared" si="211"/>
        <v>1242840</v>
      </c>
      <c r="P870" s="1">
        <f t="shared" si="205"/>
        <v>1242840</v>
      </c>
      <c r="Q870" s="1">
        <f t="shared" si="206"/>
        <v>265399348</v>
      </c>
    </row>
    <row r="871" spans="1:17" x14ac:dyDescent="0.3">
      <c r="A871" s="2">
        <f t="shared" si="212"/>
        <v>869</v>
      </c>
      <c r="B871" s="6">
        <f t="shared" si="212"/>
        <v>1419</v>
      </c>
      <c r="C871" s="9">
        <f t="shared" si="207"/>
        <v>647090</v>
      </c>
      <c r="D871" s="6">
        <f t="shared" si="203"/>
        <v>1019</v>
      </c>
      <c r="E871" s="9">
        <f t="shared" si="208"/>
        <v>327130</v>
      </c>
      <c r="F871" s="3">
        <f t="shared" si="204"/>
        <v>1469</v>
      </c>
      <c r="G871" s="3">
        <f t="shared" si="209"/>
        <v>267470</v>
      </c>
      <c r="J871" s="6">
        <f t="shared" si="210"/>
        <v>8.0449999999998756</v>
      </c>
      <c r="K871" s="11">
        <f t="shared" si="211"/>
        <v>1245970</v>
      </c>
      <c r="P871" s="1">
        <f t="shared" si="205"/>
        <v>1245970</v>
      </c>
      <c r="Q871" s="1">
        <f t="shared" si="206"/>
        <v>266645318</v>
      </c>
    </row>
    <row r="872" spans="1:17" x14ac:dyDescent="0.3">
      <c r="A872" s="2">
        <f t="shared" si="212"/>
        <v>870</v>
      </c>
      <c r="B872" s="6">
        <f t="shared" si="212"/>
        <v>1420</v>
      </c>
      <c r="C872" s="9">
        <f t="shared" si="207"/>
        <v>648700</v>
      </c>
      <c r="D872" s="6">
        <f t="shared" ref="D872:D935" si="213">D871+1</f>
        <v>1020</v>
      </c>
      <c r="E872" s="9">
        <f t="shared" si="208"/>
        <v>327900</v>
      </c>
      <c r="F872" s="3">
        <f t="shared" ref="F872:F935" si="214">F871+1</f>
        <v>1470</v>
      </c>
      <c r="G872" s="3">
        <f t="shared" si="209"/>
        <v>268100</v>
      </c>
      <c r="J872" s="6">
        <f t="shared" si="210"/>
        <v>8.0499999999998764</v>
      </c>
      <c r="K872" s="11">
        <f t="shared" si="211"/>
        <v>1249100</v>
      </c>
      <c r="P872" s="1">
        <f t="shared" si="205"/>
        <v>1249100</v>
      </c>
      <c r="Q872" s="1">
        <f t="shared" si="206"/>
        <v>267894418</v>
      </c>
    </row>
    <row r="873" spans="1:17" x14ac:dyDescent="0.3">
      <c r="A873" s="2">
        <f t="shared" si="212"/>
        <v>871</v>
      </c>
      <c r="B873" s="6">
        <f t="shared" si="212"/>
        <v>1421</v>
      </c>
      <c r="C873" s="9">
        <f t="shared" si="207"/>
        <v>650310</v>
      </c>
      <c r="D873" s="6">
        <f t="shared" si="213"/>
        <v>1021</v>
      </c>
      <c r="E873" s="9">
        <f t="shared" si="208"/>
        <v>328670</v>
      </c>
      <c r="F873" s="3">
        <f t="shared" si="214"/>
        <v>1471</v>
      </c>
      <c r="G873" s="3">
        <f t="shared" si="209"/>
        <v>268730</v>
      </c>
      <c r="J873" s="6">
        <f t="shared" si="210"/>
        <v>8.0549999999998771</v>
      </c>
      <c r="K873" s="11">
        <f t="shared" si="211"/>
        <v>1252230</v>
      </c>
      <c r="P873" s="1">
        <f t="shared" si="205"/>
        <v>1252230</v>
      </c>
      <c r="Q873" s="1">
        <f t="shared" si="206"/>
        <v>269146648</v>
      </c>
    </row>
    <row r="874" spans="1:17" x14ac:dyDescent="0.3">
      <c r="A874" s="2">
        <f t="shared" si="212"/>
        <v>872</v>
      </c>
      <c r="B874" s="6">
        <f t="shared" si="212"/>
        <v>1422</v>
      </c>
      <c r="C874" s="9">
        <f t="shared" si="207"/>
        <v>651920</v>
      </c>
      <c r="D874" s="6">
        <f t="shared" si="213"/>
        <v>1022</v>
      </c>
      <c r="E874" s="9">
        <f t="shared" si="208"/>
        <v>329440</v>
      </c>
      <c r="F874" s="3">
        <f t="shared" si="214"/>
        <v>1472</v>
      </c>
      <c r="G874" s="3">
        <f t="shared" si="209"/>
        <v>269360</v>
      </c>
      <c r="J874" s="6">
        <f t="shared" si="210"/>
        <v>8.0599999999998779</v>
      </c>
      <c r="K874" s="11">
        <f t="shared" si="211"/>
        <v>1255360</v>
      </c>
      <c r="P874" s="1">
        <f t="shared" si="205"/>
        <v>1255360</v>
      </c>
      <c r="Q874" s="1">
        <f t="shared" si="206"/>
        <v>270402008</v>
      </c>
    </row>
    <row r="875" spans="1:17" x14ac:dyDescent="0.3">
      <c r="A875" s="2">
        <f t="shared" si="212"/>
        <v>873</v>
      </c>
      <c r="B875" s="6">
        <f t="shared" si="212"/>
        <v>1423</v>
      </c>
      <c r="C875" s="9">
        <f t="shared" si="207"/>
        <v>653530</v>
      </c>
      <c r="D875" s="6">
        <f t="shared" si="213"/>
        <v>1023</v>
      </c>
      <c r="E875" s="9">
        <f t="shared" si="208"/>
        <v>330210</v>
      </c>
      <c r="F875" s="3">
        <f t="shared" si="214"/>
        <v>1473</v>
      </c>
      <c r="G875" s="3">
        <f t="shared" si="209"/>
        <v>269990</v>
      </c>
      <c r="J875" s="6">
        <f t="shared" si="210"/>
        <v>8.0649999999998787</v>
      </c>
      <c r="K875" s="11">
        <f t="shared" si="211"/>
        <v>1258490</v>
      </c>
      <c r="P875" s="1">
        <f t="shared" si="205"/>
        <v>1258490</v>
      </c>
      <c r="Q875" s="1">
        <f t="shared" si="206"/>
        <v>271660498</v>
      </c>
    </row>
    <row r="876" spans="1:17" x14ac:dyDescent="0.3">
      <c r="A876" s="2">
        <f t="shared" si="212"/>
        <v>874</v>
      </c>
      <c r="B876" s="6">
        <f t="shared" si="212"/>
        <v>1424</v>
      </c>
      <c r="C876" s="9">
        <f t="shared" si="207"/>
        <v>655140</v>
      </c>
      <c r="D876" s="6">
        <f t="shared" si="213"/>
        <v>1024</v>
      </c>
      <c r="E876" s="9">
        <f t="shared" si="208"/>
        <v>330980</v>
      </c>
      <c r="F876" s="3">
        <f t="shared" si="214"/>
        <v>1474</v>
      </c>
      <c r="G876" s="3">
        <f t="shared" si="209"/>
        <v>270620</v>
      </c>
      <c r="J876" s="6">
        <f t="shared" si="210"/>
        <v>8.0699999999998795</v>
      </c>
      <c r="K876" s="11">
        <f t="shared" si="211"/>
        <v>1261620</v>
      </c>
      <c r="P876" s="1">
        <f t="shared" si="205"/>
        <v>1261620</v>
      </c>
      <c r="Q876" s="1">
        <f t="shared" si="206"/>
        <v>272922118</v>
      </c>
    </row>
    <row r="877" spans="1:17" x14ac:dyDescent="0.3">
      <c r="A877" s="2">
        <f t="shared" si="212"/>
        <v>875</v>
      </c>
      <c r="B877" s="6">
        <f t="shared" si="212"/>
        <v>1425</v>
      </c>
      <c r="C877" s="9">
        <f t="shared" si="207"/>
        <v>656750</v>
      </c>
      <c r="D877" s="6">
        <f t="shared" si="213"/>
        <v>1025</v>
      </c>
      <c r="E877" s="9">
        <f t="shared" si="208"/>
        <v>331750</v>
      </c>
      <c r="F877" s="3">
        <f t="shared" si="214"/>
        <v>1475</v>
      </c>
      <c r="G877" s="3">
        <f t="shared" si="209"/>
        <v>271250</v>
      </c>
      <c r="J877" s="6">
        <f t="shared" si="210"/>
        <v>8.0749999999998803</v>
      </c>
      <c r="K877" s="11">
        <f t="shared" si="211"/>
        <v>1264750</v>
      </c>
      <c r="P877" s="1">
        <f t="shared" si="205"/>
        <v>1264750</v>
      </c>
      <c r="Q877" s="1">
        <f t="shared" si="206"/>
        <v>274186868</v>
      </c>
    </row>
    <row r="878" spans="1:17" x14ac:dyDescent="0.3">
      <c r="A878" s="2">
        <f t="shared" si="212"/>
        <v>876</v>
      </c>
      <c r="B878" s="6">
        <f t="shared" si="212"/>
        <v>1426</v>
      </c>
      <c r="C878" s="9">
        <f t="shared" si="207"/>
        <v>658360</v>
      </c>
      <c r="D878" s="6">
        <f t="shared" si="213"/>
        <v>1026</v>
      </c>
      <c r="E878" s="9">
        <f t="shared" si="208"/>
        <v>332520</v>
      </c>
      <c r="F878" s="3">
        <f t="shared" si="214"/>
        <v>1476</v>
      </c>
      <c r="G878" s="3">
        <f t="shared" si="209"/>
        <v>271880</v>
      </c>
      <c r="J878" s="6">
        <f t="shared" si="210"/>
        <v>8.0799999999998811</v>
      </c>
      <c r="K878" s="11">
        <f t="shared" si="211"/>
        <v>1267880</v>
      </c>
      <c r="P878" s="1">
        <f t="shared" si="205"/>
        <v>1267880</v>
      </c>
      <c r="Q878" s="1">
        <f t="shared" si="206"/>
        <v>275454748</v>
      </c>
    </row>
    <row r="879" spans="1:17" x14ac:dyDescent="0.3">
      <c r="A879" s="2">
        <f t="shared" si="212"/>
        <v>877</v>
      </c>
      <c r="B879" s="6">
        <f t="shared" si="212"/>
        <v>1427</v>
      </c>
      <c r="C879" s="9">
        <f t="shared" si="207"/>
        <v>659970</v>
      </c>
      <c r="D879" s="6">
        <f t="shared" si="213"/>
        <v>1027</v>
      </c>
      <c r="E879" s="9">
        <f t="shared" si="208"/>
        <v>333290</v>
      </c>
      <c r="F879" s="3">
        <f t="shared" si="214"/>
        <v>1477</v>
      </c>
      <c r="G879" s="3">
        <f t="shared" si="209"/>
        <v>272510</v>
      </c>
      <c r="J879" s="6">
        <f t="shared" si="210"/>
        <v>8.0849999999998818</v>
      </c>
      <c r="K879" s="11">
        <f t="shared" si="211"/>
        <v>1271010</v>
      </c>
      <c r="P879" s="1">
        <f t="shared" si="205"/>
        <v>1271010</v>
      </c>
      <c r="Q879" s="1">
        <f t="shared" si="206"/>
        <v>276725758</v>
      </c>
    </row>
    <row r="880" spans="1:17" x14ac:dyDescent="0.3">
      <c r="A880" s="2">
        <f t="shared" si="212"/>
        <v>878</v>
      </c>
      <c r="B880" s="6">
        <f t="shared" si="212"/>
        <v>1428</v>
      </c>
      <c r="C880" s="9">
        <f t="shared" si="207"/>
        <v>661580</v>
      </c>
      <c r="D880" s="6">
        <f t="shared" si="213"/>
        <v>1028</v>
      </c>
      <c r="E880" s="9">
        <f t="shared" si="208"/>
        <v>334060</v>
      </c>
      <c r="F880" s="3">
        <f t="shared" si="214"/>
        <v>1478</v>
      </c>
      <c r="G880" s="3">
        <f t="shared" si="209"/>
        <v>273140</v>
      </c>
      <c r="J880" s="6">
        <f t="shared" si="210"/>
        <v>8.0899999999998826</v>
      </c>
      <c r="K880" s="11">
        <f t="shared" si="211"/>
        <v>1274140</v>
      </c>
      <c r="P880" s="1">
        <f t="shared" si="205"/>
        <v>1274140</v>
      </c>
      <c r="Q880" s="1">
        <f t="shared" si="206"/>
        <v>277999898</v>
      </c>
    </row>
    <row r="881" spans="1:17" x14ac:dyDescent="0.3">
      <c r="A881" s="2">
        <f t="shared" si="212"/>
        <v>879</v>
      </c>
      <c r="B881" s="6">
        <f t="shared" si="212"/>
        <v>1429</v>
      </c>
      <c r="C881" s="9">
        <f t="shared" si="207"/>
        <v>663190</v>
      </c>
      <c r="D881" s="6">
        <f t="shared" si="213"/>
        <v>1029</v>
      </c>
      <c r="E881" s="9">
        <f t="shared" si="208"/>
        <v>334830</v>
      </c>
      <c r="F881" s="3">
        <f t="shared" si="214"/>
        <v>1479</v>
      </c>
      <c r="G881" s="3">
        <f t="shared" si="209"/>
        <v>273770</v>
      </c>
      <c r="J881" s="6">
        <f t="shared" si="210"/>
        <v>8.0949999999998834</v>
      </c>
      <c r="K881" s="11">
        <f t="shared" si="211"/>
        <v>1277270</v>
      </c>
      <c r="P881" s="1">
        <f t="shared" si="205"/>
        <v>1277270</v>
      </c>
      <c r="Q881" s="1">
        <f t="shared" si="206"/>
        <v>279277168</v>
      </c>
    </row>
    <row r="882" spans="1:17" x14ac:dyDescent="0.3">
      <c r="A882" s="2">
        <f t="shared" si="212"/>
        <v>880</v>
      </c>
      <c r="B882" s="6">
        <f t="shared" si="212"/>
        <v>1430</v>
      </c>
      <c r="C882" s="9">
        <f t="shared" si="207"/>
        <v>664800</v>
      </c>
      <c r="D882" s="6">
        <f t="shared" si="213"/>
        <v>1030</v>
      </c>
      <c r="E882" s="9">
        <f t="shared" si="208"/>
        <v>335600</v>
      </c>
      <c r="F882" s="3">
        <f t="shared" si="214"/>
        <v>1480</v>
      </c>
      <c r="G882" s="3">
        <f t="shared" si="209"/>
        <v>274400</v>
      </c>
      <c r="J882" s="6">
        <f t="shared" si="210"/>
        <v>8.0999999999998842</v>
      </c>
      <c r="K882" s="11">
        <f t="shared" si="211"/>
        <v>1280400</v>
      </c>
      <c r="P882" s="1">
        <f t="shared" si="205"/>
        <v>1280400</v>
      </c>
      <c r="Q882" s="1">
        <f t="shared" si="206"/>
        <v>280557568</v>
      </c>
    </row>
    <row r="883" spans="1:17" x14ac:dyDescent="0.3">
      <c r="A883" s="2">
        <f t="shared" si="212"/>
        <v>881</v>
      </c>
      <c r="B883" s="6">
        <f t="shared" si="212"/>
        <v>1431</v>
      </c>
      <c r="C883" s="9">
        <f t="shared" si="207"/>
        <v>666410</v>
      </c>
      <c r="D883" s="6">
        <f t="shared" si="213"/>
        <v>1031</v>
      </c>
      <c r="E883" s="9">
        <f t="shared" si="208"/>
        <v>336370</v>
      </c>
      <c r="F883" s="3">
        <f t="shared" si="214"/>
        <v>1481</v>
      </c>
      <c r="G883" s="3">
        <f t="shared" si="209"/>
        <v>275030</v>
      </c>
      <c r="J883" s="6">
        <f t="shared" si="210"/>
        <v>8.104999999999885</v>
      </c>
      <c r="K883" s="11">
        <f t="shared" si="211"/>
        <v>1283530</v>
      </c>
      <c r="P883" s="1">
        <f t="shared" si="205"/>
        <v>1283530</v>
      </c>
      <c r="Q883" s="1">
        <f t="shared" si="206"/>
        <v>281841098</v>
      </c>
    </row>
    <row r="884" spans="1:17" x14ac:dyDescent="0.3">
      <c r="A884" s="2">
        <f t="shared" si="212"/>
        <v>882</v>
      </c>
      <c r="B884" s="6">
        <f t="shared" si="212"/>
        <v>1432</v>
      </c>
      <c r="C884" s="9">
        <f t="shared" si="207"/>
        <v>668020</v>
      </c>
      <c r="D884" s="6">
        <f t="shared" si="213"/>
        <v>1032</v>
      </c>
      <c r="E884" s="9">
        <f t="shared" si="208"/>
        <v>337140</v>
      </c>
      <c r="F884" s="3">
        <f t="shared" si="214"/>
        <v>1482</v>
      </c>
      <c r="G884" s="3">
        <f t="shared" si="209"/>
        <v>275660</v>
      </c>
      <c r="J884" s="6">
        <f t="shared" si="210"/>
        <v>8.1099999999998857</v>
      </c>
      <c r="K884" s="11">
        <f t="shared" si="211"/>
        <v>1286660</v>
      </c>
      <c r="P884" s="1">
        <f t="shared" si="205"/>
        <v>1286660</v>
      </c>
      <c r="Q884" s="1">
        <f t="shared" si="206"/>
        <v>283127758</v>
      </c>
    </row>
    <row r="885" spans="1:17" x14ac:dyDescent="0.3">
      <c r="A885" s="2">
        <f t="shared" si="212"/>
        <v>883</v>
      </c>
      <c r="B885" s="6">
        <f t="shared" si="212"/>
        <v>1433</v>
      </c>
      <c r="C885" s="9">
        <f t="shared" si="207"/>
        <v>669630</v>
      </c>
      <c r="D885" s="6">
        <f t="shared" si="213"/>
        <v>1033</v>
      </c>
      <c r="E885" s="9">
        <f t="shared" si="208"/>
        <v>337910</v>
      </c>
      <c r="F885" s="3">
        <f t="shared" si="214"/>
        <v>1483</v>
      </c>
      <c r="G885" s="3">
        <f t="shared" si="209"/>
        <v>276290</v>
      </c>
      <c r="J885" s="6">
        <f t="shared" si="210"/>
        <v>8.1149999999998865</v>
      </c>
      <c r="K885" s="11">
        <f t="shared" si="211"/>
        <v>1289790</v>
      </c>
      <c r="P885" s="1">
        <f t="shared" si="205"/>
        <v>1289790</v>
      </c>
      <c r="Q885" s="1">
        <f t="shared" si="206"/>
        <v>284417548</v>
      </c>
    </row>
    <row r="886" spans="1:17" x14ac:dyDescent="0.3">
      <c r="A886" s="2">
        <f t="shared" si="212"/>
        <v>884</v>
      </c>
      <c r="B886" s="6">
        <f t="shared" si="212"/>
        <v>1434</v>
      </c>
      <c r="C886" s="9">
        <f t="shared" si="207"/>
        <v>671240</v>
      </c>
      <c r="D886" s="6">
        <f t="shared" si="213"/>
        <v>1034</v>
      </c>
      <c r="E886" s="9">
        <f t="shared" si="208"/>
        <v>338680</v>
      </c>
      <c r="F886" s="3">
        <f t="shared" si="214"/>
        <v>1484</v>
      </c>
      <c r="G886" s="3">
        <f t="shared" si="209"/>
        <v>276920</v>
      </c>
      <c r="J886" s="6">
        <f t="shared" si="210"/>
        <v>8.1199999999998873</v>
      </c>
      <c r="K886" s="11">
        <f t="shared" si="211"/>
        <v>1292920</v>
      </c>
      <c r="P886" s="1">
        <f t="shared" ref="P886:P949" si="215">K886</f>
        <v>1292920</v>
      </c>
      <c r="Q886" s="1">
        <f t="shared" ref="Q886:Q949" si="216">Q885+K886</f>
        <v>285710468</v>
      </c>
    </row>
    <row r="887" spans="1:17" x14ac:dyDescent="0.3">
      <c r="A887" s="2">
        <f t="shared" si="212"/>
        <v>885</v>
      </c>
      <c r="B887" s="6">
        <f t="shared" si="212"/>
        <v>1435</v>
      </c>
      <c r="C887" s="9">
        <f t="shared" si="207"/>
        <v>672850</v>
      </c>
      <c r="D887" s="6">
        <f t="shared" si="213"/>
        <v>1035</v>
      </c>
      <c r="E887" s="9">
        <f t="shared" si="208"/>
        <v>339450</v>
      </c>
      <c r="F887" s="3">
        <f t="shared" si="214"/>
        <v>1485</v>
      </c>
      <c r="G887" s="3">
        <f t="shared" si="209"/>
        <v>277550</v>
      </c>
      <c r="J887" s="6">
        <f t="shared" si="210"/>
        <v>8.1249999999998881</v>
      </c>
      <c r="K887" s="11">
        <f t="shared" si="211"/>
        <v>1296050</v>
      </c>
      <c r="P887" s="1">
        <f t="shared" si="215"/>
        <v>1296050</v>
      </c>
      <c r="Q887" s="1">
        <f t="shared" si="216"/>
        <v>287006518</v>
      </c>
    </row>
    <row r="888" spans="1:17" x14ac:dyDescent="0.3">
      <c r="A888" s="2">
        <f t="shared" si="212"/>
        <v>886</v>
      </c>
      <c r="B888" s="6">
        <f t="shared" si="212"/>
        <v>1436</v>
      </c>
      <c r="C888" s="9">
        <f t="shared" ref="C888:C951" si="217">C887+1610</f>
        <v>674460</v>
      </c>
      <c r="D888" s="6">
        <f t="shared" si="213"/>
        <v>1036</v>
      </c>
      <c r="E888" s="9">
        <f t="shared" ref="E888:E951" si="218">E887+770</f>
        <v>340220</v>
      </c>
      <c r="F888" s="3">
        <f t="shared" si="214"/>
        <v>1486</v>
      </c>
      <c r="G888" s="3">
        <f t="shared" ref="G888:G951" si="219">G887+630</f>
        <v>278180</v>
      </c>
      <c r="J888" s="6">
        <f t="shared" ref="J888:J951" si="220">J887+0.005</f>
        <v>8.1299999999998889</v>
      </c>
      <c r="K888" s="11">
        <f t="shared" ref="K888:K951" si="221">K887+3130</f>
        <v>1299180</v>
      </c>
      <c r="P888" s="1">
        <f t="shared" si="215"/>
        <v>1299180</v>
      </c>
      <c r="Q888" s="1">
        <f t="shared" si="216"/>
        <v>288305698</v>
      </c>
    </row>
    <row r="889" spans="1:17" x14ac:dyDescent="0.3">
      <c r="A889" s="2">
        <f t="shared" si="212"/>
        <v>887</v>
      </c>
      <c r="B889" s="6">
        <f t="shared" si="212"/>
        <v>1437</v>
      </c>
      <c r="C889" s="9">
        <f t="shared" si="217"/>
        <v>676070</v>
      </c>
      <c r="D889" s="6">
        <f t="shared" si="213"/>
        <v>1037</v>
      </c>
      <c r="E889" s="9">
        <f t="shared" si="218"/>
        <v>340990</v>
      </c>
      <c r="F889" s="3">
        <f t="shared" si="214"/>
        <v>1487</v>
      </c>
      <c r="G889" s="3">
        <f t="shared" si="219"/>
        <v>278810</v>
      </c>
      <c r="J889" s="6">
        <f t="shared" si="220"/>
        <v>8.1349999999998897</v>
      </c>
      <c r="K889" s="11">
        <f t="shared" si="221"/>
        <v>1302310</v>
      </c>
      <c r="P889" s="1">
        <f t="shared" si="215"/>
        <v>1302310</v>
      </c>
      <c r="Q889" s="1">
        <f t="shared" si="216"/>
        <v>289608008</v>
      </c>
    </row>
    <row r="890" spans="1:17" x14ac:dyDescent="0.3">
      <c r="A890" s="2">
        <f t="shared" si="212"/>
        <v>888</v>
      </c>
      <c r="B890" s="6">
        <f t="shared" si="212"/>
        <v>1438</v>
      </c>
      <c r="C890" s="9">
        <f t="shared" si="217"/>
        <v>677680</v>
      </c>
      <c r="D890" s="6">
        <f t="shared" si="213"/>
        <v>1038</v>
      </c>
      <c r="E890" s="9">
        <f t="shared" si="218"/>
        <v>341760</v>
      </c>
      <c r="F890" s="3">
        <f t="shared" si="214"/>
        <v>1488</v>
      </c>
      <c r="G890" s="3">
        <f t="shared" si="219"/>
        <v>279440</v>
      </c>
      <c r="J890" s="6">
        <f t="shared" si="220"/>
        <v>8.1399999999998904</v>
      </c>
      <c r="K890" s="11">
        <f t="shared" si="221"/>
        <v>1305440</v>
      </c>
      <c r="P890" s="1">
        <f t="shared" si="215"/>
        <v>1305440</v>
      </c>
      <c r="Q890" s="1">
        <f t="shared" si="216"/>
        <v>290913448</v>
      </c>
    </row>
    <row r="891" spans="1:17" x14ac:dyDescent="0.3">
      <c r="A891" s="2">
        <f t="shared" si="212"/>
        <v>889</v>
      </c>
      <c r="B891" s="6">
        <f t="shared" si="212"/>
        <v>1439</v>
      </c>
      <c r="C891" s="9">
        <f t="shared" si="217"/>
        <v>679290</v>
      </c>
      <c r="D891" s="6">
        <f t="shared" si="213"/>
        <v>1039</v>
      </c>
      <c r="E891" s="9">
        <f t="shared" si="218"/>
        <v>342530</v>
      </c>
      <c r="F891" s="3">
        <f t="shared" si="214"/>
        <v>1489</v>
      </c>
      <c r="G891" s="3">
        <f t="shared" si="219"/>
        <v>280070</v>
      </c>
      <c r="J891" s="6">
        <f t="shared" si="220"/>
        <v>8.1449999999998912</v>
      </c>
      <c r="K891" s="11">
        <f t="shared" si="221"/>
        <v>1308570</v>
      </c>
      <c r="P891" s="1">
        <f t="shared" si="215"/>
        <v>1308570</v>
      </c>
      <c r="Q891" s="1">
        <f t="shared" si="216"/>
        <v>292222018</v>
      </c>
    </row>
    <row r="892" spans="1:17" x14ac:dyDescent="0.3">
      <c r="A892" s="2">
        <f t="shared" si="212"/>
        <v>890</v>
      </c>
      <c r="B892" s="6">
        <f t="shared" si="212"/>
        <v>1440</v>
      </c>
      <c r="C892" s="9">
        <f t="shared" si="217"/>
        <v>680900</v>
      </c>
      <c r="D892" s="6">
        <f t="shared" si="213"/>
        <v>1040</v>
      </c>
      <c r="E892" s="9">
        <f t="shared" si="218"/>
        <v>343300</v>
      </c>
      <c r="F892" s="3">
        <f t="shared" si="214"/>
        <v>1490</v>
      </c>
      <c r="G892" s="3">
        <f t="shared" si="219"/>
        <v>280700</v>
      </c>
      <c r="J892" s="6">
        <f t="shared" si="220"/>
        <v>8.149999999999892</v>
      </c>
      <c r="K892" s="11">
        <f t="shared" si="221"/>
        <v>1311700</v>
      </c>
      <c r="P892" s="1">
        <f t="shared" si="215"/>
        <v>1311700</v>
      </c>
      <c r="Q892" s="1">
        <f t="shared" si="216"/>
        <v>293533718</v>
      </c>
    </row>
    <row r="893" spans="1:17" x14ac:dyDescent="0.3">
      <c r="A893" s="2">
        <f t="shared" si="212"/>
        <v>891</v>
      </c>
      <c r="B893" s="6">
        <f t="shared" si="212"/>
        <v>1441</v>
      </c>
      <c r="C893" s="9">
        <f t="shared" si="217"/>
        <v>682510</v>
      </c>
      <c r="D893" s="6">
        <f t="shared" si="213"/>
        <v>1041</v>
      </c>
      <c r="E893" s="9">
        <f t="shared" si="218"/>
        <v>344070</v>
      </c>
      <c r="F893" s="3">
        <f t="shared" si="214"/>
        <v>1491</v>
      </c>
      <c r="G893" s="3">
        <f t="shared" si="219"/>
        <v>281330</v>
      </c>
      <c r="J893" s="6">
        <f t="shared" si="220"/>
        <v>8.1549999999998928</v>
      </c>
      <c r="K893" s="11">
        <f t="shared" si="221"/>
        <v>1314830</v>
      </c>
      <c r="P893" s="1">
        <f t="shared" si="215"/>
        <v>1314830</v>
      </c>
      <c r="Q893" s="1">
        <f t="shared" si="216"/>
        <v>294848548</v>
      </c>
    </row>
    <row r="894" spans="1:17" x14ac:dyDescent="0.3">
      <c r="A894" s="2">
        <f t="shared" si="212"/>
        <v>892</v>
      </c>
      <c r="B894" s="6">
        <f t="shared" si="212"/>
        <v>1442</v>
      </c>
      <c r="C894" s="9">
        <f t="shared" si="217"/>
        <v>684120</v>
      </c>
      <c r="D894" s="6">
        <f t="shared" si="213"/>
        <v>1042</v>
      </c>
      <c r="E894" s="9">
        <f t="shared" si="218"/>
        <v>344840</v>
      </c>
      <c r="F894" s="3">
        <f t="shared" si="214"/>
        <v>1492</v>
      </c>
      <c r="G894" s="3">
        <f t="shared" si="219"/>
        <v>281960</v>
      </c>
      <c r="J894" s="6">
        <f t="shared" si="220"/>
        <v>8.1599999999998936</v>
      </c>
      <c r="K894" s="11">
        <f t="shared" si="221"/>
        <v>1317960</v>
      </c>
      <c r="P894" s="1">
        <f t="shared" si="215"/>
        <v>1317960</v>
      </c>
      <c r="Q894" s="1">
        <f t="shared" si="216"/>
        <v>296166508</v>
      </c>
    </row>
    <row r="895" spans="1:17" x14ac:dyDescent="0.3">
      <c r="A895" s="2">
        <f t="shared" si="212"/>
        <v>893</v>
      </c>
      <c r="B895" s="6">
        <f t="shared" si="212"/>
        <v>1443</v>
      </c>
      <c r="C895" s="9">
        <f t="shared" si="217"/>
        <v>685730</v>
      </c>
      <c r="D895" s="6">
        <f t="shared" si="213"/>
        <v>1043</v>
      </c>
      <c r="E895" s="9">
        <f t="shared" si="218"/>
        <v>345610</v>
      </c>
      <c r="F895" s="3">
        <f t="shared" si="214"/>
        <v>1493</v>
      </c>
      <c r="G895" s="3">
        <f t="shared" si="219"/>
        <v>282590</v>
      </c>
      <c r="J895" s="6">
        <f t="shared" si="220"/>
        <v>8.1649999999998943</v>
      </c>
      <c r="K895" s="11">
        <f t="shared" si="221"/>
        <v>1321090</v>
      </c>
      <c r="P895" s="1">
        <f t="shared" si="215"/>
        <v>1321090</v>
      </c>
      <c r="Q895" s="1">
        <f t="shared" si="216"/>
        <v>297487598</v>
      </c>
    </row>
    <row r="896" spans="1:17" x14ac:dyDescent="0.3">
      <c r="A896" s="2">
        <f t="shared" si="212"/>
        <v>894</v>
      </c>
      <c r="B896" s="6">
        <f t="shared" si="212"/>
        <v>1444</v>
      </c>
      <c r="C896" s="9">
        <f t="shared" si="217"/>
        <v>687340</v>
      </c>
      <c r="D896" s="6">
        <f t="shared" si="213"/>
        <v>1044</v>
      </c>
      <c r="E896" s="9">
        <f t="shared" si="218"/>
        <v>346380</v>
      </c>
      <c r="F896" s="3">
        <f t="shared" si="214"/>
        <v>1494</v>
      </c>
      <c r="G896" s="3">
        <f t="shared" si="219"/>
        <v>283220</v>
      </c>
      <c r="J896" s="6">
        <f t="shared" si="220"/>
        <v>8.1699999999998951</v>
      </c>
      <c r="K896" s="11">
        <f t="shared" si="221"/>
        <v>1324220</v>
      </c>
      <c r="P896" s="1">
        <f t="shared" si="215"/>
        <v>1324220</v>
      </c>
      <c r="Q896" s="1">
        <f t="shared" si="216"/>
        <v>298811818</v>
      </c>
    </row>
    <row r="897" spans="1:17" x14ac:dyDescent="0.3">
      <c r="A897" s="2">
        <f t="shared" si="212"/>
        <v>895</v>
      </c>
      <c r="B897" s="6">
        <f t="shared" si="212"/>
        <v>1445</v>
      </c>
      <c r="C897" s="9">
        <f t="shared" si="217"/>
        <v>688950</v>
      </c>
      <c r="D897" s="6">
        <f t="shared" si="213"/>
        <v>1045</v>
      </c>
      <c r="E897" s="9">
        <f t="shared" si="218"/>
        <v>347150</v>
      </c>
      <c r="F897" s="3">
        <f t="shared" si="214"/>
        <v>1495</v>
      </c>
      <c r="G897" s="3">
        <f t="shared" si="219"/>
        <v>283850</v>
      </c>
      <c r="J897" s="6">
        <f t="shared" si="220"/>
        <v>8.1749999999998959</v>
      </c>
      <c r="K897" s="11">
        <f t="shared" si="221"/>
        <v>1327350</v>
      </c>
      <c r="P897" s="1">
        <f t="shared" si="215"/>
        <v>1327350</v>
      </c>
      <c r="Q897" s="1">
        <f t="shared" si="216"/>
        <v>300139168</v>
      </c>
    </row>
    <row r="898" spans="1:17" x14ac:dyDescent="0.3">
      <c r="A898" s="2">
        <f t="shared" si="212"/>
        <v>896</v>
      </c>
      <c r="B898" s="6">
        <f t="shared" si="212"/>
        <v>1446</v>
      </c>
      <c r="C898" s="9">
        <f t="shared" si="217"/>
        <v>690560</v>
      </c>
      <c r="D898" s="6">
        <f t="shared" si="213"/>
        <v>1046</v>
      </c>
      <c r="E898" s="9">
        <f t="shared" si="218"/>
        <v>347920</v>
      </c>
      <c r="F898" s="3">
        <f t="shared" si="214"/>
        <v>1496</v>
      </c>
      <c r="G898" s="3">
        <f t="shared" si="219"/>
        <v>284480</v>
      </c>
      <c r="J898" s="6">
        <f t="shared" si="220"/>
        <v>8.1799999999998967</v>
      </c>
      <c r="K898" s="11">
        <f t="shared" si="221"/>
        <v>1330480</v>
      </c>
      <c r="P898" s="1">
        <f t="shared" si="215"/>
        <v>1330480</v>
      </c>
      <c r="Q898" s="1">
        <f t="shared" si="216"/>
        <v>301469648</v>
      </c>
    </row>
    <row r="899" spans="1:17" x14ac:dyDescent="0.3">
      <c r="A899" s="2">
        <f t="shared" si="212"/>
        <v>897</v>
      </c>
      <c r="B899" s="6">
        <f t="shared" si="212"/>
        <v>1447</v>
      </c>
      <c r="C899" s="9">
        <f t="shared" si="217"/>
        <v>692170</v>
      </c>
      <c r="D899" s="6">
        <f t="shared" si="213"/>
        <v>1047</v>
      </c>
      <c r="E899" s="9">
        <f t="shared" si="218"/>
        <v>348690</v>
      </c>
      <c r="F899" s="3">
        <f t="shared" si="214"/>
        <v>1497</v>
      </c>
      <c r="G899" s="3">
        <f t="shared" si="219"/>
        <v>285110</v>
      </c>
      <c r="J899" s="6">
        <f t="shared" si="220"/>
        <v>8.1849999999998975</v>
      </c>
      <c r="K899" s="11">
        <f t="shared" si="221"/>
        <v>1333610</v>
      </c>
      <c r="P899" s="1">
        <f t="shared" si="215"/>
        <v>1333610</v>
      </c>
      <c r="Q899" s="1">
        <f t="shared" si="216"/>
        <v>302803258</v>
      </c>
    </row>
    <row r="900" spans="1:17" x14ac:dyDescent="0.3">
      <c r="A900" s="2">
        <f t="shared" si="212"/>
        <v>898</v>
      </c>
      <c r="B900" s="6">
        <f t="shared" si="212"/>
        <v>1448</v>
      </c>
      <c r="C900" s="9">
        <f t="shared" si="217"/>
        <v>693780</v>
      </c>
      <c r="D900" s="6">
        <f t="shared" si="213"/>
        <v>1048</v>
      </c>
      <c r="E900" s="9">
        <f t="shared" si="218"/>
        <v>349460</v>
      </c>
      <c r="F900" s="3">
        <f t="shared" si="214"/>
        <v>1498</v>
      </c>
      <c r="G900" s="3">
        <f t="shared" si="219"/>
        <v>285740</v>
      </c>
      <c r="J900" s="6">
        <f t="shared" si="220"/>
        <v>8.1899999999998983</v>
      </c>
      <c r="K900" s="11">
        <f t="shared" si="221"/>
        <v>1336740</v>
      </c>
      <c r="P900" s="1">
        <f t="shared" si="215"/>
        <v>1336740</v>
      </c>
      <c r="Q900" s="1">
        <f t="shared" si="216"/>
        <v>304139998</v>
      </c>
    </row>
    <row r="901" spans="1:17" x14ac:dyDescent="0.3">
      <c r="A901" s="2">
        <f t="shared" ref="A901:B964" si="222">A900+1</f>
        <v>899</v>
      </c>
      <c r="B901" s="6">
        <f t="shared" si="222"/>
        <v>1449</v>
      </c>
      <c r="C901" s="9">
        <f t="shared" si="217"/>
        <v>695390</v>
      </c>
      <c r="D901" s="6">
        <f t="shared" si="213"/>
        <v>1049</v>
      </c>
      <c r="E901" s="9">
        <f t="shared" si="218"/>
        <v>350230</v>
      </c>
      <c r="F901" s="3">
        <f t="shared" si="214"/>
        <v>1499</v>
      </c>
      <c r="G901" s="3">
        <f t="shared" si="219"/>
        <v>286370</v>
      </c>
      <c r="J901" s="6">
        <f t="shared" si="220"/>
        <v>8.194999999999899</v>
      </c>
      <c r="K901" s="11">
        <f t="shared" si="221"/>
        <v>1339870</v>
      </c>
      <c r="P901" s="1">
        <f t="shared" si="215"/>
        <v>1339870</v>
      </c>
      <c r="Q901" s="1">
        <f t="shared" si="216"/>
        <v>305479868</v>
      </c>
    </row>
    <row r="902" spans="1:17" x14ac:dyDescent="0.3">
      <c r="A902" s="2">
        <f t="shared" si="222"/>
        <v>900</v>
      </c>
      <c r="B902" s="6">
        <f t="shared" si="222"/>
        <v>1450</v>
      </c>
      <c r="C902" s="9">
        <f t="shared" si="217"/>
        <v>697000</v>
      </c>
      <c r="D902" s="6">
        <f t="shared" si="213"/>
        <v>1050</v>
      </c>
      <c r="E902" s="9">
        <f t="shared" si="218"/>
        <v>351000</v>
      </c>
      <c r="F902" s="3">
        <f t="shared" si="214"/>
        <v>1500</v>
      </c>
      <c r="G902" s="3">
        <f t="shared" si="219"/>
        <v>287000</v>
      </c>
      <c r="J902" s="6">
        <f t="shared" si="220"/>
        <v>8.1999999999998998</v>
      </c>
      <c r="K902" s="11">
        <f t="shared" si="221"/>
        <v>1343000</v>
      </c>
      <c r="P902" s="1">
        <f t="shared" si="215"/>
        <v>1343000</v>
      </c>
      <c r="Q902" s="1">
        <f t="shared" si="216"/>
        <v>306822868</v>
      </c>
    </row>
    <row r="903" spans="1:17" x14ac:dyDescent="0.3">
      <c r="A903" s="2">
        <f t="shared" si="222"/>
        <v>901</v>
      </c>
      <c r="B903" s="6">
        <f t="shared" si="222"/>
        <v>1451</v>
      </c>
      <c r="C903" s="9">
        <f t="shared" si="217"/>
        <v>698610</v>
      </c>
      <c r="D903" s="6">
        <f t="shared" si="213"/>
        <v>1051</v>
      </c>
      <c r="E903" s="9">
        <f t="shared" si="218"/>
        <v>351770</v>
      </c>
      <c r="F903" s="3">
        <f t="shared" si="214"/>
        <v>1501</v>
      </c>
      <c r="G903" s="3">
        <f t="shared" si="219"/>
        <v>287630</v>
      </c>
      <c r="J903" s="6">
        <f t="shared" si="220"/>
        <v>8.2049999999999006</v>
      </c>
      <c r="K903" s="11">
        <f t="shared" si="221"/>
        <v>1346130</v>
      </c>
      <c r="P903" s="1">
        <f t="shared" si="215"/>
        <v>1346130</v>
      </c>
      <c r="Q903" s="1">
        <f t="shared" si="216"/>
        <v>308168998</v>
      </c>
    </row>
    <row r="904" spans="1:17" x14ac:dyDescent="0.3">
      <c r="A904" s="2">
        <f t="shared" si="222"/>
        <v>902</v>
      </c>
      <c r="B904" s="6">
        <f t="shared" si="222"/>
        <v>1452</v>
      </c>
      <c r="C904" s="9">
        <f t="shared" si="217"/>
        <v>700220</v>
      </c>
      <c r="D904" s="6">
        <f t="shared" si="213"/>
        <v>1052</v>
      </c>
      <c r="E904" s="9">
        <f t="shared" si="218"/>
        <v>352540</v>
      </c>
      <c r="F904" s="3">
        <f t="shared" si="214"/>
        <v>1502</v>
      </c>
      <c r="G904" s="3">
        <f t="shared" si="219"/>
        <v>288260</v>
      </c>
      <c r="J904" s="6">
        <f t="shared" si="220"/>
        <v>8.2099999999999014</v>
      </c>
      <c r="K904" s="11">
        <f t="shared" si="221"/>
        <v>1349260</v>
      </c>
      <c r="P904" s="1">
        <f t="shared" si="215"/>
        <v>1349260</v>
      </c>
      <c r="Q904" s="1">
        <f t="shared" si="216"/>
        <v>309518258</v>
      </c>
    </row>
    <row r="905" spans="1:17" x14ac:dyDescent="0.3">
      <c r="A905" s="2">
        <f t="shared" si="222"/>
        <v>903</v>
      </c>
      <c r="B905" s="6">
        <f t="shared" si="222"/>
        <v>1453</v>
      </c>
      <c r="C905" s="9">
        <f t="shared" si="217"/>
        <v>701830</v>
      </c>
      <c r="D905" s="6">
        <f t="shared" si="213"/>
        <v>1053</v>
      </c>
      <c r="E905" s="9">
        <f t="shared" si="218"/>
        <v>353310</v>
      </c>
      <c r="F905" s="3">
        <f t="shared" si="214"/>
        <v>1503</v>
      </c>
      <c r="G905" s="3">
        <f t="shared" si="219"/>
        <v>288890</v>
      </c>
      <c r="J905" s="6">
        <f t="shared" si="220"/>
        <v>8.2149999999999022</v>
      </c>
      <c r="K905" s="11">
        <f t="shared" si="221"/>
        <v>1352390</v>
      </c>
      <c r="P905" s="1">
        <f t="shared" si="215"/>
        <v>1352390</v>
      </c>
      <c r="Q905" s="1">
        <f t="shared" si="216"/>
        <v>310870648</v>
      </c>
    </row>
    <row r="906" spans="1:17" x14ac:dyDescent="0.3">
      <c r="A906" s="2">
        <f t="shared" si="222"/>
        <v>904</v>
      </c>
      <c r="B906" s="6">
        <f t="shared" si="222"/>
        <v>1454</v>
      </c>
      <c r="C906" s="9">
        <f t="shared" si="217"/>
        <v>703440</v>
      </c>
      <c r="D906" s="6">
        <f t="shared" si="213"/>
        <v>1054</v>
      </c>
      <c r="E906" s="9">
        <f t="shared" si="218"/>
        <v>354080</v>
      </c>
      <c r="F906" s="3">
        <f t="shared" si="214"/>
        <v>1504</v>
      </c>
      <c r="G906" s="3">
        <f t="shared" si="219"/>
        <v>289520</v>
      </c>
      <c r="J906" s="6">
        <f t="shared" si="220"/>
        <v>8.2199999999999029</v>
      </c>
      <c r="K906" s="11">
        <f t="shared" si="221"/>
        <v>1355520</v>
      </c>
      <c r="P906" s="1">
        <f t="shared" si="215"/>
        <v>1355520</v>
      </c>
      <c r="Q906" s="1">
        <f t="shared" si="216"/>
        <v>312226168</v>
      </c>
    </row>
    <row r="907" spans="1:17" x14ac:dyDescent="0.3">
      <c r="A907" s="2">
        <f t="shared" si="222"/>
        <v>905</v>
      </c>
      <c r="B907" s="6">
        <f t="shared" si="222"/>
        <v>1455</v>
      </c>
      <c r="C907" s="9">
        <f t="shared" si="217"/>
        <v>705050</v>
      </c>
      <c r="D907" s="6">
        <f t="shared" si="213"/>
        <v>1055</v>
      </c>
      <c r="E907" s="9">
        <f t="shared" si="218"/>
        <v>354850</v>
      </c>
      <c r="F907" s="3">
        <f t="shared" si="214"/>
        <v>1505</v>
      </c>
      <c r="G907" s="3">
        <f t="shared" si="219"/>
        <v>290150</v>
      </c>
      <c r="J907" s="6">
        <f t="shared" si="220"/>
        <v>8.2249999999999037</v>
      </c>
      <c r="K907" s="11">
        <f t="shared" si="221"/>
        <v>1358650</v>
      </c>
      <c r="P907" s="1">
        <f t="shared" si="215"/>
        <v>1358650</v>
      </c>
      <c r="Q907" s="1">
        <f t="shared" si="216"/>
        <v>313584818</v>
      </c>
    </row>
    <row r="908" spans="1:17" x14ac:dyDescent="0.3">
      <c r="A908" s="2">
        <f t="shared" si="222"/>
        <v>906</v>
      </c>
      <c r="B908" s="6">
        <f t="shared" si="222"/>
        <v>1456</v>
      </c>
      <c r="C908" s="9">
        <f t="shared" si="217"/>
        <v>706660</v>
      </c>
      <c r="D908" s="6">
        <f t="shared" si="213"/>
        <v>1056</v>
      </c>
      <c r="E908" s="9">
        <f t="shared" si="218"/>
        <v>355620</v>
      </c>
      <c r="F908" s="3">
        <f t="shared" si="214"/>
        <v>1506</v>
      </c>
      <c r="G908" s="3">
        <f t="shared" si="219"/>
        <v>290780</v>
      </c>
      <c r="J908" s="6">
        <f t="shared" si="220"/>
        <v>8.2299999999999045</v>
      </c>
      <c r="K908" s="11">
        <f t="shared" si="221"/>
        <v>1361780</v>
      </c>
      <c r="P908" s="1">
        <f t="shared" si="215"/>
        <v>1361780</v>
      </c>
      <c r="Q908" s="1">
        <f t="shared" si="216"/>
        <v>314946598</v>
      </c>
    </row>
    <row r="909" spans="1:17" x14ac:dyDescent="0.3">
      <c r="A909" s="2">
        <f t="shared" si="222"/>
        <v>907</v>
      </c>
      <c r="B909" s="6">
        <f t="shared" si="222"/>
        <v>1457</v>
      </c>
      <c r="C909" s="9">
        <f t="shared" si="217"/>
        <v>708270</v>
      </c>
      <c r="D909" s="6">
        <f t="shared" si="213"/>
        <v>1057</v>
      </c>
      <c r="E909" s="9">
        <f t="shared" si="218"/>
        <v>356390</v>
      </c>
      <c r="F909" s="3">
        <f t="shared" si="214"/>
        <v>1507</v>
      </c>
      <c r="G909" s="3">
        <f t="shared" si="219"/>
        <v>291410</v>
      </c>
      <c r="J909" s="6">
        <f t="shared" si="220"/>
        <v>8.2349999999999053</v>
      </c>
      <c r="K909" s="11">
        <f t="shared" si="221"/>
        <v>1364910</v>
      </c>
      <c r="P909" s="1">
        <f t="shared" si="215"/>
        <v>1364910</v>
      </c>
      <c r="Q909" s="1">
        <f t="shared" si="216"/>
        <v>316311508</v>
      </c>
    </row>
    <row r="910" spans="1:17" x14ac:dyDescent="0.3">
      <c r="A910" s="2">
        <f t="shared" si="222"/>
        <v>908</v>
      </c>
      <c r="B910" s="6">
        <f t="shared" si="222"/>
        <v>1458</v>
      </c>
      <c r="C910" s="9">
        <f t="shared" si="217"/>
        <v>709880</v>
      </c>
      <c r="D910" s="6">
        <f t="shared" si="213"/>
        <v>1058</v>
      </c>
      <c r="E910" s="9">
        <f t="shared" si="218"/>
        <v>357160</v>
      </c>
      <c r="F910" s="3">
        <f t="shared" si="214"/>
        <v>1508</v>
      </c>
      <c r="G910" s="3">
        <f t="shared" si="219"/>
        <v>292040</v>
      </c>
      <c r="J910" s="6">
        <f t="shared" si="220"/>
        <v>8.2399999999999061</v>
      </c>
      <c r="K910" s="11">
        <f t="shared" si="221"/>
        <v>1368040</v>
      </c>
      <c r="P910" s="1">
        <f t="shared" si="215"/>
        <v>1368040</v>
      </c>
      <c r="Q910" s="1">
        <f t="shared" si="216"/>
        <v>317679548</v>
      </c>
    </row>
    <row r="911" spans="1:17" x14ac:dyDescent="0.3">
      <c r="A911" s="2">
        <f t="shared" si="222"/>
        <v>909</v>
      </c>
      <c r="B911" s="6">
        <f t="shared" si="222"/>
        <v>1459</v>
      </c>
      <c r="C911" s="9">
        <f t="shared" si="217"/>
        <v>711490</v>
      </c>
      <c r="D911" s="6">
        <f t="shared" si="213"/>
        <v>1059</v>
      </c>
      <c r="E911" s="9">
        <f t="shared" si="218"/>
        <v>357930</v>
      </c>
      <c r="F911" s="3">
        <f t="shared" si="214"/>
        <v>1509</v>
      </c>
      <c r="G911" s="3">
        <f t="shared" si="219"/>
        <v>292670</v>
      </c>
      <c r="J911" s="6">
        <f t="shared" si="220"/>
        <v>8.2449999999999068</v>
      </c>
      <c r="K911" s="11">
        <f t="shared" si="221"/>
        <v>1371170</v>
      </c>
      <c r="P911" s="1">
        <f t="shared" si="215"/>
        <v>1371170</v>
      </c>
      <c r="Q911" s="1">
        <f t="shared" si="216"/>
        <v>319050718</v>
      </c>
    </row>
    <row r="912" spans="1:17" x14ac:dyDescent="0.3">
      <c r="A912" s="2">
        <f t="shared" si="222"/>
        <v>910</v>
      </c>
      <c r="B912" s="6">
        <f t="shared" si="222"/>
        <v>1460</v>
      </c>
      <c r="C912" s="9">
        <f t="shared" si="217"/>
        <v>713100</v>
      </c>
      <c r="D912" s="6">
        <f t="shared" si="213"/>
        <v>1060</v>
      </c>
      <c r="E912" s="9">
        <f t="shared" si="218"/>
        <v>358700</v>
      </c>
      <c r="F912" s="3">
        <f t="shared" si="214"/>
        <v>1510</v>
      </c>
      <c r="G912" s="3">
        <f t="shared" si="219"/>
        <v>293300</v>
      </c>
      <c r="J912" s="6">
        <f t="shared" si="220"/>
        <v>8.2499999999999076</v>
      </c>
      <c r="K912" s="11">
        <f t="shared" si="221"/>
        <v>1374300</v>
      </c>
      <c r="P912" s="1">
        <f t="shared" si="215"/>
        <v>1374300</v>
      </c>
      <c r="Q912" s="1">
        <f t="shared" si="216"/>
        <v>320425018</v>
      </c>
    </row>
    <row r="913" spans="1:17" x14ac:dyDescent="0.3">
      <c r="A913" s="2">
        <f t="shared" si="222"/>
        <v>911</v>
      </c>
      <c r="B913" s="6">
        <f t="shared" si="222"/>
        <v>1461</v>
      </c>
      <c r="C913" s="9">
        <f t="shared" si="217"/>
        <v>714710</v>
      </c>
      <c r="D913" s="6">
        <f t="shared" si="213"/>
        <v>1061</v>
      </c>
      <c r="E913" s="9">
        <f t="shared" si="218"/>
        <v>359470</v>
      </c>
      <c r="F913" s="3">
        <f t="shared" si="214"/>
        <v>1511</v>
      </c>
      <c r="G913" s="3">
        <f t="shared" si="219"/>
        <v>293930</v>
      </c>
      <c r="J913" s="6">
        <f t="shared" si="220"/>
        <v>8.2549999999999084</v>
      </c>
      <c r="K913" s="11">
        <f t="shared" si="221"/>
        <v>1377430</v>
      </c>
      <c r="P913" s="1">
        <f t="shared" si="215"/>
        <v>1377430</v>
      </c>
      <c r="Q913" s="1">
        <f t="shared" si="216"/>
        <v>321802448</v>
      </c>
    </row>
    <row r="914" spans="1:17" x14ac:dyDescent="0.3">
      <c r="A914" s="2">
        <f t="shared" si="222"/>
        <v>912</v>
      </c>
      <c r="B914" s="6">
        <f t="shared" si="222"/>
        <v>1462</v>
      </c>
      <c r="C914" s="9">
        <f t="shared" si="217"/>
        <v>716320</v>
      </c>
      <c r="D914" s="6">
        <f t="shared" si="213"/>
        <v>1062</v>
      </c>
      <c r="E914" s="9">
        <f t="shared" si="218"/>
        <v>360240</v>
      </c>
      <c r="F914" s="3">
        <f t="shared" si="214"/>
        <v>1512</v>
      </c>
      <c r="G914" s="3">
        <f t="shared" si="219"/>
        <v>294560</v>
      </c>
      <c r="J914" s="6">
        <f t="shared" si="220"/>
        <v>8.2599999999999092</v>
      </c>
      <c r="K914" s="11">
        <f t="shared" si="221"/>
        <v>1380560</v>
      </c>
      <c r="P914" s="1">
        <f t="shared" si="215"/>
        <v>1380560</v>
      </c>
      <c r="Q914" s="1">
        <f t="shared" si="216"/>
        <v>323183008</v>
      </c>
    </row>
    <row r="915" spans="1:17" x14ac:dyDescent="0.3">
      <c r="A915" s="2">
        <f t="shared" si="222"/>
        <v>913</v>
      </c>
      <c r="B915" s="6">
        <f t="shared" si="222"/>
        <v>1463</v>
      </c>
      <c r="C915" s="9">
        <f t="shared" si="217"/>
        <v>717930</v>
      </c>
      <c r="D915" s="6">
        <f t="shared" si="213"/>
        <v>1063</v>
      </c>
      <c r="E915" s="9">
        <f t="shared" si="218"/>
        <v>361010</v>
      </c>
      <c r="F915" s="3">
        <f t="shared" si="214"/>
        <v>1513</v>
      </c>
      <c r="G915" s="3">
        <f t="shared" si="219"/>
        <v>295190</v>
      </c>
      <c r="J915" s="6">
        <f t="shared" si="220"/>
        <v>8.26499999999991</v>
      </c>
      <c r="K915" s="11">
        <f t="shared" si="221"/>
        <v>1383690</v>
      </c>
      <c r="P915" s="1">
        <f t="shared" si="215"/>
        <v>1383690</v>
      </c>
      <c r="Q915" s="1">
        <f t="shared" si="216"/>
        <v>324566698</v>
      </c>
    </row>
    <row r="916" spans="1:17" x14ac:dyDescent="0.3">
      <c r="A916" s="2">
        <f t="shared" si="222"/>
        <v>914</v>
      </c>
      <c r="B916" s="6">
        <f t="shared" si="222"/>
        <v>1464</v>
      </c>
      <c r="C916" s="9">
        <f t="shared" si="217"/>
        <v>719540</v>
      </c>
      <c r="D916" s="6">
        <f t="shared" si="213"/>
        <v>1064</v>
      </c>
      <c r="E916" s="9">
        <f t="shared" si="218"/>
        <v>361780</v>
      </c>
      <c r="F916" s="3">
        <f t="shared" si="214"/>
        <v>1514</v>
      </c>
      <c r="G916" s="3">
        <f t="shared" si="219"/>
        <v>295820</v>
      </c>
      <c r="J916" s="6">
        <f t="shared" si="220"/>
        <v>8.2699999999999108</v>
      </c>
      <c r="K916" s="11">
        <f t="shared" si="221"/>
        <v>1386820</v>
      </c>
      <c r="P916" s="1">
        <f t="shared" si="215"/>
        <v>1386820</v>
      </c>
      <c r="Q916" s="1">
        <f t="shared" si="216"/>
        <v>325953518</v>
      </c>
    </row>
    <row r="917" spans="1:17" x14ac:dyDescent="0.3">
      <c r="A917" s="2">
        <f t="shared" si="222"/>
        <v>915</v>
      </c>
      <c r="B917" s="6">
        <f t="shared" si="222"/>
        <v>1465</v>
      </c>
      <c r="C917" s="9">
        <f t="shared" si="217"/>
        <v>721150</v>
      </c>
      <c r="D917" s="6">
        <f t="shared" si="213"/>
        <v>1065</v>
      </c>
      <c r="E917" s="9">
        <f t="shared" si="218"/>
        <v>362550</v>
      </c>
      <c r="F917" s="3">
        <f t="shared" si="214"/>
        <v>1515</v>
      </c>
      <c r="G917" s="3">
        <f t="shared" si="219"/>
        <v>296450</v>
      </c>
      <c r="J917" s="6">
        <f t="shared" si="220"/>
        <v>8.2749999999999115</v>
      </c>
      <c r="K917" s="11">
        <f t="shared" si="221"/>
        <v>1389950</v>
      </c>
      <c r="P917" s="1">
        <f t="shared" si="215"/>
        <v>1389950</v>
      </c>
      <c r="Q917" s="1">
        <f t="shared" si="216"/>
        <v>327343468</v>
      </c>
    </row>
    <row r="918" spans="1:17" x14ac:dyDescent="0.3">
      <c r="A918" s="2">
        <f t="shared" si="222"/>
        <v>916</v>
      </c>
      <c r="B918" s="6">
        <f t="shared" si="222"/>
        <v>1466</v>
      </c>
      <c r="C918" s="9">
        <f t="shared" si="217"/>
        <v>722760</v>
      </c>
      <c r="D918" s="6">
        <f t="shared" si="213"/>
        <v>1066</v>
      </c>
      <c r="E918" s="9">
        <f t="shared" si="218"/>
        <v>363320</v>
      </c>
      <c r="F918" s="3">
        <f t="shared" si="214"/>
        <v>1516</v>
      </c>
      <c r="G918" s="3">
        <f t="shared" si="219"/>
        <v>297080</v>
      </c>
      <c r="J918" s="6">
        <f t="shared" si="220"/>
        <v>8.2799999999999123</v>
      </c>
      <c r="K918" s="11">
        <f t="shared" si="221"/>
        <v>1393080</v>
      </c>
      <c r="P918" s="1">
        <f t="shared" si="215"/>
        <v>1393080</v>
      </c>
      <c r="Q918" s="1">
        <f t="shared" si="216"/>
        <v>328736548</v>
      </c>
    </row>
    <row r="919" spans="1:17" x14ac:dyDescent="0.3">
      <c r="A919" s="2">
        <f t="shared" si="222"/>
        <v>917</v>
      </c>
      <c r="B919" s="6">
        <f t="shared" si="222"/>
        <v>1467</v>
      </c>
      <c r="C919" s="9">
        <f t="shared" si="217"/>
        <v>724370</v>
      </c>
      <c r="D919" s="6">
        <f t="shared" si="213"/>
        <v>1067</v>
      </c>
      <c r="E919" s="9">
        <f t="shared" si="218"/>
        <v>364090</v>
      </c>
      <c r="F919" s="3">
        <f t="shared" si="214"/>
        <v>1517</v>
      </c>
      <c r="G919" s="3">
        <f t="shared" si="219"/>
        <v>297710</v>
      </c>
      <c r="J919" s="6">
        <f t="shared" si="220"/>
        <v>8.2849999999999131</v>
      </c>
      <c r="K919" s="11">
        <f t="shared" si="221"/>
        <v>1396210</v>
      </c>
      <c r="P919" s="1">
        <f t="shared" si="215"/>
        <v>1396210</v>
      </c>
      <c r="Q919" s="1">
        <f t="shared" si="216"/>
        <v>330132758</v>
      </c>
    </row>
    <row r="920" spans="1:17" x14ac:dyDescent="0.3">
      <c r="A920" s="2">
        <f t="shared" si="222"/>
        <v>918</v>
      </c>
      <c r="B920" s="6">
        <f t="shared" si="222"/>
        <v>1468</v>
      </c>
      <c r="C920" s="9">
        <f t="shared" si="217"/>
        <v>725980</v>
      </c>
      <c r="D920" s="6">
        <f t="shared" si="213"/>
        <v>1068</v>
      </c>
      <c r="E920" s="9">
        <f t="shared" si="218"/>
        <v>364860</v>
      </c>
      <c r="F920" s="3">
        <f t="shared" si="214"/>
        <v>1518</v>
      </c>
      <c r="G920" s="3">
        <f t="shared" si="219"/>
        <v>298340</v>
      </c>
      <c r="J920" s="6">
        <f t="shared" si="220"/>
        <v>8.2899999999999139</v>
      </c>
      <c r="K920" s="11">
        <f t="shared" si="221"/>
        <v>1399340</v>
      </c>
      <c r="P920" s="1">
        <f t="shared" si="215"/>
        <v>1399340</v>
      </c>
      <c r="Q920" s="1">
        <f t="shared" si="216"/>
        <v>331532098</v>
      </c>
    </row>
    <row r="921" spans="1:17" x14ac:dyDescent="0.3">
      <c r="A921" s="2">
        <f t="shared" si="222"/>
        <v>919</v>
      </c>
      <c r="B921" s="6">
        <f t="shared" si="222"/>
        <v>1469</v>
      </c>
      <c r="C921" s="9">
        <f t="shared" si="217"/>
        <v>727590</v>
      </c>
      <c r="D921" s="6">
        <f t="shared" si="213"/>
        <v>1069</v>
      </c>
      <c r="E921" s="9">
        <f t="shared" si="218"/>
        <v>365630</v>
      </c>
      <c r="F921" s="3">
        <f t="shared" si="214"/>
        <v>1519</v>
      </c>
      <c r="G921" s="3">
        <f t="shared" si="219"/>
        <v>298970</v>
      </c>
      <c r="J921" s="6">
        <f t="shared" si="220"/>
        <v>8.2949999999999147</v>
      </c>
      <c r="K921" s="11">
        <f t="shared" si="221"/>
        <v>1402470</v>
      </c>
      <c r="P921" s="1">
        <f t="shared" si="215"/>
        <v>1402470</v>
      </c>
      <c r="Q921" s="1">
        <f t="shared" si="216"/>
        <v>332934568</v>
      </c>
    </row>
    <row r="922" spans="1:17" x14ac:dyDescent="0.3">
      <c r="A922" s="2">
        <f t="shared" si="222"/>
        <v>920</v>
      </c>
      <c r="B922" s="6">
        <f t="shared" si="222"/>
        <v>1470</v>
      </c>
      <c r="C922" s="9">
        <f t="shared" si="217"/>
        <v>729200</v>
      </c>
      <c r="D922" s="6">
        <f t="shared" si="213"/>
        <v>1070</v>
      </c>
      <c r="E922" s="9">
        <f t="shared" si="218"/>
        <v>366400</v>
      </c>
      <c r="F922" s="3">
        <f t="shared" si="214"/>
        <v>1520</v>
      </c>
      <c r="G922" s="3">
        <f t="shared" si="219"/>
        <v>299600</v>
      </c>
      <c r="J922" s="6">
        <f t="shared" si="220"/>
        <v>8.2999999999999154</v>
      </c>
      <c r="K922" s="11">
        <f t="shared" si="221"/>
        <v>1405600</v>
      </c>
      <c r="P922" s="1">
        <f t="shared" si="215"/>
        <v>1405600</v>
      </c>
      <c r="Q922" s="1">
        <f t="shared" si="216"/>
        <v>334340168</v>
      </c>
    </row>
    <row r="923" spans="1:17" x14ac:dyDescent="0.3">
      <c r="A923" s="2">
        <f t="shared" si="222"/>
        <v>921</v>
      </c>
      <c r="B923" s="6">
        <f t="shared" si="222"/>
        <v>1471</v>
      </c>
      <c r="C923" s="9">
        <f t="shared" si="217"/>
        <v>730810</v>
      </c>
      <c r="D923" s="6">
        <f t="shared" si="213"/>
        <v>1071</v>
      </c>
      <c r="E923" s="9">
        <f t="shared" si="218"/>
        <v>367170</v>
      </c>
      <c r="F923" s="3">
        <f t="shared" si="214"/>
        <v>1521</v>
      </c>
      <c r="G923" s="3">
        <f t="shared" si="219"/>
        <v>300230</v>
      </c>
      <c r="J923" s="6">
        <f t="shared" si="220"/>
        <v>8.3049999999999162</v>
      </c>
      <c r="K923" s="11">
        <f t="shared" si="221"/>
        <v>1408730</v>
      </c>
      <c r="P923" s="1">
        <f t="shared" si="215"/>
        <v>1408730</v>
      </c>
      <c r="Q923" s="1">
        <f t="shared" si="216"/>
        <v>335748898</v>
      </c>
    </row>
    <row r="924" spans="1:17" x14ac:dyDescent="0.3">
      <c r="A924" s="2">
        <f t="shared" si="222"/>
        <v>922</v>
      </c>
      <c r="B924" s="6">
        <f t="shared" si="222"/>
        <v>1472</v>
      </c>
      <c r="C924" s="9">
        <f t="shared" si="217"/>
        <v>732420</v>
      </c>
      <c r="D924" s="6">
        <f t="shared" si="213"/>
        <v>1072</v>
      </c>
      <c r="E924" s="9">
        <f t="shared" si="218"/>
        <v>367940</v>
      </c>
      <c r="F924" s="3">
        <f t="shared" si="214"/>
        <v>1522</v>
      </c>
      <c r="G924" s="3">
        <f t="shared" si="219"/>
        <v>300860</v>
      </c>
      <c r="J924" s="6">
        <f t="shared" si="220"/>
        <v>8.309999999999917</v>
      </c>
      <c r="K924" s="11">
        <f t="shared" si="221"/>
        <v>1411860</v>
      </c>
      <c r="P924" s="1">
        <f t="shared" si="215"/>
        <v>1411860</v>
      </c>
      <c r="Q924" s="1">
        <f t="shared" si="216"/>
        <v>337160758</v>
      </c>
    </row>
    <row r="925" spans="1:17" x14ac:dyDescent="0.3">
      <c r="A925" s="2">
        <f t="shared" si="222"/>
        <v>923</v>
      </c>
      <c r="B925" s="6">
        <f t="shared" si="222"/>
        <v>1473</v>
      </c>
      <c r="C925" s="9">
        <f t="shared" si="217"/>
        <v>734030</v>
      </c>
      <c r="D925" s="6">
        <f t="shared" si="213"/>
        <v>1073</v>
      </c>
      <c r="E925" s="9">
        <f t="shared" si="218"/>
        <v>368710</v>
      </c>
      <c r="F925" s="3">
        <f t="shared" si="214"/>
        <v>1523</v>
      </c>
      <c r="G925" s="3">
        <f t="shared" si="219"/>
        <v>301490</v>
      </c>
      <c r="J925" s="6">
        <f t="shared" si="220"/>
        <v>8.3149999999999178</v>
      </c>
      <c r="K925" s="11">
        <f t="shared" si="221"/>
        <v>1414990</v>
      </c>
      <c r="P925" s="1">
        <f t="shared" si="215"/>
        <v>1414990</v>
      </c>
      <c r="Q925" s="1">
        <f t="shared" si="216"/>
        <v>338575748</v>
      </c>
    </row>
    <row r="926" spans="1:17" x14ac:dyDescent="0.3">
      <c r="A926" s="2">
        <f t="shared" si="222"/>
        <v>924</v>
      </c>
      <c r="B926" s="6">
        <f t="shared" si="222"/>
        <v>1474</v>
      </c>
      <c r="C926" s="9">
        <f t="shared" si="217"/>
        <v>735640</v>
      </c>
      <c r="D926" s="6">
        <f t="shared" si="213"/>
        <v>1074</v>
      </c>
      <c r="E926" s="9">
        <f t="shared" si="218"/>
        <v>369480</v>
      </c>
      <c r="F926" s="3">
        <f t="shared" si="214"/>
        <v>1524</v>
      </c>
      <c r="G926" s="3">
        <f t="shared" si="219"/>
        <v>302120</v>
      </c>
      <c r="J926" s="6">
        <f t="shared" si="220"/>
        <v>8.3199999999999186</v>
      </c>
      <c r="K926" s="11">
        <f t="shared" si="221"/>
        <v>1418120</v>
      </c>
      <c r="P926" s="1">
        <f t="shared" si="215"/>
        <v>1418120</v>
      </c>
      <c r="Q926" s="1">
        <f t="shared" si="216"/>
        <v>339993868</v>
      </c>
    </row>
    <row r="927" spans="1:17" x14ac:dyDescent="0.3">
      <c r="A927" s="2">
        <f t="shared" si="222"/>
        <v>925</v>
      </c>
      <c r="B927" s="6">
        <f t="shared" si="222"/>
        <v>1475</v>
      </c>
      <c r="C927" s="9">
        <f t="shared" si="217"/>
        <v>737250</v>
      </c>
      <c r="D927" s="6">
        <f t="shared" si="213"/>
        <v>1075</v>
      </c>
      <c r="E927" s="9">
        <f t="shared" si="218"/>
        <v>370250</v>
      </c>
      <c r="F927" s="3">
        <f t="shared" si="214"/>
        <v>1525</v>
      </c>
      <c r="G927" s="3">
        <f t="shared" si="219"/>
        <v>302750</v>
      </c>
      <c r="J927" s="6">
        <f t="shared" si="220"/>
        <v>8.3249999999999194</v>
      </c>
      <c r="K927" s="11">
        <f t="shared" si="221"/>
        <v>1421250</v>
      </c>
      <c r="P927" s="1">
        <f t="shared" si="215"/>
        <v>1421250</v>
      </c>
      <c r="Q927" s="1">
        <f t="shared" si="216"/>
        <v>341415118</v>
      </c>
    </row>
    <row r="928" spans="1:17" x14ac:dyDescent="0.3">
      <c r="A928" s="2">
        <f t="shared" si="222"/>
        <v>926</v>
      </c>
      <c r="B928" s="6">
        <f t="shared" si="222"/>
        <v>1476</v>
      </c>
      <c r="C928" s="9">
        <f t="shared" si="217"/>
        <v>738860</v>
      </c>
      <c r="D928" s="6">
        <f t="shared" si="213"/>
        <v>1076</v>
      </c>
      <c r="E928" s="9">
        <f t="shared" si="218"/>
        <v>371020</v>
      </c>
      <c r="F928" s="3">
        <f t="shared" si="214"/>
        <v>1526</v>
      </c>
      <c r="G928" s="3">
        <f t="shared" si="219"/>
        <v>303380</v>
      </c>
      <c r="J928" s="6">
        <f t="shared" si="220"/>
        <v>8.3299999999999201</v>
      </c>
      <c r="K928" s="11">
        <f t="shared" si="221"/>
        <v>1424380</v>
      </c>
      <c r="P928" s="1">
        <f t="shared" si="215"/>
        <v>1424380</v>
      </c>
      <c r="Q928" s="1">
        <f t="shared" si="216"/>
        <v>342839498</v>
      </c>
    </row>
    <row r="929" spans="1:17" x14ac:dyDescent="0.3">
      <c r="A929" s="2">
        <f t="shared" si="222"/>
        <v>927</v>
      </c>
      <c r="B929" s="6">
        <f t="shared" si="222"/>
        <v>1477</v>
      </c>
      <c r="C929" s="9">
        <f t="shared" si="217"/>
        <v>740470</v>
      </c>
      <c r="D929" s="6">
        <f t="shared" si="213"/>
        <v>1077</v>
      </c>
      <c r="E929" s="9">
        <f t="shared" si="218"/>
        <v>371790</v>
      </c>
      <c r="F929" s="3">
        <f t="shared" si="214"/>
        <v>1527</v>
      </c>
      <c r="G929" s="3">
        <f t="shared" si="219"/>
        <v>304010</v>
      </c>
      <c r="J929" s="6">
        <f t="shared" si="220"/>
        <v>8.3349999999999209</v>
      </c>
      <c r="K929" s="11">
        <f t="shared" si="221"/>
        <v>1427510</v>
      </c>
      <c r="P929" s="1">
        <f t="shared" si="215"/>
        <v>1427510</v>
      </c>
      <c r="Q929" s="1">
        <f t="shared" si="216"/>
        <v>344267008</v>
      </c>
    </row>
    <row r="930" spans="1:17" x14ac:dyDescent="0.3">
      <c r="A930" s="2">
        <f t="shared" si="222"/>
        <v>928</v>
      </c>
      <c r="B930" s="6">
        <f t="shared" si="222"/>
        <v>1478</v>
      </c>
      <c r="C930" s="9">
        <f t="shared" si="217"/>
        <v>742080</v>
      </c>
      <c r="D930" s="6">
        <f t="shared" si="213"/>
        <v>1078</v>
      </c>
      <c r="E930" s="9">
        <f t="shared" si="218"/>
        <v>372560</v>
      </c>
      <c r="F930" s="3">
        <f t="shared" si="214"/>
        <v>1528</v>
      </c>
      <c r="G930" s="3">
        <f t="shared" si="219"/>
        <v>304640</v>
      </c>
      <c r="J930" s="6">
        <f t="shared" si="220"/>
        <v>8.3399999999999217</v>
      </c>
      <c r="K930" s="11">
        <f t="shared" si="221"/>
        <v>1430640</v>
      </c>
      <c r="P930" s="1">
        <f t="shared" si="215"/>
        <v>1430640</v>
      </c>
      <c r="Q930" s="1">
        <f t="shared" si="216"/>
        <v>345697648</v>
      </c>
    </row>
    <row r="931" spans="1:17" x14ac:dyDescent="0.3">
      <c r="A931" s="2">
        <f t="shared" si="222"/>
        <v>929</v>
      </c>
      <c r="B931" s="6">
        <f t="shared" si="222"/>
        <v>1479</v>
      </c>
      <c r="C931" s="9">
        <f t="shared" si="217"/>
        <v>743690</v>
      </c>
      <c r="D931" s="6">
        <f t="shared" si="213"/>
        <v>1079</v>
      </c>
      <c r="E931" s="9">
        <f t="shared" si="218"/>
        <v>373330</v>
      </c>
      <c r="F931" s="3">
        <f t="shared" si="214"/>
        <v>1529</v>
      </c>
      <c r="G931" s="3">
        <f t="shared" si="219"/>
        <v>305270</v>
      </c>
      <c r="J931" s="6">
        <f t="shared" si="220"/>
        <v>8.3449999999999225</v>
      </c>
      <c r="K931" s="11">
        <f t="shared" si="221"/>
        <v>1433770</v>
      </c>
      <c r="P931" s="1">
        <f t="shared" si="215"/>
        <v>1433770</v>
      </c>
      <c r="Q931" s="1">
        <f t="shared" si="216"/>
        <v>347131418</v>
      </c>
    </row>
    <row r="932" spans="1:17" x14ac:dyDescent="0.3">
      <c r="A932" s="2">
        <f t="shared" si="222"/>
        <v>930</v>
      </c>
      <c r="B932" s="6">
        <f t="shared" si="222"/>
        <v>1480</v>
      </c>
      <c r="C932" s="9">
        <f t="shared" si="217"/>
        <v>745300</v>
      </c>
      <c r="D932" s="6">
        <f t="shared" si="213"/>
        <v>1080</v>
      </c>
      <c r="E932" s="9">
        <f t="shared" si="218"/>
        <v>374100</v>
      </c>
      <c r="F932" s="3">
        <f t="shared" si="214"/>
        <v>1530</v>
      </c>
      <c r="G932" s="3">
        <f t="shared" si="219"/>
        <v>305900</v>
      </c>
      <c r="J932" s="6">
        <f t="shared" si="220"/>
        <v>8.3499999999999233</v>
      </c>
      <c r="K932" s="11">
        <f t="shared" si="221"/>
        <v>1436900</v>
      </c>
      <c r="P932" s="1">
        <f t="shared" si="215"/>
        <v>1436900</v>
      </c>
      <c r="Q932" s="1">
        <f t="shared" si="216"/>
        <v>348568318</v>
      </c>
    </row>
    <row r="933" spans="1:17" x14ac:dyDescent="0.3">
      <c r="A933" s="2">
        <f t="shared" si="222"/>
        <v>931</v>
      </c>
      <c r="B933" s="6">
        <f t="shared" si="222"/>
        <v>1481</v>
      </c>
      <c r="C933" s="9">
        <f t="shared" si="217"/>
        <v>746910</v>
      </c>
      <c r="D933" s="6">
        <f t="shared" si="213"/>
        <v>1081</v>
      </c>
      <c r="E933" s="9">
        <f t="shared" si="218"/>
        <v>374870</v>
      </c>
      <c r="F933" s="3">
        <f t="shared" si="214"/>
        <v>1531</v>
      </c>
      <c r="G933" s="3">
        <f t="shared" si="219"/>
        <v>306530</v>
      </c>
      <c r="J933" s="6">
        <f t="shared" si="220"/>
        <v>8.354999999999924</v>
      </c>
      <c r="K933" s="11">
        <f t="shared" si="221"/>
        <v>1440030</v>
      </c>
      <c r="P933" s="1">
        <f t="shared" si="215"/>
        <v>1440030</v>
      </c>
      <c r="Q933" s="1">
        <f t="shared" si="216"/>
        <v>350008348</v>
      </c>
    </row>
    <row r="934" spans="1:17" x14ac:dyDescent="0.3">
      <c r="A934" s="2">
        <f t="shared" si="222"/>
        <v>932</v>
      </c>
      <c r="B934" s="6">
        <f t="shared" si="222"/>
        <v>1482</v>
      </c>
      <c r="C934" s="9">
        <f t="shared" si="217"/>
        <v>748520</v>
      </c>
      <c r="D934" s="6">
        <f t="shared" si="213"/>
        <v>1082</v>
      </c>
      <c r="E934" s="9">
        <f t="shared" si="218"/>
        <v>375640</v>
      </c>
      <c r="F934" s="3">
        <f t="shared" si="214"/>
        <v>1532</v>
      </c>
      <c r="G934" s="3">
        <f t="shared" si="219"/>
        <v>307160</v>
      </c>
      <c r="J934" s="6">
        <f t="shared" si="220"/>
        <v>8.3599999999999248</v>
      </c>
      <c r="K934" s="11">
        <f t="shared" si="221"/>
        <v>1443160</v>
      </c>
      <c r="P934" s="1">
        <f t="shared" si="215"/>
        <v>1443160</v>
      </c>
      <c r="Q934" s="1">
        <f t="shared" si="216"/>
        <v>351451508</v>
      </c>
    </row>
    <row r="935" spans="1:17" x14ac:dyDescent="0.3">
      <c r="A935" s="2">
        <f t="shared" si="222"/>
        <v>933</v>
      </c>
      <c r="B935" s="6">
        <f t="shared" si="222"/>
        <v>1483</v>
      </c>
      <c r="C935" s="9">
        <f t="shared" si="217"/>
        <v>750130</v>
      </c>
      <c r="D935" s="6">
        <f t="shared" si="213"/>
        <v>1083</v>
      </c>
      <c r="E935" s="9">
        <f t="shared" si="218"/>
        <v>376410</v>
      </c>
      <c r="F935" s="3">
        <f t="shared" si="214"/>
        <v>1533</v>
      </c>
      <c r="G935" s="3">
        <f t="shared" si="219"/>
        <v>307790</v>
      </c>
      <c r="J935" s="6">
        <f t="shared" si="220"/>
        <v>8.3649999999999256</v>
      </c>
      <c r="K935" s="11">
        <f t="shared" si="221"/>
        <v>1446290</v>
      </c>
      <c r="P935" s="1">
        <f t="shared" si="215"/>
        <v>1446290</v>
      </c>
      <c r="Q935" s="1">
        <f t="shared" si="216"/>
        <v>352897798</v>
      </c>
    </row>
    <row r="936" spans="1:17" x14ac:dyDescent="0.3">
      <c r="A936" s="2">
        <f t="shared" si="222"/>
        <v>934</v>
      </c>
      <c r="B936" s="6">
        <f t="shared" si="222"/>
        <v>1484</v>
      </c>
      <c r="C936" s="9">
        <f t="shared" si="217"/>
        <v>751740</v>
      </c>
      <c r="D936" s="6">
        <f t="shared" ref="D936:D999" si="223">D935+1</f>
        <v>1084</v>
      </c>
      <c r="E936" s="9">
        <f t="shared" si="218"/>
        <v>377180</v>
      </c>
      <c r="F936" s="3">
        <f t="shared" ref="F936:F999" si="224">F935+1</f>
        <v>1534</v>
      </c>
      <c r="G936" s="3">
        <f t="shared" si="219"/>
        <v>308420</v>
      </c>
      <c r="J936" s="6">
        <f t="shared" si="220"/>
        <v>8.3699999999999264</v>
      </c>
      <c r="K936" s="11">
        <f t="shared" si="221"/>
        <v>1449420</v>
      </c>
      <c r="P936" s="1">
        <f t="shared" si="215"/>
        <v>1449420</v>
      </c>
      <c r="Q936" s="1">
        <f t="shared" si="216"/>
        <v>354347218</v>
      </c>
    </row>
    <row r="937" spans="1:17" x14ac:dyDescent="0.3">
      <c r="A937" s="2">
        <f t="shared" si="222"/>
        <v>935</v>
      </c>
      <c r="B937" s="6">
        <f t="shared" si="222"/>
        <v>1485</v>
      </c>
      <c r="C937" s="9">
        <f t="shared" si="217"/>
        <v>753350</v>
      </c>
      <c r="D937" s="6">
        <f t="shared" si="223"/>
        <v>1085</v>
      </c>
      <c r="E937" s="9">
        <f t="shared" si="218"/>
        <v>377950</v>
      </c>
      <c r="F937" s="3">
        <f t="shared" si="224"/>
        <v>1535</v>
      </c>
      <c r="G937" s="3">
        <f t="shared" si="219"/>
        <v>309050</v>
      </c>
      <c r="J937" s="6">
        <f t="shared" si="220"/>
        <v>8.3749999999999272</v>
      </c>
      <c r="K937" s="11">
        <f t="shared" si="221"/>
        <v>1452550</v>
      </c>
      <c r="P937" s="1">
        <f t="shared" si="215"/>
        <v>1452550</v>
      </c>
      <c r="Q937" s="1">
        <f t="shared" si="216"/>
        <v>355799768</v>
      </c>
    </row>
    <row r="938" spans="1:17" x14ac:dyDescent="0.3">
      <c r="A938" s="2">
        <f t="shared" si="222"/>
        <v>936</v>
      </c>
      <c r="B938" s="6">
        <f t="shared" si="222"/>
        <v>1486</v>
      </c>
      <c r="C938" s="9">
        <f t="shared" si="217"/>
        <v>754960</v>
      </c>
      <c r="D938" s="6">
        <f t="shared" si="223"/>
        <v>1086</v>
      </c>
      <c r="E938" s="9">
        <f t="shared" si="218"/>
        <v>378720</v>
      </c>
      <c r="F938" s="3">
        <f t="shared" si="224"/>
        <v>1536</v>
      </c>
      <c r="G938" s="3">
        <f t="shared" si="219"/>
        <v>309680</v>
      </c>
      <c r="J938" s="6">
        <f t="shared" si="220"/>
        <v>8.379999999999928</v>
      </c>
      <c r="K938" s="11">
        <f t="shared" si="221"/>
        <v>1455680</v>
      </c>
      <c r="P938" s="1">
        <f t="shared" si="215"/>
        <v>1455680</v>
      </c>
      <c r="Q938" s="1">
        <f t="shared" si="216"/>
        <v>357255448</v>
      </c>
    </row>
    <row r="939" spans="1:17" x14ac:dyDescent="0.3">
      <c r="A939" s="2">
        <f t="shared" si="222"/>
        <v>937</v>
      </c>
      <c r="B939" s="6">
        <f t="shared" si="222"/>
        <v>1487</v>
      </c>
      <c r="C939" s="9">
        <f t="shared" si="217"/>
        <v>756570</v>
      </c>
      <c r="D939" s="6">
        <f t="shared" si="223"/>
        <v>1087</v>
      </c>
      <c r="E939" s="9">
        <f t="shared" si="218"/>
        <v>379490</v>
      </c>
      <c r="F939" s="3">
        <f t="shared" si="224"/>
        <v>1537</v>
      </c>
      <c r="G939" s="3">
        <f t="shared" si="219"/>
        <v>310310</v>
      </c>
      <c r="J939" s="6">
        <f t="shared" si="220"/>
        <v>8.3849999999999287</v>
      </c>
      <c r="K939" s="11">
        <f t="shared" si="221"/>
        <v>1458810</v>
      </c>
      <c r="P939" s="1">
        <f t="shared" si="215"/>
        <v>1458810</v>
      </c>
      <c r="Q939" s="1">
        <f t="shared" si="216"/>
        <v>358714258</v>
      </c>
    </row>
    <row r="940" spans="1:17" x14ac:dyDescent="0.3">
      <c r="A940" s="2">
        <f t="shared" si="222"/>
        <v>938</v>
      </c>
      <c r="B940" s="6">
        <f t="shared" si="222"/>
        <v>1488</v>
      </c>
      <c r="C940" s="9">
        <f t="shared" si="217"/>
        <v>758180</v>
      </c>
      <c r="D940" s="6">
        <f t="shared" si="223"/>
        <v>1088</v>
      </c>
      <c r="E940" s="9">
        <f t="shared" si="218"/>
        <v>380260</v>
      </c>
      <c r="F940" s="3">
        <f t="shared" si="224"/>
        <v>1538</v>
      </c>
      <c r="G940" s="3">
        <f t="shared" si="219"/>
        <v>310940</v>
      </c>
      <c r="J940" s="6">
        <f t="shared" si="220"/>
        <v>8.3899999999999295</v>
      </c>
      <c r="K940" s="11">
        <f t="shared" si="221"/>
        <v>1461940</v>
      </c>
      <c r="P940" s="1">
        <f t="shared" si="215"/>
        <v>1461940</v>
      </c>
      <c r="Q940" s="1">
        <f t="shared" si="216"/>
        <v>360176198</v>
      </c>
    </row>
    <row r="941" spans="1:17" x14ac:dyDescent="0.3">
      <c r="A941" s="2">
        <f t="shared" si="222"/>
        <v>939</v>
      </c>
      <c r="B941" s="6">
        <f t="shared" si="222"/>
        <v>1489</v>
      </c>
      <c r="C941" s="9">
        <f t="shared" si="217"/>
        <v>759790</v>
      </c>
      <c r="D941" s="6">
        <f t="shared" si="223"/>
        <v>1089</v>
      </c>
      <c r="E941" s="9">
        <f t="shared" si="218"/>
        <v>381030</v>
      </c>
      <c r="F941" s="3">
        <f t="shared" si="224"/>
        <v>1539</v>
      </c>
      <c r="G941" s="3">
        <f t="shared" si="219"/>
        <v>311570</v>
      </c>
      <c r="J941" s="6">
        <f t="shared" si="220"/>
        <v>8.3949999999999303</v>
      </c>
      <c r="K941" s="11">
        <f t="shared" si="221"/>
        <v>1465070</v>
      </c>
      <c r="P941" s="1">
        <f t="shared" si="215"/>
        <v>1465070</v>
      </c>
      <c r="Q941" s="1">
        <f t="shared" si="216"/>
        <v>361641268</v>
      </c>
    </row>
    <row r="942" spans="1:17" x14ac:dyDescent="0.3">
      <c r="A942" s="2">
        <f t="shared" si="222"/>
        <v>940</v>
      </c>
      <c r="B942" s="6">
        <f t="shared" si="222"/>
        <v>1490</v>
      </c>
      <c r="C942" s="9">
        <f t="shared" si="217"/>
        <v>761400</v>
      </c>
      <c r="D942" s="6">
        <f t="shared" si="223"/>
        <v>1090</v>
      </c>
      <c r="E942" s="9">
        <f t="shared" si="218"/>
        <v>381800</v>
      </c>
      <c r="F942" s="3">
        <f t="shared" si="224"/>
        <v>1540</v>
      </c>
      <c r="G942" s="3">
        <f t="shared" si="219"/>
        <v>312200</v>
      </c>
      <c r="J942" s="6">
        <f t="shared" si="220"/>
        <v>8.3999999999999311</v>
      </c>
      <c r="K942" s="11">
        <f t="shared" si="221"/>
        <v>1468200</v>
      </c>
      <c r="P942" s="1">
        <f t="shared" si="215"/>
        <v>1468200</v>
      </c>
      <c r="Q942" s="1">
        <f t="shared" si="216"/>
        <v>363109468</v>
      </c>
    </row>
    <row r="943" spans="1:17" x14ac:dyDescent="0.3">
      <c r="A943" s="2">
        <f t="shared" si="222"/>
        <v>941</v>
      </c>
      <c r="B943" s="6">
        <f t="shared" si="222"/>
        <v>1491</v>
      </c>
      <c r="C943" s="9">
        <f t="shared" si="217"/>
        <v>763010</v>
      </c>
      <c r="D943" s="6">
        <f t="shared" si="223"/>
        <v>1091</v>
      </c>
      <c r="E943" s="9">
        <f t="shared" si="218"/>
        <v>382570</v>
      </c>
      <c r="F943" s="3">
        <f t="shared" si="224"/>
        <v>1541</v>
      </c>
      <c r="G943" s="3">
        <f t="shared" si="219"/>
        <v>312830</v>
      </c>
      <c r="J943" s="6">
        <f t="shared" si="220"/>
        <v>8.4049999999999319</v>
      </c>
      <c r="K943" s="11">
        <f t="shared" si="221"/>
        <v>1471330</v>
      </c>
      <c r="P943" s="1">
        <f t="shared" si="215"/>
        <v>1471330</v>
      </c>
      <c r="Q943" s="1">
        <f t="shared" si="216"/>
        <v>364580798</v>
      </c>
    </row>
    <row r="944" spans="1:17" x14ac:dyDescent="0.3">
      <c r="A944" s="2">
        <f t="shared" si="222"/>
        <v>942</v>
      </c>
      <c r="B944" s="6">
        <f t="shared" si="222"/>
        <v>1492</v>
      </c>
      <c r="C944" s="9">
        <f t="shared" si="217"/>
        <v>764620</v>
      </c>
      <c r="D944" s="6">
        <f t="shared" si="223"/>
        <v>1092</v>
      </c>
      <c r="E944" s="9">
        <f t="shared" si="218"/>
        <v>383340</v>
      </c>
      <c r="F944" s="3">
        <f t="shared" si="224"/>
        <v>1542</v>
      </c>
      <c r="G944" s="3">
        <f t="shared" si="219"/>
        <v>313460</v>
      </c>
      <c r="J944" s="6">
        <f t="shared" si="220"/>
        <v>8.4099999999999326</v>
      </c>
      <c r="K944" s="11">
        <f t="shared" si="221"/>
        <v>1474460</v>
      </c>
      <c r="P944" s="1">
        <f t="shared" si="215"/>
        <v>1474460</v>
      </c>
      <c r="Q944" s="1">
        <f t="shared" si="216"/>
        <v>366055258</v>
      </c>
    </row>
    <row r="945" spans="1:17" x14ac:dyDescent="0.3">
      <c r="A945" s="2">
        <f t="shared" si="222"/>
        <v>943</v>
      </c>
      <c r="B945" s="6">
        <f t="shared" si="222"/>
        <v>1493</v>
      </c>
      <c r="C945" s="9">
        <f t="shared" si="217"/>
        <v>766230</v>
      </c>
      <c r="D945" s="6">
        <f t="shared" si="223"/>
        <v>1093</v>
      </c>
      <c r="E945" s="9">
        <f t="shared" si="218"/>
        <v>384110</v>
      </c>
      <c r="F945" s="3">
        <f t="shared" si="224"/>
        <v>1543</v>
      </c>
      <c r="G945" s="3">
        <f t="shared" si="219"/>
        <v>314090</v>
      </c>
      <c r="J945" s="6">
        <f t="shared" si="220"/>
        <v>8.4149999999999334</v>
      </c>
      <c r="K945" s="11">
        <f t="shared" si="221"/>
        <v>1477590</v>
      </c>
      <c r="P945" s="1">
        <f t="shared" si="215"/>
        <v>1477590</v>
      </c>
      <c r="Q945" s="1">
        <f t="shared" si="216"/>
        <v>367532848</v>
      </c>
    </row>
    <row r="946" spans="1:17" x14ac:dyDescent="0.3">
      <c r="A946" s="2">
        <f t="shared" si="222"/>
        <v>944</v>
      </c>
      <c r="B946" s="6">
        <f t="shared" si="222"/>
        <v>1494</v>
      </c>
      <c r="C946" s="9">
        <f t="shared" si="217"/>
        <v>767840</v>
      </c>
      <c r="D946" s="6">
        <f t="shared" si="223"/>
        <v>1094</v>
      </c>
      <c r="E946" s="9">
        <f t="shared" si="218"/>
        <v>384880</v>
      </c>
      <c r="F946" s="3">
        <f t="shared" si="224"/>
        <v>1544</v>
      </c>
      <c r="G946" s="3">
        <f t="shared" si="219"/>
        <v>314720</v>
      </c>
      <c r="J946" s="6">
        <f t="shared" si="220"/>
        <v>8.4199999999999342</v>
      </c>
      <c r="K946" s="11">
        <f t="shared" si="221"/>
        <v>1480720</v>
      </c>
      <c r="P946" s="1">
        <f t="shared" si="215"/>
        <v>1480720</v>
      </c>
      <c r="Q946" s="1">
        <f t="shared" si="216"/>
        <v>369013568</v>
      </c>
    </row>
    <row r="947" spans="1:17" x14ac:dyDescent="0.3">
      <c r="A947" s="2">
        <f t="shared" si="222"/>
        <v>945</v>
      </c>
      <c r="B947" s="6">
        <f t="shared" si="222"/>
        <v>1495</v>
      </c>
      <c r="C947" s="9">
        <f t="shared" si="217"/>
        <v>769450</v>
      </c>
      <c r="D947" s="6">
        <f t="shared" si="223"/>
        <v>1095</v>
      </c>
      <c r="E947" s="9">
        <f t="shared" si="218"/>
        <v>385650</v>
      </c>
      <c r="F947" s="3">
        <f t="shared" si="224"/>
        <v>1545</v>
      </c>
      <c r="G947" s="3">
        <f t="shared" si="219"/>
        <v>315350</v>
      </c>
      <c r="J947" s="6">
        <f t="shared" si="220"/>
        <v>8.424999999999935</v>
      </c>
      <c r="K947" s="11">
        <f t="shared" si="221"/>
        <v>1483850</v>
      </c>
      <c r="P947" s="1">
        <f t="shared" si="215"/>
        <v>1483850</v>
      </c>
      <c r="Q947" s="1">
        <f t="shared" si="216"/>
        <v>370497418</v>
      </c>
    </row>
    <row r="948" spans="1:17" x14ac:dyDescent="0.3">
      <c r="A948" s="2">
        <f t="shared" si="222"/>
        <v>946</v>
      </c>
      <c r="B948" s="6">
        <f t="shared" si="222"/>
        <v>1496</v>
      </c>
      <c r="C948" s="9">
        <f t="shared" si="217"/>
        <v>771060</v>
      </c>
      <c r="D948" s="6">
        <f t="shared" si="223"/>
        <v>1096</v>
      </c>
      <c r="E948" s="9">
        <f t="shared" si="218"/>
        <v>386420</v>
      </c>
      <c r="F948" s="3">
        <f t="shared" si="224"/>
        <v>1546</v>
      </c>
      <c r="G948" s="3">
        <f t="shared" si="219"/>
        <v>315980</v>
      </c>
      <c r="J948" s="6">
        <f t="shared" si="220"/>
        <v>8.4299999999999358</v>
      </c>
      <c r="K948" s="11">
        <f t="shared" si="221"/>
        <v>1486980</v>
      </c>
      <c r="P948" s="1">
        <f t="shared" si="215"/>
        <v>1486980</v>
      </c>
      <c r="Q948" s="1">
        <f t="shared" si="216"/>
        <v>371984398</v>
      </c>
    </row>
    <row r="949" spans="1:17" x14ac:dyDescent="0.3">
      <c r="A949" s="2">
        <f t="shared" si="222"/>
        <v>947</v>
      </c>
      <c r="B949" s="6">
        <f t="shared" si="222"/>
        <v>1497</v>
      </c>
      <c r="C949" s="9">
        <f t="shared" si="217"/>
        <v>772670</v>
      </c>
      <c r="D949" s="6">
        <f t="shared" si="223"/>
        <v>1097</v>
      </c>
      <c r="E949" s="9">
        <f t="shared" si="218"/>
        <v>387190</v>
      </c>
      <c r="F949" s="3">
        <f t="shared" si="224"/>
        <v>1547</v>
      </c>
      <c r="G949" s="3">
        <f t="shared" si="219"/>
        <v>316610</v>
      </c>
      <c r="J949" s="6">
        <f t="shared" si="220"/>
        <v>8.4349999999999365</v>
      </c>
      <c r="K949" s="11">
        <f t="shared" si="221"/>
        <v>1490110</v>
      </c>
      <c r="P949" s="1">
        <f t="shared" si="215"/>
        <v>1490110</v>
      </c>
      <c r="Q949" s="1">
        <f t="shared" si="216"/>
        <v>373474508</v>
      </c>
    </row>
    <row r="950" spans="1:17" x14ac:dyDescent="0.3">
      <c r="A950" s="2">
        <f t="shared" si="222"/>
        <v>948</v>
      </c>
      <c r="B950" s="6">
        <f t="shared" si="222"/>
        <v>1498</v>
      </c>
      <c r="C950" s="9">
        <f t="shared" si="217"/>
        <v>774280</v>
      </c>
      <c r="D950" s="6">
        <f t="shared" si="223"/>
        <v>1098</v>
      </c>
      <c r="E950" s="9">
        <f t="shared" si="218"/>
        <v>387960</v>
      </c>
      <c r="F950" s="3">
        <f t="shared" si="224"/>
        <v>1548</v>
      </c>
      <c r="G950" s="3">
        <f t="shared" si="219"/>
        <v>317240</v>
      </c>
      <c r="J950" s="6">
        <f t="shared" si="220"/>
        <v>8.4399999999999373</v>
      </c>
      <c r="K950" s="11">
        <f t="shared" si="221"/>
        <v>1493240</v>
      </c>
      <c r="P950" s="1">
        <f t="shared" ref="P950:P1002" si="225">K950</f>
        <v>1493240</v>
      </c>
      <c r="Q950" s="1">
        <f t="shared" ref="Q950:Q1002" si="226">Q949+K950</f>
        <v>374967748</v>
      </c>
    </row>
    <row r="951" spans="1:17" x14ac:dyDescent="0.3">
      <c r="A951" s="2">
        <f t="shared" si="222"/>
        <v>949</v>
      </c>
      <c r="B951" s="6">
        <f t="shared" si="222"/>
        <v>1499</v>
      </c>
      <c r="C951" s="9">
        <f t="shared" si="217"/>
        <v>775890</v>
      </c>
      <c r="D951" s="6">
        <f t="shared" si="223"/>
        <v>1099</v>
      </c>
      <c r="E951" s="9">
        <f t="shared" si="218"/>
        <v>388730</v>
      </c>
      <c r="F951" s="3">
        <f t="shared" si="224"/>
        <v>1549</v>
      </c>
      <c r="G951" s="3">
        <f t="shared" si="219"/>
        <v>317870</v>
      </c>
      <c r="J951" s="6">
        <f t="shared" si="220"/>
        <v>8.4449999999999381</v>
      </c>
      <c r="K951" s="11">
        <f t="shared" si="221"/>
        <v>1496370</v>
      </c>
      <c r="P951" s="1">
        <f t="shared" si="225"/>
        <v>1496370</v>
      </c>
      <c r="Q951" s="1">
        <f t="shared" si="226"/>
        <v>376464118</v>
      </c>
    </row>
    <row r="952" spans="1:17" x14ac:dyDescent="0.3">
      <c r="A952" s="2">
        <f t="shared" si="222"/>
        <v>950</v>
      </c>
      <c r="B952" s="6">
        <f t="shared" si="222"/>
        <v>1500</v>
      </c>
      <c r="C952" s="9">
        <f t="shared" ref="C952:C1001" si="227">C951+1610</f>
        <v>777500</v>
      </c>
      <c r="D952" s="6">
        <f t="shared" si="223"/>
        <v>1100</v>
      </c>
      <c r="E952" s="9">
        <f t="shared" ref="E952:E1001" si="228">E951+770</f>
        <v>389500</v>
      </c>
      <c r="F952" s="3">
        <f t="shared" si="224"/>
        <v>1550</v>
      </c>
      <c r="G952" s="3">
        <f t="shared" ref="G952:G1001" si="229">G951+630</f>
        <v>318500</v>
      </c>
      <c r="J952" s="6">
        <f t="shared" ref="J952:J1002" si="230">J951+0.005</f>
        <v>8.4499999999999389</v>
      </c>
      <c r="K952" s="11">
        <f t="shared" ref="K952:K1001" si="231">K951+3130</f>
        <v>1499500</v>
      </c>
      <c r="P952" s="1">
        <f t="shared" si="225"/>
        <v>1499500</v>
      </c>
      <c r="Q952" s="1">
        <f t="shared" si="226"/>
        <v>377963618</v>
      </c>
    </row>
    <row r="953" spans="1:17" x14ac:dyDescent="0.3">
      <c r="A953" s="2">
        <f t="shared" si="222"/>
        <v>951</v>
      </c>
      <c r="B953" s="6">
        <f t="shared" si="222"/>
        <v>1501</v>
      </c>
      <c r="C953" s="9">
        <f t="shared" si="227"/>
        <v>779110</v>
      </c>
      <c r="D953" s="6">
        <f t="shared" si="223"/>
        <v>1101</v>
      </c>
      <c r="E953" s="9">
        <f t="shared" si="228"/>
        <v>390270</v>
      </c>
      <c r="F953" s="3">
        <f t="shared" si="224"/>
        <v>1551</v>
      </c>
      <c r="G953" s="3">
        <f t="shared" si="229"/>
        <v>319130</v>
      </c>
      <c r="J953" s="6">
        <f t="shared" si="230"/>
        <v>8.4549999999999397</v>
      </c>
      <c r="K953" s="11">
        <f t="shared" si="231"/>
        <v>1502630</v>
      </c>
      <c r="P953" s="1">
        <f t="shared" si="225"/>
        <v>1502630</v>
      </c>
      <c r="Q953" s="1">
        <f t="shared" si="226"/>
        <v>379466248</v>
      </c>
    </row>
    <row r="954" spans="1:17" x14ac:dyDescent="0.3">
      <c r="A954" s="2">
        <f t="shared" si="222"/>
        <v>952</v>
      </c>
      <c r="B954" s="6">
        <f t="shared" si="222"/>
        <v>1502</v>
      </c>
      <c r="C954" s="9">
        <f t="shared" si="227"/>
        <v>780720</v>
      </c>
      <c r="D954" s="6">
        <f t="shared" si="223"/>
        <v>1102</v>
      </c>
      <c r="E954" s="9">
        <f t="shared" si="228"/>
        <v>391040</v>
      </c>
      <c r="F954" s="3">
        <f t="shared" si="224"/>
        <v>1552</v>
      </c>
      <c r="G954" s="3">
        <f t="shared" si="229"/>
        <v>319760</v>
      </c>
      <c r="J954" s="6">
        <f t="shared" si="230"/>
        <v>8.4599999999999405</v>
      </c>
      <c r="K954" s="11">
        <f t="shared" si="231"/>
        <v>1505760</v>
      </c>
      <c r="P954" s="1">
        <f t="shared" si="225"/>
        <v>1505760</v>
      </c>
      <c r="Q954" s="1">
        <f t="shared" si="226"/>
        <v>380972008</v>
      </c>
    </row>
    <row r="955" spans="1:17" x14ac:dyDescent="0.3">
      <c r="A955" s="2">
        <f t="shared" si="222"/>
        <v>953</v>
      </c>
      <c r="B955" s="6">
        <f t="shared" si="222"/>
        <v>1503</v>
      </c>
      <c r="C955" s="9">
        <f t="shared" si="227"/>
        <v>782330</v>
      </c>
      <c r="D955" s="6">
        <f t="shared" si="223"/>
        <v>1103</v>
      </c>
      <c r="E955" s="9">
        <f t="shared" si="228"/>
        <v>391810</v>
      </c>
      <c r="F955" s="3">
        <f t="shared" si="224"/>
        <v>1553</v>
      </c>
      <c r="G955" s="3">
        <f t="shared" si="229"/>
        <v>320390</v>
      </c>
      <c r="J955" s="6">
        <f t="shared" si="230"/>
        <v>8.4649999999999412</v>
      </c>
      <c r="K955" s="11">
        <f t="shared" si="231"/>
        <v>1508890</v>
      </c>
      <c r="P955" s="1">
        <f t="shared" si="225"/>
        <v>1508890</v>
      </c>
      <c r="Q955" s="1">
        <f t="shared" si="226"/>
        <v>382480898</v>
      </c>
    </row>
    <row r="956" spans="1:17" x14ac:dyDescent="0.3">
      <c r="A956" s="2">
        <f t="shared" si="222"/>
        <v>954</v>
      </c>
      <c r="B956" s="6">
        <f t="shared" si="222"/>
        <v>1504</v>
      </c>
      <c r="C956" s="9">
        <f t="shared" si="227"/>
        <v>783940</v>
      </c>
      <c r="D956" s="6">
        <f t="shared" si="223"/>
        <v>1104</v>
      </c>
      <c r="E956" s="9">
        <f t="shared" si="228"/>
        <v>392580</v>
      </c>
      <c r="F956" s="3">
        <f t="shared" si="224"/>
        <v>1554</v>
      </c>
      <c r="G956" s="3">
        <f t="shared" si="229"/>
        <v>321020</v>
      </c>
      <c r="J956" s="6">
        <f t="shared" si="230"/>
        <v>8.469999999999942</v>
      </c>
      <c r="K956" s="11">
        <f t="shared" si="231"/>
        <v>1512020</v>
      </c>
      <c r="P956" s="1">
        <f t="shared" si="225"/>
        <v>1512020</v>
      </c>
      <c r="Q956" s="1">
        <f t="shared" si="226"/>
        <v>383992918</v>
      </c>
    </row>
    <row r="957" spans="1:17" x14ac:dyDescent="0.3">
      <c r="A957" s="2">
        <f t="shared" si="222"/>
        <v>955</v>
      </c>
      <c r="B957" s="6">
        <f t="shared" si="222"/>
        <v>1505</v>
      </c>
      <c r="C957" s="9">
        <f t="shared" si="227"/>
        <v>785550</v>
      </c>
      <c r="D957" s="6">
        <f t="shared" si="223"/>
        <v>1105</v>
      </c>
      <c r="E957" s="9">
        <f t="shared" si="228"/>
        <v>393350</v>
      </c>
      <c r="F957" s="3">
        <f t="shared" si="224"/>
        <v>1555</v>
      </c>
      <c r="G957" s="3">
        <f t="shared" si="229"/>
        <v>321650</v>
      </c>
      <c r="J957" s="6">
        <f t="shared" si="230"/>
        <v>8.4749999999999428</v>
      </c>
      <c r="K957" s="11">
        <f t="shared" si="231"/>
        <v>1515150</v>
      </c>
      <c r="P957" s="1">
        <f t="shared" si="225"/>
        <v>1515150</v>
      </c>
      <c r="Q957" s="1">
        <f t="shared" si="226"/>
        <v>385508068</v>
      </c>
    </row>
    <row r="958" spans="1:17" x14ac:dyDescent="0.3">
      <c r="A958" s="2">
        <f t="shared" si="222"/>
        <v>956</v>
      </c>
      <c r="B958" s="6">
        <f t="shared" si="222"/>
        <v>1506</v>
      </c>
      <c r="C958" s="9">
        <f t="shared" si="227"/>
        <v>787160</v>
      </c>
      <c r="D958" s="6">
        <f t="shared" si="223"/>
        <v>1106</v>
      </c>
      <c r="E958" s="9">
        <f t="shared" si="228"/>
        <v>394120</v>
      </c>
      <c r="F958" s="3">
        <f t="shared" si="224"/>
        <v>1556</v>
      </c>
      <c r="G958" s="3">
        <f t="shared" si="229"/>
        <v>322280</v>
      </c>
      <c r="J958" s="6">
        <f t="shared" si="230"/>
        <v>8.4799999999999436</v>
      </c>
      <c r="K958" s="11">
        <f t="shared" si="231"/>
        <v>1518280</v>
      </c>
      <c r="P958" s="1">
        <f t="shared" si="225"/>
        <v>1518280</v>
      </c>
      <c r="Q958" s="1">
        <f t="shared" si="226"/>
        <v>387026348</v>
      </c>
    </row>
    <row r="959" spans="1:17" x14ac:dyDescent="0.3">
      <c r="A959" s="2">
        <f t="shared" si="222"/>
        <v>957</v>
      </c>
      <c r="B959" s="6">
        <f t="shared" si="222"/>
        <v>1507</v>
      </c>
      <c r="C959" s="9">
        <f t="shared" si="227"/>
        <v>788770</v>
      </c>
      <c r="D959" s="6">
        <f t="shared" si="223"/>
        <v>1107</v>
      </c>
      <c r="E959" s="9">
        <f t="shared" si="228"/>
        <v>394890</v>
      </c>
      <c r="F959" s="3">
        <f t="shared" si="224"/>
        <v>1557</v>
      </c>
      <c r="G959" s="3">
        <f t="shared" si="229"/>
        <v>322910</v>
      </c>
      <c r="J959" s="6">
        <f t="shared" si="230"/>
        <v>8.4849999999999444</v>
      </c>
      <c r="K959" s="11">
        <f t="shared" si="231"/>
        <v>1521410</v>
      </c>
      <c r="P959" s="1">
        <f t="shared" si="225"/>
        <v>1521410</v>
      </c>
      <c r="Q959" s="1">
        <f t="shared" si="226"/>
        <v>388547758</v>
      </c>
    </row>
    <row r="960" spans="1:17" x14ac:dyDescent="0.3">
      <c r="A960" s="2">
        <f t="shared" si="222"/>
        <v>958</v>
      </c>
      <c r="B960" s="6">
        <f t="shared" si="222"/>
        <v>1508</v>
      </c>
      <c r="C960" s="9">
        <f t="shared" si="227"/>
        <v>790380</v>
      </c>
      <c r="D960" s="6">
        <f t="shared" si="223"/>
        <v>1108</v>
      </c>
      <c r="E960" s="9">
        <f t="shared" si="228"/>
        <v>395660</v>
      </c>
      <c r="F960" s="3">
        <f t="shared" si="224"/>
        <v>1558</v>
      </c>
      <c r="G960" s="3">
        <f t="shared" si="229"/>
        <v>323540</v>
      </c>
      <c r="J960" s="6">
        <f t="shared" si="230"/>
        <v>8.4899999999999451</v>
      </c>
      <c r="K960" s="11">
        <f t="shared" si="231"/>
        <v>1524540</v>
      </c>
      <c r="P960" s="1">
        <f t="shared" si="225"/>
        <v>1524540</v>
      </c>
      <c r="Q960" s="1">
        <f t="shared" si="226"/>
        <v>390072298</v>
      </c>
    </row>
    <row r="961" spans="1:17" x14ac:dyDescent="0.3">
      <c r="A961" s="2">
        <f t="shared" si="222"/>
        <v>959</v>
      </c>
      <c r="B961" s="6">
        <f t="shared" si="222"/>
        <v>1509</v>
      </c>
      <c r="C961" s="9">
        <f t="shared" si="227"/>
        <v>791990</v>
      </c>
      <c r="D961" s="6">
        <f t="shared" si="223"/>
        <v>1109</v>
      </c>
      <c r="E961" s="9">
        <f t="shared" si="228"/>
        <v>396430</v>
      </c>
      <c r="F961" s="3">
        <f t="shared" si="224"/>
        <v>1559</v>
      </c>
      <c r="G961" s="3">
        <f t="shared" si="229"/>
        <v>324170</v>
      </c>
      <c r="J961" s="6">
        <f t="shared" si="230"/>
        <v>8.4949999999999459</v>
      </c>
      <c r="K961" s="11">
        <f t="shared" si="231"/>
        <v>1527670</v>
      </c>
      <c r="P961" s="1">
        <f t="shared" si="225"/>
        <v>1527670</v>
      </c>
      <c r="Q961" s="1">
        <f t="shared" si="226"/>
        <v>391599968</v>
      </c>
    </row>
    <row r="962" spans="1:17" x14ac:dyDescent="0.3">
      <c r="A962" s="2">
        <f t="shared" si="222"/>
        <v>960</v>
      </c>
      <c r="B962" s="6">
        <f t="shared" si="222"/>
        <v>1510</v>
      </c>
      <c r="C962" s="9">
        <f t="shared" si="227"/>
        <v>793600</v>
      </c>
      <c r="D962" s="6">
        <f t="shared" si="223"/>
        <v>1110</v>
      </c>
      <c r="E962" s="9">
        <f t="shared" si="228"/>
        <v>397200</v>
      </c>
      <c r="F962" s="3">
        <f t="shared" si="224"/>
        <v>1560</v>
      </c>
      <c r="G962" s="3">
        <f t="shared" si="229"/>
        <v>324800</v>
      </c>
      <c r="J962" s="6">
        <f t="shared" si="230"/>
        <v>8.4999999999999467</v>
      </c>
      <c r="K962" s="11">
        <f t="shared" si="231"/>
        <v>1530800</v>
      </c>
      <c r="P962" s="1">
        <f t="shared" si="225"/>
        <v>1530800</v>
      </c>
      <c r="Q962" s="1">
        <f t="shared" si="226"/>
        <v>393130768</v>
      </c>
    </row>
    <row r="963" spans="1:17" x14ac:dyDescent="0.3">
      <c r="A963" s="2">
        <f t="shared" si="222"/>
        <v>961</v>
      </c>
      <c r="B963" s="6">
        <f t="shared" si="222"/>
        <v>1511</v>
      </c>
      <c r="C963" s="9">
        <f t="shared" si="227"/>
        <v>795210</v>
      </c>
      <c r="D963" s="6">
        <f t="shared" si="223"/>
        <v>1111</v>
      </c>
      <c r="E963" s="9">
        <f t="shared" si="228"/>
        <v>397970</v>
      </c>
      <c r="F963" s="3">
        <f t="shared" si="224"/>
        <v>1561</v>
      </c>
      <c r="G963" s="3">
        <f t="shared" si="229"/>
        <v>325430</v>
      </c>
      <c r="J963" s="6">
        <f t="shared" si="230"/>
        <v>8.5049999999999475</v>
      </c>
      <c r="K963" s="11">
        <f t="shared" si="231"/>
        <v>1533930</v>
      </c>
      <c r="P963" s="1">
        <f t="shared" si="225"/>
        <v>1533930</v>
      </c>
      <c r="Q963" s="1">
        <f t="shared" si="226"/>
        <v>394664698</v>
      </c>
    </row>
    <row r="964" spans="1:17" x14ac:dyDescent="0.3">
      <c r="A964" s="2">
        <f t="shared" si="222"/>
        <v>962</v>
      </c>
      <c r="B964" s="6">
        <f t="shared" si="222"/>
        <v>1512</v>
      </c>
      <c r="C964" s="9">
        <f t="shared" si="227"/>
        <v>796820</v>
      </c>
      <c r="D964" s="6">
        <f t="shared" si="223"/>
        <v>1112</v>
      </c>
      <c r="E964" s="9">
        <f t="shared" si="228"/>
        <v>398740</v>
      </c>
      <c r="F964" s="3">
        <f t="shared" si="224"/>
        <v>1562</v>
      </c>
      <c r="G964" s="3">
        <f t="shared" si="229"/>
        <v>326060</v>
      </c>
      <c r="J964" s="6">
        <f t="shared" si="230"/>
        <v>8.5099999999999483</v>
      </c>
      <c r="K964" s="11">
        <f t="shared" si="231"/>
        <v>1537060</v>
      </c>
      <c r="P964" s="1">
        <f t="shared" si="225"/>
        <v>1537060</v>
      </c>
      <c r="Q964" s="1">
        <f t="shared" si="226"/>
        <v>396201758</v>
      </c>
    </row>
    <row r="965" spans="1:17" x14ac:dyDescent="0.3">
      <c r="A965" s="2">
        <f t="shared" ref="A965:B1002" si="232">A964+1</f>
        <v>963</v>
      </c>
      <c r="B965" s="6">
        <f t="shared" si="232"/>
        <v>1513</v>
      </c>
      <c r="C965" s="9">
        <f t="shared" si="227"/>
        <v>798430</v>
      </c>
      <c r="D965" s="6">
        <f t="shared" si="223"/>
        <v>1113</v>
      </c>
      <c r="E965" s="9">
        <f t="shared" si="228"/>
        <v>399510</v>
      </c>
      <c r="F965" s="3">
        <f t="shared" si="224"/>
        <v>1563</v>
      </c>
      <c r="G965" s="3">
        <f t="shared" si="229"/>
        <v>326690</v>
      </c>
      <c r="J965" s="6">
        <f t="shared" si="230"/>
        <v>8.5149999999999491</v>
      </c>
      <c r="K965" s="11">
        <f t="shared" si="231"/>
        <v>1540190</v>
      </c>
      <c r="P965" s="1">
        <f t="shared" si="225"/>
        <v>1540190</v>
      </c>
      <c r="Q965" s="1">
        <f t="shared" si="226"/>
        <v>397741948</v>
      </c>
    </row>
    <row r="966" spans="1:17" x14ac:dyDescent="0.3">
      <c r="A966" s="2">
        <f t="shared" si="232"/>
        <v>964</v>
      </c>
      <c r="B966" s="6">
        <f t="shared" si="232"/>
        <v>1514</v>
      </c>
      <c r="C966" s="9">
        <f t="shared" si="227"/>
        <v>800040</v>
      </c>
      <c r="D966" s="6">
        <f t="shared" si="223"/>
        <v>1114</v>
      </c>
      <c r="E966" s="9">
        <f t="shared" si="228"/>
        <v>400280</v>
      </c>
      <c r="F966" s="3">
        <f t="shared" si="224"/>
        <v>1564</v>
      </c>
      <c r="G966" s="3">
        <f t="shared" si="229"/>
        <v>327320</v>
      </c>
      <c r="J966" s="6">
        <f t="shared" si="230"/>
        <v>8.5199999999999498</v>
      </c>
      <c r="K966" s="11">
        <f t="shared" si="231"/>
        <v>1543320</v>
      </c>
      <c r="P966" s="1">
        <f t="shared" si="225"/>
        <v>1543320</v>
      </c>
      <c r="Q966" s="1">
        <f t="shared" si="226"/>
        <v>399285268</v>
      </c>
    </row>
    <row r="967" spans="1:17" x14ac:dyDescent="0.3">
      <c r="A967" s="2">
        <f t="shared" si="232"/>
        <v>965</v>
      </c>
      <c r="B967" s="6">
        <f t="shared" si="232"/>
        <v>1515</v>
      </c>
      <c r="C967" s="9">
        <f t="shared" si="227"/>
        <v>801650</v>
      </c>
      <c r="D967" s="6">
        <f t="shared" si="223"/>
        <v>1115</v>
      </c>
      <c r="E967" s="9">
        <f t="shared" si="228"/>
        <v>401050</v>
      </c>
      <c r="F967" s="3">
        <f t="shared" si="224"/>
        <v>1565</v>
      </c>
      <c r="G967" s="3">
        <f t="shared" si="229"/>
        <v>327950</v>
      </c>
      <c r="J967" s="6">
        <f t="shared" si="230"/>
        <v>8.5249999999999506</v>
      </c>
      <c r="K967" s="11">
        <f t="shared" si="231"/>
        <v>1546450</v>
      </c>
      <c r="P967" s="1">
        <f t="shared" si="225"/>
        <v>1546450</v>
      </c>
      <c r="Q967" s="1">
        <f t="shared" si="226"/>
        <v>400831718</v>
      </c>
    </row>
    <row r="968" spans="1:17" x14ac:dyDescent="0.3">
      <c r="A968" s="2">
        <f t="shared" si="232"/>
        <v>966</v>
      </c>
      <c r="B968" s="6">
        <f t="shared" si="232"/>
        <v>1516</v>
      </c>
      <c r="C968" s="9">
        <f t="shared" si="227"/>
        <v>803260</v>
      </c>
      <c r="D968" s="6">
        <f t="shared" si="223"/>
        <v>1116</v>
      </c>
      <c r="E968" s="9">
        <f t="shared" si="228"/>
        <v>401820</v>
      </c>
      <c r="F968" s="3">
        <f t="shared" si="224"/>
        <v>1566</v>
      </c>
      <c r="G968" s="3">
        <f t="shared" si="229"/>
        <v>328580</v>
      </c>
      <c r="J968" s="6">
        <f t="shared" si="230"/>
        <v>8.5299999999999514</v>
      </c>
      <c r="K968" s="11">
        <f t="shared" si="231"/>
        <v>1549580</v>
      </c>
      <c r="P968" s="1">
        <f t="shared" si="225"/>
        <v>1549580</v>
      </c>
      <c r="Q968" s="1">
        <f t="shared" si="226"/>
        <v>402381298</v>
      </c>
    </row>
    <row r="969" spans="1:17" x14ac:dyDescent="0.3">
      <c r="A969" s="2">
        <f t="shared" si="232"/>
        <v>967</v>
      </c>
      <c r="B969" s="6">
        <f t="shared" si="232"/>
        <v>1517</v>
      </c>
      <c r="C969" s="9">
        <f t="shared" si="227"/>
        <v>804870</v>
      </c>
      <c r="D969" s="6">
        <f t="shared" si="223"/>
        <v>1117</v>
      </c>
      <c r="E969" s="9">
        <f t="shared" si="228"/>
        <v>402590</v>
      </c>
      <c r="F969" s="3">
        <f t="shared" si="224"/>
        <v>1567</v>
      </c>
      <c r="G969" s="3">
        <f t="shared" si="229"/>
        <v>329210</v>
      </c>
      <c r="J969" s="6">
        <f t="shared" si="230"/>
        <v>8.5349999999999522</v>
      </c>
      <c r="K969" s="11">
        <f t="shared" si="231"/>
        <v>1552710</v>
      </c>
      <c r="P969" s="1">
        <f t="shared" si="225"/>
        <v>1552710</v>
      </c>
      <c r="Q969" s="1">
        <f t="shared" si="226"/>
        <v>403934008</v>
      </c>
    </row>
    <row r="970" spans="1:17" x14ac:dyDescent="0.3">
      <c r="A970" s="2">
        <f t="shared" si="232"/>
        <v>968</v>
      </c>
      <c r="B970" s="6">
        <f t="shared" si="232"/>
        <v>1518</v>
      </c>
      <c r="C970" s="9">
        <f t="shared" si="227"/>
        <v>806480</v>
      </c>
      <c r="D970" s="6">
        <f t="shared" si="223"/>
        <v>1118</v>
      </c>
      <c r="E970" s="9">
        <f t="shared" si="228"/>
        <v>403360</v>
      </c>
      <c r="F970" s="3">
        <f t="shared" si="224"/>
        <v>1568</v>
      </c>
      <c r="G970" s="3">
        <f t="shared" si="229"/>
        <v>329840</v>
      </c>
      <c r="J970" s="6">
        <f t="shared" si="230"/>
        <v>8.539999999999953</v>
      </c>
      <c r="K970" s="11">
        <f t="shared" si="231"/>
        <v>1555840</v>
      </c>
      <c r="P970" s="1">
        <f t="shared" si="225"/>
        <v>1555840</v>
      </c>
      <c r="Q970" s="1">
        <f t="shared" si="226"/>
        <v>405489848</v>
      </c>
    </row>
    <row r="971" spans="1:17" x14ac:dyDescent="0.3">
      <c r="A971" s="2">
        <f t="shared" si="232"/>
        <v>969</v>
      </c>
      <c r="B971" s="6">
        <f t="shared" si="232"/>
        <v>1519</v>
      </c>
      <c r="C971" s="9">
        <f t="shared" si="227"/>
        <v>808090</v>
      </c>
      <c r="D971" s="6">
        <f t="shared" si="223"/>
        <v>1119</v>
      </c>
      <c r="E971" s="9">
        <f t="shared" si="228"/>
        <v>404130</v>
      </c>
      <c r="F971" s="3">
        <f t="shared" si="224"/>
        <v>1569</v>
      </c>
      <c r="G971" s="3">
        <f t="shared" si="229"/>
        <v>330470</v>
      </c>
      <c r="J971" s="6">
        <f t="shared" si="230"/>
        <v>8.5449999999999537</v>
      </c>
      <c r="K971" s="11">
        <f t="shared" si="231"/>
        <v>1558970</v>
      </c>
      <c r="P971" s="1">
        <f t="shared" si="225"/>
        <v>1558970</v>
      </c>
      <c r="Q971" s="1">
        <f t="shared" si="226"/>
        <v>407048818</v>
      </c>
    </row>
    <row r="972" spans="1:17" x14ac:dyDescent="0.3">
      <c r="A972" s="2">
        <f t="shared" si="232"/>
        <v>970</v>
      </c>
      <c r="B972" s="6">
        <f t="shared" si="232"/>
        <v>1520</v>
      </c>
      <c r="C972" s="9">
        <f t="shared" si="227"/>
        <v>809700</v>
      </c>
      <c r="D972" s="6">
        <f t="shared" si="223"/>
        <v>1120</v>
      </c>
      <c r="E972" s="9">
        <f t="shared" si="228"/>
        <v>404900</v>
      </c>
      <c r="F972" s="3">
        <f t="shared" si="224"/>
        <v>1570</v>
      </c>
      <c r="G972" s="3">
        <f t="shared" si="229"/>
        <v>331100</v>
      </c>
      <c r="J972" s="6">
        <f t="shared" si="230"/>
        <v>8.5499999999999545</v>
      </c>
      <c r="K972" s="11">
        <f t="shared" si="231"/>
        <v>1562100</v>
      </c>
      <c r="P972" s="1">
        <f t="shared" si="225"/>
        <v>1562100</v>
      </c>
      <c r="Q972" s="1">
        <f t="shared" si="226"/>
        <v>408610918</v>
      </c>
    </row>
    <row r="973" spans="1:17" x14ac:dyDescent="0.3">
      <c r="A973" s="2">
        <f t="shared" si="232"/>
        <v>971</v>
      </c>
      <c r="B973" s="6">
        <f t="shared" si="232"/>
        <v>1521</v>
      </c>
      <c r="C973" s="9">
        <f t="shared" si="227"/>
        <v>811310</v>
      </c>
      <c r="D973" s="6">
        <f t="shared" si="223"/>
        <v>1121</v>
      </c>
      <c r="E973" s="9">
        <f t="shared" si="228"/>
        <v>405670</v>
      </c>
      <c r="F973" s="3">
        <f t="shared" si="224"/>
        <v>1571</v>
      </c>
      <c r="G973" s="3">
        <f t="shared" si="229"/>
        <v>331730</v>
      </c>
      <c r="J973" s="6">
        <f t="shared" si="230"/>
        <v>8.5549999999999553</v>
      </c>
      <c r="K973" s="11">
        <f t="shared" si="231"/>
        <v>1565230</v>
      </c>
      <c r="P973" s="1">
        <f t="shared" si="225"/>
        <v>1565230</v>
      </c>
      <c r="Q973" s="1">
        <f t="shared" si="226"/>
        <v>410176148</v>
      </c>
    </row>
    <row r="974" spans="1:17" x14ac:dyDescent="0.3">
      <c r="A974" s="2">
        <f t="shared" si="232"/>
        <v>972</v>
      </c>
      <c r="B974" s="6">
        <f t="shared" si="232"/>
        <v>1522</v>
      </c>
      <c r="C974" s="9">
        <f t="shared" si="227"/>
        <v>812920</v>
      </c>
      <c r="D974" s="6">
        <f t="shared" si="223"/>
        <v>1122</v>
      </c>
      <c r="E974" s="9">
        <f t="shared" si="228"/>
        <v>406440</v>
      </c>
      <c r="F974" s="3">
        <f t="shared" si="224"/>
        <v>1572</v>
      </c>
      <c r="G974" s="3">
        <f t="shared" si="229"/>
        <v>332360</v>
      </c>
      <c r="J974" s="6">
        <f t="shared" si="230"/>
        <v>8.5599999999999561</v>
      </c>
      <c r="K974" s="11">
        <f t="shared" si="231"/>
        <v>1568360</v>
      </c>
      <c r="P974" s="1">
        <f t="shared" si="225"/>
        <v>1568360</v>
      </c>
      <c r="Q974" s="1">
        <f t="shared" si="226"/>
        <v>411744508</v>
      </c>
    </row>
    <row r="975" spans="1:17" x14ac:dyDescent="0.3">
      <c r="A975" s="2">
        <f t="shared" si="232"/>
        <v>973</v>
      </c>
      <c r="B975" s="6">
        <f t="shared" si="232"/>
        <v>1523</v>
      </c>
      <c r="C975" s="9">
        <f t="shared" si="227"/>
        <v>814530</v>
      </c>
      <c r="D975" s="6">
        <f t="shared" si="223"/>
        <v>1123</v>
      </c>
      <c r="E975" s="9">
        <f t="shared" si="228"/>
        <v>407210</v>
      </c>
      <c r="F975" s="3">
        <f t="shared" si="224"/>
        <v>1573</v>
      </c>
      <c r="G975" s="3">
        <f t="shared" si="229"/>
        <v>332990</v>
      </c>
      <c r="J975" s="6">
        <f t="shared" si="230"/>
        <v>8.5649999999999569</v>
      </c>
      <c r="K975" s="11">
        <f t="shared" si="231"/>
        <v>1571490</v>
      </c>
      <c r="P975" s="1">
        <f t="shared" si="225"/>
        <v>1571490</v>
      </c>
      <c r="Q975" s="1">
        <f t="shared" si="226"/>
        <v>413315998</v>
      </c>
    </row>
    <row r="976" spans="1:17" x14ac:dyDescent="0.3">
      <c r="A976" s="2">
        <f t="shared" si="232"/>
        <v>974</v>
      </c>
      <c r="B976" s="6">
        <f t="shared" si="232"/>
        <v>1524</v>
      </c>
      <c r="C976" s="9">
        <f t="shared" si="227"/>
        <v>816140</v>
      </c>
      <c r="D976" s="6">
        <f t="shared" si="223"/>
        <v>1124</v>
      </c>
      <c r="E976" s="9">
        <f t="shared" si="228"/>
        <v>407980</v>
      </c>
      <c r="F976" s="3">
        <f t="shared" si="224"/>
        <v>1574</v>
      </c>
      <c r="G976" s="3">
        <f t="shared" si="229"/>
        <v>333620</v>
      </c>
      <c r="J976" s="6">
        <f t="shared" si="230"/>
        <v>8.5699999999999577</v>
      </c>
      <c r="K976" s="11">
        <f t="shared" si="231"/>
        <v>1574620</v>
      </c>
      <c r="P976" s="1">
        <f t="shared" si="225"/>
        <v>1574620</v>
      </c>
      <c r="Q976" s="1">
        <f t="shared" si="226"/>
        <v>414890618</v>
      </c>
    </row>
    <row r="977" spans="1:17" x14ac:dyDescent="0.3">
      <c r="A977" s="2">
        <f t="shared" si="232"/>
        <v>975</v>
      </c>
      <c r="B977" s="6">
        <f t="shared" si="232"/>
        <v>1525</v>
      </c>
      <c r="C977" s="9">
        <f t="shared" si="227"/>
        <v>817750</v>
      </c>
      <c r="D977" s="6">
        <f t="shared" si="223"/>
        <v>1125</v>
      </c>
      <c r="E977" s="9">
        <f t="shared" si="228"/>
        <v>408750</v>
      </c>
      <c r="F977" s="3">
        <f t="shared" si="224"/>
        <v>1575</v>
      </c>
      <c r="G977" s="3">
        <f t="shared" si="229"/>
        <v>334250</v>
      </c>
      <c r="J977" s="6">
        <f t="shared" si="230"/>
        <v>8.5749999999999584</v>
      </c>
      <c r="K977" s="11">
        <f t="shared" si="231"/>
        <v>1577750</v>
      </c>
      <c r="P977" s="1">
        <f t="shared" si="225"/>
        <v>1577750</v>
      </c>
      <c r="Q977" s="1">
        <f t="shared" si="226"/>
        <v>416468368</v>
      </c>
    </row>
    <row r="978" spans="1:17" x14ac:dyDescent="0.3">
      <c r="A978" s="2">
        <f t="shared" si="232"/>
        <v>976</v>
      </c>
      <c r="B978" s="6">
        <f t="shared" si="232"/>
        <v>1526</v>
      </c>
      <c r="C978" s="9">
        <f t="shared" si="227"/>
        <v>819360</v>
      </c>
      <c r="D978" s="6">
        <f t="shared" si="223"/>
        <v>1126</v>
      </c>
      <c r="E978" s="9">
        <f t="shared" si="228"/>
        <v>409520</v>
      </c>
      <c r="F978" s="3">
        <f t="shared" si="224"/>
        <v>1576</v>
      </c>
      <c r="G978" s="3">
        <f t="shared" si="229"/>
        <v>334880</v>
      </c>
      <c r="J978" s="6">
        <f t="shared" si="230"/>
        <v>8.5799999999999592</v>
      </c>
      <c r="K978" s="11">
        <f t="shared" si="231"/>
        <v>1580880</v>
      </c>
      <c r="P978" s="1">
        <f t="shared" si="225"/>
        <v>1580880</v>
      </c>
      <c r="Q978" s="1">
        <f t="shared" si="226"/>
        <v>418049248</v>
      </c>
    </row>
    <row r="979" spans="1:17" x14ac:dyDescent="0.3">
      <c r="A979" s="2">
        <f t="shared" si="232"/>
        <v>977</v>
      </c>
      <c r="B979" s="6">
        <f t="shared" si="232"/>
        <v>1527</v>
      </c>
      <c r="C979" s="9">
        <f t="shared" si="227"/>
        <v>820970</v>
      </c>
      <c r="D979" s="6">
        <f t="shared" si="223"/>
        <v>1127</v>
      </c>
      <c r="E979" s="9">
        <f t="shared" si="228"/>
        <v>410290</v>
      </c>
      <c r="F979" s="3">
        <f t="shared" si="224"/>
        <v>1577</v>
      </c>
      <c r="G979" s="3">
        <f t="shared" si="229"/>
        <v>335510</v>
      </c>
      <c r="J979" s="6">
        <f t="shared" si="230"/>
        <v>8.58499999999996</v>
      </c>
      <c r="K979" s="11">
        <f t="shared" si="231"/>
        <v>1584010</v>
      </c>
      <c r="P979" s="1">
        <f t="shared" si="225"/>
        <v>1584010</v>
      </c>
      <c r="Q979" s="1">
        <f t="shared" si="226"/>
        <v>419633258</v>
      </c>
    </row>
    <row r="980" spans="1:17" x14ac:dyDescent="0.3">
      <c r="A980" s="2">
        <f t="shared" si="232"/>
        <v>978</v>
      </c>
      <c r="B980" s="6">
        <f t="shared" si="232"/>
        <v>1528</v>
      </c>
      <c r="C980" s="9">
        <f t="shared" si="227"/>
        <v>822580</v>
      </c>
      <c r="D980" s="6">
        <f t="shared" si="223"/>
        <v>1128</v>
      </c>
      <c r="E980" s="9">
        <f t="shared" si="228"/>
        <v>411060</v>
      </c>
      <c r="F980" s="3">
        <f t="shared" si="224"/>
        <v>1578</v>
      </c>
      <c r="G980" s="3">
        <f t="shared" si="229"/>
        <v>336140</v>
      </c>
      <c r="J980" s="6">
        <f t="shared" si="230"/>
        <v>8.5899999999999608</v>
      </c>
      <c r="K980" s="11">
        <f t="shared" si="231"/>
        <v>1587140</v>
      </c>
      <c r="P980" s="1">
        <f t="shared" si="225"/>
        <v>1587140</v>
      </c>
      <c r="Q980" s="1">
        <f t="shared" si="226"/>
        <v>421220398</v>
      </c>
    </row>
    <row r="981" spans="1:17" x14ac:dyDescent="0.3">
      <c r="A981" s="2">
        <f t="shared" si="232"/>
        <v>979</v>
      </c>
      <c r="B981" s="6">
        <f t="shared" si="232"/>
        <v>1529</v>
      </c>
      <c r="C981" s="9">
        <f t="shared" si="227"/>
        <v>824190</v>
      </c>
      <c r="D981" s="6">
        <f t="shared" si="223"/>
        <v>1129</v>
      </c>
      <c r="E981" s="9">
        <f t="shared" si="228"/>
        <v>411830</v>
      </c>
      <c r="F981" s="3">
        <f t="shared" si="224"/>
        <v>1579</v>
      </c>
      <c r="G981" s="3">
        <f t="shared" si="229"/>
        <v>336770</v>
      </c>
      <c r="J981" s="6">
        <f t="shared" si="230"/>
        <v>8.5949999999999616</v>
      </c>
      <c r="K981" s="11">
        <f t="shared" si="231"/>
        <v>1590270</v>
      </c>
      <c r="P981" s="1">
        <f t="shared" si="225"/>
        <v>1590270</v>
      </c>
      <c r="Q981" s="1">
        <f t="shared" si="226"/>
        <v>422810668</v>
      </c>
    </row>
    <row r="982" spans="1:17" x14ac:dyDescent="0.3">
      <c r="A982" s="2">
        <f t="shared" si="232"/>
        <v>980</v>
      </c>
      <c r="B982" s="6">
        <f t="shared" si="232"/>
        <v>1530</v>
      </c>
      <c r="C982" s="9">
        <f t="shared" si="227"/>
        <v>825800</v>
      </c>
      <c r="D982" s="6">
        <f t="shared" si="223"/>
        <v>1130</v>
      </c>
      <c r="E982" s="9">
        <f t="shared" si="228"/>
        <v>412600</v>
      </c>
      <c r="F982" s="3">
        <f t="shared" si="224"/>
        <v>1580</v>
      </c>
      <c r="G982" s="3">
        <f t="shared" si="229"/>
        <v>337400</v>
      </c>
      <c r="J982" s="6">
        <f t="shared" si="230"/>
        <v>8.5999999999999623</v>
      </c>
      <c r="K982" s="11">
        <f t="shared" si="231"/>
        <v>1593400</v>
      </c>
      <c r="P982" s="1">
        <f t="shared" si="225"/>
        <v>1593400</v>
      </c>
      <c r="Q982" s="1">
        <f t="shared" si="226"/>
        <v>424404068</v>
      </c>
    </row>
    <row r="983" spans="1:17" x14ac:dyDescent="0.3">
      <c r="A983" s="2">
        <f t="shared" si="232"/>
        <v>981</v>
      </c>
      <c r="B983" s="6">
        <f t="shared" si="232"/>
        <v>1531</v>
      </c>
      <c r="C983" s="9">
        <f t="shared" si="227"/>
        <v>827410</v>
      </c>
      <c r="D983" s="6">
        <f t="shared" si="223"/>
        <v>1131</v>
      </c>
      <c r="E983" s="9">
        <f t="shared" si="228"/>
        <v>413370</v>
      </c>
      <c r="F983" s="3">
        <f t="shared" si="224"/>
        <v>1581</v>
      </c>
      <c r="G983" s="3">
        <f t="shared" si="229"/>
        <v>338030</v>
      </c>
      <c r="J983" s="6">
        <f t="shared" si="230"/>
        <v>8.6049999999999631</v>
      </c>
      <c r="K983" s="11">
        <f t="shared" si="231"/>
        <v>1596530</v>
      </c>
      <c r="P983" s="1">
        <f t="shared" si="225"/>
        <v>1596530</v>
      </c>
      <c r="Q983" s="1">
        <f t="shared" si="226"/>
        <v>426000598</v>
      </c>
    </row>
    <row r="984" spans="1:17" x14ac:dyDescent="0.3">
      <c r="A984" s="2">
        <f t="shared" si="232"/>
        <v>982</v>
      </c>
      <c r="B984" s="6">
        <f t="shared" si="232"/>
        <v>1532</v>
      </c>
      <c r="C984" s="9">
        <f t="shared" si="227"/>
        <v>829020</v>
      </c>
      <c r="D984" s="6">
        <f t="shared" si="223"/>
        <v>1132</v>
      </c>
      <c r="E984" s="9">
        <f t="shared" si="228"/>
        <v>414140</v>
      </c>
      <c r="F984" s="3">
        <f t="shared" si="224"/>
        <v>1582</v>
      </c>
      <c r="G984" s="3">
        <f t="shared" si="229"/>
        <v>338660</v>
      </c>
      <c r="J984" s="6">
        <f t="shared" si="230"/>
        <v>8.6099999999999639</v>
      </c>
      <c r="K984" s="11">
        <f t="shared" si="231"/>
        <v>1599660</v>
      </c>
      <c r="P984" s="1">
        <f t="shared" si="225"/>
        <v>1599660</v>
      </c>
      <c r="Q984" s="1">
        <f t="shared" si="226"/>
        <v>427600258</v>
      </c>
    </row>
    <row r="985" spans="1:17" x14ac:dyDescent="0.3">
      <c r="A985" s="2">
        <f t="shared" si="232"/>
        <v>983</v>
      </c>
      <c r="B985" s="6">
        <f t="shared" si="232"/>
        <v>1533</v>
      </c>
      <c r="C985" s="9">
        <f t="shared" si="227"/>
        <v>830630</v>
      </c>
      <c r="D985" s="6">
        <f t="shared" si="223"/>
        <v>1133</v>
      </c>
      <c r="E985" s="9">
        <f t="shared" si="228"/>
        <v>414910</v>
      </c>
      <c r="F985" s="3">
        <f t="shared" si="224"/>
        <v>1583</v>
      </c>
      <c r="G985" s="3">
        <f t="shared" si="229"/>
        <v>339290</v>
      </c>
      <c r="J985" s="6">
        <f t="shared" si="230"/>
        <v>8.6149999999999647</v>
      </c>
      <c r="K985" s="11">
        <f t="shared" si="231"/>
        <v>1602790</v>
      </c>
      <c r="P985" s="1">
        <f t="shared" si="225"/>
        <v>1602790</v>
      </c>
      <c r="Q985" s="1">
        <f t="shared" si="226"/>
        <v>429203048</v>
      </c>
    </row>
    <row r="986" spans="1:17" x14ac:dyDescent="0.3">
      <c r="A986" s="2">
        <f t="shared" si="232"/>
        <v>984</v>
      </c>
      <c r="B986" s="6">
        <f t="shared" si="232"/>
        <v>1534</v>
      </c>
      <c r="C986" s="9">
        <f t="shared" si="227"/>
        <v>832240</v>
      </c>
      <c r="D986" s="6">
        <f t="shared" si="223"/>
        <v>1134</v>
      </c>
      <c r="E986" s="9">
        <f t="shared" si="228"/>
        <v>415680</v>
      </c>
      <c r="F986" s="3">
        <f t="shared" si="224"/>
        <v>1584</v>
      </c>
      <c r="G986" s="3">
        <f t="shared" si="229"/>
        <v>339920</v>
      </c>
      <c r="J986" s="6">
        <f t="shared" si="230"/>
        <v>8.6199999999999655</v>
      </c>
      <c r="K986" s="11">
        <f t="shared" si="231"/>
        <v>1605920</v>
      </c>
      <c r="P986" s="1">
        <f t="shared" si="225"/>
        <v>1605920</v>
      </c>
      <c r="Q986" s="1">
        <f t="shared" si="226"/>
        <v>430808968</v>
      </c>
    </row>
    <row r="987" spans="1:17" x14ac:dyDescent="0.3">
      <c r="A987" s="2">
        <f t="shared" si="232"/>
        <v>985</v>
      </c>
      <c r="B987" s="6">
        <f t="shared" si="232"/>
        <v>1535</v>
      </c>
      <c r="C987" s="9">
        <f t="shared" si="227"/>
        <v>833850</v>
      </c>
      <c r="D987" s="6">
        <f t="shared" si="223"/>
        <v>1135</v>
      </c>
      <c r="E987" s="9">
        <f t="shared" si="228"/>
        <v>416450</v>
      </c>
      <c r="F987" s="3">
        <f t="shared" si="224"/>
        <v>1585</v>
      </c>
      <c r="G987" s="3">
        <f t="shared" si="229"/>
        <v>340550</v>
      </c>
      <c r="J987" s="6">
        <f t="shared" si="230"/>
        <v>8.6249999999999662</v>
      </c>
      <c r="K987" s="11">
        <f t="shared" si="231"/>
        <v>1609050</v>
      </c>
      <c r="P987" s="1">
        <f t="shared" si="225"/>
        <v>1609050</v>
      </c>
      <c r="Q987" s="1">
        <f t="shared" si="226"/>
        <v>432418018</v>
      </c>
    </row>
    <row r="988" spans="1:17" x14ac:dyDescent="0.3">
      <c r="A988" s="2">
        <f t="shared" si="232"/>
        <v>986</v>
      </c>
      <c r="B988" s="6">
        <f t="shared" si="232"/>
        <v>1536</v>
      </c>
      <c r="C988" s="9">
        <f t="shared" si="227"/>
        <v>835460</v>
      </c>
      <c r="D988" s="6">
        <f t="shared" si="223"/>
        <v>1136</v>
      </c>
      <c r="E988" s="9">
        <f t="shared" si="228"/>
        <v>417220</v>
      </c>
      <c r="F988" s="3">
        <f t="shared" si="224"/>
        <v>1586</v>
      </c>
      <c r="G988" s="3">
        <f t="shared" si="229"/>
        <v>341180</v>
      </c>
      <c r="J988" s="6">
        <f t="shared" si="230"/>
        <v>8.629999999999967</v>
      </c>
      <c r="K988" s="11">
        <f t="shared" si="231"/>
        <v>1612180</v>
      </c>
      <c r="P988" s="1">
        <f t="shared" si="225"/>
        <v>1612180</v>
      </c>
      <c r="Q988" s="1">
        <f t="shared" si="226"/>
        <v>434030198</v>
      </c>
    </row>
    <row r="989" spans="1:17" x14ac:dyDescent="0.3">
      <c r="A989" s="2">
        <f t="shared" si="232"/>
        <v>987</v>
      </c>
      <c r="B989" s="6">
        <f t="shared" si="232"/>
        <v>1537</v>
      </c>
      <c r="C989" s="9">
        <f t="shared" si="227"/>
        <v>837070</v>
      </c>
      <c r="D989" s="6">
        <f t="shared" si="223"/>
        <v>1137</v>
      </c>
      <c r="E989" s="9">
        <f t="shared" si="228"/>
        <v>417990</v>
      </c>
      <c r="F989" s="3">
        <f t="shared" si="224"/>
        <v>1587</v>
      </c>
      <c r="G989" s="3">
        <f t="shared" si="229"/>
        <v>341810</v>
      </c>
      <c r="J989" s="6">
        <f t="shared" si="230"/>
        <v>8.6349999999999678</v>
      </c>
      <c r="K989" s="11">
        <f t="shared" si="231"/>
        <v>1615310</v>
      </c>
      <c r="P989" s="1">
        <f t="shared" si="225"/>
        <v>1615310</v>
      </c>
      <c r="Q989" s="1">
        <f t="shared" si="226"/>
        <v>435645508</v>
      </c>
    </row>
    <row r="990" spans="1:17" x14ac:dyDescent="0.3">
      <c r="A990" s="2">
        <f t="shared" si="232"/>
        <v>988</v>
      </c>
      <c r="B990" s="6">
        <f t="shared" si="232"/>
        <v>1538</v>
      </c>
      <c r="C990" s="9">
        <f t="shared" si="227"/>
        <v>838680</v>
      </c>
      <c r="D990" s="6">
        <f t="shared" si="223"/>
        <v>1138</v>
      </c>
      <c r="E990" s="9">
        <f t="shared" si="228"/>
        <v>418760</v>
      </c>
      <c r="F990" s="3">
        <f t="shared" si="224"/>
        <v>1588</v>
      </c>
      <c r="G990" s="3">
        <f t="shared" si="229"/>
        <v>342440</v>
      </c>
      <c r="J990" s="6">
        <f t="shared" si="230"/>
        <v>8.6399999999999686</v>
      </c>
      <c r="K990" s="11">
        <f t="shared" si="231"/>
        <v>1618440</v>
      </c>
      <c r="P990" s="1">
        <f t="shared" si="225"/>
        <v>1618440</v>
      </c>
      <c r="Q990" s="1">
        <f t="shared" si="226"/>
        <v>437263948</v>
      </c>
    </row>
    <row r="991" spans="1:17" x14ac:dyDescent="0.3">
      <c r="A991" s="2">
        <f t="shared" si="232"/>
        <v>989</v>
      </c>
      <c r="B991" s="6">
        <f t="shared" si="232"/>
        <v>1539</v>
      </c>
      <c r="C991" s="9">
        <f t="shared" si="227"/>
        <v>840290</v>
      </c>
      <c r="D991" s="6">
        <f t="shared" si="223"/>
        <v>1139</v>
      </c>
      <c r="E991" s="9">
        <f t="shared" si="228"/>
        <v>419530</v>
      </c>
      <c r="F991" s="3">
        <f t="shared" si="224"/>
        <v>1589</v>
      </c>
      <c r="G991" s="3">
        <f t="shared" si="229"/>
        <v>343070</v>
      </c>
      <c r="J991" s="6">
        <f t="shared" si="230"/>
        <v>8.6449999999999694</v>
      </c>
      <c r="K991" s="11">
        <f t="shared" si="231"/>
        <v>1621570</v>
      </c>
      <c r="P991" s="1">
        <f t="shared" si="225"/>
        <v>1621570</v>
      </c>
      <c r="Q991" s="1">
        <f t="shared" si="226"/>
        <v>438885518</v>
      </c>
    </row>
    <row r="992" spans="1:17" x14ac:dyDescent="0.3">
      <c r="A992" s="2">
        <f t="shared" si="232"/>
        <v>990</v>
      </c>
      <c r="B992" s="6">
        <f t="shared" si="232"/>
        <v>1540</v>
      </c>
      <c r="C992" s="9">
        <f t="shared" si="227"/>
        <v>841900</v>
      </c>
      <c r="D992" s="6">
        <f t="shared" si="223"/>
        <v>1140</v>
      </c>
      <c r="E992" s="9">
        <f t="shared" si="228"/>
        <v>420300</v>
      </c>
      <c r="F992" s="3">
        <f t="shared" si="224"/>
        <v>1590</v>
      </c>
      <c r="G992" s="3">
        <f t="shared" si="229"/>
        <v>343700</v>
      </c>
      <c r="J992" s="6">
        <f t="shared" si="230"/>
        <v>8.6499999999999702</v>
      </c>
      <c r="K992" s="11">
        <f t="shared" si="231"/>
        <v>1624700</v>
      </c>
      <c r="P992" s="1">
        <f t="shared" si="225"/>
        <v>1624700</v>
      </c>
      <c r="Q992" s="1">
        <f t="shared" si="226"/>
        <v>440510218</v>
      </c>
    </row>
    <row r="993" spans="1:17" x14ac:dyDescent="0.3">
      <c r="A993" s="2">
        <f t="shared" si="232"/>
        <v>991</v>
      </c>
      <c r="B993" s="6">
        <f t="shared" si="232"/>
        <v>1541</v>
      </c>
      <c r="C993" s="9">
        <f t="shared" si="227"/>
        <v>843510</v>
      </c>
      <c r="D993" s="6">
        <f t="shared" si="223"/>
        <v>1141</v>
      </c>
      <c r="E993" s="9">
        <f t="shared" si="228"/>
        <v>421070</v>
      </c>
      <c r="F993" s="3">
        <f t="shared" si="224"/>
        <v>1591</v>
      </c>
      <c r="G993" s="3">
        <f t="shared" si="229"/>
        <v>344330</v>
      </c>
      <c r="J993" s="6">
        <f t="shared" si="230"/>
        <v>8.6549999999999709</v>
      </c>
      <c r="K993" s="11">
        <f t="shared" si="231"/>
        <v>1627830</v>
      </c>
      <c r="P993" s="1">
        <f t="shared" si="225"/>
        <v>1627830</v>
      </c>
      <c r="Q993" s="1">
        <f t="shared" si="226"/>
        <v>442138048</v>
      </c>
    </row>
    <row r="994" spans="1:17" x14ac:dyDescent="0.3">
      <c r="A994" s="2">
        <f t="shared" si="232"/>
        <v>992</v>
      </c>
      <c r="B994" s="6">
        <f t="shared" si="232"/>
        <v>1542</v>
      </c>
      <c r="C994" s="9">
        <f t="shared" si="227"/>
        <v>845120</v>
      </c>
      <c r="D994" s="6">
        <f t="shared" si="223"/>
        <v>1142</v>
      </c>
      <c r="E994" s="9">
        <f t="shared" si="228"/>
        <v>421840</v>
      </c>
      <c r="F994" s="3">
        <f t="shared" si="224"/>
        <v>1592</v>
      </c>
      <c r="G994" s="3">
        <f t="shared" si="229"/>
        <v>344960</v>
      </c>
      <c r="J994" s="6">
        <f t="shared" si="230"/>
        <v>8.6599999999999717</v>
      </c>
      <c r="K994" s="11">
        <f t="shared" si="231"/>
        <v>1630960</v>
      </c>
      <c r="P994" s="1">
        <f t="shared" si="225"/>
        <v>1630960</v>
      </c>
      <c r="Q994" s="1">
        <f t="shared" si="226"/>
        <v>443769008</v>
      </c>
    </row>
    <row r="995" spans="1:17" x14ac:dyDescent="0.3">
      <c r="A995" s="2">
        <f t="shared" si="232"/>
        <v>993</v>
      </c>
      <c r="B995" s="6">
        <f t="shared" si="232"/>
        <v>1543</v>
      </c>
      <c r="C995" s="9">
        <f t="shared" si="227"/>
        <v>846730</v>
      </c>
      <c r="D995" s="6">
        <f t="shared" si="223"/>
        <v>1143</v>
      </c>
      <c r="E995" s="9">
        <f t="shared" si="228"/>
        <v>422610</v>
      </c>
      <c r="F995" s="3">
        <f t="shared" si="224"/>
        <v>1593</v>
      </c>
      <c r="G995" s="3">
        <f t="shared" si="229"/>
        <v>345590</v>
      </c>
      <c r="J995" s="6">
        <f t="shared" si="230"/>
        <v>8.6649999999999725</v>
      </c>
      <c r="K995" s="11">
        <f t="shared" si="231"/>
        <v>1634090</v>
      </c>
      <c r="P995" s="1">
        <f t="shared" si="225"/>
        <v>1634090</v>
      </c>
      <c r="Q995" s="1">
        <f t="shared" si="226"/>
        <v>445403098</v>
      </c>
    </row>
    <row r="996" spans="1:17" x14ac:dyDescent="0.3">
      <c r="A996" s="2">
        <f t="shared" si="232"/>
        <v>994</v>
      </c>
      <c r="B996" s="6">
        <f t="shared" si="232"/>
        <v>1544</v>
      </c>
      <c r="C996" s="9">
        <f t="shared" si="227"/>
        <v>848340</v>
      </c>
      <c r="D996" s="6">
        <f t="shared" si="223"/>
        <v>1144</v>
      </c>
      <c r="E996" s="9">
        <f t="shared" si="228"/>
        <v>423380</v>
      </c>
      <c r="F996" s="3">
        <f t="shared" si="224"/>
        <v>1594</v>
      </c>
      <c r="G996" s="3">
        <f t="shared" si="229"/>
        <v>346220</v>
      </c>
      <c r="J996" s="6">
        <f t="shared" si="230"/>
        <v>8.6699999999999733</v>
      </c>
      <c r="K996" s="11">
        <f t="shared" si="231"/>
        <v>1637220</v>
      </c>
      <c r="P996" s="1">
        <f t="shared" si="225"/>
        <v>1637220</v>
      </c>
      <c r="Q996" s="1">
        <f t="shared" si="226"/>
        <v>447040318</v>
      </c>
    </row>
    <row r="997" spans="1:17" x14ac:dyDescent="0.3">
      <c r="A997" s="2">
        <f t="shared" si="232"/>
        <v>995</v>
      </c>
      <c r="B997" s="6">
        <f t="shared" si="232"/>
        <v>1545</v>
      </c>
      <c r="C997" s="9">
        <f t="shared" si="227"/>
        <v>849950</v>
      </c>
      <c r="D997" s="6">
        <f t="shared" si="223"/>
        <v>1145</v>
      </c>
      <c r="E997" s="9">
        <f t="shared" si="228"/>
        <v>424150</v>
      </c>
      <c r="F997" s="3">
        <f t="shared" si="224"/>
        <v>1595</v>
      </c>
      <c r="G997" s="3">
        <f t="shared" si="229"/>
        <v>346850</v>
      </c>
      <c r="J997" s="6">
        <f t="shared" si="230"/>
        <v>8.6749999999999741</v>
      </c>
      <c r="K997" s="11">
        <f t="shared" si="231"/>
        <v>1640350</v>
      </c>
      <c r="P997" s="1">
        <f t="shared" si="225"/>
        <v>1640350</v>
      </c>
      <c r="Q997" s="1">
        <f t="shared" si="226"/>
        <v>448680668</v>
      </c>
    </row>
    <row r="998" spans="1:17" x14ac:dyDescent="0.3">
      <c r="A998" s="2">
        <f t="shared" si="232"/>
        <v>996</v>
      </c>
      <c r="B998" s="6">
        <f t="shared" si="232"/>
        <v>1546</v>
      </c>
      <c r="C998" s="9">
        <f t="shared" si="227"/>
        <v>851560</v>
      </c>
      <c r="D998" s="6">
        <f t="shared" si="223"/>
        <v>1146</v>
      </c>
      <c r="E998" s="9">
        <f t="shared" si="228"/>
        <v>424920</v>
      </c>
      <c r="F998" s="3">
        <f t="shared" si="224"/>
        <v>1596</v>
      </c>
      <c r="G998" s="3">
        <f t="shared" si="229"/>
        <v>347480</v>
      </c>
      <c r="J998" s="6">
        <f t="shared" si="230"/>
        <v>8.6799999999999748</v>
      </c>
      <c r="K998" s="11">
        <f t="shared" si="231"/>
        <v>1643480</v>
      </c>
      <c r="P998" s="1">
        <f t="shared" si="225"/>
        <v>1643480</v>
      </c>
      <c r="Q998" s="1">
        <f t="shared" si="226"/>
        <v>450324148</v>
      </c>
    </row>
    <row r="999" spans="1:17" x14ac:dyDescent="0.3">
      <c r="A999" s="2">
        <f t="shared" si="232"/>
        <v>997</v>
      </c>
      <c r="B999" s="6">
        <f t="shared" si="232"/>
        <v>1547</v>
      </c>
      <c r="C999" s="9">
        <f t="shared" si="227"/>
        <v>853170</v>
      </c>
      <c r="D999" s="6">
        <f t="shared" si="223"/>
        <v>1147</v>
      </c>
      <c r="E999" s="9">
        <f t="shared" si="228"/>
        <v>425690</v>
      </c>
      <c r="F999" s="3">
        <f t="shared" si="224"/>
        <v>1597</v>
      </c>
      <c r="G999" s="3">
        <f t="shared" si="229"/>
        <v>348110</v>
      </c>
      <c r="J999" s="6">
        <f t="shared" si="230"/>
        <v>8.6849999999999756</v>
      </c>
      <c r="K999" s="11">
        <f t="shared" si="231"/>
        <v>1646610</v>
      </c>
      <c r="P999" s="1">
        <f t="shared" si="225"/>
        <v>1646610</v>
      </c>
      <c r="Q999" s="1">
        <f t="shared" si="226"/>
        <v>451970758</v>
      </c>
    </row>
    <row r="1000" spans="1:17" x14ac:dyDescent="0.3">
      <c r="A1000" s="2">
        <f t="shared" si="232"/>
        <v>998</v>
      </c>
      <c r="B1000" s="6">
        <f t="shared" si="232"/>
        <v>1548</v>
      </c>
      <c r="C1000" s="9">
        <f t="shared" si="227"/>
        <v>854780</v>
      </c>
      <c r="D1000" s="6">
        <f t="shared" ref="D1000:D1002" si="233">D999+1</f>
        <v>1148</v>
      </c>
      <c r="E1000" s="9">
        <f t="shared" si="228"/>
        <v>426460</v>
      </c>
      <c r="F1000" s="3">
        <f t="shared" ref="F1000:F1002" si="234">F999+1</f>
        <v>1598</v>
      </c>
      <c r="G1000" s="3">
        <f t="shared" si="229"/>
        <v>348740</v>
      </c>
      <c r="J1000" s="6">
        <f t="shared" si="230"/>
        <v>8.6899999999999764</v>
      </c>
      <c r="K1000" s="11">
        <f t="shared" si="231"/>
        <v>1649740</v>
      </c>
      <c r="P1000" s="1">
        <f t="shared" si="225"/>
        <v>1649740</v>
      </c>
      <c r="Q1000" s="1">
        <f t="shared" si="226"/>
        <v>453620498</v>
      </c>
    </row>
    <row r="1001" spans="1:17" x14ac:dyDescent="0.3">
      <c r="A1001" s="2">
        <f t="shared" si="232"/>
        <v>999</v>
      </c>
      <c r="B1001" s="6">
        <f t="shared" si="232"/>
        <v>1549</v>
      </c>
      <c r="C1001" s="9">
        <f t="shared" si="227"/>
        <v>856390</v>
      </c>
      <c r="D1001" s="6">
        <f t="shared" si="233"/>
        <v>1149</v>
      </c>
      <c r="E1001" s="9">
        <f t="shared" si="228"/>
        <v>427230</v>
      </c>
      <c r="F1001" s="3">
        <f t="shared" si="234"/>
        <v>1599</v>
      </c>
      <c r="G1001" s="3">
        <f t="shared" si="229"/>
        <v>349370</v>
      </c>
      <c r="J1001" s="6">
        <f t="shared" si="230"/>
        <v>8.6949999999999772</v>
      </c>
      <c r="K1001" s="11">
        <f t="shared" si="231"/>
        <v>1652870</v>
      </c>
      <c r="P1001" s="1">
        <f t="shared" si="225"/>
        <v>1652870</v>
      </c>
      <c r="Q1001" s="1">
        <f t="shared" si="226"/>
        <v>455273368</v>
      </c>
    </row>
    <row r="1002" spans="1:17" x14ac:dyDescent="0.3">
      <c r="A1002" s="2">
        <f t="shared" si="232"/>
        <v>1000</v>
      </c>
      <c r="B1002" s="6">
        <f t="shared" si="232"/>
        <v>1550</v>
      </c>
      <c r="C1002" s="9">
        <v>-1</v>
      </c>
      <c r="D1002" s="6">
        <f t="shared" si="233"/>
        <v>1150</v>
      </c>
      <c r="E1002" s="9">
        <v>-1</v>
      </c>
      <c r="F1002" s="3">
        <f t="shared" si="234"/>
        <v>1600</v>
      </c>
      <c r="G1002" s="3">
        <v>-1</v>
      </c>
      <c r="J1002" s="6">
        <f t="shared" si="230"/>
        <v>8.699999999999978</v>
      </c>
      <c r="K1002" s="11">
        <v>-1</v>
      </c>
      <c r="P1002" s="1">
        <f t="shared" si="225"/>
        <v>-1</v>
      </c>
      <c r="Q1002" s="1">
        <f t="shared" si="226"/>
        <v>455273367</v>
      </c>
    </row>
  </sheetData>
  <phoneticPr fontId="1" type="noConversion"/>
  <conditionalFormatting sqref="P3:P1002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P3:P1002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2026-03-24T15:56:42Z</dcterms:modified>
</cp:coreProperties>
</file>