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space\YMAMiniGames\YMAMinigame\Assets\AddressableResource\Data\Excels\"/>
    </mc:Choice>
  </mc:AlternateContent>
  <xr:revisionPtr revIDLastSave="0" documentId="13_ncr:1_{37B3679E-D7C8-47BE-AE71-5649EA665F4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3" i="2"/>
  <c r="N3" i="2" s="1"/>
  <c r="N4" i="2" s="1"/>
  <c r="N5" i="2" s="1"/>
  <c r="N6" i="2" s="1"/>
  <c r="N7" i="2" s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D5" i="2"/>
  <c r="D6" i="2"/>
  <c r="D7" i="2"/>
  <c r="D8" i="2"/>
  <c r="D9" i="2"/>
  <c r="D10" i="2"/>
  <c r="D11" i="2"/>
  <c r="D12" i="2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N8" i="2" l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M3" i="2"/>
  <c r="D4" i="2"/>
  <c r="C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4" i="2"/>
  <c r="M4" i="2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B4" i="2"/>
  <c r="A4" i="2"/>
  <c r="A5" i="2" s="1"/>
  <c r="A6" i="2" l="1"/>
  <c r="M5" i="2" l="1"/>
  <c r="A7" i="2"/>
  <c r="M6" i="2" l="1"/>
  <c r="A8" i="2"/>
  <c r="M7" i="2" l="1"/>
  <c r="A9" i="2"/>
  <c r="M8" i="2" l="1"/>
  <c r="A10" i="2"/>
  <c r="M9" i="2" l="1"/>
  <c r="A11" i="2"/>
  <c r="M10" i="2" l="1"/>
  <c r="A12" i="2"/>
  <c r="M11" i="2" l="1"/>
  <c r="A13" i="2"/>
  <c r="M12" i="2" l="1"/>
  <c r="A14" i="2"/>
  <c r="M13" i="2" l="1"/>
  <c r="A15" i="2"/>
  <c r="M14" i="2" l="1"/>
  <c r="A16" i="2"/>
  <c r="M15" i="2" l="1"/>
  <c r="A17" i="2"/>
  <c r="M16" i="2" l="1"/>
  <c r="A18" i="2"/>
  <c r="M17" i="2" l="1"/>
  <c r="A19" i="2"/>
  <c r="M18" i="2" l="1"/>
  <c r="A20" i="2"/>
  <c r="M19" i="2" l="1"/>
  <c r="A21" i="2"/>
  <c r="M20" i="2" l="1"/>
  <c r="A22" i="2"/>
  <c r="M21" i="2" l="1"/>
  <c r="A23" i="2"/>
  <c r="M22" i="2" l="1"/>
  <c r="A24" i="2"/>
  <c r="M23" i="2" l="1"/>
  <c r="A25" i="2"/>
  <c r="M24" i="2" l="1"/>
  <c r="A26" i="2"/>
  <c r="M25" i="2" l="1"/>
  <c r="A27" i="2"/>
  <c r="M26" i="2" l="1"/>
  <c r="A28" i="2"/>
  <c r="M27" i="2" l="1"/>
  <c r="A29" i="2"/>
  <c r="M28" i="2" l="1"/>
  <c r="A30" i="2"/>
  <c r="M29" i="2" l="1"/>
  <c r="A31" i="2"/>
  <c r="M30" i="2" l="1"/>
  <c r="A32" i="2"/>
  <c r="M31" i="2" l="1"/>
  <c r="A33" i="2"/>
  <c r="M32" i="2" l="1"/>
  <c r="A34" i="2"/>
  <c r="M33" i="2" l="1"/>
  <c r="A35" i="2"/>
  <c r="M34" i="2" l="1"/>
  <c r="A36" i="2"/>
  <c r="M35" i="2" l="1"/>
  <c r="A37" i="2"/>
  <c r="M36" i="2" l="1"/>
  <c r="A38" i="2"/>
  <c r="M37" i="2" l="1"/>
  <c r="A39" i="2"/>
  <c r="M38" i="2" l="1"/>
  <c r="A40" i="2"/>
  <c r="M39" i="2" l="1"/>
  <c r="A41" i="2"/>
  <c r="M40" i="2" l="1"/>
  <c r="A42" i="2"/>
  <c r="M41" i="2" l="1"/>
  <c r="A43" i="2"/>
  <c r="M42" i="2" l="1"/>
  <c r="A44" i="2"/>
  <c r="M43" i="2" l="1"/>
  <c r="A45" i="2"/>
  <c r="M44" i="2" l="1"/>
  <c r="A46" i="2"/>
  <c r="M45" i="2" l="1"/>
  <c r="A47" i="2"/>
  <c r="M46" i="2" l="1"/>
  <c r="A48" i="2"/>
  <c r="M47" i="2" l="1"/>
  <c r="A49" i="2"/>
  <c r="M48" i="2" l="1"/>
  <c r="A50" i="2"/>
  <c r="M49" i="2" l="1"/>
  <c r="A51" i="2"/>
  <c r="M50" i="2" l="1"/>
  <c r="A52" i="2"/>
  <c r="M51" i="2" l="1"/>
  <c r="A53" i="2"/>
  <c r="M52" i="2" l="1"/>
  <c r="A54" i="2"/>
  <c r="M53" i="2" l="1"/>
  <c r="A55" i="2"/>
  <c r="M54" i="2" l="1"/>
  <c r="A56" i="2"/>
  <c r="M55" i="2" l="1"/>
  <c r="A57" i="2"/>
  <c r="M56" i="2" l="1"/>
  <c r="A58" i="2"/>
  <c r="M57" i="2" l="1"/>
  <c r="A59" i="2"/>
  <c r="M58" i="2" l="1"/>
  <c r="A60" i="2"/>
  <c r="M59" i="2" l="1"/>
  <c r="A61" i="2"/>
  <c r="M60" i="2" l="1"/>
  <c r="A62" i="2"/>
  <c r="M61" i="2" l="1"/>
  <c r="A63" i="2"/>
  <c r="M62" i="2" l="1"/>
  <c r="A64" i="2"/>
  <c r="M63" i="2" l="1"/>
  <c r="A65" i="2"/>
  <c r="M64" i="2" l="1"/>
  <c r="A66" i="2"/>
  <c r="M65" i="2" l="1"/>
  <c r="A67" i="2"/>
  <c r="M66" i="2" l="1"/>
  <c r="A68" i="2"/>
  <c r="M67" i="2" l="1"/>
  <c r="A69" i="2"/>
  <c r="M68" i="2" l="1"/>
  <c r="A70" i="2"/>
  <c r="M69" i="2" l="1"/>
  <c r="A71" i="2"/>
  <c r="M70" i="2" l="1"/>
  <c r="A72" i="2"/>
  <c r="M71" i="2" l="1"/>
  <c r="A73" i="2"/>
  <c r="M72" i="2" l="1"/>
  <c r="A74" i="2"/>
  <c r="M73" i="2" l="1"/>
  <c r="A75" i="2"/>
  <c r="M74" i="2" l="1"/>
  <c r="A76" i="2"/>
  <c r="M75" i="2" l="1"/>
  <c r="A77" i="2"/>
  <c r="M76" i="2" l="1"/>
  <c r="A78" i="2"/>
  <c r="M77" i="2" l="1"/>
  <c r="A79" i="2"/>
  <c r="M78" i="2" l="1"/>
  <c r="A80" i="2"/>
  <c r="M79" i="2" l="1"/>
  <c r="A81" i="2"/>
  <c r="M80" i="2" l="1"/>
  <c r="A82" i="2"/>
  <c r="M81" i="2" l="1"/>
  <c r="A83" i="2"/>
  <c r="M82" i="2" l="1"/>
  <c r="A84" i="2"/>
  <c r="M83" i="2" l="1"/>
  <c r="A85" i="2"/>
  <c r="M84" i="2" l="1"/>
  <c r="A86" i="2"/>
  <c r="M85" i="2" l="1"/>
  <c r="A87" i="2"/>
  <c r="M86" i="2" l="1"/>
  <c r="A88" i="2"/>
  <c r="M87" i="2" l="1"/>
  <c r="A89" i="2"/>
  <c r="M88" i="2" l="1"/>
  <c r="A90" i="2"/>
  <c r="M89" i="2" l="1"/>
  <c r="A91" i="2"/>
  <c r="M90" i="2" l="1"/>
  <c r="A92" i="2"/>
  <c r="M91" i="2" l="1"/>
  <c r="A93" i="2"/>
  <c r="M92" i="2" l="1"/>
  <c r="A94" i="2"/>
  <c r="M93" i="2" l="1"/>
  <c r="A95" i="2"/>
  <c r="M94" i="2" l="1"/>
  <c r="A96" i="2"/>
  <c r="M95" i="2" l="1"/>
  <c r="A97" i="2"/>
  <c r="M96" i="2" l="1"/>
  <c r="A98" i="2"/>
  <c r="M97" i="2" l="1"/>
  <c r="A99" i="2"/>
  <c r="M98" i="2" l="1"/>
  <c r="A100" i="2"/>
  <c r="M99" i="2" l="1"/>
  <c r="A101" i="2"/>
  <c r="M101" i="2" l="1"/>
  <c r="M100" i="2"/>
  <c r="A102" i="2"/>
</calcChain>
</file>

<file path=xl/sharedStrings.xml><?xml version="1.0" encoding="utf-8"?>
<sst xmlns="http://schemas.openxmlformats.org/spreadsheetml/2006/main" count="8" uniqueCount="8">
  <si>
    <t>number</t>
    <phoneticPr fontId="1" type="noConversion"/>
  </si>
  <si>
    <t>level</t>
    <phoneticPr fontId="1" type="noConversion"/>
  </si>
  <si>
    <t>atk</t>
    <phoneticPr fontId="1" type="noConversion"/>
  </si>
  <si>
    <t>requireCoin</t>
    <phoneticPr fontId="1" type="noConversion"/>
  </si>
  <si>
    <t>criDmg</t>
    <phoneticPr fontId="1" type="noConversion"/>
  </si>
  <si>
    <t>def</t>
    <phoneticPr fontId="1" type="noConversion"/>
  </si>
  <si>
    <t>hp</t>
    <phoneticPr fontId="1" type="noConversion"/>
  </si>
  <si>
    <t>criRate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</si>
</sst>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558ED5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176" fontId="3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8F8A-A8C0-451B-89A0-5920898B8CBF}">
  <dimension ref="A1:XEX108"/>
  <sheetViews>
    <sheetView tabSelected="1" workbookViewId="0">
      <pane ySplit="1" topLeftCell="A58" activePane="bottomLeft" state="frozen"/>
      <selection pane="bottomLeft" activeCell="H97" sqref="H97"/>
    </sheetView>
  </sheetViews>
  <sheetFormatPr defaultColWidth="17.625" defaultRowHeight="17.25" x14ac:dyDescent="0.3"/>
  <cols>
    <col min="1" max="1" width="18.875" style="6" customWidth="1"/>
    <col min="2" max="5" width="19" style="8" customWidth="1"/>
    <col min="6" max="6" width="19" style="4" customWidth="1"/>
    <col min="7" max="7" width="18.375" style="4" customWidth="1"/>
    <col min="9" max="10" width="5.125" style="4" bestFit="1" customWidth="1"/>
    <col min="11" max="11" width="6.25" bestFit="1" customWidth="1"/>
    <col min="12" max="12" width="7.375" bestFit="1" customWidth="1"/>
    <col min="13" max="13" width="32.625" customWidth="1"/>
    <col min="14" max="14" width="17.5" style="4" customWidth="1"/>
    <col min="15" max="16377" width="17.625" style="4"/>
    <col min="16378" max="16378" width="8.875" style="4" bestFit="1" customWidth="1"/>
    <col min="16379" max="16384" width="8.875" style="4" customWidth="1"/>
  </cols>
  <sheetData>
    <row r="1" spans="1:14 16378:16378" x14ac:dyDescent="0.3">
      <c r="A1" s="2" t="s">
        <v>1</v>
      </c>
      <c r="B1" s="7" t="s">
        <v>2</v>
      </c>
      <c r="C1" s="7" t="s">
        <v>5</v>
      </c>
      <c r="D1" s="7" t="s">
        <v>6</v>
      </c>
      <c r="E1" s="7" t="s">
        <v>7</v>
      </c>
      <c r="F1" s="7" t="s">
        <v>4</v>
      </c>
      <c r="G1" s="7" t="s">
        <v>3</v>
      </c>
      <c r="XEX1" s="3" t="s">
        <v>0</v>
      </c>
    </row>
    <row r="2" spans="1:14 16378:16378" x14ac:dyDescent="0.3">
      <c r="A2" s="1">
        <v>0</v>
      </c>
      <c r="B2" s="4">
        <v>0</v>
      </c>
      <c r="C2" s="4">
        <v>0</v>
      </c>
      <c r="D2" s="4">
        <v>0</v>
      </c>
      <c r="E2" s="4">
        <v>0</v>
      </c>
      <c r="F2" s="1">
        <v>0</v>
      </c>
      <c r="G2" s="10">
        <v>0</v>
      </c>
      <c r="K2" s="4"/>
      <c r="L2" s="4"/>
      <c r="M2" s="4"/>
      <c r="XEX2" s="12"/>
    </row>
    <row r="3" spans="1:14 16378:16378" x14ac:dyDescent="0.3">
      <c r="A3" s="1">
        <v>1</v>
      </c>
      <c r="B3" s="4">
        <v>1</v>
      </c>
      <c r="C3" s="4">
        <v>1</v>
      </c>
      <c r="D3" s="4">
        <v>20</v>
      </c>
      <c r="E3" s="4">
        <v>0.1</v>
      </c>
      <c r="F3" s="1">
        <v>0.01</v>
      </c>
      <c r="G3" s="10">
        <f>ROUND(200 + (5500-200) * SIN( (A3-1) / 99 * PI() / 2 ), 0)</f>
        <v>200</v>
      </c>
      <c r="K3" s="4"/>
      <c r="L3" s="4"/>
      <c r="M3" s="4">
        <f>G3</f>
        <v>200</v>
      </c>
      <c r="N3" s="4">
        <f>G2+G3</f>
        <v>200</v>
      </c>
    </row>
    <row r="4" spans="1:14 16378:16378" x14ac:dyDescent="0.3">
      <c r="A4" s="1">
        <f>A3+1</f>
        <v>2</v>
      </c>
      <c r="B4" s="4">
        <f>B3+1</f>
        <v>2</v>
      </c>
      <c r="C4" s="4">
        <f>C3+1</f>
        <v>2</v>
      </c>
      <c r="D4" s="4">
        <f>D3+2</f>
        <v>22</v>
      </c>
      <c r="E4" s="4">
        <f>0.1+A4*0.007</f>
        <v>0.114</v>
      </c>
      <c r="F4" s="11">
        <f>F3+0.005</f>
        <v>1.4999999999999999E-2</v>
      </c>
      <c r="G4" s="10">
        <f t="shared" ref="G4:G67" si="0">ROUND(200 + (5500-200) * SIN( (A4-1) / 99 * PI() / 2 ), 0)</f>
        <v>284</v>
      </c>
      <c r="K4" s="4"/>
      <c r="L4" s="4"/>
      <c r="M4" s="4">
        <f t="shared" ref="M4:M67" si="1">G4</f>
        <v>284</v>
      </c>
      <c r="N4" s="4">
        <f>N3+G4</f>
        <v>484</v>
      </c>
    </row>
    <row r="5" spans="1:14 16378:16378" x14ac:dyDescent="0.3">
      <c r="A5" s="1">
        <f t="shared" ref="A5:A68" si="2">A4+1</f>
        <v>3</v>
      </c>
      <c r="B5" s="4">
        <f t="shared" ref="B5:B42" si="3">B4+1</f>
        <v>3</v>
      </c>
      <c r="C5" s="4">
        <f t="shared" ref="C5" si="4">C4+1</f>
        <v>3</v>
      </c>
      <c r="D5" s="4">
        <f t="shared" ref="D5:D11" si="5">D4+2</f>
        <v>24</v>
      </c>
      <c r="E5" s="4">
        <f t="shared" ref="E5:E68" si="6">0.1+A5*0.007</f>
        <v>0.12100000000000001</v>
      </c>
      <c r="F5" s="11">
        <f t="shared" ref="F5:F21" si="7">F4+0.005</f>
        <v>0.02</v>
      </c>
      <c r="G5" s="10">
        <f t="shared" si="0"/>
        <v>368</v>
      </c>
      <c r="K5" s="4"/>
      <c r="L5" s="4"/>
      <c r="M5" s="4">
        <f t="shared" si="1"/>
        <v>368</v>
      </c>
      <c r="N5" s="4">
        <f t="shared" ref="N5:N68" si="8">N4+G5</f>
        <v>852</v>
      </c>
    </row>
    <row r="6" spans="1:14 16378:16378" x14ac:dyDescent="0.3">
      <c r="A6" s="1">
        <f t="shared" si="2"/>
        <v>4</v>
      </c>
      <c r="B6" s="4">
        <f t="shared" si="3"/>
        <v>4</v>
      </c>
      <c r="C6" s="4">
        <f t="shared" ref="C6" si="9">C5+1</f>
        <v>4</v>
      </c>
      <c r="D6" s="4">
        <f t="shared" si="5"/>
        <v>26</v>
      </c>
      <c r="E6" s="4">
        <f t="shared" si="6"/>
        <v>0.128</v>
      </c>
      <c r="F6" s="11">
        <f t="shared" si="7"/>
        <v>2.5000000000000001E-2</v>
      </c>
      <c r="G6" s="10">
        <f t="shared" si="0"/>
        <v>452</v>
      </c>
      <c r="K6" s="4"/>
      <c r="L6" s="4"/>
      <c r="M6" s="4">
        <f t="shared" si="1"/>
        <v>452</v>
      </c>
      <c r="N6" s="4">
        <f t="shared" si="8"/>
        <v>1304</v>
      </c>
    </row>
    <row r="7" spans="1:14 16378:16378" x14ac:dyDescent="0.3">
      <c r="A7" s="1">
        <f t="shared" si="2"/>
        <v>5</v>
      </c>
      <c r="B7" s="4">
        <f t="shared" si="3"/>
        <v>5</v>
      </c>
      <c r="C7" s="4">
        <f t="shared" ref="C7" si="10">C6+1</f>
        <v>5</v>
      </c>
      <c r="D7" s="4">
        <f t="shared" si="5"/>
        <v>28</v>
      </c>
      <c r="E7" s="4">
        <f t="shared" si="6"/>
        <v>0.13500000000000001</v>
      </c>
      <c r="F7" s="11">
        <f t="shared" si="7"/>
        <v>3.0000000000000002E-2</v>
      </c>
      <c r="G7" s="10">
        <f t="shared" si="0"/>
        <v>536</v>
      </c>
      <c r="K7" s="4"/>
      <c r="L7" s="4"/>
      <c r="M7" s="4">
        <f t="shared" si="1"/>
        <v>536</v>
      </c>
      <c r="N7" s="4">
        <f t="shared" si="8"/>
        <v>1840</v>
      </c>
    </row>
    <row r="8" spans="1:14 16378:16378" x14ac:dyDescent="0.3">
      <c r="A8" s="1">
        <f t="shared" si="2"/>
        <v>6</v>
      </c>
      <c r="B8" s="4">
        <f t="shared" si="3"/>
        <v>6</v>
      </c>
      <c r="C8" s="4">
        <f t="shared" ref="C8" si="11">C7+1</f>
        <v>6</v>
      </c>
      <c r="D8" s="4">
        <f t="shared" si="5"/>
        <v>30</v>
      </c>
      <c r="E8" s="4">
        <f t="shared" si="6"/>
        <v>0.14200000000000002</v>
      </c>
      <c r="F8" s="11">
        <f t="shared" si="7"/>
        <v>3.5000000000000003E-2</v>
      </c>
      <c r="G8" s="10">
        <f t="shared" si="0"/>
        <v>620</v>
      </c>
      <c r="K8" s="4"/>
      <c r="L8" s="4"/>
      <c r="M8" s="4">
        <f t="shared" si="1"/>
        <v>620</v>
      </c>
      <c r="N8" s="4">
        <f t="shared" si="8"/>
        <v>2460</v>
      </c>
    </row>
    <row r="9" spans="1:14 16378:16378" x14ac:dyDescent="0.3">
      <c r="A9" s="1">
        <f t="shared" si="2"/>
        <v>7</v>
      </c>
      <c r="B9" s="4">
        <f t="shared" si="3"/>
        <v>7</v>
      </c>
      <c r="C9" s="4">
        <f t="shared" ref="C9" si="12">C8+1</f>
        <v>7</v>
      </c>
      <c r="D9" s="4">
        <f t="shared" si="5"/>
        <v>32</v>
      </c>
      <c r="E9" s="4">
        <f t="shared" si="6"/>
        <v>0.14900000000000002</v>
      </c>
      <c r="F9" s="11">
        <f t="shared" si="7"/>
        <v>0.04</v>
      </c>
      <c r="G9" s="10">
        <f t="shared" si="0"/>
        <v>704</v>
      </c>
      <c r="K9" s="4"/>
      <c r="L9" s="4"/>
      <c r="M9" s="4">
        <f t="shared" si="1"/>
        <v>704</v>
      </c>
      <c r="N9" s="4">
        <f t="shared" si="8"/>
        <v>3164</v>
      </c>
    </row>
    <row r="10" spans="1:14 16378:16378" x14ac:dyDescent="0.3">
      <c r="A10" s="1">
        <f t="shared" si="2"/>
        <v>8</v>
      </c>
      <c r="B10" s="4">
        <f t="shared" si="3"/>
        <v>8</v>
      </c>
      <c r="C10" s="4">
        <f t="shared" ref="C10" si="13">C9+1</f>
        <v>8</v>
      </c>
      <c r="D10" s="4">
        <f t="shared" si="5"/>
        <v>34</v>
      </c>
      <c r="E10" s="4">
        <f t="shared" si="6"/>
        <v>0.156</v>
      </c>
      <c r="F10" s="11">
        <f t="shared" si="7"/>
        <v>4.4999999999999998E-2</v>
      </c>
      <c r="G10" s="10">
        <f t="shared" si="0"/>
        <v>787</v>
      </c>
      <c r="K10" s="4"/>
      <c r="L10" s="4"/>
      <c r="M10" s="4">
        <f t="shared" si="1"/>
        <v>787</v>
      </c>
      <c r="N10" s="4">
        <f t="shared" si="8"/>
        <v>3951</v>
      </c>
    </row>
    <row r="11" spans="1:14 16378:16378" x14ac:dyDescent="0.3">
      <c r="A11" s="1">
        <f t="shared" si="2"/>
        <v>9</v>
      </c>
      <c r="B11" s="4">
        <f t="shared" si="3"/>
        <v>9</v>
      </c>
      <c r="C11" s="4">
        <f t="shared" ref="C11" si="14">C10+1</f>
        <v>9</v>
      </c>
      <c r="D11" s="4">
        <f t="shared" si="5"/>
        <v>36</v>
      </c>
      <c r="E11" s="4">
        <f t="shared" si="6"/>
        <v>0.16300000000000001</v>
      </c>
      <c r="F11" s="11">
        <f t="shared" si="7"/>
        <v>4.9999999999999996E-2</v>
      </c>
      <c r="G11" s="10">
        <f t="shared" si="0"/>
        <v>871</v>
      </c>
      <c r="K11" s="4"/>
      <c r="L11" s="4"/>
      <c r="M11" s="4">
        <f t="shared" si="1"/>
        <v>871</v>
      </c>
      <c r="N11" s="4">
        <f t="shared" si="8"/>
        <v>4822</v>
      </c>
    </row>
    <row r="12" spans="1:14 16378:16378" x14ac:dyDescent="0.3">
      <c r="A12" s="1">
        <f t="shared" si="2"/>
        <v>10</v>
      </c>
      <c r="B12" s="4">
        <f t="shared" si="3"/>
        <v>10</v>
      </c>
      <c r="C12" s="4">
        <f t="shared" ref="C12" si="15">C11+1</f>
        <v>10</v>
      </c>
      <c r="D12" s="4">
        <f>D11+3</f>
        <v>39</v>
      </c>
      <c r="E12" s="4">
        <f t="shared" si="6"/>
        <v>0.17</v>
      </c>
      <c r="F12" s="11">
        <f t="shared" si="7"/>
        <v>5.4999999999999993E-2</v>
      </c>
      <c r="G12" s="10">
        <f t="shared" si="0"/>
        <v>954</v>
      </c>
      <c r="K12" s="4"/>
      <c r="L12" s="4"/>
      <c r="M12" s="4">
        <f t="shared" si="1"/>
        <v>954</v>
      </c>
      <c r="N12" s="4">
        <f t="shared" si="8"/>
        <v>5776</v>
      </c>
    </row>
    <row r="13" spans="1:14 16378:16378" x14ac:dyDescent="0.3">
      <c r="A13" s="1">
        <f t="shared" si="2"/>
        <v>11</v>
      </c>
      <c r="B13" s="4">
        <f t="shared" si="3"/>
        <v>11</v>
      </c>
      <c r="C13" s="4">
        <f t="shared" ref="C13" si="16">C12+1</f>
        <v>11</v>
      </c>
      <c r="D13" s="4">
        <f t="shared" ref="D13:D21" si="17">D12+3</f>
        <v>42</v>
      </c>
      <c r="E13" s="4">
        <f t="shared" si="6"/>
        <v>0.17699999999999999</v>
      </c>
      <c r="F13" s="11">
        <f t="shared" si="7"/>
        <v>5.9999999999999991E-2</v>
      </c>
      <c r="G13" s="10">
        <f t="shared" si="0"/>
        <v>1037</v>
      </c>
      <c r="K13" s="4"/>
      <c r="L13" s="4"/>
      <c r="M13" s="4">
        <f t="shared" si="1"/>
        <v>1037</v>
      </c>
      <c r="N13" s="4">
        <f t="shared" si="8"/>
        <v>6813</v>
      </c>
    </row>
    <row r="14" spans="1:14 16378:16378" x14ac:dyDescent="0.3">
      <c r="A14" s="1">
        <f t="shared" si="2"/>
        <v>12</v>
      </c>
      <c r="B14" s="4">
        <f t="shared" si="3"/>
        <v>12</v>
      </c>
      <c r="C14" s="4">
        <f t="shared" ref="C14" si="18">C13+1</f>
        <v>12</v>
      </c>
      <c r="D14" s="4">
        <f t="shared" si="17"/>
        <v>45</v>
      </c>
      <c r="E14" s="4">
        <f t="shared" si="6"/>
        <v>0.184</v>
      </c>
      <c r="F14" s="11">
        <f t="shared" si="7"/>
        <v>6.4999999999999988E-2</v>
      </c>
      <c r="G14" s="10">
        <f t="shared" si="0"/>
        <v>1120</v>
      </c>
      <c r="K14" s="4"/>
      <c r="L14" s="4"/>
      <c r="M14" s="4">
        <f t="shared" si="1"/>
        <v>1120</v>
      </c>
      <c r="N14" s="4">
        <f t="shared" si="8"/>
        <v>7933</v>
      </c>
    </row>
    <row r="15" spans="1:14 16378:16378" x14ac:dyDescent="0.3">
      <c r="A15" s="1">
        <f t="shared" si="2"/>
        <v>13</v>
      </c>
      <c r="B15" s="4">
        <f t="shared" si="3"/>
        <v>13</v>
      </c>
      <c r="C15" s="4">
        <f t="shared" ref="C15" si="19">C14+1</f>
        <v>13</v>
      </c>
      <c r="D15" s="4">
        <f t="shared" si="17"/>
        <v>48</v>
      </c>
      <c r="E15" s="4">
        <f t="shared" si="6"/>
        <v>0.191</v>
      </c>
      <c r="F15" s="11">
        <f t="shared" si="7"/>
        <v>6.9999999999999993E-2</v>
      </c>
      <c r="G15" s="10">
        <f t="shared" si="0"/>
        <v>1203</v>
      </c>
      <c r="K15" s="4"/>
      <c r="L15" s="4"/>
      <c r="M15" s="4">
        <f t="shared" si="1"/>
        <v>1203</v>
      </c>
      <c r="N15" s="4">
        <f t="shared" si="8"/>
        <v>9136</v>
      </c>
    </row>
    <row r="16" spans="1:14 16378:16378" x14ac:dyDescent="0.3">
      <c r="A16" s="1">
        <f t="shared" si="2"/>
        <v>14</v>
      </c>
      <c r="B16" s="4">
        <f t="shared" si="3"/>
        <v>14</v>
      </c>
      <c r="C16" s="4">
        <f t="shared" ref="C16" si="20">C15+1</f>
        <v>14</v>
      </c>
      <c r="D16" s="4">
        <f t="shared" si="17"/>
        <v>51</v>
      </c>
      <c r="E16" s="4">
        <f t="shared" si="6"/>
        <v>0.19800000000000001</v>
      </c>
      <c r="F16" s="11">
        <f t="shared" si="7"/>
        <v>7.4999999999999997E-2</v>
      </c>
      <c r="G16" s="10">
        <f t="shared" si="0"/>
        <v>1285</v>
      </c>
      <c r="K16" s="4"/>
      <c r="L16" s="4"/>
      <c r="M16" s="4">
        <f t="shared" si="1"/>
        <v>1285</v>
      </c>
      <c r="N16" s="4">
        <f t="shared" si="8"/>
        <v>10421</v>
      </c>
    </row>
    <row r="17" spans="1:14" x14ac:dyDescent="0.3">
      <c r="A17" s="1">
        <f t="shared" si="2"/>
        <v>15</v>
      </c>
      <c r="B17" s="4">
        <f t="shared" si="3"/>
        <v>15</v>
      </c>
      <c r="C17" s="4">
        <f t="shared" ref="C17" si="21">C16+1</f>
        <v>15</v>
      </c>
      <c r="D17" s="4">
        <f t="shared" si="17"/>
        <v>54</v>
      </c>
      <c r="E17" s="4">
        <f t="shared" si="6"/>
        <v>0.20500000000000002</v>
      </c>
      <c r="F17" s="11">
        <f t="shared" si="7"/>
        <v>0.08</v>
      </c>
      <c r="G17" s="10">
        <f t="shared" si="0"/>
        <v>1368</v>
      </c>
      <c r="K17" s="4"/>
      <c r="L17" s="4"/>
      <c r="M17" s="4">
        <f t="shared" si="1"/>
        <v>1368</v>
      </c>
      <c r="N17" s="4">
        <f t="shared" si="8"/>
        <v>11789</v>
      </c>
    </row>
    <row r="18" spans="1:14" x14ac:dyDescent="0.3">
      <c r="A18" s="1">
        <f t="shared" si="2"/>
        <v>16</v>
      </c>
      <c r="B18" s="4">
        <f t="shared" si="3"/>
        <v>16</v>
      </c>
      <c r="C18" s="4">
        <f t="shared" ref="C18" si="22">C17+1</f>
        <v>16</v>
      </c>
      <c r="D18" s="4">
        <f t="shared" si="17"/>
        <v>57</v>
      </c>
      <c r="E18" s="4">
        <f t="shared" si="6"/>
        <v>0.21200000000000002</v>
      </c>
      <c r="F18" s="11">
        <f t="shared" si="7"/>
        <v>8.5000000000000006E-2</v>
      </c>
      <c r="G18" s="10">
        <f t="shared" si="0"/>
        <v>1450</v>
      </c>
      <c r="K18" s="4"/>
      <c r="L18" s="4"/>
      <c r="M18" s="4">
        <f t="shared" si="1"/>
        <v>1450</v>
      </c>
      <c r="N18" s="4">
        <f t="shared" si="8"/>
        <v>13239</v>
      </c>
    </row>
    <row r="19" spans="1:14" x14ac:dyDescent="0.3">
      <c r="A19" s="1">
        <f t="shared" si="2"/>
        <v>17</v>
      </c>
      <c r="B19" s="4">
        <f t="shared" si="3"/>
        <v>17</v>
      </c>
      <c r="C19" s="4">
        <f t="shared" ref="C19" si="23">C18+1</f>
        <v>17</v>
      </c>
      <c r="D19" s="4">
        <f t="shared" si="17"/>
        <v>60</v>
      </c>
      <c r="E19" s="4">
        <f t="shared" si="6"/>
        <v>0.21900000000000003</v>
      </c>
      <c r="F19" s="11">
        <f t="shared" si="7"/>
        <v>9.0000000000000011E-2</v>
      </c>
      <c r="G19" s="10">
        <f t="shared" si="0"/>
        <v>1531</v>
      </c>
      <c r="K19" s="4"/>
      <c r="L19" s="4"/>
      <c r="M19" s="4">
        <f t="shared" si="1"/>
        <v>1531</v>
      </c>
      <c r="N19" s="4">
        <f t="shared" si="8"/>
        <v>14770</v>
      </c>
    </row>
    <row r="20" spans="1:14" x14ac:dyDescent="0.3">
      <c r="A20" s="1">
        <f t="shared" si="2"/>
        <v>18</v>
      </c>
      <c r="B20" s="4">
        <f t="shared" si="3"/>
        <v>18</v>
      </c>
      <c r="C20" s="4">
        <f t="shared" ref="C20" si="24">C19+1</f>
        <v>18</v>
      </c>
      <c r="D20" s="4">
        <f t="shared" si="17"/>
        <v>63</v>
      </c>
      <c r="E20" s="4">
        <f t="shared" si="6"/>
        <v>0.22600000000000001</v>
      </c>
      <c r="F20" s="11">
        <f t="shared" si="7"/>
        <v>9.5000000000000015E-2</v>
      </c>
      <c r="G20" s="10">
        <f t="shared" si="0"/>
        <v>1612</v>
      </c>
      <c r="K20" s="4"/>
      <c r="L20" s="4"/>
      <c r="M20" s="4">
        <f t="shared" si="1"/>
        <v>1612</v>
      </c>
      <c r="N20" s="4">
        <f t="shared" si="8"/>
        <v>16382</v>
      </c>
    </row>
    <row r="21" spans="1:14" x14ac:dyDescent="0.3">
      <c r="A21" s="1">
        <f t="shared" si="2"/>
        <v>19</v>
      </c>
      <c r="B21" s="4">
        <f t="shared" si="3"/>
        <v>19</v>
      </c>
      <c r="C21" s="4">
        <f t="shared" ref="C21" si="25">C20+1</f>
        <v>19</v>
      </c>
      <c r="D21" s="4">
        <f t="shared" si="17"/>
        <v>66</v>
      </c>
      <c r="E21" s="4">
        <f t="shared" si="6"/>
        <v>0.23300000000000001</v>
      </c>
      <c r="F21" s="11">
        <f t="shared" si="7"/>
        <v>0.10000000000000002</v>
      </c>
      <c r="G21" s="10">
        <f t="shared" si="0"/>
        <v>1693</v>
      </c>
      <c r="K21" s="4"/>
      <c r="L21" s="4"/>
      <c r="M21" s="4">
        <f t="shared" si="1"/>
        <v>1693</v>
      </c>
      <c r="N21" s="4">
        <f t="shared" si="8"/>
        <v>18075</v>
      </c>
    </row>
    <row r="22" spans="1:14" x14ac:dyDescent="0.3">
      <c r="A22" s="1">
        <f t="shared" si="2"/>
        <v>20</v>
      </c>
      <c r="B22" s="4">
        <f t="shared" si="3"/>
        <v>20</v>
      </c>
      <c r="C22" s="4">
        <f t="shared" ref="C22" si="26">C21+1</f>
        <v>20</v>
      </c>
      <c r="D22" s="4">
        <f>D21+4</f>
        <v>70</v>
      </c>
      <c r="E22" s="4">
        <f t="shared" si="6"/>
        <v>0.24000000000000002</v>
      </c>
      <c r="F22" s="11">
        <f>F21+0.008</f>
        <v>0.10800000000000001</v>
      </c>
      <c r="G22" s="10">
        <f t="shared" si="0"/>
        <v>1774</v>
      </c>
      <c r="K22" s="4"/>
      <c r="L22" s="4"/>
      <c r="M22" s="4">
        <f t="shared" si="1"/>
        <v>1774</v>
      </c>
      <c r="N22" s="4">
        <f t="shared" si="8"/>
        <v>19849</v>
      </c>
    </row>
    <row r="23" spans="1:14" x14ac:dyDescent="0.3">
      <c r="A23" s="1">
        <f t="shared" si="2"/>
        <v>21</v>
      </c>
      <c r="B23" s="4">
        <f t="shared" si="3"/>
        <v>21</v>
      </c>
      <c r="C23" s="4">
        <f t="shared" ref="C23" si="27">C22+1</f>
        <v>21</v>
      </c>
      <c r="D23" s="4">
        <f t="shared" ref="D23:D31" si="28">D22+4</f>
        <v>74</v>
      </c>
      <c r="E23" s="4">
        <f t="shared" si="6"/>
        <v>0.247</v>
      </c>
      <c r="F23" s="11">
        <f t="shared" ref="F23:F41" si="29">F22+0.008</f>
        <v>0.11600000000000002</v>
      </c>
      <c r="G23" s="10">
        <f t="shared" si="0"/>
        <v>1854</v>
      </c>
      <c r="K23" s="4"/>
      <c r="L23" s="4"/>
      <c r="M23" s="4">
        <f t="shared" si="1"/>
        <v>1854</v>
      </c>
      <c r="N23" s="4">
        <f t="shared" si="8"/>
        <v>21703</v>
      </c>
    </row>
    <row r="24" spans="1:14" x14ac:dyDescent="0.3">
      <c r="A24" s="1">
        <f t="shared" si="2"/>
        <v>22</v>
      </c>
      <c r="B24" s="4">
        <f t="shared" si="3"/>
        <v>22</v>
      </c>
      <c r="C24" s="4">
        <f t="shared" ref="C24" si="30">C23+1</f>
        <v>22</v>
      </c>
      <c r="D24" s="4">
        <f t="shared" si="28"/>
        <v>78</v>
      </c>
      <c r="E24" s="4">
        <f t="shared" si="6"/>
        <v>0.254</v>
      </c>
      <c r="F24" s="11">
        <f t="shared" si="29"/>
        <v>0.12400000000000003</v>
      </c>
      <c r="G24" s="10">
        <f t="shared" si="0"/>
        <v>1933</v>
      </c>
      <c r="K24" s="4"/>
      <c r="L24" s="4"/>
      <c r="M24" s="4">
        <f t="shared" si="1"/>
        <v>1933</v>
      </c>
      <c r="N24" s="4">
        <f t="shared" si="8"/>
        <v>23636</v>
      </c>
    </row>
    <row r="25" spans="1:14" x14ac:dyDescent="0.3">
      <c r="A25" s="1">
        <f t="shared" si="2"/>
        <v>23</v>
      </c>
      <c r="B25" s="4">
        <f t="shared" si="3"/>
        <v>23</v>
      </c>
      <c r="C25" s="4">
        <f t="shared" ref="C25" si="31">C24+1</f>
        <v>23</v>
      </c>
      <c r="D25" s="4">
        <f t="shared" si="28"/>
        <v>82</v>
      </c>
      <c r="E25" s="4">
        <f t="shared" si="6"/>
        <v>0.26100000000000001</v>
      </c>
      <c r="F25" s="11">
        <f t="shared" si="29"/>
        <v>0.13200000000000003</v>
      </c>
      <c r="G25" s="10">
        <f t="shared" si="0"/>
        <v>2013</v>
      </c>
      <c r="K25" s="4"/>
      <c r="L25" s="4"/>
      <c r="M25" s="4">
        <f t="shared" si="1"/>
        <v>2013</v>
      </c>
      <c r="N25" s="4">
        <f t="shared" si="8"/>
        <v>25649</v>
      </c>
    </row>
    <row r="26" spans="1:14" x14ac:dyDescent="0.3">
      <c r="A26" s="1">
        <f t="shared" si="2"/>
        <v>24</v>
      </c>
      <c r="B26" s="4">
        <f t="shared" si="3"/>
        <v>24</v>
      </c>
      <c r="C26" s="4">
        <f t="shared" ref="C26" si="32">C25+1</f>
        <v>24</v>
      </c>
      <c r="D26" s="4">
        <f t="shared" si="28"/>
        <v>86</v>
      </c>
      <c r="E26" s="4">
        <f t="shared" si="6"/>
        <v>0.26800000000000002</v>
      </c>
      <c r="F26" s="11">
        <f t="shared" si="29"/>
        <v>0.14000000000000004</v>
      </c>
      <c r="G26" s="10">
        <f t="shared" si="0"/>
        <v>2091</v>
      </c>
      <c r="K26" s="4"/>
      <c r="L26" s="4"/>
      <c r="M26" s="4">
        <f t="shared" si="1"/>
        <v>2091</v>
      </c>
      <c r="N26" s="4">
        <f t="shared" si="8"/>
        <v>27740</v>
      </c>
    </row>
    <row r="27" spans="1:14" x14ac:dyDescent="0.3">
      <c r="A27" s="1">
        <f t="shared" si="2"/>
        <v>25</v>
      </c>
      <c r="B27" s="4">
        <f t="shared" si="3"/>
        <v>25</v>
      </c>
      <c r="C27" s="4">
        <f t="shared" ref="C27" si="33">C26+1</f>
        <v>25</v>
      </c>
      <c r="D27" s="4">
        <f t="shared" si="28"/>
        <v>90</v>
      </c>
      <c r="E27" s="4">
        <f t="shared" si="6"/>
        <v>0.27500000000000002</v>
      </c>
      <c r="F27" s="11">
        <f t="shared" si="29"/>
        <v>0.14800000000000005</v>
      </c>
      <c r="G27" s="10">
        <f t="shared" si="0"/>
        <v>2170</v>
      </c>
      <c r="K27" s="4"/>
      <c r="L27" s="4"/>
      <c r="M27" s="4">
        <f t="shared" si="1"/>
        <v>2170</v>
      </c>
      <c r="N27" s="4">
        <f t="shared" si="8"/>
        <v>29910</v>
      </c>
    </row>
    <row r="28" spans="1:14" x14ac:dyDescent="0.3">
      <c r="A28" s="1">
        <f t="shared" si="2"/>
        <v>26</v>
      </c>
      <c r="B28" s="4">
        <f t="shared" si="3"/>
        <v>26</v>
      </c>
      <c r="C28" s="4">
        <f t="shared" ref="C28" si="34">C27+1</f>
        <v>26</v>
      </c>
      <c r="D28" s="4">
        <f t="shared" si="28"/>
        <v>94</v>
      </c>
      <c r="E28" s="4">
        <f t="shared" si="6"/>
        <v>0.28200000000000003</v>
      </c>
      <c r="F28" s="11">
        <f t="shared" si="29"/>
        <v>0.15600000000000006</v>
      </c>
      <c r="G28" s="10">
        <f t="shared" si="0"/>
        <v>2248</v>
      </c>
      <c r="K28" s="4"/>
      <c r="L28" s="4"/>
      <c r="M28" s="4">
        <f t="shared" si="1"/>
        <v>2248</v>
      </c>
      <c r="N28" s="4">
        <f t="shared" si="8"/>
        <v>32158</v>
      </c>
    </row>
    <row r="29" spans="1:14" x14ac:dyDescent="0.3">
      <c r="A29" s="1">
        <f t="shared" si="2"/>
        <v>27</v>
      </c>
      <c r="B29" s="4">
        <f t="shared" si="3"/>
        <v>27</v>
      </c>
      <c r="C29" s="4">
        <f t="shared" ref="C29" si="35">C28+1</f>
        <v>27</v>
      </c>
      <c r="D29" s="4">
        <f t="shared" si="28"/>
        <v>98</v>
      </c>
      <c r="E29" s="4">
        <f t="shared" si="6"/>
        <v>0.28900000000000003</v>
      </c>
      <c r="F29" s="11">
        <f t="shared" si="29"/>
        <v>0.16400000000000006</v>
      </c>
      <c r="G29" s="10">
        <f t="shared" si="0"/>
        <v>2325</v>
      </c>
      <c r="K29" s="4"/>
      <c r="L29" s="4"/>
      <c r="M29" s="4">
        <f t="shared" si="1"/>
        <v>2325</v>
      </c>
      <c r="N29" s="4">
        <f t="shared" si="8"/>
        <v>34483</v>
      </c>
    </row>
    <row r="30" spans="1:14" x14ac:dyDescent="0.3">
      <c r="A30" s="1">
        <f t="shared" si="2"/>
        <v>28</v>
      </c>
      <c r="B30" s="4">
        <f t="shared" si="3"/>
        <v>28</v>
      </c>
      <c r="C30" s="4">
        <f t="shared" ref="C30" si="36">C29+1</f>
        <v>28</v>
      </c>
      <c r="D30" s="4">
        <f t="shared" si="28"/>
        <v>102</v>
      </c>
      <c r="E30" s="4">
        <f t="shared" si="6"/>
        <v>0.29600000000000004</v>
      </c>
      <c r="F30" s="11">
        <f t="shared" si="29"/>
        <v>0.17200000000000007</v>
      </c>
      <c r="G30" s="10">
        <f t="shared" si="0"/>
        <v>2402</v>
      </c>
      <c r="K30" s="4"/>
      <c r="L30" s="4"/>
      <c r="M30" s="4">
        <f t="shared" si="1"/>
        <v>2402</v>
      </c>
      <c r="N30" s="4">
        <f t="shared" si="8"/>
        <v>36885</v>
      </c>
    </row>
    <row r="31" spans="1:14" x14ac:dyDescent="0.3">
      <c r="A31" s="1">
        <f t="shared" si="2"/>
        <v>29</v>
      </c>
      <c r="B31" s="4">
        <f t="shared" si="3"/>
        <v>29</v>
      </c>
      <c r="C31" s="4">
        <f t="shared" ref="C31" si="37">C30+1</f>
        <v>29</v>
      </c>
      <c r="D31" s="4">
        <f t="shared" si="28"/>
        <v>106</v>
      </c>
      <c r="E31" s="4">
        <f t="shared" si="6"/>
        <v>0.30300000000000005</v>
      </c>
      <c r="F31" s="11">
        <f t="shared" si="29"/>
        <v>0.18000000000000008</v>
      </c>
      <c r="G31" s="10">
        <f t="shared" si="0"/>
        <v>2478</v>
      </c>
      <c r="K31" s="4"/>
      <c r="L31" s="4"/>
      <c r="M31" s="4">
        <f t="shared" si="1"/>
        <v>2478</v>
      </c>
      <c r="N31" s="4">
        <f t="shared" si="8"/>
        <v>39363</v>
      </c>
    </row>
    <row r="32" spans="1:14" x14ac:dyDescent="0.3">
      <c r="A32" s="1">
        <f t="shared" si="2"/>
        <v>30</v>
      </c>
      <c r="B32" s="4">
        <f t="shared" si="3"/>
        <v>30</v>
      </c>
      <c r="C32" s="4">
        <f t="shared" ref="C32" si="38">C31+1</f>
        <v>30</v>
      </c>
      <c r="D32" s="4">
        <f>D31+5</f>
        <v>111</v>
      </c>
      <c r="E32" s="4">
        <f t="shared" si="6"/>
        <v>0.31</v>
      </c>
      <c r="F32" s="11">
        <f t="shared" si="29"/>
        <v>0.18800000000000008</v>
      </c>
      <c r="G32" s="10">
        <f t="shared" si="0"/>
        <v>2554</v>
      </c>
      <c r="K32" s="4"/>
      <c r="L32" s="4"/>
      <c r="M32" s="4">
        <f t="shared" si="1"/>
        <v>2554</v>
      </c>
      <c r="N32" s="4">
        <f t="shared" si="8"/>
        <v>41917</v>
      </c>
    </row>
    <row r="33" spans="1:14" x14ac:dyDescent="0.3">
      <c r="A33" s="1">
        <f t="shared" si="2"/>
        <v>31</v>
      </c>
      <c r="B33" s="4">
        <f t="shared" si="3"/>
        <v>31</v>
      </c>
      <c r="C33" s="4">
        <f t="shared" ref="C33" si="39">C32+1</f>
        <v>31</v>
      </c>
      <c r="D33" s="4">
        <f t="shared" ref="D33:D41" si="40">D32+5</f>
        <v>116</v>
      </c>
      <c r="E33" s="4">
        <f t="shared" si="6"/>
        <v>0.317</v>
      </c>
      <c r="F33" s="11">
        <f t="shared" si="29"/>
        <v>0.19600000000000009</v>
      </c>
      <c r="G33" s="10">
        <f t="shared" si="0"/>
        <v>2629</v>
      </c>
      <c r="K33" s="4"/>
      <c r="L33" s="4"/>
      <c r="M33" s="4">
        <f t="shared" si="1"/>
        <v>2629</v>
      </c>
      <c r="N33" s="4">
        <f t="shared" si="8"/>
        <v>44546</v>
      </c>
    </row>
    <row r="34" spans="1:14" x14ac:dyDescent="0.3">
      <c r="A34" s="1">
        <f t="shared" si="2"/>
        <v>32</v>
      </c>
      <c r="B34" s="4">
        <f t="shared" si="3"/>
        <v>32</v>
      </c>
      <c r="C34" s="4">
        <f t="shared" ref="C34" si="41">C33+1</f>
        <v>32</v>
      </c>
      <c r="D34" s="4">
        <f t="shared" si="40"/>
        <v>121</v>
      </c>
      <c r="E34" s="4">
        <f t="shared" si="6"/>
        <v>0.32400000000000001</v>
      </c>
      <c r="F34" s="11">
        <f t="shared" si="29"/>
        <v>0.2040000000000001</v>
      </c>
      <c r="G34" s="10">
        <f t="shared" si="0"/>
        <v>2703</v>
      </c>
      <c r="K34" s="4"/>
      <c r="L34" s="4"/>
      <c r="M34" s="4">
        <f t="shared" si="1"/>
        <v>2703</v>
      </c>
      <c r="N34" s="4">
        <f t="shared" si="8"/>
        <v>47249</v>
      </c>
    </row>
    <row r="35" spans="1:14" x14ac:dyDescent="0.3">
      <c r="A35" s="1">
        <f t="shared" si="2"/>
        <v>33</v>
      </c>
      <c r="B35" s="4">
        <f t="shared" si="3"/>
        <v>33</v>
      </c>
      <c r="C35" s="4">
        <f t="shared" ref="C35" si="42">C34+1</f>
        <v>33</v>
      </c>
      <c r="D35" s="4">
        <f t="shared" si="40"/>
        <v>126</v>
      </c>
      <c r="E35" s="4">
        <f t="shared" si="6"/>
        <v>0.33100000000000002</v>
      </c>
      <c r="F35" s="11">
        <f t="shared" si="29"/>
        <v>0.21200000000000011</v>
      </c>
      <c r="G35" s="10">
        <f t="shared" si="0"/>
        <v>2777</v>
      </c>
      <c r="K35" s="4"/>
      <c r="L35" s="4"/>
      <c r="M35" s="4">
        <f t="shared" si="1"/>
        <v>2777</v>
      </c>
      <c r="N35" s="4">
        <f t="shared" si="8"/>
        <v>50026</v>
      </c>
    </row>
    <row r="36" spans="1:14" x14ac:dyDescent="0.3">
      <c r="A36" s="1">
        <f t="shared" si="2"/>
        <v>34</v>
      </c>
      <c r="B36" s="4">
        <f t="shared" si="3"/>
        <v>34</v>
      </c>
      <c r="C36" s="4">
        <f t="shared" ref="C36" si="43">C35+1</f>
        <v>34</v>
      </c>
      <c r="D36" s="4">
        <f t="shared" si="40"/>
        <v>131</v>
      </c>
      <c r="E36" s="4">
        <f t="shared" si="6"/>
        <v>0.33800000000000002</v>
      </c>
      <c r="F36" s="11">
        <f t="shared" si="29"/>
        <v>0.22000000000000011</v>
      </c>
      <c r="G36" s="10">
        <f t="shared" si="0"/>
        <v>2850</v>
      </c>
      <c r="K36" s="4"/>
      <c r="L36" s="4"/>
      <c r="M36" s="4">
        <f t="shared" si="1"/>
        <v>2850</v>
      </c>
      <c r="N36" s="4">
        <f t="shared" si="8"/>
        <v>52876</v>
      </c>
    </row>
    <row r="37" spans="1:14" x14ac:dyDescent="0.3">
      <c r="A37" s="1">
        <f t="shared" si="2"/>
        <v>35</v>
      </c>
      <c r="B37" s="4">
        <f t="shared" si="3"/>
        <v>35</v>
      </c>
      <c r="C37" s="4">
        <f t="shared" ref="C37" si="44">C36+1</f>
        <v>35</v>
      </c>
      <c r="D37" s="4">
        <f t="shared" si="40"/>
        <v>136</v>
      </c>
      <c r="E37" s="4">
        <f t="shared" si="6"/>
        <v>0.34499999999999997</v>
      </c>
      <c r="F37" s="11">
        <f t="shared" si="29"/>
        <v>0.22800000000000012</v>
      </c>
      <c r="G37" s="10">
        <f t="shared" si="0"/>
        <v>2922</v>
      </c>
      <c r="K37" s="4"/>
      <c r="L37" s="4"/>
      <c r="M37" s="4">
        <f t="shared" si="1"/>
        <v>2922</v>
      </c>
      <c r="N37" s="4">
        <f t="shared" si="8"/>
        <v>55798</v>
      </c>
    </row>
    <row r="38" spans="1:14" x14ac:dyDescent="0.3">
      <c r="A38" s="1">
        <f t="shared" si="2"/>
        <v>36</v>
      </c>
      <c r="B38" s="4">
        <f t="shared" si="3"/>
        <v>36</v>
      </c>
      <c r="C38" s="4">
        <f t="shared" ref="C38" si="45">C37+1</f>
        <v>36</v>
      </c>
      <c r="D38" s="4">
        <f t="shared" si="40"/>
        <v>141</v>
      </c>
      <c r="E38" s="4">
        <f t="shared" si="6"/>
        <v>0.35199999999999998</v>
      </c>
      <c r="F38" s="11">
        <f t="shared" si="29"/>
        <v>0.23600000000000013</v>
      </c>
      <c r="G38" s="10">
        <f t="shared" si="0"/>
        <v>2994</v>
      </c>
      <c r="K38" s="4"/>
      <c r="L38" s="4"/>
      <c r="M38" s="4">
        <f t="shared" si="1"/>
        <v>2994</v>
      </c>
      <c r="N38" s="4">
        <f t="shared" si="8"/>
        <v>58792</v>
      </c>
    </row>
    <row r="39" spans="1:14" x14ac:dyDescent="0.3">
      <c r="A39" s="1">
        <f t="shared" si="2"/>
        <v>37</v>
      </c>
      <c r="B39" s="4">
        <f t="shared" si="3"/>
        <v>37</v>
      </c>
      <c r="C39" s="4">
        <f t="shared" ref="C39" si="46">C38+1</f>
        <v>37</v>
      </c>
      <c r="D39" s="4">
        <f t="shared" si="40"/>
        <v>146</v>
      </c>
      <c r="E39" s="4">
        <f t="shared" si="6"/>
        <v>0.35899999999999999</v>
      </c>
      <c r="F39" s="11">
        <f t="shared" si="29"/>
        <v>0.24400000000000013</v>
      </c>
      <c r="G39" s="10">
        <f t="shared" si="0"/>
        <v>3065</v>
      </c>
      <c r="K39" s="4"/>
      <c r="L39" s="4"/>
      <c r="M39" s="4">
        <f t="shared" si="1"/>
        <v>3065</v>
      </c>
      <c r="N39" s="4">
        <f t="shared" si="8"/>
        <v>61857</v>
      </c>
    </row>
    <row r="40" spans="1:14" x14ac:dyDescent="0.3">
      <c r="A40" s="1">
        <f t="shared" si="2"/>
        <v>38</v>
      </c>
      <c r="B40" s="4">
        <f t="shared" si="3"/>
        <v>38</v>
      </c>
      <c r="C40" s="4">
        <f t="shared" ref="C40" si="47">C39+1</f>
        <v>38</v>
      </c>
      <c r="D40" s="4">
        <f t="shared" si="40"/>
        <v>151</v>
      </c>
      <c r="E40" s="4">
        <f t="shared" si="6"/>
        <v>0.36599999999999999</v>
      </c>
      <c r="F40" s="11">
        <f t="shared" si="29"/>
        <v>0.25200000000000011</v>
      </c>
      <c r="G40" s="10">
        <f t="shared" si="0"/>
        <v>3136</v>
      </c>
      <c r="K40" s="4"/>
      <c r="L40" s="4"/>
      <c r="M40" s="4">
        <f t="shared" si="1"/>
        <v>3136</v>
      </c>
      <c r="N40" s="4">
        <f t="shared" si="8"/>
        <v>64993</v>
      </c>
    </row>
    <row r="41" spans="1:14" x14ac:dyDescent="0.3">
      <c r="A41" s="1">
        <f t="shared" si="2"/>
        <v>39</v>
      </c>
      <c r="B41" s="4">
        <f t="shared" si="3"/>
        <v>39</v>
      </c>
      <c r="C41" s="4">
        <f t="shared" ref="C41" si="48">C40+1</f>
        <v>39</v>
      </c>
      <c r="D41" s="4">
        <f t="shared" si="40"/>
        <v>156</v>
      </c>
      <c r="E41" s="4">
        <f t="shared" si="6"/>
        <v>0.373</v>
      </c>
      <c r="F41" s="11">
        <f t="shared" si="29"/>
        <v>0.26000000000000012</v>
      </c>
      <c r="G41" s="10">
        <f t="shared" si="0"/>
        <v>3205</v>
      </c>
      <c r="K41" s="4"/>
      <c r="L41" s="4"/>
      <c r="M41" s="4">
        <f t="shared" si="1"/>
        <v>3205</v>
      </c>
      <c r="N41" s="4">
        <f t="shared" si="8"/>
        <v>68198</v>
      </c>
    </row>
    <row r="42" spans="1:14" x14ac:dyDescent="0.3">
      <c r="A42" s="1">
        <f t="shared" si="2"/>
        <v>40</v>
      </c>
      <c r="B42" s="4">
        <f t="shared" si="3"/>
        <v>40</v>
      </c>
      <c r="C42" s="4">
        <f t="shared" ref="C42" si="49">C41+1</f>
        <v>40</v>
      </c>
      <c r="D42" s="4">
        <f>D41+6</f>
        <v>162</v>
      </c>
      <c r="E42" s="4">
        <f t="shared" si="6"/>
        <v>0.38</v>
      </c>
      <c r="F42" s="11">
        <f>F41+0.013</f>
        <v>0.27300000000000013</v>
      </c>
      <c r="G42" s="10">
        <f t="shared" si="0"/>
        <v>3274</v>
      </c>
      <c r="K42" s="4"/>
      <c r="L42" s="4"/>
      <c r="M42" s="4">
        <f t="shared" si="1"/>
        <v>3274</v>
      </c>
      <c r="N42" s="4">
        <f t="shared" si="8"/>
        <v>71472</v>
      </c>
    </row>
    <row r="43" spans="1:14" x14ac:dyDescent="0.3">
      <c r="A43" s="1">
        <f t="shared" si="2"/>
        <v>41</v>
      </c>
      <c r="B43" s="4">
        <f>B42+2</f>
        <v>42</v>
      </c>
      <c r="C43" s="4">
        <f>C42+2</f>
        <v>42</v>
      </c>
      <c r="D43" s="4">
        <f t="shared" ref="D43:D51" si="50">D42+6</f>
        <v>168</v>
      </c>
      <c r="E43" s="4">
        <f t="shared" si="6"/>
        <v>0.38700000000000001</v>
      </c>
      <c r="F43" s="11">
        <f t="shared" ref="F43:F61" si="51">F42+0.013</f>
        <v>0.28600000000000014</v>
      </c>
      <c r="G43" s="10">
        <f t="shared" si="0"/>
        <v>3342</v>
      </c>
      <c r="K43" s="4"/>
      <c r="L43" s="4"/>
      <c r="M43" s="4">
        <f t="shared" si="1"/>
        <v>3342</v>
      </c>
      <c r="N43" s="4">
        <f t="shared" si="8"/>
        <v>74814</v>
      </c>
    </row>
    <row r="44" spans="1:14" x14ac:dyDescent="0.3">
      <c r="A44" s="1">
        <f t="shared" si="2"/>
        <v>42</v>
      </c>
      <c r="B44" s="4">
        <f t="shared" ref="B44:C61" si="52">B43+2</f>
        <v>44</v>
      </c>
      <c r="C44" s="4">
        <f t="shared" si="52"/>
        <v>44</v>
      </c>
      <c r="D44" s="4">
        <f t="shared" si="50"/>
        <v>174</v>
      </c>
      <c r="E44" s="4">
        <f t="shared" si="6"/>
        <v>0.39400000000000002</v>
      </c>
      <c r="F44" s="11">
        <f t="shared" si="51"/>
        <v>0.29900000000000015</v>
      </c>
      <c r="G44" s="10">
        <f t="shared" si="0"/>
        <v>3410</v>
      </c>
      <c r="K44" s="4"/>
      <c r="L44" s="4"/>
      <c r="M44" s="4">
        <f t="shared" si="1"/>
        <v>3410</v>
      </c>
      <c r="N44" s="4">
        <f t="shared" si="8"/>
        <v>78224</v>
      </c>
    </row>
    <row r="45" spans="1:14" x14ac:dyDescent="0.3">
      <c r="A45" s="1">
        <f t="shared" si="2"/>
        <v>43</v>
      </c>
      <c r="B45" s="4">
        <f t="shared" si="52"/>
        <v>46</v>
      </c>
      <c r="C45" s="4">
        <f t="shared" si="52"/>
        <v>46</v>
      </c>
      <c r="D45" s="4">
        <f t="shared" si="50"/>
        <v>180</v>
      </c>
      <c r="E45" s="4">
        <f t="shared" si="6"/>
        <v>0.40100000000000002</v>
      </c>
      <c r="F45" s="11">
        <f t="shared" si="51"/>
        <v>0.31200000000000017</v>
      </c>
      <c r="G45" s="10">
        <f t="shared" si="0"/>
        <v>3476</v>
      </c>
      <c r="K45" s="4"/>
      <c r="L45" s="4"/>
      <c r="M45" s="4">
        <f t="shared" si="1"/>
        <v>3476</v>
      </c>
      <c r="N45" s="4">
        <f t="shared" si="8"/>
        <v>81700</v>
      </c>
    </row>
    <row r="46" spans="1:14" x14ac:dyDescent="0.3">
      <c r="A46" s="1">
        <f t="shared" si="2"/>
        <v>44</v>
      </c>
      <c r="B46" s="4">
        <f t="shared" si="52"/>
        <v>48</v>
      </c>
      <c r="C46" s="4">
        <f t="shared" si="52"/>
        <v>48</v>
      </c>
      <c r="D46" s="4">
        <f t="shared" si="50"/>
        <v>186</v>
      </c>
      <c r="E46" s="4">
        <f t="shared" si="6"/>
        <v>0.40800000000000003</v>
      </c>
      <c r="F46" s="11">
        <f t="shared" si="51"/>
        <v>0.32500000000000018</v>
      </c>
      <c r="G46" s="10">
        <f t="shared" si="0"/>
        <v>3542</v>
      </c>
      <c r="K46" s="4"/>
      <c r="L46" s="4"/>
      <c r="M46" s="4">
        <f t="shared" si="1"/>
        <v>3542</v>
      </c>
      <c r="N46" s="4">
        <f t="shared" si="8"/>
        <v>85242</v>
      </c>
    </row>
    <row r="47" spans="1:14" x14ac:dyDescent="0.3">
      <c r="A47" s="1">
        <f t="shared" si="2"/>
        <v>45</v>
      </c>
      <c r="B47" s="4">
        <f t="shared" si="52"/>
        <v>50</v>
      </c>
      <c r="C47" s="4">
        <f t="shared" si="52"/>
        <v>50</v>
      </c>
      <c r="D47" s="4">
        <f t="shared" si="50"/>
        <v>192</v>
      </c>
      <c r="E47" s="4">
        <f t="shared" si="6"/>
        <v>0.41500000000000004</v>
      </c>
      <c r="F47" s="11">
        <f t="shared" si="51"/>
        <v>0.33800000000000019</v>
      </c>
      <c r="G47" s="10">
        <f t="shared" si="0"/>
        <v>3607</v>
      </c>
      <c r="K47" s="4"/>
      <c r="L47" s="4"/>
      <c r="M47" s="4">
        <f t="shared" si="1"/>
        <v>3607</v>
      </c>
      <c r="N47" s="4">
        <f t="shared" si="8"/>
        <v>88849</v>
      </c>
    </row>
    <row r="48" spans="1:14" x14ac:dyDescent="0.3">
      <c r="A48" s="1">
        <f t="shared" si="2"/>
        <v>46</v>
      </c>
      <c r="B48" s="4">
        <f t="shared" si="52"/>
        <v>52</v>
      </c>
      <c r="C48" s="4">
        <f t="shared" si="52"/>
        <v>52</v>
      </c>
      <c r="D48" s="4">
        <f t="shared" si="50"/>
        <v>198</v>
      </c>
      <c r="E48" s="4">
        <f t="shared" si="6"/>
        <v>0.42200000000000004</v>
      </c>
      <c r="F48" s="11">
        <f t="shared" si="51"/>
        <v>0.3510000000000002</v>
      </c>
      <c r="G48" s="10">
        <f t="shared" si="0"/>
        <v>3671</v>
      </c>
      <c r="K48" s="4"/>
      <c r="L48" s="4"/>
      <c r="M48" s="4">
        <f t="shared" si="1"/>
        <v>3671</v>
      </c>
      <c r="N48" s="4">
        <f t="shared" si="8"/>
        <v>92520</v>
      </c>
    </row>
    <row r="49" spans="1:14" x14ac:dyDescent="0.3">
      <c r="A49" s="1">
        <f t="shared" si="2"/>
        <v>47</v>
      </c>
      <c r="B49" s="4">
        <f t="shared" si="52"/>
        <v>54</v>
      </c>
      <c r="C49" s="4">
        <f t="shared" si="52"/>
        <v>54</v>
      </c>
      <c r="D49" s="4">
        <f t="shared" si="50"/>
        <v>204</v>
      </c>
      <c r="E49" s="4">
        <f t="shared" si="6"/>
        <v>0.42900000000000005</v>
      </c>
      <c r="F49" s="11">
        <f t="shared" si="51"/>
        <v>0.36400000000000021</v>
      </c>
      <c r="G49" s="10">
        <f t="shared" si="0"/>
        <v>3734</v>
      </c>
      <c r="K49" s="4"/>
      <c r="L49" s="4"/>
      <c r="M49" s="4">
        <f t="shared" si="1"/>
        <v>3734</v>
      </c>
      <c r="N49" s="4">
        <f t="shared" si="8"/>
        <v>96254</v>
      </c>
    </row>
    <row r="50" spans="1:14" x14ac:dyDescent="0.3">
      <c r="A50" s="1">
        <f t="shared" si="2"/>
        <v>48</v>
      </c>
      <c r="B50" s="4">
        <f t="shared" si="52"/>
        <v>56</v>
      </c>
      <c r="C50" s="4">
        <f t="shared" si="52"/>
        <v>56</v>
      </c>
      <c r="D50" s="4">
        <f t="shared" si="50"/>
        <v>210</v>
      </c>
      <c r="E50" s="4">
        <f t="shared" si="6"/>
        <v>0.43600000000000005</v>
      </c>
      <c r="F50" s="11">
        <f t="shared" si="51"/>
        <v>0.37700000000000022</v>
      </c>
      <c r="G50" s="10">
        <f t="shared" si="0"/>
        <v>3796</v>
      </c>
      <c r="K50" s="4"/>
      <c r="L50" s="4"/>
      <c r="M50" s="4">
        <f t="shared" si="1"/>
        <v>3796</v>
      </c>
      <c r="N50" s="4">
        <f t="shared" si="8"/>
        <v>100050</v>
      </c>
    </row>
    <row r="51" spans="1:14" x14ac:dyDescent="0.3">
      <c r="A51" s="1">
        <f t="shared" si="2"/>
        <v>49</v>
      </c>
      <c r="B51" s="4">
        <f t="shared" si="52"/>
        <v>58</v>
      </c>
      <c r="C51" s="4">
        <f t="shared" si="52"/>
        <v>58</v>
      </c>
      <c r="D51" s="4">
        <f t="shared" si="50"/>
        <v>216</v>
      </c>
      <c r="E51" s="4">
        <f t="shared" si="6"/>
        <v>0.44300000000000006</v>
      </c>
      <c r="F51" s="11">
        <f t="shared" si="51"/>
        <v>0.39000000000000024</v>
      </c>
      <c r="G51" s="10">
        <f t="shared" si="0"/>
        <v>3857</v>
      </c>
      <c r="K51" s="4"/>
      <c r="L51" s="4"/>
      <c r="M51" s="4">
        <f t="shared" si="1"/>
        <v>3857</v>
      </c>
      <c r="N51" s="4">
        <f t="shared" si="8"/>
        <v>103907</v>
      </c>
    </row>
    <row r="52" spans="1:14" x14ac:dyDescent="0.3">
      <c r="A52" s="1">
        <f t="shared" si="2"/>
        <v>50</v>
      </c>
      <c r="B52" s="4">
        <f t="shared" si="52"/>
        <v>60</v>
      </c>
      <c r="C52" s="4">
        <f t="shared" si="52"/>
        <v>60</v>
      </c>
      <c r="D52" s="4">
        <f>D51+7</f>
        <v>223</v>
      </c>
      <c r="E52" s="4">
        <f t="shared" si="6"/>
        <v>0.45000000000000007</v>
      </c>
      <c r="F52" s="11">
        <f t="shared" si="51"/>
        <v>0.40300000000000025</v>
      </c>
      <c r="G52" s="10">
        <f t="shared" si="0"/>
        <v>3918</v>
      </c>
      <c r="K52" s="4"/>
      <c r="L52" s="4"/>
      <c r="M52" s="4">
        <f t="shared" si="1"/>
        <v>3918</v>
      </c>
      <c r="N52" s="4">
        <f t="shared" si="8"/>
        <v>107825</v>
      </c>
    </row>
    <row r="53" spans="1:14" x14ac:dyDescent="0.3">
      <c r="A53" s="1">
        <f t="shared" si="2"/>
        <v>51</v>
      </c>
      <c r="B53" s="4">
        <f t="shared" si="52"/>
        <v>62</v>
      </c>
      <c r="C53" s="4">
        <f t="shared" si="52"/>
        <v>62</v>
      </c>
      <c r="D53" s="4">
        <f t="shared" ref="D53:D61" si="53">D52+7</f>
        <v>230</v>
      </c>
      <c r="E53" s="4">
        <f t="shared" si="6"/>
        <v>0.45699999999999996</v>
      </c>
      <c r="F53" s="11">
        <f t="shared" si="51"/>
        <v>0.41600000000000026</v>
      </c>
      <c r="G53" s="10">
        <f t="shared" si="0"/>
        <v>3977</v>
      </c>
      <c r="K53" s="4"/>
      <c r="L53" s="4"/>
      <c r="M53" s="4">
        <f t="shared" si="1"/>
        <v>3977</v>
      </c>
      <c r="N53" s="4">
        <f t="shared" si="8"/>
        <v>111802</v>
      </c>
    </row>
    <row r="54" spans="1:14" x14ac:dyDescent="0.3">
      <c r="A54" s="1">
        <f t="shared" si="2"/>
        <v>52</v>
      </c>
      <c r="B54" s="4">
        <f t="shared" si="52"/>
        <v>64</v>
      </c>
      <c r="C54" s="4">
        <f t="shared" si="52"/>
        <v>64</v>
      </c>
      <c r="D54" s="4">
        <f t="shared" si="53"/>
        <v>237</v>
      </c>
      <c r="E54" s="4">
        <f t="shared" si="6"/>
        <v>0.46399999999999997</v>
      </c>
      <c r="F54" s="11">
        <f t="shared" si="51"/>
        <v>0.42900000000000027</v>
      </c>
      <c r="G54" s="10">
        <f t="shared" si="0"/>
        <v>4036</v>
      </c>
      <c r="K54" s="4"/>
      <c r="L54" s="4"/>
      <c r="M54" s="4">
        <f t="shared" si="1"/>
        <v>4036</v>
      </c>
      <c r="N54" s="4">
        <f t="shared" si="8"/>
        <v>115838</v>
      </c>
    </row>
    <row r="55" spans="1:14" x14ac:dyDescent="0.3">
      <c r="A55" s="1">
        <f t="shared" si="2"/>
        <v>53</v>
      </c>
      <c r="B55" s="4">
        <f t="shared" si="52"/>
        <v>66</v>
      </c>
      <c r="C55" s="4">
        <f t="shared" si="52"/>
        <v>66</v>
      </c>
      <c r="D55" s="4">
        <f t="shared" si="53"/>
        <v>244</v>
      </c>
      <c r="E55" s="4">
        <f t="shared" si="6"/>
        <v>0.47099999999999997</v>
      </c>
      <c r="F55" s="11">
        <f t="shared" si="51"/>
        <v>0.44200000000000028</v>
      </c>
      <c r="G55" s="10">
        <f t="shared" si="0"/>
        <v>4093</v>
      </c>
      <c r="K55" s="4"/>
      <c r="L55" s="4"/>
      <c r="M55" s="4">
        <f t="shared" si="1"/>
        <v>4093</v>
      </c>
      <c r="N55" s="4">
        <f t="shared" si="8"/>
        <v>119931</v>
      </c>
    </row>
    <row r="56" spans="1:14" x14ac:dyDescent="0.3">
      <c r="A56" s="1">
        <f t="shared" si="2"/>
        <v>54</v>
      </c>
      <c r="B56" s="4">
        <f t="shared" si="52"/>
        <v>68</v>
      </c>
      <c r="C56" s="4">
        <f t="shared" si="52"/>
        <v>68</v>
      </c>
      <c r="D56" s="4">
        <f t="shared" si="53"/>
        <v>251</v>
      </c>
      <c r="E56" s="4">
        <f t="shared" si="6"/>
        <v>0.47799999999999998</v>
      </c>
      <c r="F56" s="11">
        <f t="shared" si="51"/>
        <v>0.45500000000000029</v>
      </c>
      <c r="G56" s="10">
        <f t="shared" si="0"/>
        <v>4150</v>
      </c>
      <c r="K56" s="4"/>
      <c r="L56" s="4"/>
      <c r="M56" s="4">
        <f t="shared" si="1"/>
        <v>4150</v>
      </c>
      <c r="N56" s="4">
        <f t="shared" si="8"/>
        <v>124081</v>
      </c>
    </row>
    <row r="57" spans="1:14" x14ac:dyDescent="0.3">
      <c r="A57" s="1">
        <f t="shared" si="2"/>
        <v>55</v>
      </c>
      <c r="B57" s="4">
        <f t="shared" si="52"/>
        <v>70</v>
      </c>
      <c r="C57" s="4">
        <f t="shared" si="52"/>
        <v>70</v>
      </c>
      <c r="D57" s="4">
        <f t="shared" si="53"/>
        <v>258</v>
      </c>
      <c r="E57" s="4">
        <f t="shared" si="6"/>
        <v>0.48499999999999999</v>
      </c>
      <c r="F57" s="11">
        <f t="shared" si="51"/>
        <v>0.4680000000000003</v>
      </c>
      <c r="G57" s="10">
        <f t="shared" si="0"/>
        <v>4205</v>
      </c>
      <c r="K57" s="4"/>
      <c r="L57" s="4"/>
      <c r="M57" s="4">
        <f t="shared" si="1"/>
        <v>4205</v>
      </c>
      <c r="N57" s="4">
        <f t="shared" si="8"/>
        <v>128286</v>
      </c>
    </row>
    <row r="58" spans="1:14" x14ac:dyDescent="0.3">
      <c r="A58" s="1">
        <f t="shared" si="2"/>
        <v>56</v>
      </c>
      <c r="B58" s="4">
        <f t="shared" si="52"/>
        <v>72</v>
      </c>
      <c r="C58" s="4">
        <f t="shared" si="52"/>
        <v>72</v>
      </c>
      <c r="D58" s="4">
        <f t="shared" si="53"/>
        <v>265</v>
      </c>
      <c r="E58" s="4">
        <f t="shared" si="6"/>
        <v>0.49199999999999999</v>
      </c>
      <c r="F58" s="11">
        <f t="shared" si="51"/>
        <v>0.48100000000000032</v>
      </c>
      <c r="G58" s="10">
        <f t="shared" si="0"/>
        <v>4260</v>
      </c>
      <c r="K58" s="4"/>
      <c r="L58" s="4"/>
      <c r="M58" s="4">
        <f t="shared" si="1"/>
        <v>4260</v>
      </c>
      <c r="N58" s="4">
        <f t="shared" si="8"/>
        <v>132546</v>
      </c>
    </row>
    <row r="59" spans="1:14" x14ac:dyDescent="0.3">
      <c r="A59" s="1">
        <f t="shared" si="2"/>
        <v>57</v>
      </c>
      <c r="B59" s="4">
        <f t="shared" si="52"/>
        <v>74</v>
      </c>
      <c r="C59" s="4">
        <f t="shared" si="52"/>
        <v>74</v>
      </c>
      <c r="D59" s="4">
        <f t="shared" si="53"/>
        <v>272</v>
      </c>
      <c r="E59" s="4">
        <f t="shared" si="6"/>
        <v>0.499</v>
      </c>
      <c r="F59" s="11">
        <f t="shared" si="51"/>
        <v>0.49400000000000033</v>
      </c>
      <c r="G59" s="10">
        <f t="shared" si="0"/>
        <v>4314</v>
      </c>
      <c r="K59" s="4"/>
      <c r="L59" s="4"/>
      <c r="M59" s="4">
        <f t="shared" si="1"/>
        <v>4314</v>
      </c>
      <c r="N59" s="4">
        <f t="shared" si="8"/>
        <v>136860</v>
      </c>
    </row>
    <row r="60" spans="1:14" x14ac:dyDescent="0.3">
      <c r="A60" s="1">
        <f t="shared" si="2"/>
        <v>58</v>
      </c>
      <c r="B60" s="4">
        <f t="shared" si="52"/>
        <v>76</v>
      </c>
      <c r="C60" s="4">
        <f t="shared" si="52"/>
        <v>76</v>
      </c>
      <c r="D60" s="4">
        <f t="shared" si="53"/>
        <v>279</v>
      </c>
      <c r="E60" s="4">
        <f t="shared" si="6"/>
        <v>0.50600000000000001</v>
      </c>
      <c r="F60" s="11">
        <f t="shared" si="51"/>
        <v>0.50700000000000034</v>
      </c>
      <c r="G60" s="10">
        <f t="shared" si="0"/>
        <v>4366</v>
      </c>
      <c r="K60" s="4"/>
      <c r="L60" s="4"/>
      <c r="M60" s="4">
        <f t="shared" si="1"/>
        <v>4366</v>
      </c>
      <c r="N60" s="4">
        <f t="shared" si="8"/>
        <v>141226</v>
      </c>
    </row>
    <row r="61" spans="1:14" x14ac:dyDescent="0.3">
      <c r="A61" s="1">
        <f t="shared" si="2"/>
        <v>59</v>
      </c>
      <c r="B61" s="4">
        <f t="shared" si="52"/>
        <v>78</v>
      </c>
      <c r="C61" s="4">
        <f t="shared" si="52"/>
        <v>78</v>
      </c>
      <c r="D61" s="4">
        <f t="shared" si="53"/>
        <v>286</v>
      </c>
      <c r="E61" s="4">
        <f t="shared" si="6"/>
        <v>0.51300000000000001</v>
      </c>
      <c r="F61" s="11">
        <f t="shared" si="51"/>
        <v>0.52000000000000035</v>
      </c>
      <c r="G61" s="10">
        <f t="shared" si="0"/>
        <v>4418</v>
      </c>
      <c r="K61" s="4"/>
      <c r="L61" s="4"/>
      <c r="M61" s="4">
        <f t="shared" si="1"/>
        <v>4418</v>
      </c>
      <c r="N61" s="4">
        <f t="shared" si="8"/>
        <v>145644</v>
      </c>
    </row>
    <row r="62" spans="1:14" x14ac:dyDescent="0.3">
      <c r="A62" s="1">
        <f t="shared" si="2"/>
        <v>60</v>
      </c>
      <c r="B62" s="4">
        <f>B61+2</f>
        <v>80</v>
      </c>
      <c r="C62" s="4">
        <f>C61+2</f>
        <v>80</v>
      </c>
      <c r="D62" s="4">
        <f>D61+8</f>
        <v>294</v>
      </c>
      <c r="E62" s="4">
        <f t="shared" si="6"/>
        <v>0.52</v>
      </c>
      <c r="F62" s="11">
        <f>F61+0.021</f>
        <v>0.54100000000000037</v>
      </c>
      <c r="G62" s="10">
        <f t="shared" si="0"/>
        <v>4468</v>
      </c>
      <c r="K62" s="4"/>
      <c r="L62" s="4"/>
      <c r="M62" s="4">
        <f t="shared" si="1"/>
        <v>4468</v>
      </c>
      <c r="N62" s="4">
        <f t="shared" si="8"/>
        <v>150112</v>
      </c>
    </row>
    <row r="63" spans="1:14" x14ac:dyDescent="0.3">
      <c r="A63" s="1">
        <f t="shared" si="2"/>
        <v>61</v>
      </c>
      <c r="B63" s="4">
        <f>B62+3</f>
        <v>83</v>
      </c>
      <c r="C63" s="4">
        <f>C62+3</f>
        <v>83</v>
      </c>
      <c r="D63" s="4">
        <f t="shared" ref="D63:D71" si="54">D62+8</f>
        <v>302</v>
      </c>
      <c r="E63" s="4">
        <f t="shared" si="6"/>
        <v>0.52700000000000002</v>
      </c>
      <c r="F63" s="11">
        <f t="shared" ref="F63:F81" si="55">F62+0.021</f>
        <v>0.56200000000000039</v>
      </c>
      <c r="G63" s="10">
        <f t="shared" si="0"/>
        <v>4517</v>
      </c>
      <c r="K63" s="4"/>
      <c r="L63" s="4"/>
      <c r="M63" s="4">
        <f t="shared" si="1"/>
        <v>4517</v>
      </c>
      <c r="N63" s="4">
        <f t="shared" si="8"/>
        <v>154629</v>
      </c>
    </row>
    <row r="64" spans="1:14" x14ac:dyDescent="0.3">
      <c r="A64" s="1">
        <f t="shared" si="2"/>
        <v>62</v>
      </c>
      <c r="B64" s="4">
        <f t="shared" ref="B64:C82" si="56">B63+3</f>
        <v>86</v>
      </c>
      <c r="C64" s="4">
        <f t="shared" si="56"/>
        <v>86</v>
      </c>
      <c r="D64" s="4">
        <f t="shared" si="54"/>
        <v>310</v>
      </c>
      <c r="E64" s="4">
        <f t="shared" si="6"/>
        <v>0.53400000000000003</v>
      </c>
      <c r="F64" s="11">
        <f t="shared" si="55"/>
        <v>0.58300000000000041</v>
      </c>
      <c r="G64" s="10">
        <f t="shared" si="0"/>
        <v>4565</v>
      </c>
      <c r="K64" s="4"/>
      <c r="L64" s="4"/>
      <c r="M64" s="4">
        <f t="shared" si="1"/>
        <v>4565</v>
      </c>
      <c r="N64" s="4">
        <f t="shared" si="8"/>
        <v>159194</v>
      </c>
    </row>
    <row r="65" spans="1:14" x14ac:dyDescent="0.3">
      <c r="A65" s="1">
        <f t="shared" si="2"/>
        <v>63</v>
      </c>
      <c r="B65" s="4">
        <f t="shared" si="56"/>
        <v>89</v>
      </c>
      <c r="C65" s="4">
        <f t="shared" si="56"/>
        <v>89</v>
      </c>
      <c r="D65" s="4">
        <f t="shared" si="54"/>
        <v>318</v>
      </c>
      <c r="E65" s="4">
        <f t="shared" si="6"/>
        <v>0.54100000000000004</v>
      </c>
      <c r="F65" s="11">
        <f t="shared" si="55"/>
        <v>0.60400000000000043</v>
      </c>
      <c r="G65" s="10">
        <f t="shared" si="0"/>
        <v>4613</v>
      </c>
      <c r="K65" s="4"/>
      <c r="L65" s="4"/>
      <c r="M65" s="4">
        <f t="shared" si="1"/>
        <v>4613</v>
      </c>
      <c r="N65" s="4">
        <f t="shared" si="8"/>
        <v>163807</v>
      </c>
    </row>
    <row r="66" spans="1:14" x14ac:dyDescent="0.3">
      <c r="A66" s="1">
        <f t="shared" si="2"/>
        <v>64</v>
      </c>
      <c r="B66" s="4">
        <f t="shared" si="56"/>
        <v>92</v>
      </c>
      <c r="C66" s="4">
        <f t="shared" si="56"/>
        <v>92</v>
      </c>
      <c r="D66" s="4">
        <f t="shared" si="54"/>
        <v>326</v>
      </c>
      <c r="E66" s="4">
        <f t="shared" si="6"/>
        <v>0.54800000000000004</v>
      </c>
      <c r="F66" s="11">
        <f t="shared" si="55"/>
        <v>0.62500000000000044</v>
      </c>
      <c r="G66" s="10">
        <f t="shared" si="0"/>
        <v>4659</v>
      </c>
      <c r="K66" s="4"/>
      <c r="L66" s="4"/>
      <c r="M66" s="4">
        <f t="shared" si="1"/>
        <v>4659</v>
      </c>
      <c r="N66" s="4">
        <f t="shared" si="8"/>
        <v>168466</v>
      </c>
    </row>
    <row r="67" spans="1:14" x14ac:dyDescent="0.3">
      <c r="A67" s="1">
        <f t="shared" si="2"/>
        <v>65</v>
      </c>
      <c r="B67" s="4">
        <f t="shared" si="56"/>
        <v>95</v>
      </c>
      <c r="C67" s="4">
        <f t="shared" si="56"/>
        <v>95</v>
      </c>
      <c r="D67" s="4">
        <f t="shared" si="54"/>
        <v>334</v>
      </c>
      <c r="E67" s="4">
        <f t="shared" si="6"/>
        <v>0.55500000000000005</v>
      </c>
      <c r="F67" s="11">
        <f t="shared" si="55"/>
        <v>0.64600000000000046</v>
      </c>
      <c r="G67" s="10">
        <f t="shared" si="0"/>
        <v>4704</v>
      </c>
      <c r="K67" s="4"/>
      <c r="L67" s="4"/>
      <c r="M67" s="4">
        <f t="shared" si="1"/>
        <v>4704</v>
      </c>
      <c r="N67" s="4">
        <f t="shared" si="8"/>
        <v>173170</v>
      </c>
    </row>
    <row r="68" spans="1:14" x14ac:dyDescent="0.3">
      <c r="A68" s="1">
        <f t="shared" si="2"/>
        <v>66</v>
      </c>
      <c r="B68" s="4">
        <f t="shared" si="56"/>
        <v>98</v>
      </c>
      <c r="C68" s="4">
        <f t="shared" si="56"/>
        <v>98</v>
      </c>
      <c r="D68" s="4">
        <f t="shared" si="54"/>
        <v>342</v>
      </c>
      <c r="E68" s="4">
        <f t="shared" si="6"/>
        <v>0.56200000000000006</v>
      </c>
      <c r="F68" s="11">
        <f t="shared" si="55"/>
        <v>0.66700000000000048</v>
      </c>
      <c r="G68" s="10">
        <f t="shared" ref="G68:G101" si="57">ROUND(200 + (5500-200) * SIN( (A68-1) / 99 * PI() / 2 ), 0)</f>
        <v>4747</v>
      </c>
      <c r="K68" s="4"/>
      <c r="L68" s="4"/>
      <c r="M68" s="4">
        <f t="shared" ref="M68:M101" si="58">G68</f>
        <v>4747</v>
      </c>
      <c r="N68" s="4">
        <f t="shared" si="8"/>
        <v>177917</v>
      </c>
    </row>
    <row r="69" spans="1:14" x14ac:dyDescent="0.3">
      <c r="A69" s="1">
        <f t="shared" ref="A69:A102" si="59">A68+1</f>
        <v>67</v>
      </c>
      <c r="B69" s="4">
        <f t="shared" si="56"/>
        <v>101</v>
      </c>
      <c r="C69" s="4">
        <f t="shared" si="56"/>
        <v>101</v>
      </c>
      <c r="D69" s="4">
        <f t="shared" si="54"/>
        <v>350</v>
      </c>
      <c r="E69" s="4">
        <f t="shared" ref="E69:E102" si="60">0.1+A69*0.007</f>
        <v>0.56900000000000006</v>
      </c>
      <c r="F69" s="11">
        <f t="shared" si="55"/>
        <v>0.6880000000000005</v>
      </c>
      <c r="G69" s="10">
        <f t="shared" si="57"/>
        <v>4790</v>
      </c>
      <c r="K69" s="4"/>
      <c r="L69" s="4"/>
      <c r="M69" s="4">
        <f t="shared" si="58"/>
        <v>4790</v>
      </c>
      <c r="N69" s="4">
        <f t="shared" ref="N69:N101" si="61">N68+G69</f>
        <v>182707</v>
      </c>
    </row>
    <row r="70" spans="1:14" x14ac:dyDescent="0.3">
      <c r="A70" s="1">
        <f t="shared" si="59"/>
        <v>68</v>
      </c>
      <c r="B70" s="4">
        <f t="shared" si="56"/>
        <v>104</v>
      </c>
      <c r="C70" s="4">
        <f t="shared" si="56"/>
        <v>104</v>
      </c>
      <c r="D70" s="4">
        <f t="shared" si="54"/>
        <v>358</v>
      </c>
      <c r="E70" s="4">
        <f t="shared" si="60"/>
        <v>0.57600000000000007</v>
      </c>
      <c r="F70" s="11">
        <f t="shared" si="55"/>
        <v>0.70900000000000052</v>
      </c>
      <c r="G70" s="10">
        <f t="shared" si="57"/>
        <v>4831</v>
      </c>
      <c r="K70" s="4"/>
      <c r="L70" s="4"/>
      <c r="M70" s="4">
        <f t="shared" si="58"/>
        <v>4831</v>
      </c>
      <c r="N70" s="4">
        <f t="shared" si="61"/>
        <v>187538</v>
      </c>
    </row>
    <row r="71" spans="1:14" x14ac:dyDescent="0.3">
      <c r="A71" s="1">
        <f t="shared" si="59"/>
        <v>69</v>
      </c>
      <c r="B71" s="4">
        <f t="shared" si="56"/>
        <v>107</v>
      </c>
      <c r="C71" s="4">
        <f t="shared" si="56"/>
        <v>107</v>
      </c>
      <c r="D71" s="4">
        <f t="shared" si="54"/>
        <v>366</v>
      </c>
      <c r="E71" s="4">
        <f t="shared" si="60"/>
        <v>0.58299999999999996</v>
      </c>
      <c r="F71" s="11">
        <f t="shared" si="55"/>
        <v>0.73000000000000054</v>
      </c>
      <c r="G71" s="10">
        <f t="shared" si="57"/>
        <v>4872</v>
      </c>
      <c r="K71" s="4"/>
      <c r="L71" s="4"/>
      <c r="M71" s="4">
        <f t="shared" si="58"/>
        <v>4872</v>
      </c>
      <c r="N71" s="4">
        <f t="shared" si="61"/>
        <v>192410</v>
      </c>
    </row>
    <row r="72" spans="1:14" x14ac:dyDescent="0.3">
      <c r="A72" s="1">
        <f t="shared" si="59"/>
        <v>70</v>
      </c>
      <c r="B72" s="4">
        <f t="shared" si="56"/>
        <v>110</v>
      </c>
      <c r="C72" s="4">
        <f t="shared" si="56"/>
        <v>110</v>
      </c>
      <c r="D72" s="4">
        <f>D71+9</f>
        <v>375</v>
      </c>
      <c r="E72" s="4">
        <f t="shared" si="60"/>
        <v>0.59</v>
      </c>
      <c r="F72" s="11">
        <f t="shared" si="55"/>
        <v>0.75100000000000056</v>
      </c>
      <c r="G72" s="10">
        <f t="shared" si="57"/>
        <v>4911</v>
      </c>
      <c r="K72" s="4"/>
      <c r="L72" s="4"/>
      <c r="M72" s="4">
        <f t="shared" si="58"/>
        <v>4911</v>
      </c>
      <c r="N72" s="4">
        <f t="shared" si="61"/>
        <v>197321</v>
      </c>
    </row>
    <row r="73" spans="1:14" x14ac:dyDescent="0.3">
      <c r="A73" s="1">
        <f t="shared" si="59"/>
        <v>71</v>
      </c>
      <c r="B73" s="4">
        <f t="shared" si="56"/>
        <v>113</v>
      </c>
      <c r="C73" s="4">
        <f t="shared" si="56"/>
        <v>113</v>
      </c>
      <c r="D73" s="4">
        <f t="shared" ref="D73:D81" si="62">D72+9</f>
        <v>384</v>
      </c>
      <c r="E73" s="4">
        <f t="shared" si="60"/>
        <v>0.59699999999999998</v>
      </c>
      <c r="F73" s="11">
        <f t="shared" si="55"/>
        <v>0.77200000000000057</v>
      </c>
      <c r="G73" s="10">
        <f t="shared" si="57"/>
        <v>4949</v>
      </c>
      <c r="K73" s="4"/>
      <c r="L73" s="4"/>
      <c r="M73" s="4">
        <f t="shared" si="58"/>
        <v>4949</v>
      </c>
      <c r="N73" s="4">
        <f t="shared" si="61"/>
        <v>202270</v>
      </c>
    </row>
    <row r="74" spans="1:14" x14ac:dyDescent="0.3">
      <c r="A74" s="1">
        <f t="shared" si="59"/>
        <v>72</v>
      </c>
      <c r="B74" s="4">
        <f t="shared" si="56"/>
        <v>116</v>
      </c>
      <c r="C74" s="4">
        <f t="shared" si="56"/>
        <v>116</v>
      </c>
      <c r="D74" s="4">
        <f t="shared" si="62"/>
        <v>393</v>
      </c>
      <c r="E74" s="4">
        <f t="shared" si="60"/>
        <v>0.60399999999999998</v>
      </c>
      <c r="F74" s="11">
        <f t="shared" si="55"/>
        <v>0.79300000000000059</v>
      </c>
      <c r="G74" s="10">
        <f t="shared" si="57"/>
        <v>4986</v>
      </c>
      <c r="K74" s="4"/>
      <c r="L74" s="4"/>
      <c r="M74" s="4">
        <f t="shared" si="58"/>
        <v>4986</v>
      </c>
      <c r="N74" s="4">
        <f t="shared" si="61"/>
        <v>207256</v>
      </c>
    </row>
    <row r="75" spans="1:14" x14ac:dyDescent="0.3">
      <c r="A75" s="1">
        <f t="shared" si="59"/>
        <v>73</v>
      </c>
      <c r="B75" s="4">
        <f t="shared" si="56"/>
        <v>119</v>
      </c>
      <c r="C75" s="4">
        <f t="shared" si="56"/>
        <v>119</v>
      </c>
      <c r="D75" s="4">
        <f t="shared" si="62"/>
        <v>402</v>
      </c>
      <c r="E75" s="4">
        <f t="shared" si="60"/>
        <v>0.61099999999999999</v>
      </c>
      <c r="F75" s="11">
        <f t="shared" si="55"/>
        <v>0.81400000000000061</v>
      </c>
      <c r="G75" s="10">
        <f t="shared" si="57"/>
        <v>5021</v>
      </c>
      <c r="K75" s="4"/>
      <c r="L75" s="4"/>
      <c r="M75" s="4">
        <f t="shared" si="58"/>
        <v>5021</v>
      </c>
      <c r="N75" s="4">
        <f t="shared" si="61"/>
        <v>212277</v>
      </c>
    </row>
    <row r="76" spans="1:14" x14ac:dyDescent="0.3">
      <c r="A76" s="1">
        <f t="shared" si="59"/>
        <v>74</v>
      </c>
      <c r="B76" s="4">
        <f t="shared" si="56"/>
        <v>122</v>
      </c>
      <c r="C76" s="4">
        <f t="shared" si="56"/>
        <v>122</v>
      </c>
      <c r="D76" s="4">
        <f t="shared" si="62"/>
        <v>411</v>
      </c>
      <c r="E76" s="4">
        <f t="shared" si="60"/>
        <v>0.61799999999999999</v>
      </c>
      <c r="F76" s="11">
        <f t="shared" si="55"/>
        <v>0.83500000000000063</v>
      </c>
      <c r="G76" s="10">
        <f t="shared" si="57"/>
        <v>5055</v>
      </c>
      <c r="K76" s="4"/>
      <c r="L76" s="4"/>
      <c r="M76" s="4">
        <f t="shared" si="58"/>
        <v>5055</v>
      </c>
      <c r="N76" s="4">
        <f t="shared" si="61"/>
        <v>217332</v>
      </c>
    </row>
    <row r="77" spans="1:14" x14ac:dyDescent="0.3">
      <c r="A77" s="1">
        <f t="shared" si="59"/>
        <v>75</v>
      </c>
      <c r="B77" s="4">
        <f t="shared" si="56"/>
        <v>125</v>
      </c>
      <c r="C77" s="4">
        <f t="shared" si="56"/>
        <v>125</v>
      </c>
      <c r="D77" s="4">
        <f t="shared" si="62"/>
        <v>420</v>
      </c>
      <c r="E77" s="4">
        <f t="shared" si="60"/>
        <v>0.625</v>
      </c>
      <c r="F77" s="11">
        <f t="shared" si="55"/>
        <v>0.85600000000000065</v>
      </c>
      <c r="G77" s="10">
        <f t="shared" si="57"/>
        <v>5088</v>
      </c>
      <c r="K77" s="4"/>
      <c r="L77" s="4"/>
      <c r="M77" s="4">
        <f t="shared" si="58"/>
        <v>5088</v>
      </c>
      <c r="N77" s="4">
        <f t="shared" si="61"/>
        <v>222420</v>
      </c>
    </row>
    <row r="78" spans="1:14" x14ac:dyDescent="0.3">
      <c r="A78" s="1">
        <f t="shared" si="59"/>
        <v>76</v>
      </c>
      <c r="B78" s="4">
        <f t="shared" si="56"/>
        <v>128</v>
      </c>
      <c r="C78" s="4">
        <f t="shared" si="56"/>
        <v>128</v>
      </c>
      <c r="D78" s="4">
        <f t="shared" si="62"/>
        <v>429</v>
      </c>
      <c r="E78" s="4">
        <f t="shared" si="60"/>
        <v>0.63200000000000001</v>
      </c>
      <c r="F78" s="11">
        <f t="shared" si="55"/>
        <v>0.87700000000000067</v>
      </c>
      <c r="G78" s="10">
        <f t="shared" si="57"/>
        <v>5120</v>
      </c>
      <c r="K78" s="4"/>
      <c r="L78" s="4"/>
      <c r="M78" s="4">
        <f t="shared" si="58"/>
        <v>5120</v>
      </c>
      <c r="N78" s="4">
        <f t="shared" si="61"/>
        <v>227540</v>
      </c>
    </row>
    <row r="79" spans="1:14" x14ac:dyDescent="0.3">
      <c r="A79" s="1">
        <f t="shared" si="59"/>
        <v>77</v>
      </c>
      <c r="B79" s="4">
        <f t="shared" si="56"/>
        <v>131</v>
      </c>
      <c r="C79" s="4">
        <f t="shared" si="56"/>
        <v>131</v>
      </c>
      <c r="D79" s="4">
        <f t="shared" si="62"/>
        <v>438</v>
      </c>
      <c r="E79" s="4">
        <f t="shared" si="60"/>
        <v>0.63900000000000001</v>
      </c>
      <c r="F79" s="11">
        <f t="shared" si="55"/>
        <v>0.89800000000000069</v>
      </c>
      <c r="G79" s="10">
        <f t="shared" si="57"/>
        <v>5151</v>
      </c>
      <c r="K79" s="4"/>
      <c r="L79" s="4"/>
      <c r="M79" s="4">
        <f t="shared" si="58"/>
        <v>5151</v>
      </c>
      <c r="N79" s="4">
        <f t="shared" si="61"/>
        <v>232691</v>
      </c>
    </row>
    <row r="80" spans="1:14" x14ac:dyDescent="0.3">
      <c r="A80" s="1">
        <f t="shared" si="59"/>
        <v>78</v>
      </c>
      <c r="B80" s="4">
        <f t="shared" si="56"/>
        <v>134</v>
      </c>
      <c r="C80" s="4">
        <f t="shared" si="56"/>
        <v>134</v>
      </c>
      <c r="D80" s="4">
        <f t="shared" si="62"/>
        <v>447</v>
      </c>
      <c r="E80" s="4">
        <f t="shared" si="60"/>
        <v>0.64600000000000002</v>
      </c>
      <c r="F80" s="11">
        <f t="shared" si="55"/>
        <v>0.91900000000000071</v>
      </c>
      <c r="G80" s="10">
        <f t="shared" si="57"/>
        <v>5180</v>
      </c>
      <c r="K80" s="4"/>
      <c r="L80" s="4"/>
      <c r="M80" s="4">
        <f t="shared" si="58"/>
        <v>5180</v>
      </c>
      <c r="N80" s="4">
        <f t="shared" si="61"/>
        <v>237871</v>
      </c>
    </row>
    <row r="81" spans="1:14" x14ac:dyDescent="0.3">
      <c r="A81" s="1">
        <f t="shared" si="59"/>
        <v>79</v>
      </c>
      <c r="B81" s="4">
        <f t="shared" si="56"/>
        <v>137</v>
      </c>
      <c r="C81" s="4">
        <f t="shared" si="56"/>
        <v>137</v>
      </c>
      <c r="D81" s="4">
        <f t="shared" si="62"/>
        <v>456</v>
      </c>
      <c r="E81" s="4">
        <f t="shared" si="60"/>
        <v>0.65300000000000002</v>
      </c>
      <c r="F81" s="11">
        <f t="shared" si="55"/>
        <v>0.94000000000000072</v>
      </c>
      <c r="G81" s="10">
        <f t="shared" si="57"/>
        <v>5209</v>
      </c>
      <c r="K81" s="4"/>
      <c r="L81" s="4"/>
      <c r="M81" s="4">
        <f t="shared" si="58"/>
        <v>5209</v>
      </c>
      <c r="N81" s="4">
        <f t="shared" si="61"/>
        <v>243080</v>
      </c>
    </row>
    <row r="82" spans="1:14" x14ac:dyDescent="0.3">
      <c r="A82" s="1">
        <f t="shared" si="59"/>
        <v>80</v>
      </c>
      <c r="B82" s="4">
        <f t="shared" si="56"/>
        <v>140</v>
      </c>
      <c r="C82" s="4">
        <f t="shared" si="56"/>
        <v>140</v>
      </c>
      <c r="D82" s="4">
        <f>D81+10</f>
        <v>466</v>
      </c>
      <c r="E82" s="4">
        <f t="shared" si="60"/>
        <v>0.66</v>
      </c>
      <c r="F82" s="11">
        <f>F81+0.036</f>
        <v>0.97600000000000076</v>
      </c>
      <c r="G82" s="10">
        <f t="shared" si="57"/>
        <v>5235</v>
      </c>
      <c r="K82" s="4"/>
      <c r="L82" s="4"/>
      <c r="M82" s="4">
        <f t="shared" si="58"/>
        <v>5235</v>
      </c>
      <c r="N82" s="4">
        <f t="shared" si="61"/>
        <v>248315</v>
      </c>
    </row>
    <row r="83" spans="1:14" x14ac:dyDescent="0.3">
      <c r="A83" s="1">
        <f t="shared" si="59"/>
        <v>81</v>
      </c>
      <c r="B83" s="4">
        <f>B82+4</f>
        <v>144</v>
      </c>
      <c r="C83" s="4">
        <f>C82+4</f>
        <v>144</v>
      </c>
      <c r="D83" s="4">
        <f t="shared" ref="D83:D92" si="63">D82+10</f>
        <v>476</v>
      </c>
      <c r="E83" s="4">
        <f t="shared" si="60"/>
        <v>0.66700000000000004</v>
      </c>
      <c r="F83" s="11">
        <f t="shared" ref="F83:F101" si="64">F82+0.036</f>
        <v>1.0120000000000007</v>
      </c>
      <c r="G83" s="10">
        <f t="shared" si="57"/>
        <v>5261</v>
      </c>
      <c r="K83" s="4"/>
      <c r="L83" s="4"/>
      <c r="M83" s="4">
        <f t="shared" si="58"/>
        <v>5261</v>
      </c>
      <c r="N83" s="4">
        <f t="shared" si="61"/>
        <v>253576</v>
      </c>
    </row>
    <row r="84" spans="1:14" x14ac:dyDescent="0.3">
      <c r="A84" s="1">
        <f t="shared" si="59"/>
        <v>82</v>
      </c>
      <c r="B84" s="4">
        <f t="shared" ref="B84:C101" si="65">B83+4</f>
        <v>148</v>
      </c>
      <c r="C84" s="4">
        <f t="shared" si="65"/>
        <v>148</v>
      </c>
      <c r="D84" s="4">
        <f t="shared" si="63"/>
        <v>486</v>
      </c>
      <c r="E84" s="4">
        <f t="shared" si="60"/>
        <v>0.67400000000000004</v>
      </c>
      <c r="F84" s="11">
        <f t="shared" si="64"/>
        <v>1.0480000000000007</v>
      </c>
      <c r="G84" s="10">
        <f t="shared" si="57"/>
        <v>5285</v>
      </c>
      <c r="K84" s="4"/>
      <c r="L84" s="4"/>
      <c r="M84" s="4">
        <f t="shared" si="58"/>
        <v>5285</v>
      </c>
      <c r="N84" s="4">
        <f t="shared" si="61"/>
        <v>258861</v>
      </c>
    </row>
    <row r="85" spans="1:14" x14ac:dyDescent="0.3">
      <c r="A85" s="1">
        <f t="shared" si="59"/>
        <v>83</v>
      </c>
      <c r="B85" s="4">
        <f t="shared" si="65"/>
        <v>152</v>
      </c>
      <c r="C85" s="4">
        <f t="shared" si="65"/>
        <v>152</v>
      </c>
      <c r="D85" s="4">
        <f t="shared" si="63"/>
        <v>496</v>
      </c>
      <c r="E85" s="4">
        <f t="shared" si="60"/>
        <v>0.68099999999999994</v>
      </c>
      <c r="F85" s="11">
        <f t="shared" si="64"/>
        <v>1.0840000000000007</v>
      </c>
      <c r="G85" s="10">
        <f t="shared" si="57"/>
        <v>5308</v>
      </c>
      <c r="K85" s="4"/>
      <c r="L85" s="4"/>
      <c r="M85" s="4">
        <f t="shared" si="58"/>
        <v>5308</v>
      </c>
      <c r="N85" s="4">
        <f t="shared" si="61"/>
        <v>264169</v>
      </c>
    </row>
    <row r="86" spans="1:14" x14ac:dyDescent="0.3">
      <c r="A86" s="1">
        <f t="shared" si="59"/>
        <v>84</v>
      </c>
      <c r="B86" s="4">
        <f t="shared" si="65"/>
        <v>156</v>
      </c>
      <c r="C86" s="4">
        <f t="shared" si="65"/>
        <v>156</v>
      </c>
      <c r="D86" s="4">
        <f t="shared" si="63"/>
        <v>506</v>
      </c>
      <c r="E86" s="4">
        <f t="shared" si="60"/>
        <v>0.68799999999999994</v>
      </c>
      <c r="F86" s="11">
        <f t="shared" si="64"/>
        <v>1.1200000000000008</v>
      </c>
      <c r="G86" s="10">
        <f t="shared" si="57"/>
        <v>5330</v>
      </c>
      <c r="K86" s="4"/>
      <c r="L86" s="4"/>
      <c r="M86" s="4">
        <f t="shared" si="58"/>
        <v>5330</v>
      </c>
      <c r="N86" s="4">
        <f t="shared" si="61"/>
        <v>269499</v>
      </c>
    </row>
    <row r="87" spans="1:14" x14ac:dyDescent="0.3">
      <c r="A87" s="1">
        <f t="shared" si="59"/>
        <v>85</v>
      </c>
      <c r="B87" s="4">
        <f t="shared" si="65"/>
        <v>160</v>
      </c>
      <c r="C87" s="4">
        <f t="shared" si="65"/>
        <v>160</v>
      </c>
      <c r="D87" s="4">
        <f t="shared" si="63"/>
        <v>516</v>
      </c>
      <c r="E87" s="4">
        <f t="shared" si="60"/>
        <v>0.69499999999999995</v>
      </c>
      <c r="F87" s="11">
        <f t="shared" si="64"/>
        <v>1.1560000000000008</v>
      </c>
      <c r="G87" s="10">
        <f t="shared" si="57"/>
        <v>5351</v>
      </c>
      <c r="K87" s="4"/>
      <c r="L87" s="4"/>
      <c r="M87" s="4">
        <f t="shared" si="58"/>
        <v>5351</v>
      </c>
      <c r="N87" s="4">
        <f t="shared" si="61"/>
        <v>274850</v>
      </c>
    </row>
    <row r="88" spans="1:14" x14ac:dyDescent="0.3">
      <c r="A88" s="1">
        <f t="shared" si="59"/>
        <v>86</v>
      </c>
      <c r="B88" s="4">
        <f t="shared" si="65"/>
        <v>164</v>
      </c>
      <c r="C88" s="4">
        <f t="shared" si="65"/>
        <v>164</v>
      </c>
      <c r="D88" s="4">
        <f t="shared" si="63"/>
        <v>526</v>
      </c>
      <c r="E88" s="4">
        <f t="shared" si="60"/>
        <v>0.70199999999999996</v>
      </c>
      <c r="F88" s="11">
        <f t="shared" si="64"/>
        <v>1.1920000000000008</v>
      </c>
      <c r="G88" s="10">
        <f t="shared" si="57"/>
        <v>5370</v>
      </c>
      <c r="K88" s="4"/>
      <c r="L88" s="4"/>
      <c r="M88" s="4">
        <f t="shared" si="58"/>
        <v>5370</v>
      </c>
      <c r="N88" s="4">
        <f t="shared" si="61"/>
        <v>280220</v>
      </c>
    </row>
    <row r="89" spans="1:14" x14ac:dyDescent="0.3">
      <c r="A89" s="1">
        <f t="shared" si="59"/>
        <v>87</v>
      </c>
      <c r="B89" s="4">
        <f t="shared" si="65"/>
        <v>168</v>
      </c>
      <c r="C89" s="4">
        <f t="shared" si="65"/>
        <v>168</v>
      </c>
      <c r="D89" s="4">
        <f t="shared" si="63"/>
        <v>536</v>
      </c>
      <c r="E89" s="4">
        <f t="shared" si="60"/>
        <v>0.70899999999999996</v>
      </c>
      <c r="F89" s="11">
        <f t="shared" si="64"/>
        <v>1.2280000000000009</v>
      </c>
      <c r="G89" s="10">
        <f t="shared" si="57"/>
        <v>5388</v>
      </c>
      <c r="K89" s="4"/>
      <c r="L89" s="4"/>
      <c r="M89" s="4">
        <f t="shared" si="58"/>
        <v>5388</v>
      </c>
      <c r="N89" s="4">
        <f t="shared" si="61"/>
        <v>285608</v>
      </c>
    </row>
    <row r="90" spans="1:14" x14ac:dyDescent="0.3">
      <c r="A90" s="1">
        <f t="shared" si="59"/>
        <v>88</v>
      </c>
      <c r="B90" s="4">
        <f t="shared" si="65"/>
        <v>172</v>
      </c>
      <c r="C90" s="4">
        <f t="shared" si="65"/>
        <v>172</v>
      </c>
      <c r="D90" s="4">
        <f t="shared" si="63"/>
        <v>546</v>
      </c>
      <c r="E90" s="4">
        <f t="shared" si="60"/>
        <v>0.71599999999999997</v>
      </c>
      <c r="F90" s="11">
        <f t="shared" si="64"/>
        <v>1.2640000000000009</v>
      </c>
      <c r="G90" s="10">
        <f t="shared" si="57"/>
        <v>5404</v>
      </c>
      <c r="K90" s="4"/>
      <c r="L90" s="4"/>
      <c r="M90" s="4">
        <f t="shared" si="58"/>
        <v>5404</v>
      </c>
      <c r="N90" s="4">
        <f t="shared" si="61"/>
        <v>291012</v>
      </c>
    </row>
    <row r="91" spans="1:14" x14ac:dyDescent="0.3">
      <c r="A91" s="1">
        <f t="shared" si="59"/>
        <v>89</v>
      </c>
      <c r="B91" s="4">
        <f t="shared" si="65"/>
        <v>176</v>
      </c>
      <c r="C91" s="4">
        <f t="shared" si="65"/>
        <v>176</v>
      </c>
      <c r="D91" s="4">
        <f t="shared" si="63"/>
        <v>556</v>
      </c>
      <c r="E91" s="4">
        <f t="shared" si="60"/>
        <v>0.72299999999999998</v>
      </c>
      <c r="F91" s="11">
        <f t="shared" si="64"/>
        <v>1.3000000000000009</v>
      </c>
      <c r="G91" s="10">
        <f t="shared" si="57"/>
        <v>5419</v>
      </c>
      <c r="K91" s="4"/>
      <c r="L91" s="4"/>
      <c r="M91" s="4">
        <f t="shared" si="58"/>
        <v>5419</v>
      </c>
      <c r="N91" s="4">
        <f t="shared" si="61"/>
        <v>296431</v>
      </c>
    </row>
    <row r="92" spans="1:14" x14ac:dyDescent="0.3">
      <c r="A92" s="1">
        <f t="shared" si="59"/>
        <v>90</v>
      </c>
      <c r="B92" s="4">
        <f t="shared" si="65"/>
        <v>180</v>
      </c>
      <c r="C92" s="4">
        <f t="shared" si="65"/>
        <v>180</v>
      </c>
      <c r="D92" s="4">
        <f t="shared" si="63"/>
        <v>566</v>
      </c>
      <c r="E92" s="4">
        <f t="shared" si="60"/>
        <v>0.73</v>
      </c>
      <c r="F92" s="11">
        <f t="shared" si="64"/>
        <v>1.336000000000001</v>
      </c>
      <c r="G92" s="10">
        <f t="shared" si="57"/>
        <v>5433</v>
      </c>
      <c r="K92" s="4"/>
      <c r="L92" s="4"/>
      <c r="M92" s="4">
        <f t="shared" si="58"/>
        <v>5433</v>
      </c>
      <c r="N92" s="4">
        <f t="shared" si="61"/>
        <v>301864</v>
      </c>
    </row>
    <row r="93" spans="1:14" x14ac:dyDescent="0.3">
      <c r="A93" s="1">
        <f t="shared" si="59"/>
        <v>91</v>
      </c>
      <c r="B93" s="4">
        <f t="shared" si="65"/>
        <v>184</v>
      </c>
      <c r="C93" s="4">
        <f t="shared" si="65"/>
        <v>184</v>
      </c>
      <c r="D93" s="4">
        <f>D92+11</f>
        <v>577</v>
      </c>
      <c r="E93" s="4">
        <f t="shared" si="60"/>
        <v>0.73699999999999999</v>
      </c>
      <c r="F93" s="11">
        <f t="shared" si="64"/>
        <v>1.372000000000001</v>
      </c>
      <c r="G93" s="10">
        <f t="shared" si="57"/>
        <v>5446</v>
      </c>
      <c r="K93" s="4"/>
      <c r="L93" s="4"/>
      <c r="M93" s="4">
        <f t="shared" si="58"/>
        <v>5446</v>
      </c>
      <c r="N93" s="4">
        <f t="shared" si="61"/>
        <v>307310</v>
      </c>
    </row>
    <row r="94" spans="1:14" x14ac:dyDescent="0.3">
      <c r="A94" s="1">
        <f t="shared" si="59"/>
        <v>92</v>
      </c>
      <c r="B94" s="4">
        <f t="shared" si="65"/>
        <v>188</v>
      </c>
      <c r="C94" s="4">
        <f t="shared" si="65"/>
        <v>188</v>
      </c>
      <c r="D94" s="4">
        <f t="shared" ref="D94:D97" si="66">D93+11</f>
        <v>588</v>
      </c>
      <c r="E94" s="4">
        <f t="shared" si="60"/>
        <v>0.74399999999999999</v>
      </c>
      <c r="F94" s="11">
        <f t="shared" si="64"/>
        <v>1.408000000000001</v>
      </c>
      <c r="G94" s="10">
        <f t="shared" si="57"/>
        <v>5457</v>
      </c>
      <c r="K94" s="4"/>
      <c r="L94" s="4"/>
      <c r="M94" s="4">
        <f t="shared" si="58"/>
        <v>5457</v>
      </c>
      <c r="N94" s="4">
        <f t="shared" si="61"/>
        <v>312767</v>
      </c>
    </row>
    <row r="95" spans="1:14" x14ac:dyDescent="0.3">
      <c r="A95" s="1">
        <f t="shared" si="59"/>
        <v>93</v>
      </c>
      <c r="B95" s="4">
        <f t="shared" si="65"/>
        <v>192</v>
      </c>
      <c r="C95" s="4">
        <f t="shared" si="65"/>
        <v>192</v>
      </c>
      <c r="D95" s="4">
        <f t="shared" si="66"/>
        <v>599</v>
      </c>
      <c r="E95" s="4">
        <f t="shared" si="60"/>
        <v>0.751</v>
      </c>
      <c r="F95" s="11">
        <f t="shared" si="64"/>
        <v>1.4440000000000011</v>
      </c>
      <c r="G95" s="10">
        <f t="shared" si="57"/>
        <v>5467</v>
      </c>
      <c r="K95" s="4"/>
      <c r="L95" s="4"/>
      <c r="M95" s="4">
        <f t="shared" si="58"/>
        <v>5467</v>
      </c>
      <c r="N95" s="4">
        <f t="shared" si="61"/>
        <v>318234</v>
      </c>
    </row>
    <row r="96" spans="1:14" x14ac:dyDescent="0.3">
      <c r="A96" s="1">
        <f t="shared" si="59"/>
        <v>94</v>
      </c>
      <c r="B96" s="4">
        <f t="shared" si="65"/>
        <v>196</v>
      </c>
      <c r="C96" s="4">
        <f t="shared" si="65"/>
        <v>196</v>
      </c>
      <c r="D96" s="4">
        <f t="shared" si="66"/>
        <v>610</v>
      </c>
      <c r="E96" s="4">
        <f t="shared" si="60"/>
        <v>0.75800000000000001</v>
      </c>
      <c r="F96" s="11">
        <f t="shared" si="64"/>
        <v>1.4800000000000011</v>
      </c>
      <c r="G96" s="10">
        <f t="shared" si="57"/>
        <v>5476</v>
      </c>
      <c r="K96" s="4"/>
      <c r="L96" s="4"/>
      <c r="M96" s="4">
        <f t="shared" si="58"/>
        <v>5476</v>
      </c>
      <c r="N96" s="4">
        <f t="shared" si="61"/>
        <v>323710</v>
      </c>
    </row>
    <row r="97" spans="1:14" x14ac:dyDescent="0.3">
      <c r="A97" s="1">
        <f t="shared" si="59"/>
        <v>95</v>
      </c>
      <c r="B97" s="4">
        <f t="shared" si="65"/>
        <v>200</v>
      </c>
      <c r="C97" s="4">
        <f t="shared" si="65"/>
        <v>200</v>
      </c>
      <c r="D97" s="4">
        <f t="shared" si="66"/>
        <v>621</v>
      </c>
      <c r="E97" s="4">
        <f t="shared" si="60"/>
        <v>0.76500000000000001</v>
      </c>
      <c r="F97" s="11">
        <f t="shared" si="64"/>
        <v>1.5160000000000011</v>
      </c>
      <c r="G97" s="10">
        <f t="shared" si="57"/>
        <v>5483</v>
      </c>
      <c r="K97" s="4"/>
      <c r="L97" s="4"/>
      <c r="M97" s="4">
        <f t="shared" si="58"/>
        <v>5483</v>
      </c>
      <c r="N97" s="4">
        <f t="shared" si="61"/>
        <v>329193</v>
      </c>
    </row>
    <row r="98" spans="1:14" x14ac:dyDescent="0.3">
      <c r="A98" s="1">
        <f t="shared" si="59"/>
        <v>96</v>
      </c>
      <c r="B98" s="4">
        <f t="shared" si="65"/>
        <v>204</v>
      </c>
      <c r="C98" s="4">
        <f t="shared" si="65"/>
        <v>204</v>
      </c>
      <c r="D98" s="4">
        <f>D97+12</f>
        <v>633</v>
      </c>
      <c r="E98" s="4">
        <f t="shared" si="60"/>
        <v>0.77200000000000002</v>
      </c>
      <c r="F98" s="11">
        <f t="shared" si="64"/>
        <v>1.5520000000000012</v>
      </c>
      <c r="G98" s="10">
        <f t="shared" si="57"/>
        <v>5489</v>
      </c>
      <c r="K98" s="4"/>
      <c r="L98" s="4"/>
      <c r="M98" s="4">
        <f t="shared" si="58"/>
        <v>5489</v>
      </c>
      <c r="N98" s="4">
        <f t="shared" si="61"/>
        <v>334682</v>
      </c>
    </row>
    <row r="99" spans="1:14" x14ac:dyDescent="0.3">
      <c r="A99" s="1">
        <f t="shared" si="59"/>
        <v>97</v>
      </c>
      <c r="B99" s="4">
        <f t="shared" si="65"/>
        <v>208</v>
      </c>
      <c r="C99" s="4">
        <f t="shared" si="65"/>
        <v>208</v>
      </c>
      <c r="D99" s="4">
        <f t="shared" ref="D99:D100" si="67">D98+12</f>
        <v>645</v>
      </c>
      <c r="E99" s="4">
        <f t="shared" si="60"/>
        <v>0.77900000000000003</v>
      </c>
      <c r="F99" s="11">
        <f t="shared" si="64"/>
        <v>1.5880000000000012</v>
      </c>
      <c r="G99" s="10">
        <f t="shared" si="57"/>
        <v>5494</v>
      </c>
      <c r="K99" s="4"/>
      <c r="L99" s="4"/>
      <c r="M99" s="4">
        <f t="shared" si="58"/>
        <v>5494</v>
      </c>
      <c r="N99" s="4">
        <f t="shared" si="61"/>
        <v>340176</v>
      </c>
    </row>
    <row r="100" spans="1:14" x14ac:dyDescent="0.3">
      <c r="A100" s="1">
        <f t="shared" si="59"/>
        <v>98</v>
      </c>
      <c r="B100" s="4">
        <f t="shared" si="65"/>
        <v>212</v>
      </c>
      <c r="C100" s="4">
        <f t="shared" si="65"/>
        <v>212</v>
      </c>
      <c r="D100" s="4">
        <f t="shared" si="67"/>
        <v>657</v>
      </c>
      <c r="E100" s="4">
        <f t="shared" si="60"/>
        <v>0.78600000000000003</v>
      </c>
      <c r="F100" s="11">
        <f t="shared" si="64"/>
        <v>1.6240000000000012</v>
      </c>
      <c r="G100" s="10">
        <f t="shared" si="57"/>
        <v>5497</v>
      </c>
      <c r="K100" s="4"/>
      <c r="L100" s="4"/>
      <c r="M100" s="4">
        <f t="shared" si="58"/>
        <v>5497</v>
      </c>
      <c r="N100" s="4">
        <f t="shared" si="61"/>
        <v>345673</v>
      </c>
    </row>
    <row r="101" spans="1:14" x14ac:dyDescent="0.3">
      <c r="A101" s="1">
        <f t="shared" si="59"/>
        <v>99</v>
      </c>
      <c r="B101" s="4">
        <f t="shared" si="65"/>
        <v>216</v>
      </c>
      <c r="C101" s="4">
        <f t="shared" si="65"/>
        <v>216</v>
      </c>
      <c r="D101" s="4">
        <f>D100+13</f>
        <v>670</v>
      </c>
      <c r="E101" s="4">
        <f t="shared" si="60"/>
        <v>0.79300000000000004</v>
      </c>
      <c r="F101" s="11">
        <f t="shared" si="64"/>
        <v>1.6600000000000013</v>
      </c>
      <c r="G101" s="10">
        <f t="shared" si="57"/>
        <v>5499</v>
      </c>
      <c r="K101" s="4"/>
      <c r="L101" s="4"/>
      <c r="M101" s="4">
        <f t="shared" si="58"/>
        <v>5499</v>
      </c>
      <c r="N101" s="4">
        <f t="shared" si="61"/>
        <v>351172</v>
      </c>
    </row>
    <row r="102" spans="1:14" x14ac:dyDescent="0.3">
      <c r="A102" s="5">
        <f t="shared" si="59"/>
        <v>100</v>
      </c>
      <c r="B102" s="9">
        <v>250</v>
      </c>
      <c r="C102" s="9">
        <v>250</v>
      </c>
      <c r="D102" s="4">
        <v>700</v>
      </c>
      <c r="E102" s="4">
        <f t="shared" si="60"/>
        <v>0.8</v>
      </c>
      <c r="F102" s="4">
        <v>2</v>
      </c>
      <c r="G102" s="4">
        <v>-1</v>
      </c>
      <c r="K102" s="4"/>
      <c r="L102" s="4"/>
      <c r="M102" s="4"/>
    </row>
    <row r="103" spans="1:14" x14ac:dyDescent="0.3">
      <c r="A103" s="5"/>
    </row>
    <row r="104" spans="1:14" x14ac:dyDescent="0.3">
      <c r="A104" s="5"/>
    </row>
    <row r="105" spans="1:14" x14ac:dyDescent="0.3">
      <c r="A105" s="5"/>
    </row>
    <row r="106" spans="1:14" x14ac:dyDescent="0.3">
      <c r="A106" s="5"/>
    </row>
    <row r="107" spans="1:14" x14ac:dyDescent="0.3">
      <c r="A107" s="5"/>
    </row>
    <row r="108" spans="1:14" x14ac:dyDescent="0.3">
      <c r="A108" s="5"/>
    </row>
  </sheetData>
  <phoneticPr fontId="1" type="noConversion"/>
  <conditionalFormatting sqref="M3:M10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{0D1B5A25-A905-425F-A066-A8E7ED9D9002}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1B5A25-A905-425F-A066-A8E7ED9D90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M3:M101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윤준혁</cp:lastModifiedBy>
  <dcterms:created xsi:type="dcterms:W3CDTF">2024-05-16T15:21:07Z</dcterms:created>
  <dcterms:modified xsi:type="dcterms:W3CDTF">2025-09-13T09:58:56Z</dcterms:modified>
</cp:coreProperties>
</file>