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F41D6EC-3F4D-4EBB-827E-A22C93E4F2C4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4" i="2" l="1"/>
  <c r="K85" i="2"/>
  <c r="K86" i="2"/>
  <c r="K87" i="2"/>
  <c r="K88" i="2"/>
  <c r="K89" i="2"/>
  <c r="K90" i="2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K424" i="2" s="1"/>
  <c r="K425" i="2" s="1"/>
  <c r="K426" i="2" s="1"/>
  <c r="K427" i="2" s="1"/>
  <c r="K428" i="2" s="1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K450" i="2" s="1"/>
  <c r="K451" i="2" s="1"/>
  <c r="K452" i="2" s="1"/>
  <c r="K453" i="2" s="1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K480" i="2" s="1"/>
  <c r="K481" i="2" s="1"/>
  <c r="K482" i="2" s="1"/>
  <c r="K483" i="2" s="1"/>
  <c r="K484" i="2" s="1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83" i="2"/>
  <c r="G104" i="2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G103" i="2"/>
  <c r="E104" i="2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E386" i="2" s="1"/>
  <c r="E387" i="2" s="1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E482" i="2" s="1"/>
  <c r="E483" i="2" s="1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103" i="2"/>
  <c r="C104" i="2"/>
  <c r="C105" i="2"/>
  <c r="C106" i="2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C480" i="2" s="1"/>
  <c r="C481" i="2" s="1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103" i="2"/>
  <c r="J83" i="2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J5" i="2"/>
  <c r="J6" i="2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4" i="2"/>
  <c r="I25" i="2"/>
  <c r="I26" i="2" s="1"/>
  <c r="I24" i="2"/>
  <c r="I2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F104" i="2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F501" i="2" s="1"/>
  <c r="F502" i="2" s="1"/>
  <c r="F103" i="2"/>
  <c r="D104" i="2"/>
  <c r="D105" i="2"/>
  <c r="D106" i="2"/>
  <c r="D107" i="2"/>
  <c r="D108" i="2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103" i="2"/>
  <c r="B104" i="2"/>
  <c r="B105" i="2"/>
  <c r="B106" i="2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103" i="2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3" i="2"/>
  <c r="A110" i="2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103" i="2"/>
  <c r="A104" i="2" s="1"/>
  <c r="A105" i="2" s="1"/>
  <c r="A106" i="2" s="1"/>
  <c r="A107" i="2" s="1"/>
  <c r="A108" i="2" s="1"/>
  <c r="A109" i="2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E101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3" i="2"/>
  <c r="E3" i="2"/>
  <c r="C3" i="2"/>
  <c r="Q3" i="2"/>
  <c r="P102" i="2" l="1"/>
  <c r="I27" i="2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N5" i="2"/>
  <c r="P3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B4" i="2"/>
  <c r="A4" i="2"/>
  <c r="P103" i="2" l="1"/>
  <c r="N4" i="2"/>
  <c r="N3" i="2"/>
  <c r="N2" i="2"/>
  <c r="A5" i="2"/>
  <c r="B5" i="2"/>
  <c r="A6" i="2"/>
  <c r="P104" i="2" l="1"/>
  <c r="B6" i="2"/>
  <c r="Q4" i="2"/>
  <c r="P4" i="2"/>
  <c r="P5" i="2"/>
  <c r="A7" i="2"/>
  <c r="P105" i="2" l="1"/>
  <c r="Q5" i="2"/>
  <c r="Q6" i="2" s="1"/>
  <c r="B7" i="2"/>
  <c r="P6" i="2"/>
  <c r="A8" i="2"/>
  <c r="P106" i="2" l="1"/>
  <c r="Q7" i="2"/>
  <c r="Q8" i="2"/>
  <c r="B8" i="2"/>
  <c r="P7" i="2"/>
  <c r="A9" i="2"/>
  <c r="P107" i="2" l="1"/>
  <c r="Q9" i="2"/>
  <c r="B9" i="2"/>
  <c r="P8" i="2"/>
  <c r="A10" i="2"/>
  <c r="P108" i="2" l="1"/>
  <c r="Q10" i="2"/>
  <c r="B10" i="2"/>
  <c r="P9" i="2"/>
  <c r="A11" i="2"/>
  <c r="P109" i="2" l="1"/>
  <c r="B11" i="2"/>
  <c r="Q11" i="2"/>
  <c r="P10" i="2"/>
  <c r="A12" i="2"/>
  <c r="P110" i="2" l="1"/>
  <c r="Q12" i="2"/>
  <c r="B12" i="2"/>
  <c r="P11" i="2"/>
  <c r="A13" i="2"/>
  <c r="P111" i="2" l="1"/>
  <c r="Q13" i="2"/>
  <c r="B13" i="2"/>
  <c r="P12" i="2"/>
  <c r="A14" i="2"/>
  <c r="P112" i="2" l="1"/>
  <c r="Q14" i="2"/>
  <c r="B14" i="2"/>
  <c r="P13" i="2"/>
  <c r="A15" i="2"/>
  <c r="P113" i="2" l="1"/>
  <c r="Q15" i="2"/>
  <c r="B15" i="2"/>
  <c r="P14" i="2"/>
  <c r="A16" i="2"/>
  <c r="P114" i="2" l="1"/>
  <c r="Q16" i="2"/>
  <c r="B16" i="2"/>
  <c r="P15" i="2"/>
  <c r="A17" i="2"/>
  <c r="P115" i="2" l="1"/>
  <c r="Q17" i="2"/>
  <c r="B17" i="2"/>
  <c r="P16" i="2"/>
  <c r="A18" i="2"/>
  <c r="P116" i="2" l="1"/>
  <c r="Q18" i="2"/>
  <c r="B18" i="2"/>
  <c r="P17" i="2"/>
  <c r="A19" i="2"/>
  <c r="P117" i="2" l="1"/>
  <c r="B19" i="2"/>
  <c r="Q19" i="2"/>
  <c r="P18" i="2"/>
  <c r="A20" i="2"/>
  <c r="P118" i="2" l="1"/>
  <c r="Q20" i="2"/>
  <c r="B20" i="2"/>
  <c r="P19" i="2"/>
  <c r="A21" i="2"/>
  <c r="P119" i="2" l="1"/>
  <c r="Q21" i="2"/>
  <c r="B21" i="2"/>
  <c r="P20" i="2"/>
  <c r="A22" i="2"/>
  <c r="P120" i="2" l="1"/>
  <c r="B22" i="2"/>
  <c r="Q22" i="2"/>
  <c r="P21" i="2"/>
  <c r="A23" i="2"/>
  <c r="P121" i="2" l="1"/>
  <c r="Q23" i="2"/>
  <c r="B23" i="2"/>
  <c r="P22" i="2"/>
  <c r="A24" i="2"/>
  <c r="P122" i="2" l="1"/>
  <c r="Q24" i="2"/>
  <c r="B24" i="2"/>
  <c r="P23" i="2"/>
  <c r="A25" i="2"/>
  <c r="P123" i="2" l="1"/>
  <c r="Q25" i="2"/>
  <c r="B25" i="2"/>
  <c r="P24" i="2"/>
  <c r="A26" i="2"/>
  <c r="P124" i="2" l="1"/>
  <c r="Q26" i="2"/>
  <c r="B26" i="2"/>
  <c r="P25" i="2"/>
  <c r="A27" i="2"/>
  <c r="P125" i="2" l="1"/>
  <c r="Q27" i="2"/>
  <c r="B27" i="2"/>
  <c r="P26" i="2"/>
  <c r="A28" i="2"/>
  <c r="P126" i="2" l="1"/>
  <c r="Q28" i="2"/>
  <c r="B28" i="2"/>
  <c r="P27" i="2"/>
  <c r="A29" i="2"/>
  <c r="P127" i="2" l="1"/>
  <c r="Q29" i="2"/>
  <c r="B29" i="2"/>
  <c r="P28" i="2"/>
  <c r="A30" i="2"/>
  <c r="P128" i="2" l="1"/>
  <c r="Q30" i="2"/>
  <c r="B30" i="2"/>
  <c r="P29" i="2"/>
  <c r="A31" i="2"/>
  <c r="P129" i="2" l="1"/>
  <c r="Q31" i="2"/>
  <c r="B31" i="2"/>
  <c r="P30" i="2"/>
  <c r="A32" i="2"/>
  <c r="P130" i="2" l="1"/>
  <c r="Q32" i="2"/>
  <c r="B32" i="2"/>
  <c r="P31" i="2"/>
  <c r="A33" i="2"/>
  <c r="P131" i="2" l="1"/>
  <c r="Q33" i="2"/>
  <c r="B33" i="2"/>
  <c r="P32" i="2"/>
  <c r="A34" i="2"/>
  <c r="P132" i="2" l="1"/>
  <c r="Q34" i="2"/>
  <c r="B34" i="2"/>
  <c r="P33" i="2"/>
  <c r="A35" i="2"/>
  <c r="P133" i="2" l="1"/>
  <c r="Q35" i="2"/>
  <c r="B35" i="2"/>
  <c r="P34" i="2"/>
  <c r="A36" i="2"/>
  <c r="P134" i="2" l="1"/>
  <c r="Q36" i="2"/>
  <c r="B36" i="2"/>
  <c r="P35" i="2"/>
  <c r="A37" i="2"/>
  <c r="P135" i="2" l="1"/>
  <c r="B37" i="2"/>
  <c r="Q37" i="2"/>
  <c r="P36" i="2"/>
  <c r="A38" i="2"/>
  <c r="P136" i="2" l="1"/>
  <c r="Q38" i="2"/>
  <c r="B38" i="2"/>
  <c r="P37" i="2"/>
  <c r="A39" i="2"/>
  <c r="P137" i="2" l="1"/>
  <c r="Q39" i="2"/>
  <c r="B39" i="2"/>
  <c r="P38" i="2"/>
  <c r="A40" i="2"/>
  <c r="P138" i="2" l="1"/>
  <c r="Q40" i="2"/>
  <c r="B40" i="2"/>
  <c r="P39" i="2"/>
  <c r="A41" i="2"/>
  <c r="P139" i="2" l="1"/>
  <c r="Q41" i="2"/>
  <c r="B41" i="2"/>
  <c r="P40" i="2"/>
  <c r="A42" i="2"/>
  <c r="P140" i="2" l="1"/>
  <c r="Q42" i="2"/>
  <c r="B42" i="2"/>
  <c r="P41" i="2"/>
  <c r="A43" i="2"/>
  <c r="P141" i="2" l="1"/>
  <c r="Q43" i="2"/>
  <c r="B43" i="2"/>
  <c r="P42" i="2"/>
  <c r="A44" i="2"/>
  <c r="P142" i="2" l="1"/>
  <c r="Q44" i="2"/>
  <c r="B44" i="2"/>
  <c r="P43" i="2"/>
  <c r="A45" i="2"/>
  <c r="P143" i="2" l="1"/>
  <c r="Q45" i="2"/>
  <c r="B45" i="2"/>
  <c r="P44" i="2"/>
  <c r="A46" i="2"/>
  <c r="P144" i="2" l="1"/>
  <c r="Q46" i="2"/>
  <c r="B46" i="2"/>
  <c r="P45" i="2"/>
  <c r="A47" i="2"/>
  <c r="P145" i="2" l="1"/>
  <c r="Q47" i="2"/>
  <c r="B47" i="2"/>
  <c r="P46" i="2"/>
  <c r="A48" i="2"/>
  <c r="P146" i="2" l="1"/>
  <c r="Q48" i="2"/>
  <c r="B48" i="2"/>
  <c r="P47" i="2"/>
  <c r="A49" i="2"/>
  <c r="P147" i="2" l="1"/>
  <c r="Q49" i="2"/>
  <c r="B49" i="2"/>
  <c r="P48" i="2"/>
  <c r="A50" i="2"/>
  <c r="P148" i="2" l="1"/>
  <c r="Q50" i="2"/>
  <c r="B50" i="2"/>
  <c r="P49" i="2"/>
  <c r="A51" i="2"/>
  <c r="P149" i="2" l="1"/>
  <c r="Q51" i="2"/>
  <c r="B51" i="2"/>
  <c r="P50" i="2"/>
  <c r="A52" i="2"/>
  <c r="P150" i="2" l="1"/>
  <c r="Q52" i="2"/>
  <c r="B52" i="2"/>
  <c r="P51" i="2"/>
  <c r="A53" i="2"/>
  <c r="P151" i="2" l="1"/>
  <c r="Q53" i="2"/>
  <c r="B53" i="2"/>
  <c r="P52" i="2"/>
  <c r="A54" i="2"/>
  <c r="P152" i="2" l="1"/>
  <c r="B54" i="2"/>
  <c r="Q54" i="2"/>
  <c r="P53" i="2"/>
  <c r="A55" i="2"/>
  <c r="P153" i="2" l="1"/>
  <c r="Q55" i="2"/>
  <c r="B55" i="2"/>
  <c r="P54" i="2"/>
  <c r="A56" i="2"/>
  <c r="P154" i="2" l="1"/>
  <c r="Q56" i="2"/>
  <c r="B56" i="2"/>
  <c r="P55" i="2"/>
  <c r="A57" i="2"/>
  <c r="P155" i="2" l="1"/>
  <c r="Q57" i="2"/>
  <c r="B57" i="2"/>
  <c r="P56" i="2"/>
  <c r="A58" i="2"/>
  <c r="P156" i="2" l="1"/>
  <c r="Q58" i="2"/>
  <c r="B58" i="2"/>
  <c r="P57" i="2"/>
  <c r="A59" i="2"/>
  <c r="P157" i="2" l="1"/>
  <c r="Q59" i="2"/>
  <c r="B59" i="2"/>
  <c r="P58" i="2"/>
  <c r="A60" i="2"/>
  <c r="P158" i="2" l="1"/>
  <c r="Q60" i="2"/>
  <c r="B60" i="2"/>
  <c r="P59" i="2"/>
  <c r="A61" i="2"/>
  <c r="P159" i="2" l="1"/>
  <c r="Q61" i="2"/>
  <c r="B61" i="2"/>
  <c r="P60" i="2"/>
  <c r="A62" i="2"/>
  <c r="P160" i="2" l="1"/>
  <c r="Q62" i="2"/>
  <c r="B62" i="2"/>
  <c r="P61" i="2"/>
  <c r="A63" i="2"/>
  <c r="P161" i="2" l="1"/>
  <c r="Q63" i="2"/>
  <c r="B63" i="2"/>
  <c r="P62" i="2"/>
  <c r="A64" i="2"/>
  <c r="P162" i="2" l="1"/>
  <c r="Q64" i="2"/>
  <c r="B64" i="2"/>
  <c r="P63" i="2"/>
  <c r="A65" i="2"/>
  <c r="P163" i="2" l="1"/>
  <c r="Q65" i="2"/>
  <c r="B65" i="2"/>
  <c r="P64" i="2"/>
  <c r="A66" i="2"/>
  <c r="P164" i="2" l="1"/>
  <c r="B66" i="2"/>
  <c r="Q66" i="2"/>
  <c r="P65" i="2"/>
  <c r="A67" i="2"/>
  <c r="P165" i="2" l="1"/>
  <c r="Q67" i="2"/>
  <c r="B67" i="2"/>
  <c r="P66" i="2"/>
  <c r="A68" i="2"/>
  <c r="P166" i="2" l="1"/>
  <c r="B68" i="2"/>
  <c r="Q68" i="2"/>
  <c r="P67" i="2"/>
  <c r="A69" i="2"/>
  <c r="P167" i="2" l="1"/>
  <c r="Q69" i="2"/>
  <c r="B69" i="2"/>
  <c r="P68" i="2"/>
  <c r="A70" i="2"/>
  <c r="P168" i="2" l="1"/>
  <c r="Q70" i="2"/>
  <c r="B70" i="2"/>
  <c r="P69" i="2"/>
  <c r="A71" i="2"/>
  <c r="P169" i="2" l="1"/>
  <c r="Q71" i="2"/>
  <c r="B71" i="2"/>
  <c r="P70" i="2"/>
  <c r="A72" i="2"/>
  <c r="P170" i="2" l="1"/>
  <c r="Q72" i="2"/>
  <c r="B72" i="2"/>
  <c r="P71" i="2"/>
  <c r="A73" i="2"/>
  <c r="P171" i="2" l="1"/>
  <c r="Q73" i="2"/>
  <c r="B73" i="2"/>
  <c r="P72" i="2"/>
  <c r="A74" i="2"/>
  <c r="P172" i="2" l="1"/>
  <c r="Q74" i="2"/>
  <c r="B74" i="2"/>
  <c r="P73" i="2"/>
  <c r="A75" i="2"/>
  <c r="P173" i="2" l="1"/>
  <c r="B75" i="2"/>
  <c r="Q75" i="2"/>
  <c r="P74" i="2"/>
  <c r="A76" i="2"/>
  <c r="P174" i="2" l="1"/>
  <c r="Q76" i="2"/>
  <c r="B76" i="2"/>
  <c r="P75" i="2"/>
  <c r="A77" i="2"/>
  <c r="P175" i="2" l="1"/>
  <c r="Q77" i="2"/>
  <c r="B77" i="2"/>
  <c r="P76" i="2"/>
  <c r="A78" i="2"/>
  <c r="P176" i="2" l="1"/>
  <c r="Q78" i="2"/>
  <c r="B78" i="2"/>
  <c r="P77" i="2"/>
  <c r="A79" i="2"/>
  <c r="P177" i="2" l="1"/>
  <c r="Q79" i="2"/>
  <c r="B79" i="2"/>
  <c r="P78" i="2"/>
  <c r="A80" i="2"/>
  <c r="P178" i="2" l="1"/>
  <c r="Q80" i="2"/>
  <c r="B80" i="2"/>
  <c r="P79" i="2"/>
  <c r="A81" i="2"/>
  <c r="P179" i="2" l="1"/>
  <c r="Q81" i="2"/>
  <c r="B81" i="2"/>
  <c r="P80" i="2"/>
  <c r="A82" i="2"/>
  <c r="P180" i="2" l="1"/>
  <c r="Q82" i="2"/>
  <c r="B82" i="2"/>
  <c r="P81" i="2"/>
  <c r="A83" i="2"/>
  <c r="P181" i="2" l="1"/>
  <c r="B83" i="2"/>
  <c r="Q83" i="2"/>
  <c r="P82" i="2"/>
  <c r="A84" i="2"/>
  <c r="P182" i="2" l="1"/>
  <c r="Q84" i="2"/>
  <c r="B84" i="2"/>
  <c r="P83" i="2"/>
  <c r="A85" i="2"/>
  <c r="P183" i="2" l="1"/>
  <c r="Q85" i="2"/>
  <c r="B85" i="2"/>
  <c r="P84" i="2"/>
  <c r="A86" i="2"/>
  <c r="P184" i="2" l="1"/>
  <c r="Q86" i="2"/>
  <c r="B86" i="2"/>
  <c r="P85" i="2"/>
  <c r="A87" i="2"/>
  <c r="P185" i="2" l="1"/>
  <c r="Q87" i="2"/>
  <c r="B87" i="2"/>
  <c r="P86" i="2"/>
  <c r="A88" i="2"/>
  <c r="P186" i="2" l="1"/>
  <c r="Q88" i="2"/>
  <c r="B88" i="2"/>
  <c r="P87" i="2"/>
  <c r="A89" i="2"/>
  <c r="P187" i="2" l="1"/>
  <c r="Q89" i="2"/>
  <c r="B89" i="2"/>
  <c r="P88" i="2"/>
  <c r="A90" i="2"/>
  <c r="P188" i="2" l="1"/>
  <c r="Q90" i="2"/>
  <c r="B90" i="2"/>
  <c r="P89" i="2"/>
  <c r="A91" i="2"/>
  <c r="P189" i="2" l="1"/>
  <c r="Q91" i="2"/>
  <c r="B91" i="2"/>
  <c r="P90" i="2"/>
  <c r="A92" i="2"/>
  <c r="P190" i="2" l="1"/>
  <c r="Q92" i="2"/>
  <c r="B92" i="2"/>
  <c r="P91" i="2"/>
  <c r="A93" i="2"/>
  <c r="P191" i="2" l="1"/>
  <c r="Q93" i="2"/>
  <c r="B93" i="2"/>
  <c r="P92" i="2"/>
  <c r="A94" i="2"/>
  <c r="P192" i="2" l="1"/>
  <c r="B94" i="2"/>
  <c r="Q94" i="2"/>
  <c r="P93" i="2"/>
  <c r="A95" i="2"/>
  <c r="P193" i="2" l="1"/>
  <c r="Q95" i="2"/>
  <c r="B95" i="2"/>
  <c r="P94" i="2"/>
  <c r="A96" i="2"/>
  <c r="P194" i="2" l="1"/>
  <c r="B96" i="2"/>
  <c r="Q96" i="2"/>
  <c r="P95" i="2"/>
  <c r="A97" i="2"/>
  <c r="P195" i="2" l="1"/>
  <c r="Q97" i="2"/>
  <c r="B97" i="2"/>
  <c r="P96" i="2"/>
  <c r="A98" i="2"/>
  <c r="P196" i="2" l="1"/>
  <c r="Q98" i="2"/>
  <c r="B98" i="2"/>
  <c r="P97" i="2"/>
  <c r="A99" i="2"/>
  <c r="P197" i="2" l="1"/>
  <c r="Q99" i="2"/>
  <c r="B99" i="2"/>
  <c r="P98" i="2"/>
  <c r="A100" i="2"/>
  <c r="P198" i="2" l="1"/>
  <c r="Q100" i="2"/>
  <c r="B100" i="2"/>
  <c r="P99" i="2"/>
  <c r="A101" i="2"/>
  <c r="P199" i="2" l="1"/>
  <c r="Q101" i="2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B101" i="2"/>
  <c r="P100" i="2"/>
  <c r="A102" i="2"/>
  <c r="P200" i="2" l="1"/>
  <c r="P101" i="2"/>
  <c r="P201" i="2" l="1"/>
  <c r="Q201" i="2"/>
  <c r="Q202" i="2" s="1"/>
  <c r="P202" i="2" l="1"/>
  <c r="P203" i="2" l="1"/>
  <c r="Q203" i="2"/>
  <c r="Q204" i="2" s="1"/>
  <c r="P204" i="2" l="1"/>
  <c r="P205" i="2" l="1"/>
  <c r="Q205" i="2"/>
  <c r="Q206" i="2" s="1"/>
  <c r="P206" i="2" l="1"/>
  <c r="P207" i="2" l="1"/>
  <c r="Q207" i="2"/>
  <c r="Q208" i="2" s="1"/>
  <c r="P208" i="2" l="1"/>
  <c r="P209" i="2" l="1"/>
  <c r="Q209" i="2"/>
  <c r="Q210" i="2" s="1"/>
  <c r="P210" i="2" l="1"/>
  <c r="P211" i="2" l="1"/>
  <c r="Q211" i="2"/>
  <c r="Q212" i="2" s="1"/>
  <c r="P212" i="2" l="1"/>
  <c r="P213" i="2" l="1"/>
  <c r="Q213" i="2"/>
  <c r="Q214" i="2" s="1"/>
  <c r="P214" i="2" l="1"/>
  <c r="P215" i="2" l="1"/>
  <c r="Q215" i="2"/>
  <c r="Q216" i="2" s="1"/>
  <c r="P216" i="2" l="1"/>
  <c r="P217" i="2" l="1"/>
  <c r="Q217" i="2"/>
  <c r="Q218" i="2" s="1"/>
  <c r="P218" i="2" l="1"/>
  <c r="P219" i="2" l="1"/>
  <c r="Q219" i="2"/>
  <c r="Q220" i="2" s="1"/>
  <c r="P220" i="2" l="1"/>
  <c r="P221" i="2" l="1"/>
  <c r="Q221" i="2"/>
  <c r="Q222" i="2" l="1"/>
  <c r="P222" i="2"/>
  <c r="P223" i="2" l="1"/>
  <c r="Q223" i="2"/>
  <c r="Q224" i="2" s="1"/>
  <c r="P224" i="2" l="1"/>
  <c r="P225" i="2" l="1"/>
  <c r="Q225" i="2"/>
  <c r="Q226" i="2" s="1"/>
  <c r="P226" i="2" l="1"/>
  <c r="P227" i="2" l="1"/>
  <c r="Q227" i="2"/>
  <c r="Q228" i="2" s="1"/>
  <c r="P228" i="2" l="1"/>
  <c r="P229" i="2" l="1"/>
  <c r="Q229" i="2"/>
  <c r="Q230" i="2" s="1"/>
  <c r="P230" i="2" l="1"/>
  <c r="P231" i="2" l="1"/>
  <c r="Q231" i="2"/>
  <c r="Q232" i="2" s="1"/>
  <c r="P232" i="2" l="1"/>
  <c r="P233" i="2" l="1"/>
  <c r="Q233" i="2"/>
  <c r="Q234" i="2" s="1"/>
  <c r="P234" i="2" l="1"/>
  <c r="P235" i="2" l="1"/>
  <c r="Q235" i="2"/>
  <c r="Q236" i="2" s="1"/>
  <c r="P236" i="2" l="1"/>
  <c r="P237" i="2" l="1"/>
  <c r="Q237" i="2"/>
  <c r="Q238" i="2" s="1"/>
  <c r="P238" i="2" l="1"/>
  <c r="Q239" i="2" l="1"/>
  <c r="Q240" i="2" s="1"/>
  <c r="P239" i="2"/>
  <c r="P240" i="2" l="1"/>
  <c r="P241" i="2" l="1"/>
  <c r="Q241" i="2"/>
  <c r="Q242" i="2" s="1"/>
  <c r="P242" i="2" l="1"/>
  <c r="P243" i="2" l="1"/>
  <c r="Q243" i="2"/>
  <c r="Q244" i="2" s="1"/>
  <c r="P244" i="2" l="1"/>
  <c r="P245" i="2" l="1"/>
  <c r="Q245" i="2"/>
  <c r="Q246" i="2" s="1"/>
  <c r="P246" i="2" l="1"/>
  <c r="P247" i="2" l="1"/>
  <c r="Q247" i="2"/>
  <c r="Q248" i="2" s="1"/>
  <c r="P248" i="2" l="1"/>
  <c r="P249" i="2" l="1"/>
  <c r="Q249" i="2"/>
  <c r="Q250" i="2" s="1"/>
  <c r="P250" i="2" l="1"/>
  <c r="P251" i="2" l="1"/>
  <c r="Q251" i="2"/>
  <c r="Q252" i="2" s="1"/>
  <c r="P252" i="2" l="1"/>
  <c r="P253" i="2" l="1"/>
  <c r="Q253" i="2"/>
  <c r="Q254" i="2" s="1"/>
  <c r="P254" i="2" l="1"/>
  <c r="P255" i="2" l="1"/>
  <c r="Q255" i="2"/>
  <c r="Q256" i="2" s="1"/>
  <c r="P256" i="2" l="1"/>
  <c r="P257" i="2" l="1"/>
  <c r="Q257" i="2"/>
  <c r="Q258" i="2" s="1"/>
  <c r="P258" i="2" l="1"/>
  <c r="P259" i="2" l="1"/>
  <c r="Q259" i="2"/>
  <c r="Q260" i="2" l="1"/>
  <c r="P260" i="2"/>
  <c r="P261" i="2" l="1"/>
  <c r="Q261" i="2"/>
  <c r="Q262" i="2" s="1"/>
  <c r="P262" i="2" l="1"/>
  <c r="P263" i="2" l="1"/>
  <c r="Q263" i="2"/>
  <c r="Q264" i="2" s="1"/>
  <c r="P264" i="2" l="1"/>
  <c r="P265" i="2" l="1"/>
  <c r="Q265" i="2"/>
  <c r="Q266" i="2" s="1"/>
  <c r="P266" i="2" l="1"/>
  <c r="P267" i="2" l="1"/>
  <c r="Q267" i="2"/>
  <c r="Q268" i="2" s="1"/>
  <c r="P268" i="2" l="1"/>
  <c r="Q269" i="2" l="1"/>
  <c r="Q270" i="2" s="1"/>
  <c r="P269" i="2"/>
  <c r="P270" i="2" l="1"/>
  <c r="P271" i="2" l="1"/>
  <c r="Q271" i="2"/>
  <c r="Q272" i="2" s="1"/>
  <c r="P272" i="2" l="1"/>
  <c r="P273" i="2" l="1"/>
  <c r="Q273" i="2"/>
  <c r="Q274" i="2" s="1"/>
  <c r="P274" i="2" l="1"/>
  <c r="P275" i="2" l="1"/>
  <c r="Q275" i="2"/>
  <c r="Q276" i="2" s="1"/>
  <c r="P276" i="2" l="1"/>
  <c r="P277" i="2" l="1"/>
  <c r="Q277" i="2"/>
  <c r="Q278" i="2" s="1"/>
  <c r="P278" i="2" l="1"/>
  <c r="P279" i="2" l="1"/>
  <c r="Q279" i="2"/>
  <c r="Q280" i="2" s="1"/>
  <c r="P280" i="2" l="1"/>
  <c r="P281" i="2" l="1"/>
  <c r="Q281" i="2"/>
  <c r="Q282" i="2" s="1"/>
  <c r="P282" i="2" l="1"/>
  <c r="P283" i="2" l="1"/>
  <c r="Q283" i="2"/>
  <c r="Q284" i="2" s="1"/>
  <c r="P284" i="2" l="1"/>
  <c r="P285" i="2" l="1"/>
  <c r="Q285" i="2"/>
  <c r="Q286" i="2" s="1"/>
  <c r="P286" i="2" l="1"/>
  <c r="P287" i="2" l="1"/>
  <c r="Q287" i="2"/>
  <c r="Q288" i="2" s="1"/>
  <c r="P288" i="2" l="1"/>
  <c r="P289" i="2" l="1"/>
  <c r="Q289" i="2"/>
  <c r="Q290" i="2" s="1"/>
  <c r="P290" i="2" l="1"/>
  <c r="P291" i="2" l="1"/>
  <c r="Q291" i="2"/>
  <c r="Q292" i="2" s="1"/>
  <c r="P292" i="2" l="1"/>
  <c r="P293" i="2" l="1"/>
  <c r="Q293" i="2"/>
  <c r="Q294" i="2" s="1"/>
  <c r="P294" i="2" l="1"/>
  <c r="P295" i="2" l="1"/>
  <c r="Q295" i="2"/>
  <c r="Q296" i="2" s="1"/>
  <c r="P296" i="2" l="1"/>
  <c r="P297" i="2" l="1"/>
  <c r="Q297" i="2"/>
  <c r="Q298" i="2" s="1"/>
  <c r="P298" i="2" l="1"/>
  <c r="P299" i="2" l="1"/>
  <c r="Q299" i="2"/>
  <c r="Q300" i="2" s="1"/>
  <c r="P300" i="2" l="1"/>
  <c r="P301" i="2" l="1"/>
  <c r="Q301" i="2"/>
  <c r="Q302" i="2" s="1"/>
  <c r="P302" i="2" l="1"/>
  <c r="Q303" i="2" l="1"/>
  <c r="Q304" i="2" s="1"/>
  <c r="P303" i="2"/>
  <c r="P304" i="2" l="1"/>
  <c r="P305" i="2" l="1"/>
  <c r="Q305" i="2"/>
  <c r="Q306" i="2" s="1"/>
  <c r="P306" i="2" l="1"/>
  <c r="P307" i="2" l="1"/>
  <c r="Q307" i="2"/>
  <c r="Q308" i="2" s="1"/>
  <c r="P308" i="2" l="1"/>
  <c r="P309" i="2" l="1"/>
  <c r="Q309" i="2"/>
  <c r="Q310" i="2" s="1"/>
  <c r="P310" i="2" l="1"/>
  <c r="P311" i="2" l="1"/>
  <c r="Q311" i="2"/>
  <c r="Q312" i="2" s="1"/>
  <c r="P312" i="2" l="1"/>
  <c r="P313" i="2" l="1"/>
  <c r="Q313" i="2"/>
  <c r="Q314" i="2" s="1"/>
  <c r="P314" i="2" l="1"/>
  <c r="P315" i="2" l="1"/>
  <c r="Q315" i="2"/>
  <c r="Q316" i="2" s="1"/>
  <c r="P316" i="2" l="1"/>
  <c r="P317" i="2" l="1"/>
  <c r="Q317" i="2"/>
  <c r="Q318" i="2" s="1"/>
  <c r="P318" i="2" l="1"/>
  <c r="P319" i="2" l="1"/>
  <c r="Q319" i="2"/>
  <c r="Q320" i="2" s="1"/>
  <c r="P320" i="2" l="1"/>
  <c r="P321" i="2" l="1"/>
  <c r="Q321" i="2"/>
  <c r="Q322" i="2" l="1"/>
  <c r="P322" i="2"/>
  <c r="P323" i="2" l="1"/>
  <c r="Q323" i="2"/>
  <c r="Q324" i="2" s="1"/>
  <c r="P324" i="2" l="1"/>
  <c r="P325" i="2" l="1"/>
  <c r="Q325" i="2"/>
  <c r="Q326" i="2" s="1"/>
  <c r="P326" i="2" l="1"/>
  <c r="P327" i="2" l="1"/>
  <c r="Q327" i="2"/>
  <c r="Q328" i="2" s="1"/>
  <c r="P328" i="2" l="1"/>
  <c r="P329" i="2" l="1"/>
  <c r="Q329" i="2"/>
  <c r="Q330" i="2" s="1"/>
  <c r="P330" i="2" l="1"/>
  <c r="P331" i="2" l="1"/>
  <c r="Q331" i="2"/>
  <c r="Q332" i="2" s="1"/>
  <c r="P332" i="2" l="1"/>
  <c r="P333" i="2" l="1"/>
  <c r="Q333" i="2"/>
  <c r="Q334" i="2" s="1"/>
  <c r="P334" i="2" l="1"/>
  <c r="P335" i="2" l="1"/>
  <c r="Q335" i="2"/>
  <c r="Q336" i="2" s="1"/>
  <c r="P336" i="2" l="1"/>
  <c r="Q337" i="2" l="1"/>
  <c r="Q338" i="2" s="1"/>
  <c r="P337" i="2"/>
  <c r="P338" i="2" l="1"/>
  <c r="P339" i="2" l="1"/>
  <c r="Q339" i="2"/>
  <c r="Q340" i="2" s="1"/>
  <c r="P340" i="2" l="1"/>
  <c r="P341" i="2" l="1"/>
  <c r="Q341" i="2"/>
  <c r="Q342" i="2" s="1"/>
  <c r="P342" i="2" l="1"/>
  <c r="P343" i="2" l="1"/>
  <c r="Q343" i="2"/>
  <c r="Q344" i="2" s="1"/>
  <c r="P344" i="2" l="1"/>
  <c r="P345" i="2" l="1"/>
  <c r="Q345" i="2"/>
  <c r="Q346" i="2" s="1"/>
  <c r="P346" i="2" l="1"/>
  <c r="P347" i="2" l="1"/>
  <c r="Q347" i="2"/>
  <c r="Q348" i="2" s="1"/>
  <c r="P348" i="2" l="1"/>
  <c r="P349" i="2" l="1"/>
  <c r="Q349" i="2"/>
  <c r="Q350" i="2" s="1"/>
  <c r="P350" i="2" l="1"/>
  <c r="P351" i="2" l="1"/>
  <c r="Q351" i="2"/>
  <c r="Q352" i="2" s="1"/>
  <c r="P352" i="2" l="1"/>
  <c r="P353" i="2" l="1"/>
  <c r="Q353" i="2"/>
  <c r="Q354" i="2" s="1"/>
  <c r="P354" i="2" l="1"/>
  <c r="P355" i="2" l="1"/>
  <c r="Q355" i="2"/>
  <c r="Q356" i="2" s="1"/>
  <c r="P356" i="2" l="1"/>
  <c r="P357" i="2" l="1"/>
  <c r="Q357" i="2"/>
  <c r="Q358" i="2" s="1"/>
  <c r="P358" i="2" l="1"/>
  <c r="P359" i="2" l="1"/>
  <c r="Q359" i="2"/>
  <c r="Q360" i="2" s="1"/>
  <c r="P360" i="2" l="1"/>
  <c r="P361" i="2" l="1"/>
  <c r="Q361" i="2"/>
  <c r="Q362" i="2" s="1"/>
  <c r="P362" i="2" l="1"/>
  <c r="P363" i="2" l="1"/>
  <c r="Q363" i="2"/>
  <c r="Q364" i="2" s="1"/>
  <c r="P364" i="2" l="1"/>
  <c r="P365" i="2" l="1"/>
  <c r="Q365" i="2"/>
  <c r="Q366" i="2" s="1"/>
  <c r="P366" i="2" l="1"/>
  <c r="P367" i="2" l="1"/>
  <c r="Q367" i="2"/>
  <c r="Q368" i="2" s="1"/>
  <c r="P368" i="2" l="1"/>
  <c r="P369" i="2" l="1"/>
  <c r="Q369" i="2"/>
  <c r="Q370" i="2" s="1"/>
  <c r="P370" i="2" l="1"/>
  <c r="P371" i="2" l="1"/>
  <c r="Q371" i="2"/>
  <c r="Q372" i="2" s="1"/>
  <c r="P372" i="2" l="1"/>
  <c r="P373" i="2" l="1"/>
  <c r="Q373" i="2"/>
  <c r="Q374" i="2" s="1"/>
  <c r="P374" i="2" l="1"/>
  <c r="P375" i="2" l="1"/>
  <c r="Q375" i="2"/>
  <c r="Q376" i="2" s="1"/>
  <c r="P376" i="2" l="1"/>
  <c r="P377" i="2" l="1"/>
  <c r="Q377" i="2"/>
  <c r="Q378" i="2" s="1"/>
  <c r="P378" i="2" l="1"/>
  <c r="P379" i="2" l="1"/>
  <c r="Q379" i="2"/>
  <c r="Q380" i="2" s="1"/>
  <c r="P380" i="2" l="1"/>
  <c r="P381" i="2" l="1"/>
  <c r="Q381" i="2"/>
  <c r="Q382" i="2" s="1"/>
  <c r="P382" i="2" l="1"/>
  <c r="P383" i="2" l="1"/>
  <c r="Q383" i="2"/>
  <c r="Q384" i="2" s="1"/>
  <c r="P384" i="2" l="1"/>
  <c r="P385" i="2" l="1"/>
  <c r="Q385" i="2"/>
  <c r="Q386" i="2" s="1"/>
  <c r="P386" i="2" l="1"/>
  <c r="P387" i="2" l="1"/>
  <c r="Q387" i="2"/>
  <c r="Q388" i="2" s="1"/>
  <c r="P388" i="2" l="1"/>
  <c r="P389" i="2" l="1"/>
  <c r="Q389" i="2"/>
  <c r="Q390" i="2" s="1"/>
  <c r="P390" i="2" l="1"/>
  <c r="P391" i="2" l="1"/>
  <c r="Q391" i="2"/>
  <c r="Q392" i="2" s="1"/>
  <c r="P392" i="2" l="1"/>
  <c r="P393" i="2" l="1"/>
  <c r="Q393" i="2"/>
  <c r="Q394" i="2" s="1"/>
  <c r="P394" i="2" l="1"/>
  <c r="P395" i="2" l="1"/>
  <c r="Q395" i="2"/>
  <c r="Q396" i="2" s="1"/>
  <c r="P396" i="2" l="1"/>
  <c r="P397" i="2" l="1"/>
  <c r="Q397" i="2"/>
  <c r="Q398" i="2" s="1"/>
  <c r="P398" i="2" l="1"/>
  <c r="P399" i="2" l="1"/>
  <c r="Q399" i="2"/>
  <c r="Q400" i="2" s="1"/>
  <c r="P400" i="2" l="1"/>
  <c r="P401" i="2" l="1"/>
  <c r="Q401" i="2"/>
  <c r="Q402" i="2" s="1"/>
  <c r="P402" i="2" l="1"/>
  <c r="P403" i="2" l="1"/>
  <c r="Q403" i="2"/>
  <c r="Q404" i="2" s="1"/>
  <c r="P404" i="2" l="1"/>
  <c r="P405" i="2" l="1"/>
  <c r="Q405" i="2"/>
  <c r="Q406" i="2" s="1"/>
  <c r="P406" i="2" l="1"/>
  <c r="P407" i="2" l="1"/>
  <c r="Q407" i="2"/>
  <c r="Q408" i="2" s="1"/>
  <c r="P408" i="2" l="1"/>
  <c r="P409" i="2" l="1"/>
  <c r="Q409" i="2"/>
  <c r="Q410" i="2" s="1"/>
  <c r="P410" i="2" l="1"/>
  <c r="P411" i="2" l="1"/>
  <c r="Q411" i="2"/>
  <c r="Q412" i="2" s="1"/>
  <c r="P412" i="2" l="1"/>
  <c r="P413" i="2" l="1"/>
  <c r="Q413" i="2"/>
  <c r="Q414" i="2" s="1"/>
  <c r="P414" i="2" l="1"/>
  <c r="P415" i="2" l="1"/>
  <c r="Q415" i="2"/>
  <c r="Q416" i="2" l="1"/>
  <c r="P416" i="2"/>
  <c r="P417" i="2" l="1"/>
  <c r="Q417" i="2"/>
  <c r="Q418" i="2" s="1"/>
  <c r="P418" i="2" l="1"/>
  <c r="P419" i="2" l="1"/>
  <c r="Q419" i="2"/>
  <c r="Q420" i="2" s="1"/>
  <c r="P420" i="2" l="1"/>
  <c r="P421" i="2" l="1"/>
  <c r="Q421" i="2"/>
  <c r="Q422" i="2" s="1"/>
  <c r="P422" i="2" l="1"/>
  <c r="P423" i="2" l="1"/>
  <c r="Q423" i="2"/>
  <c r="Q424" i="2" s="1"/>
  <c r="P424" i="2" l="1"/>
  <c r="P425" i="2" l="1"/>
  <c r="Q425" i="2"/>
  <c r="Q426" i="2" s="1"/>
  <c r="P426" i="2" l="1"/>
  <c r="P427" i="2" l="1"/>
  <c r="Q427" i="2"/>
  <c r="Q428" i="2" s="1"/>
  <c r="P428" i="2" l="1"/>
  <c r="P429" i="2" l="1"/>
  <c r="Q429" i="2"/>
  <c r="Q430" i="2" s="1"/>
  <c r="P430" i="2" l="1"/>
  <c r="P431" i="2" l="1"/>
  <c r="Q431" i="2"/>
  <c r="Q432" i="2" s="1"/>
  <c r="P432" i="2" l="1"/>
  <c r="P433" i="2" l="1"/>
  <c r="Q433" i="2"/>
  <c r="Q434" i="2" s="1"/>
  <c r="P434" i="2" l="1"/>
  <c r="P435" i="2" l="1"/>
  <c r="Q435" i="2"/>
  <c r="Q436" i="2" s="1"/>
  <c r="P436" i="2" l="1"/>
  <c r="P437" i="2" l="1"/>
  <c r="Q437" i="2"/>
  <c r="Q438" i="2" s="1"/>
  <c r="P438" i="2" l="1"/>
  <c r="P439" i="2" l="1"/>
  <c r="Q439" i="2"/>
  <c r="Q440" i="2" s="1"/>
  <c r="P440" i="2" l="1"/>
  <c r="P441" i="2" l="1"/>
  <c r="Q441" i="2"/>
  <c r="Q442" i="2" s="1"/>
  <c r="P442" i="2" l="1"/>
  <c r="P443" i="2" l="1"/>
  <c r="Q443" i="2"/>
  <c r="Q444" i="2" s="1"/>
  <c r="P444" i="2" l="1"/>
  <c r="P445" i="2" l="1"/>
  <c r="Q445" i="2"/>
  <c r="Q446" i="2" s="1"/>
  <c r="P446" i="2" l="1"/>
  <c r="P447" i="2" l="1"/>
  <c r="Q447" i="2"/>
  <c r="Q448" i="2" s="1"/>
  <c r="P448" i="2" l="1"/>
  <c r="P449" i="2" l="1"/>
  <c r="Q449" i="2"/>
  <c r="Q450" i="2" s="1"/>
  <c r="P450" i="2" l="1"/>
  <c r="P451" i="2" l="1"/>
  <c r="Q451" i="2"/>
  <c r="Q452" i="2" s="1"/>
  <c r="P452" i="2" l="1"/>
  <c r="P453" i="2" l="1"/>
  <c r="Q453" i="2"/>
  <c r="Q454" i="2" s="1"/>
  <c r="P454" i="2" l="1"/>
  <c r="P455" i="2" l="1"/>
  <c r="Q455" i="2"/>
  <c r="Q456" i="2" s="1"/>
  <c r="P456" i="2" l="1"/>
  <c r="P457" i="2" l="1"/>
  <c r="Q457" i="2"/>
  <c r="Q458" i="2" s="1"/>
  <c r="P458" i="2" l="1"/>
  <c r="P459" i="2" l="1"/>
  <c r="Q459" i="2"/>
  <c r="Q460" i="2" s="1"/>
  <c r="P460" i="2" l="1"/>
  <c r="P461" i="2" l="1"/>
  <c r="Q461" i="2"/>
  <c r="Q462" i="2" s="1"/>
  <c r="P462" i="2" l="1"/>
  <c r="P463" i="2" l="1"/>
  <c r="Q463" i="2"/>
  <c r="Q464" i="2" s="1"/>
  <c r="P464" i="2" l="1"/>
  <c r="P465" i="2" l="1"/>
  <c r="Q465" i="2"/>
  <c r="Q466" i="2" s="1"/>
  <c r="P466" i="2" l="1"/>
  <c r="P467" i="2" l="1"/>
  <c r="Q467" i="2"/>
  <c r="Q468" i="2" s="1"/>
  <c r="P468" i="2" l="1"/>
  <c r="P469" i="2" l="1"/>
  <c r="Q469" i="2"/>
  <c r="Q470" i="2" s="1"/>
  <c r="P470" i="2" l="1"/>
  <c r="P471" i="2" l="1"/>
  <c r="Q471" i="2"/>
  <c r="Q472" i="2" s="1"/>
  <c r="P472" i="2" l="1"/>
  <c r="P473" i="2" l="1"/>
  <c r="Q473" i="2"/>
  <c r="Q474" i="2" s="1"/>
  <c r="P474" i="2" l="1"/>
  <c r="P475" i="2" l="1"/>
  <c r="Q475" i="2"/>
  <c r="Q476" i="2" s="1"/>
  <c r="P476" i="2" l="1"/>
  <c r="P477" i="2" l="1"/>
  <c r="Q477" i="2"/>
  <c r="Q478" i="2" s="1"/>
  <c r="P478" i="2" l="1"/>
  <c r="P479" i="2" l="1"/>
  <c r="Q479" i="2"/>
  <c r="Q480" i="2" s="1"/>
  <c r="P480" i="2" l="1"/>
  <c r="P481" i="2" l="1"/>
  <c r="Q481" i="2"/>
  <c r="Q482" i="2" s="1"/>
  <c r="P482" i="2" l="1"/>
  <c r="P483" i="2" l="1"/>
  <c r="Q483" i="2"/>
  <c r="Q484" i="2" s="1"/>
  <c r="P484" i="2" l="1"/>
  <c r="P485" i="2" l="1"/>
  <c r="Q485" i="2"/>
  <c r="Q486" i="2" s="1"/>
  <c r="P486" i="2" l="1"/>
  <c r="P487" i="2" l="1"/>
  <c r="Q487" i="2"/>
  <c r="Q488" i="2" s="1"/>
  <c r="P488" i="2" l="1"/>
  <c r="P489" i="2" l="1"/>
  <c r="Q489" i="2"/>
  <c r="Q490" i="2" s="1"/>
  <c r="P490" i="2" l="1"/>
  <c r="P491" i="2" l="1"/>
  <c r="Q491" i="2"/>
  <c r="Q492" i="2" s="1"/>
  <c r="P492" i="2" l="1"/>
  <c r="P493" i="2" l="1"/>
  <c r="Q493" i="2"/>
  <c r="Q494" i="2" s="1"/>
  <c r="P494" i="2" l="1"/>
  <c r="P495" i="2" l="1"/>
  <c r="Q495" i="2"/>
  <c r="Q496" i="2" s="1"/>
  <c r="P496" i="2" l="1"/>
  <c r="P502" i="2"/>
  <c r="P497" i="2" l="1"/>
  <c r="Q497" i="2"/>
  <c r="Q498" i="2" s="1"/>
  <c r="P498" i="2" l="1"/>
  <c r="P499" i="2" l="1"/>
  <c r="Q499" i="2"/>
  <c r="Q500" i="2" s="1"/>
  <c r="P501" i="2" l="1"/>
  <c r="P500" i="2"/>
  <c r="N6" i="2"/>
  <c r="N8" i="2" s="1"/>
  <c r="Q501" i="2" l="1"/>
  <c r="Q502" i="2" s="1"/>
</calcChain>
</file>

<file path=xl/sharedStrings.xml><?xml version="1.0" encoding="utf-8"?>
<sst xmlns="http://schemas.openxmlformats.org/spreadsheetml/2006/main" count="12" uniqueCount="12">
  <si>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</si>
  <si>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</si>
  <si>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</si>
  <si>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</si>
  <si>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</si>
  <si>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</si>
  <si>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</si>
  <si>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atkRequireCoin</t>
    <phoneticPr fontId="1" type="noConversion"/>
  </si>
  <si>
    <t>criDmgRequireCoin</t>
    <phoneticPr fontId="1" type="noConversion"/>
  </si>
  <si>
    <t>criRateRequireCoin</t>
    <phoneticPr fontId="1" type="noConversion"/>
  </si>
  <si>
    <t>hpRequireCoin</t>
    <phoneticPr fontId="1" type="noConversion"/>
  </si>
  <si>
    <t>defRequireCoin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</si>
</sst>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indexed="64"/>
      </right>
      <top style="thin">
        <color rgb="FFC6C6C6"/>
      </top>
      <bottom style="thin">
        <color rgb="FFC6C6C6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 wrapText="1"/>
    </xf>
    <xf numFmtId="0" fontId="2" fillId="3" borderId="2" xfId="0" applyFont="1" applyFill="1" applyBorder="1" applyAlignment="1">
      <alignment horizontal="center"/>
    </xf>
    <xf numFmtId="0" fontId="3" fillId="3" borderId="5" xfId="0" quotePrefix="1" applyFont="1" applyFill="1" applyBorder="1" applyAlignment="1">
      <alignment horizontal="center"/>
    </xf>
    <xf numFmtId="0" fontId="3" fillId="3" borderId="8" xfId="0" quotePrefix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quotePrefix="1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FA587"/>
  <sheetViews>
    <sheetView tabSelected="1" workbookViewId="0">
      <pane ySplit="1" topLeftCell="A2" activePane="bottomLeft" state="frozen"/>
      <selection pane="bottomLeft" activeCell="N12" sqref="N12"/>
    </sheetView>
  </sheetViews>
  <sheetFormatPr defaultColWidth="17.625" defaultRowHeight="17.25" x14ac:dyDescent="0.3"/>
  <cols>
    <col min="1" max="1" width="18.875" style="5" customWidth="1"/>
    <col min="2" max="2" width="19" style="8" customWidth="1"/>
    <col min="3" max="3" width="19" style="11" customWidth="1"/>
    <col min="4" max="4" width="19" style="8" customWidth="1"/>
    <col min="5" max="5" width="19" style="11" customWidth="1"/>
    <col min="6" max="7" width="19" style="5" customWidth="1"/>
    <col min="8" max="8" width="19" style="8" customWidth="1"/>
    <col min="9" max="9" width="19" style="11" customWidth="1"/>
    <col min="10" max="10" width="19" style="8" customWidth="1"/>
    <col min="11" max="11" width="18.375" style="11" customWidth="1"/>
    <col min="12" max="13" width="5.125" style="2" bestFit="1" customWidth="1"/>
    <col min="14" max="14" width="11.625" customWidth="1"/>
    <col min="15" max="15" width="7.375" bestFit="1" customWidth="1"/>
    <col min="16" max="16" width="32.625" customWidth="1"/>
    <col min="17" max="17" width="17.5" style="2" customWidth="1"/>
    <col min="18" max="16380" width="17.625" style="2"/>
    <col min="16381" max="16381" width="8.875" style="2" bestFit="1" customWidth="1"/>
    <col min="16382" max="16384" width="8.875" style="2" customWidth="1"/>
  </cols>
  <sheetData>
    <row r="1" spans="1:17 16381:16381" x14ac:dyDescent="0.3">
      <c r="A1" s="6" t="s">
        <v>1</v>
      </c>
      <c r="B1" s="7" t="s">
        <v>2</v>
      </c>
      <c r="C1" s="10" t="s">
        <v>7</v>
      </c>
      <c r="D1" s="7" t="s">
        <v>4</v>
      </c>
      <c r="E1" s="10" t="s">
        <v>11</v>
      </c>
      <c r="F1" s="9" t="s">
        <v>5</v>
      </c>
      <c r="G1" s="6" t="s">
        <v>10</v>
      </c>
      <c r="H1" s="7" t="s">
        <v>6</v>
      </c>
      <c r="I1" s="10" t="s">
        <v>9</v>
      </c>
      <c r="J1" s="7" t="s">
        <v>3</v>
      </c>
      <c r="K1" s="10" t="s">
        <v>8</v>
      </c>
      <c r="XFA1" s="1" t="s">
        <v>0</v>
      </c>
    </row>
    <row r="2" spans="1:17 16381:16381" x14ac:dyDescent="0.3">
      <c r="A2" s="3">
        <v>0</v>
      </c>
      <c r="B2" s="8">
        <v>0</v>
      </c>
      <c r="C2" s="11">
        <v>0</v>
      </c>
      <c r="D2" s="8">
        <v>0</v>
      </c>
      <c r="E2" s="11">
        <v>0</v>
      </c>
      <c r="F2" s="5">
        <v>0</v>
      </c>
      <c r="G2" s="5">
        <v>0</v>
      </c>
      <c r="H2" s="8">
        <v>0</v>
      </c>
      <c r="I2" s="11">
        <v>0</v>
      </c>
      <c r="J2" s="12">
        <v>0</v>
      </c>
      <c r="K2" s="13">
        <v>0</v>
      </c>
      <c r="N2" s="2">
        <f>SUM(C:C)</f>
        <v>11329171</v>
      </c>
      <c r="O2" s="2"/>
      <c r="P2" s="2"/>
      <c r="XFA2" s="4"/>
    </row>
    <row r="3" spans="1:17 16381:16381" x14ac:dyDescent="0.3">
      <c r="A3" s="3">
        <v>1</v>
      </c>
      <c r="B3" s="8">
        <v>1</v>
      </c>
      <c r="C3" s="11">
        <f>ROUND(200 + (5500-200) * SIN( (A3-1) / 99 * PI() / 2 ), 0)</f>
        <v>200</v>
      </c>
      <c r="D3" s="8">
        <v>1</v>
      </c>
      <c r="E3" s="11">
        <f>ROUND(200 + (5500-200) * SIN( (A3-1) / 99 * PI() / 2 ), 0)</f>
        <v>200</v>
      </c>
      <c r="F3" s="5">
        <v>20</v>
      </c>
      <c r="G3" s="5">
        <f>ROUND(200 + (5500-200) * SIN( (A3-1) / 99 * PI() / 2 ), 0)</f>
        <v>200</v>
      </c>
      <c r="H3" s="8">
        <f>H2+0.025</f>
        <v>2.5000000000000001E-2</v>
      </c>
      <c r="I3" s="11">
        <f t="shared" ref="I3:I21" si="0">ROUND(200 + (155000-200) * SIN( (A3-1) / 20 * PI() / 2 ), 0)</f>
        <v>200</v>
      </c>
      <c r="J3" s="12">
        <v>2.5000000000000001E-2</v>
      </c>
      <c r="K3" s="13">
        <f t="shared" ref="K3:K66" si="1">ROUND(200 + (5500-200) * SIN( (A3-1) / 80 * PI() / 2 ), 0)</f>
        <v>200</v>
      </c>
      <c r="N3" s="2">
        <f>SUM(E:E)</f>
        <v>9733171</v>
      </c>
      <c r="O3" s="2"/>
      <c r="P3" s="2">
        <f t="shared" ref="P3:P34" si="2">K3</f>
        <v>200</v>
      </c>
      <c r="Q3" s="2">
        <f>K2+K3</f>
        <v>200</v>
      </c>
    </row>
    <row r="4" spans="1:17 16381:16381" x14ac:dyDescent="0.3">
      <c r="A4" s="3">
        <f>A3+1</f>
        <v>2</v>
      </c>
      <c r="B4" s="8">
        <f>B3+1</f>
        <v>2</v>
      </c>
      <c r="C4" s="11">
        <f t="shared" ref="C4:C67" si="3">ROUND(200 + (5500-200) * SIN( (A4-1) / 99 * PI() / 2 ), 0)</f>
        <v>284</v>
      </c>
      <c r="D4" s="8">
        <f>D3+1</f>
        <v>2</v>
      </c>
      <c r="E4" s="11">
        <f t="shared" ref="E4:E67" si="4">ROUND(200 + (5500-200) * SIN( (A4-1) / 99 * PI() / 2 ), 0)</f>
        <v>284</v>
      </c>
      <c r="F4" s="5">
        <f>F3+2</f>
        <v>22</v>
      </c>
      <c r="G4" s="5">
        <f t="shared" ref="G4:G67" si="5">ROUND(200 + (5500-200) * SIN( (A4-1) / 99 * PI() / 2 ), 0)</f>
        <v>284</v>
      </c>
      <c r="H4" s="8">
        <f t="shared" ref="H4:H42" si="6">H3+0.025</f>
        <v>0.05</v>
      </c>
      <c r="I4" s="11">
        <f t="shared" si="0"/>
        <v>12345</v>
      </c>
      <c r="J4" s="8">
        <f>J3+0.025</f>
        <v>0.05</v>
      </c>
      <c r="K4" s="13">
        <f t="shared" si="1"/>
        <v>304</v>
      </c>
      <c r="N4" s="2">
        <f>SUM(G:G)</f>
        <v>8137171</v>
      </c>
      <c r="O4" s="2"/>
      <c r="P4" s="2">
        <f t="shared" si="2"/>
        <v>304</v>
      </c>
      <c r="Q4" s="2">
        <f>Q3+K4</f>
        <v>504</v>
      </c>
    </row>
    <row r="5" spans="1:17 16381:16381" x14ac:dyDescent="0.3">
      <c r="A5" s="3">
        <f t="shared" ref="A5:A68" si="7">A4+1</f>
        <v>3</v>
      </c>
      <c r="B5" s="8">
        <f t="shared" ref="B5:B42" si="8">B4+1</f>
        <v>3</v>
      </c>
      <c r="C5" s="11">
        <f t="shared" si="3"/>
        <v>368</v>
      </c>
      <c r="D5" s="8">
        <f t="shared" ref="D5" si="9">D4+1</f>
        <v>3</v>
      </c>
      <c r="E5" s="11">
        <f t="shared" si="4"/>
        <v>368</v>
      </c>
      <c r="F5" s="5">
        <f t="shared" ref="F5:F11" si="10">F4+2</f>
        <v>24</v>
      </c>
      <c r="G5" s="5">
        <f t="shared" si="5"/>
        <v>368</v>
      </c>
      <c r="H5" s="8">
        <f t="shared" si="6"/>
        <v>7.5000000000000011E-2</v>
      </c>
      <c r="I5" s="11">
        <f t="shared" si="0"/>
        <v>24416</v>
      </c>
      <c r="J5" s="8">
        <f t="shared" ref="J5:J68" si="11">J4+0.025</f>
        <v>7.5000000000000011E-2</v>
      </c>
      <c r="K5" s="13">
        <f t="shared" si="1"/>
        <v>408</v>
      </c>
      <c r="N5" s="2">
        <f>SUM(I:I)</f>
        <v>8546562</v>
      </c>
      <c r="O5" s="2"/>
      <c r="P5" s="2">
        <f t="shared" si="2"/>
        <v>408</v>
      </c>
      <c r="Q5" s="2">
        <f>Q4+K5</f>
        <v>912</v>
      </c>
    </row>
    <row r="6" spans="1:17 16381:16381" x14ac:dyDescent="0.3">
      <c r="A6" s="3">
        <f t="shared" si="7"/>
        <v>4</v>
      </c>
      <c r="B6" s="8">
        <f t="shared" si="8"/>
        <v>4</v>
      </c>
      <c r="C6" s="11">
        <f t="shared" si="3"/>
        <v>452</v>
      </c>
      <c r="D6" s="8">
        <f t="shared" ref="D6" si="12">D5+1</f>
        <v>4</v>
      </c>
      <c r="E6" s="11">
        <f t="shared" si="4"/>
        <v>452</v>
      </c>
      <c r="F6" s="5">
        <f t="shared" si="10"/>
        <v>26</v>
      </c>
      <c r="G6" s="5">
        <f t="shared" si="5"/>
        <v>452</v>
      </c>
      <c r="H6" s="8">
        <f t="shared" si="6"/>
        <v>0.1</v>
      </c>
      <c r="I6" s="11">
        <f t="shared" si="0"/>
        <v>36337</v>
      </c>
      <c r="J6" s="8">
        <f t="shared" si="11"/>
        <v>0.1</v>
      </c>
      <c r="K6" s="13">
        <f t="shared" si="1"/>
        <v>512</v>
      </c>
      <c r="N6" s="2">
        <f>SUM(K:K)</f>
        <v>19305867</v>
      </c>
      <c r="O6" s="2"/>
      <c r="P6" s="2">
        <f t="shared" si="2"/>
        <v>512</v>
      </c>
      <c r="Q6" s="2">
        <f>Q5+K6</f>
        <v>1424</v>
      </c>
    </row>
    <row r="7" spans="1:17 16381:16381" x14ac:dyDescent="0.3">
      <c r="A7" s="3">
        <f t="shared" si="7"/>
        <v>5</v>
      </c>
      <c r="B7" s="8">
        <f t="shared" si="8"/>
        <v>5</v>
      </c>
      <c r="C7" s="11">
        <f t="shared" si="3"/>
        <v>536</v>
      </c>
      <c r="D7" s="8">
        <f t="shared" ref="D7" si="13">D6+1</f>
        <v>5</v>
      </c>
      <c r="E7" s="11">
        <f t="shared" si="4"/>
        <v>536</v>
      </c>
      <c r="F7" s="5">
        <f t="shared" si="10"/>
        <v>28</v>
      </c>
      <c r="G7" s="5">
        <f t="shared" si="5"/>
        <v>536</v>
      </c>
      <c r="H7" s="8">
        <f t="shared" si="6"/>
        <v>0.125</v>
      </c>
      <c r="I7" s="11">
        <f t="shared" si="0"/>
        <v>48036</v>
      </c>
      <c r="J7" s="8">
        <f t="shared" si="11"/>
        <v>0.125</v>
      </c>
      <c r="K7" s="13">
        <f t="shared" si="1"/>
        <v>616</v>
      </c>
      <c r="N7" s="2"/>
      <c r="O7" s="2"/>
      <c r="P7" s="2">
        <f t="shared" si="2"/>
        <v>616</v>
      </c>
      <c r="Q7" s="2">
        <f>Q6+K7</f>
        <v>2040</v>
      </c>
    </row>
    <row r="8" spans="1:17 16381:16381" x14ac:dyDescent="0.3">
      <c r="A8" s="3">
        <f t="shared" si="7"/>
        <v>6</v>
      </c>
      <c r="B8" s="8">
        <f t="shared" si="8"/>
        <v>6</v>
      </c>
      <c r="C8" s="11">
        <f t="shared" si="3"/>
        <v>620</v>
      </c>
      <c r="D8" s="8">
        <f t="shared" ref="D8" si="14">D7+1</f>
        <v>6</v>
      </c>
      <c r="E8" s="11">
        <f t="shared" si="4"/>
        <v>620</v>
      </c>
      <c r="F8" s="5">
        <f t="shared" si="10"/>
        <v>30</v>
      </c>
      <c r="G8" s="5">
        <f t="shared" si="5"/>
        <v>620</v>
      </c>
      <c r="H8" s="8">
        <f t="shared" si="6"/>
        <v>0.15</v>
      </c>
      <c r="I8" s="11">
        <f t="shared" si="0"/>
        <v>59439</v>
      </c>
      <c r="J8" s="8">
        <f t="shared" si="11"/>
        <v>0.15</v>
      </c>
      <c r="K8" s="13">
        <f t="shared" si="1"/>
        <v>719</v>
      </c>
      <c r="N8" s="2">
        <f>SUM(N2:N6)</f>
        <v>57051942</v>
      </c>
      <c r="O8" s="2"/>
      <c r="P8" s="2">
        <f t="shared" si="2"/>
        <v>719</v>
      </c>
      <c r="Q8" s="2">
        <f>Q7+K8</f>
        <v>2759</v>
      </c>
    </row>
    <row r="9" spans="1:17 16381:16381" x14ac:dyDescent="0.3">
      <c r="A9" s="3">
        <f t="shared" si="7"/>
        <v>7</v>
      </c>
      <c r="B9" s="8">
        <f t="shared" si="8"/>
        <v>7</v>
      </c>
      <c r="C9" s="11">
        <f t="shared" si="3"/>
        <v>704</v>
      </c>
      <c r="D9" s="8">
        <f t="shared" ref="D9" si="15">D8+1</f>
        <v>7</v>
      </c>
      <c r="E9" s="11">
        <f t="shared" si="4"/>
        <v>704</v>
      </c>
      <c r="F9" s="5">
        <f t="shared" si="10"/>
        <v>32</v>
      </c>
      <c r="G9" s="5">
        <f t="shared" si="5"/>
        <v>704</v>
      </c>
      <c r="H9" s="8">
        <f t="shared" si="6"/>
        <v>0.17499999999999999</v>
      </c>
      <c r="I9" s="11">
        <f t="shared" si="0"/>
        <v>70478</v>
      </c>
      <c r="J9" s="8">
        <f t="shared" si="11"/>
        <v>0.17499999999999999</v>
      </c>
      <c r="K9" s="13">
        <f t="shared" si="1"/>
        <v>823</v>
      </c>
      <c r="N9" s="2"/>
      <c r="O9" s="2"/>
      <c r="P9" s="2">
        <f t="shared" si="2"/>
        <v>823</v>
      </c>
      <c r="Q9" s="2">
        <f>Q8+K9</f>
        <v>3582</v>
      </c>
    </row>
    <row r="10" spans="1:17 16381:16381" x14ac:dyDescent="0.3">
      <c r="A10" s="3">
        <f t="shared" si="7"/>
        <v>8</v>
      </c>
      <c r="B10" s="8">
        <f t="shared" si="8"/>
        <v>8</v>
      </c>
      <c r="C10" s="11">
        <f t="shared" si="3"/>
        <v>787</v>
      </c>
      <c r="D10" s="8">
        <f t="shared" ref="D10" si="16">D9+1</f>
        <v>8</v>
      </c>
      <c r="E10" s="11">
        <f t="shared" si="4"/>
        <v>787</v>
      </c>
      <c r="F10" s="5">
        <f t="shared" si="10"/>
        <v>34</v>
      </c>
      <c r="G10" s="5">
        <f t="shared" si="5"/>
        <v>787</v>
      </c>
      <c r="H10" s="8">
        <f t="shared" si="6"/>
        <v>0.19999999999999998</v>
      </c>
      <c r="I10" s="11">
        <f t="shared" si="0"/>
        <v>81083</v>
      </c>
      <c r="J10" s="8">
        <f t="shared" si="11"/>
        <v>0.19999999999999998</v>
      </c>
      <c r="K10" s="13">
        <f t="shared" si="1"/>
        <v>926</v>
      </c>
      <c r="N10" s="2"/>
      <c r="O10" s="2"/>
      <c r="P10" s="2">
        <f t="shared" si="2"/>
        <v>926</v>
      </c>
      <c r="Q10" s="2">
        <f>Q9+K10</f>
        <v>4508</v>
      </c>
    </row>
    <row r="11" spans="1:17 16381:16381" x14ac:dyDescent="0.3">
      <c r="A11" s="3">
        <f t="shared" si="7"/>
        <v>9</v>
      </c>
      <c r="B11" s="8">
        <f t="shared" si="8"/>
        <v>9</v>
      </c>
      <c r="C11" s="11">
        <f t="shared" si="3"/>
        <v>871</v>
      </c>
      <c r="D11" s="8">
        <f t="shared" ref="D11" si="17">D10+1</f>
        <v>9</v>
      </c>
      <c r="E11" s="11">
        <f t="shared" si="4"/>
        <v>871</v>
      </c>
      <c r="F11" s="5">
        <f t="shared" si="10"/>
        <v>36</v>
      </c>
      <c r="G11" s="5">
        <f t="shared" si="5"/>
        <v>871</v>
      </c>
      <c r="H11" s="8">
        <f t="shared" si="6"/>
        <v>0.22499999999999998</v>
      </c>
      <c r="I11" s="11">
        <f t="shared" si="0"/>
        <v>91189</v>
      </c>
      <c r="J11" s="8">
        <f t="shared" si="11"/>
        <v>0.22499999999999998</v>
      </c>
      <c r="K11" s="13">
        <f t="shared" si="1"/>
        <v>1029</v>
      </c>
      <c r="N11" s="2"/>
      <c r="O11" s="2"/>
      <c r="P11" s="2">
        <f t="shared" si="2"/>
        <v>1029</v>
      </c>
      <c r="Q11" s="2">
        <f>Q10+K11</f>
        <v>5537</v>
      </c>
    </row>
    <row r="12" spans="1:17 16381:16381" x14ac:dyDescent="0.3">
      <c r="A12" s="3">
        <f t="shared" si="7"/>
        <v>10</v>
      </c>
      <c r="B12" s="8">
        <f t="shared" si="8"/>
        <v>10</v>
      </c>
      <c r="C12" s="11">
        <f t="shared" si="3"/>
        <v>954</v>
      </c>
      <c r="D12" s="8">
        <f t="shared" ref="D12" si="18">D11+1</f>
        <v>10</v>
      </c>
      <c r="E12" s="11">
        <f t="shared" si="4"/>
        <v>954</v>
      </c>
      <c r="F12" s="5">
        <f>F11+3</f>
        <v>39</v>
      </c>
      <c r="G12" s="5">
        <f t="shared" si="5"/>
        <v>954</v>
      </c>
      <c r="H12" s="8">
        <f t="shared" si="6"/>
        <v>0.24999999999999997</v>
      </c>
      <c r="I12" s="11">
        <f t="shared" si="0"/>
        <v>100735</v>
      </c>
      <c r="J12" s="8">
        <f t="shared" si="11"/>
        <v>0.24999999999999997</v>
      </c>
      <c r="K12" s="13">
        <f t="shared" si="1"/>
        <v>1132</v>
      </c>
      <c r="N12" s="2"/>
      <c r="O12" s="2"/>
      <c r="P12" s="2">
        <f t="shared" si="2"/>
        <v>1132</v>
      </c>
      <c r="Q12" s="2">
        <f>Q11+K12</f>
        <v>6669</v>
      </c>
    </row>
    <row r="13" spans="1:17 16381:16381" x14ac:dyDescent="0.3">
      <c r="A13" s="3">
        <f t="shared" si="7"/>
        <v>11</v>
      </c>
      <c r="B13" s="8">
        <f t="shared" si="8"/>
        <v>11</v>
      </c>
      <c r="C13" s="11">
        <f t="shared" si="3"/>
        <v>1037</v>
      </c>
      <c r="D13" s="8">
        <f t="shared" ref="D13" si="19">D12+1</f>
        <v>11</v>
      </c>
      <c r="E13" s="11">
        <f t="shared" si="4"/>
        <v>1037</v>
      </c>
      <c r="F13" s="5">
        <f t="shared" ref="F13:F21" si="20">F12+3</f>
        <v>42</v>
      </c>
      <c r="G13" s="5">
        <f t="shared" si="5"/>
        <v>1037</v>
      </c>
      <c r="H13" s="8">
        <f t="shared" si="6"/>
        <v>0.27499999999999997</v>
      </c>
      <c r="I13" s="11">
        <f t="shared" si="0"/>
        <v>109660</v>
      </c>
      <c r="J13" s="8">
        <f t="shared" si="11"/>
        <v>0.27499999999999997</v>
      </c>
      <c r="K13" s="13">
        <f t="shared" si="1"/>
        <v>1234</v>
      </c>
      <c r="N13" s="2"/>
      <c r="O13" s="2"/>
      <c r="P13" s="2">
        <f t="shared" si="2"/>
        <v>1234</v>
      </c>
      <c r="Q13" s="2">
        <f>Q12+K13</f>
        <v>7903</v>
      </c>
    </row>
    <row r="14" spans="1:17 16381:16381" x14ac:dyDescent="0.3">
      <c r="A14" s="3">
        <f t="shared" si="7"/>
        <v>12</v>
      </c>
      <c r="B14" s="8">
        <f t="shared" si="8"/>
        <v>12</v>
      </c>
      <c r="C14" s="11">
        <f t="shared" si="3"/>
        <v>1120</v>
      </c>
      <c r="D14" s="8">
        <f t="shared" ref="D14" si="21">D13+1</f>
        <v>12</v>
      </c>
      <c r="E14" s="11">
        <f t="shared" si="4"/>
        <v>1120</v>
      </c>
      <c r="F14" s="5">
        <f t="shared" si="20"/>
        <v>45</v>
      </c>
      <c r="G14" s="5">
        <f t="shared" si="5"/>
        <v>1120</v>
      </c>
      <c r="H14" s="8">
        <f t="shared" si="6"/>
        <v>0.3</v>
      </c>
      <c r="I14" s="11">
        <f t="shared" si="0"/>
        <v>117911</v>
      </c>
      <c r="J14" s="8">
        <f t="shared" si="11"/>
        <v>0.3</v>
      </c>
      <c r="K14" s="13">
        <f t="shared" si="1"/>
        <v>1336</v>
      </c>
      <c r="N14" s="2"/>
      <c r="O14" s="2"/>
      <c r="P14" s="2">
        <f t="shared" si="2"/>
        <v>1336</v>
      </c>
      <c r="Q14" s="2">
        <f>Q13+K14</f>
        <v>9239</v>
      </c>
    </row>
    <row r="15" spans="1:17 16381:16381" x14ac:dyDescent="0.3">
      <c r="A15" s="3">
        <f t="shared" si="7"/>
        <v>13</v>
      </c>
      <c r="B15" s="8">
        <f t="shared" si="8"/>
        <v>13</v>
      </c>
      <c r="C15" s="11">
        <f t="shared" si="3"/>
        <v>1203</v>
      </c>
      <c r="D15" s="8">
        <f t="shared" ref="D15" si="22">D14+1</f>
        <v>13</v>
      </c>
      <c r="E15" s="11">
        <f t="shared" si="4"/>
        <v>1203</v>
      </c>
      <c r="F15" s="5">
        <f t="shared" si="20"/>
        <v>48</v>
      </c>
      <c r="G15" s="5">
        <f t="shared" si="5"/>
        <v>1203</v>
      </c>
      <c r="H15" s="8">
        <f t="shared" si="6"/>
        <v>0.32500000000000001</v>
      </c>
      <c r="I15" s="11">
        <f t="shared" si="0"/>
        <v>125436</v>
      </c>
      <c r="J15" s="8">
        <f t="shared" si="11"/>
        <v>0.32500000000000001</v>
      </c>
      <c r="K15" s="13">
        <f t="shared" si="1"/>
        <v>1437</v>
      </c>
      <c r="N15" s="2"/>
      <c r="O15" s="2"/>
      <c r="P15" s="2">
        <f t="shared" si="2"/>
        <v>1437</v>
      </c>
      <c r="Q15" s="2">
        <f>Q14+K15</f>
        <v>10676</v>
      </c>
    </row>
    <row r="16" spans="1:17 16381:16381" x14ac:dyDescent="0.3">
      <c r="A16" s="3">
        <f t="shared" si="7"/>
        <v>14</v>
      </c>
      <c r="B16" s="8">
        <f t="shared" si="8"/>
        <v>14</v>
      </c>
      <c r="C16" s="11">
        <f t="shared" si="3"/>
        <v>1285</v>
      </c>
      <c r="D16" s="8">
        <f t="shared" ref="D16" si="23">D15+1</f>
        <v>14</v>
      </c>
      <c r="E16" s="11">
        <f t="shared" si="4"/>
        <v>1285</v>
      </c>
      <c r="F16" s="5">
        <f t="shared" si="20"/>
        <v>51</v>
      </c>
      <c r="G16" s="5">
        <f t="shared" si="5"/>
        <v>1285</v>
      </c>
      <c r="H16" s="8">
        <f t="shared" si="6"/>
        <v>0.35000000000000003</v>
      </c>
      <c r="I16" s="11">
        <f t="shared" si="0"/>
        <v>132189</v>
      </c>
      <c r="J16" s="8">
        <f t="shared" si="11"/>
        <v>0.35000000000000003</v>
      </c>
      <c r="K16" s="13">
        <f t="shared" si="1"/>
        <v>1538</v>
      </c>
      <c r="N16" s="2"/>
      <c r="O16" s="2"/>
      <c r="P16" s="2">
        <f t="shared" si="2"/>
        <v>1538</v>
      </c>
      <c r="Q16" s="2">
        <f>Q15+K16</f>
        <v>12214</v>
      </c>
    </row>
    <row r="17" spans="1:17" x14ac:dyDescent="0.3">
      <c r="A17" s="3">
        <f t="shared" si="7"/>
        <v>15</v>
      </c>
      <c r="B17" s="8">
        <f t="shared" si="8"/>
        <v>15</v>
      </c>
      <c r="C17" s="11">
        <f t="shared" si="3"/>
        <v>1368</v>
      </c>
      <c r="D17" s="8">
        <f t="shared" ref="D17" si="24">D16+1</f>
        <v>15</v>
      </c>
      <c r="E17" s="11">
        <f t="shared" si="4"/>
        <v>1368</v>
      </c>
      <c r="F17" s="5">
        <f t="shared" si="20"/>
        <v>54</v>
      </c>
      <c r="G17" s="5">
        <f t="shared" si="5"/>
        <v>1368</v>
      </c>
      <c r="H17" s="8">
        <f t="shared" si="6"/>
        <v>0.37500000000000006</v>
      </c>
      <c r="I17" s="11">
        <f t="shared" si="0"/>
        <v>138128</v>
      </c>
      <c r="J17" s="8">
        <f t="shared" si="11"/>
        <v>0.37500000000000006</v>
      </c>
      <c r="K17" s="13">
        <f t="shared" si="1"/>
        <v>1639</v>
      </c>
      <c r="N17" s="2"/>
      <c r="O17" s="2"/>
      <c r="P17" s="2">
        <f t="shared" si="2"/>
        <v>1639</v>
      </c>
      <c r="Q17" s="2">
        <f t="shared" ref="Q17:Q48" si="25">Q16+K17</f>
        <v>13853</v>
      </c>
    </row>
    <row r="18" spans="1:17" x14ac:dyDescent="0.3">
      <c r="A18" s="3">
        <f t="shared" si="7"/>
        <v>16</v>
      </c>
      <c r="B18" s="8">
        <f t="shared" si="8"/>
        <v>16</v>
      </c>
      <c r="C18" s="11">
        <f t="shared" si="3"/>
        <v>1450</v>
      </c>
      <c r="D18" s="8">
        <f t="shared" ref="D18" si="26">D17+1</f>
        <v>16</v>
      </c>
      <c r="E18" s="11">
        <f t="shared" si="4"/>
        <v>1450</v>
      </c>
      <c r="F18" s="5">
        <f t="shared" si="20"/>
        <v>57</v>
      </c>
      <c r="G18" s="5">
        <f t="shared" si="5"/>
        <v>1450</v>
      </c>
      <c r="H18" s="8">
        <f t="shared" si="6"/>
        <v>0.40000000000000008</v>
      </c>
      <c r="I18" s="11">
        <f t="shared" si="0"/>
        <v>143217</v>
      </c>
      <c r="J18" s="8">
        <f t="shared" si="11"/>
        <v>0.40000000000000008</v>
      </c>
      <c r="K18" s="13">
        <f t="shared" si="1"/>
        <v>1739</v>
      </c>
      <c r="N18" s="2"/>
      <c r="O18" s="2"/>
      <c r="P18" s="2">
        <f t="shared" si="2"/>
        <v>1739</v>
      </c>
      <c r="Q18" s="2">
        <f t="shared" si="25"/>
        <v>15592</v>
      </c>
    </row>
    <row r="19" spans="1:17" x14ac:dyDescent="0.3">
      <c r="A19" s="3">
        <f t="shared" si="7"/>
        <v>17</v>
      </c>
      <c r="B19" s="8">
        <f t="shared" si="8"/>
        <v>17</v>
      </c>
      <c r="C19" s="11">
        <f t="shared" si="3"/>
        <v>1531</v>
      </c>
      <c r="D19" s="8">
        <f t="shared" ref="D19" si="27">D18+1</f>
        <v>17</v>
      </c>
      <c r="E19" s="11">
        <f t="shared" si="4"/>
        <v>1531</v>
      </c>
      <c r="F19" s="5">
        <f t="shared" si="20"/>
        <v>60</v>
      </c>
      <c r="G19" s="5">
        <f t="shared" si="5"/>
        <v>1531</v>
      </c>
      <c r="H19" s="8">
        <f t="shared" si="6"/>
        <v>0.4250000000000001</v>
      </c>
      <c r="I19" s="11">
        <f t="shared" si="0"/>
        <v>147424</v>
      </c>
      <c r="J19" s="8">
        <f t="shared" si="11"/>
        <v>0.4250000000000001</v>
      </c>
      <c r="K19" s="13">
        <f t="shared" si="1"/>
        <v>1838</v>
      </c>
      <c r="N19" s="2"/>
      <c r="O19" s="2"/>
      <c r="P19" s="2">
        <f t="shared" si="2"/>
        <v>1838</v>
      </c>
      <c r="Q19" s="2">
        <f t="shared" si="25"/>
        <v>17430</v>
      </c>
    </row>
    <row r="20" spans="1:17" x14ac:dyDescent="0.3">
      <c r="A20" s="3">
        <f t="shared" si="7"/>
        <v>18</v>
      </c>
      <c r="B20" s="8">
        <f t="shared" si="8"/>
        <v>18</v>
      </c>
      <c r="C20" s="11">
        <f t="shared" si="3"/>
        <v>1612</v>
      </c>
      <c r="D20" s="8">
        <f t="shared" ref="D20" si="28">D19+1</f>
        <v>18</v>
      </c>
      <c r="E20" s="11">
        <f t="shared" si="4"/>
        <v>1612</v>
      </c>
      <c r="F20" s="5">
        <f t="shared" si="20"/>
        <v>63</v>
      </c>
      <c r="G20" s="5">
        <f t="shared" si="5"/>
        <v>1612</v>
      </c>
      <c r="H20" s="8">
        <f t="shared" si="6"/>
        <v>0.45000000000000012</v>
      </c>
      <c r="I20" s="11">
        <f t="shared" si="0"/>
        <v>150723</v>
      </c>
      <c r="J20" s="8">
        <f t="shared" si="11"/>
        <v>0.45000000000000012</v>
      </c>
      <c r="K20" s="13">
        <f t="shared" si="1"/>
        <v>1936</v>
      </c>
      <c r="N20" s="2"/>
      <c r="O20" s="2"/>
      <c r="P20" s="2">
        <f t="shared" si="2"/>
        <v>1936</v>
      </c>
      <c r="Q20" s="2">
        <f t="shared" si="25"/>
        <v>19366</v>
      </c>
    </row>
    <row r="21" spans="1:17" x14ac:dyDescent="0.3">
      <c r="A21" s="3">
        <f t="shared" si="7"/>
        <v>19</v>
      </c>
      <c r="B21" s="8">
        <f t="shared" si="8"/>
        <v>19</v>
      </c>
      <c r="C21" s="11">
        <f t="shared" si="3"/>
        <v>1693</v>
      </c>
      <c r="D21" s="8">
        <f t="shared" ref="D21" si="29">D20+1</f>
        <v>19</v>
      </c>
      <c r="E21" s="11">
        <f t="shared" si="4"/>
        <v>1693</v>
      </c>
      <c r="F21" s="5">
        <f t="shared" si="20"/>
        <v>66</v>
      </c>
      <c r="G21" s="5">
        <f t="shared" si="5"/>
        <v>1693</v>
      </c>
      <c r="H21" s="8">
        <f t="shared" si="6"/>
        <v>0.47500000000000014</v>
      </c>
      <c r="I21" s="11">
        <f t="shared" si="0"/>
        <v>153094</v>
      </c>
      <c r="J21" s="8">
        <f t="shared" si="11"/>
        <v>0.47500000000000014</v>
      </c>
      <c r="K21" s="13">
        <f t="shared" si="1"/>
        <v>2034</v>
      </c>
      <c r="N21" s="2"/>
      <c r="O21" s="2"/>
      <c r="P21" s="2">
        <f t="shared" si="2"/>
        <v>2034</v>
      </c>
      <c r="Q21" s="2">
        <f t="shared" si="25"/>
        <v>21400</v>
      </c>
    </row>
    <row r="22" spans="1:17" x14ac:dyDescent="0.3">
      <c r="A22" s="3">
        <f t="shared" si="7"/>
        <v>20</v>
      </c>
      <c r="B22" s="8">
        <f t="shared" si="8"/>
        <v>20</v>
      </c>
      <c r="C22" s="11">
        <f t="shared" si="3"/>
        <v>1774</v>
      </c>
      <c r="D22" s="8">
        <f t="shared" ref="D22" si="30">D21+1</f>
        <v>20</v>
      </c>
      <c r="E22" s="11">
        <f t="shared" si="4"/>
        <v>1774</v>
      </c>
      <c r="F22" s="5">
        <f>F21+4</f>
        <v>70</v>
      </c>
      <c r="G22" s="5">
        <f t="shared" si="5"/>
        <v>1774</v>
      </c>
      <c r="H22" s="8">
        <f t="shared" si="6"/>
        <v>0.50000000000000011</v>
      </c>
      <c r="I22" s="11">
        <f>ROUND(200 + (155000-200) * SIN( (A22-1) / 20 * PI() / 2 ), 0)</f>
        <v>154523</v>
      </c>
      <c r="J22" s="8">
        <f t="shared" si="11"/>
        <v>0.50000000000000011</v>
      </c>
      <c r="K22" s="13">
        <f t="shared" si="1"/>
        <v>2132</v>
      </c>
      <c r="N22" s="2"/>
      <c r="O22" s="2"/>
      <c r="P22" s="2">
        <f t="shared" si="2"/>
        <v>2132</v>
      </c>
      <c r="Q22" s="2">
        <f t="shared" si="25"/>
        <v>23532</v>
      </c>
    </row>
    <row r="23" spans="1:17" x14ac:dyDescent="0.3">
      <c r="A23" s="3">
        <f t="shared" si="7"/>
        <v>21</v>
      </c>
      <c r="B23" s="8">
        <f t="shared" si="8"/>
        <v>21</v>
      </c>
      <c r="C23" s="11">
        <f t="shared" si="3"/>
        <v>1854</v>
      </c>
      <c r="D23" s="8">
        <f t="shared" ref="D23" si="31">D22+1</f>
        <v>21</v>
      </c>
      <c r="E23" s="11">
        <f t="shared" si="4"/>
        <v>1854</v>
      </c>
      <c r="F23" s="5">
        <f t="shared" ref="F23:F31" si="32">F22+4</f>
        <v>74</v>
      </c>
      <c r="G23" s="5">
        <f t="shared" si="5"/>
        <v>1854</v>
      </c>
      <c r="H23" s="8">
        <f t="shared" si="6"/>
        <v>0.52500000000000013</v>
      </c>
      <c r="I23" s="11">
        <f>170000</f>
        <v>170000</v>
      </c>
      <c r="J23" s="8">
        <f t="shared" si="11"/>
        <v>0.52500000000000013</v>
      </c>
      <c r="K23" s="13">
        <f t="shared" si="1"/>
        <v>2228</v>
      </c>
      <c r="N23" s="2"/>
      <c r="O23" s="2"/>
      <c r="P23" s="2">
        <f t="shared" si="2"/>
        <v>2228</v>
      </c>
      <c r="Q23" s="2">
        <f t="shared" si="25"/>
        <v>25760</v>
      </c>
    </row>
    <row r="24" spans="1:17" x14ac:dyDescent="0.3">
      <c r="A24" s="3">
        <f t="shared" si="7"/>
        <v>22</v>
      </c>
      <c r="B24" s="8">
        <f t="shared" si="8"/>
        <v>22</v>
      </c>
      <c r="C24" s="11">
        <f t="shared" si="3"/>
        <v>1933</v>
      </c>
      <c r="D24" s="8">
        <f t="shared" ref="D24" si="33">D23+1</f>
        <v>22</v>
      </c>
      <c r="E24" s="11">
        <f t="shared" si="4"/>
        <v>1933</v>
      </c>
      <c r="F24" s="5">
        <f t="shared" si="32"/>
        <v>78</v>
      </c>
      <c r="G24" s="5">
        <f t="shared" si="5"/>
        <v>1933</v>
      </c>
      <c r="H24" s="8">
        <f t="shared" si="6"/>
        <v>0.55000000000000016</v>
      </c>
      <c r="I24" s="11">
        <f>I23+20000</f>
        <v>190000</v>
      </c>
      <c r="J24" s="8">
        <f t="shared" si="11"/>
        <v>0.55000000000000016</v>
      </c>
      <c r="K24" s="13">
        <f t="shared" si="1"/>
        <v>2324</v>
      </c>
      <c r="N24" s="2"/>
      <c r="O24" s="2"/>
      <c r="P24" s="2">
        <f t="shared" si="2"/>
        <v>2324</v>
      </c>
      <c r="Q24" s="2">
        <f t="shared" si="25"/>
        <v>28084</v>
      </c>
    </row>
    <row r="25" spans="1:17" x14ac:dyDescent="0.3">
      <c r="A25" s="3">
        <f t="shared" si="7"/>
        <v>23</v>
      </c>
      <c r="B25" s="8">
        <f t="shared" si="8"/>
        <v>23</v>
      </c>
      <c r="C25" s="11">
        <f t="shared" si="3"/>
        <v>2013</v>
      </c>
      <c r="D25" s="8">
        <f t="shared" ref="D25" si="34">D24+1</f>
        <v>23</v>
      </c>
      <c r="E25" s="11">
        <f t="shared" si="4"/>
        <v>2013</v>
      </c>
      <c r="F25" s="5">
        <f t="shared" si="32"/>
        <v>82</v>
      </c>
      <c r="G25" s="5">
        <f t="shared" si="5"/>
        <v>2013</v>
      </c>
      <c r="H25" s="8">
        <f t="shared" si="6"/>
        <v>0.57500000000000018</v>
      </c>
      <c r="I25" s="11">
        <f t="shared" ref="I25:I41" si="35">I24+20000</f>
        <v>210000</v>
      </c>
      <c r="J25" s="8">
        <f t="shared" si="11"/>
        <v>0.57500000000000018</v>
      </c>
      <c r="K25" s="13">
        <f t="shared" si="1"/>
        <v>2419</v>
      </c>
      <c r="N25" s="2"/>
      <c r="O25" s="2"/>
      <c r="P25" s="2">
        <f t="shared" si="2"/>
        <v>2419</v>
      </c>
      <c r="Q25" s="2">
        <f t="shared" si="25"/>
        <v>30503</v>
      </c>
    </row>
    <row r="26" spans="1:17" x14ac:dyDescent="0.3">
      <c r="A26" s="3">
        <f t="shared" si="7"/>
        <v>24</v>
      </c>
      <c r="B26" s="8">
        <f t="shared" si="8"/>
        <v>24</v>
      </c>
      <c r="C26" s="11">
        <f t="shared" si="3"/>
        <v>2091</v>
      </c>
      <c r="D26" s="8">
        <f t="shared" ref="D26" si="36">D25+1</f>
        <v>24</v>
      </c>
      <c r="E26" s="11">
        <f t="shared" si="4"/>
        <v>2091</v>
      </c>
      <c r="F26" s="5">
        <f t="shared" si="32"/>
        <v>86</v>
      </c>
      <c r="G26" s="5">
        <f t="shared" si="5"/>
        <v>2091</v>
      </c>
      <c r="H26" s="8">
        <f t="shared" si="6"/>
        <v>0.6000000000000002</v>
      </c>
      <c r="I26" s="11">
        <f t="shared" si="35"/>
        <v>230000</v>
      </c>
      <c r="J26" s="8">
        <f t="shared" si="11"/>
        <v>0.6000000000000002</v>
      </c>
      <c r="K26" s="13">
        <f t="shared" si="1"/>
        <v>2513</v>
      </c>
      <c r="N26" s="2"/>
      <c r="O26" s="2"/>
      <c r="P26" s="2">
        <f t="shared" si="2"/>
        <v>2513</v>
      </c>
      <c r="Q26" s="2">
        <f t="shared" si="25"/>
        <v>33016</v>
      </c>
    </row>
    <row r="27" spans="1:17" x14ac:dyDescent="0.3">
      <c r="A27" s="3">
        <f t="shared" si="7"/>
        <v>25</v>
      </c>
      <c r="B27" s="8">
        <f t="shared" si="8"/>
        <v>25</v>
      </c>
      <c r="C27" s="11">
        <f t="shared" si="3"/>
        <v>2170</v>
      </c>
      <c r="D27" s="8">
        <f t="shared" ref="D27" si="37">D26+1</f>
        <v>25</v>
      </c>
      <c r="E27" s="11">
        <f t="shared" si="4"/>
        <v>2170</v>
      </c>
      <c r="F27" s="5">
        <f t="shared" si="32"/>
        <v>90</v>
      </c>
      <c r="G27" s="5">
        <f t="shared" si="5"/>
        <v>2170</v>
      </c>
      <c r="H27" s="8">
        <f t="shared" si="6"/>
        <v>0.62500000000000022</v>
      </c>
      <c r="I27" s="11">
        <f t="shared" si="35"/>
        <v>250000</v>
      </c>
      <c r="J27" s="8">
        <f t="shared" si="11"/>
        <v>0.62500000000000022</v>
      </c>
      <c r="K27" s="13">
        <f t="shared" si="1"/>
        <v>2606</v>
      </c>
      <c r="N27" s="2"/>
      <c r="O27" s="2"/>
      <c r="P27" s="2">
        <f t="shared" si="2"/>
        <v>2606</v>
      </c>
      <c r="Q27" s="2">
        <f t="shared" si="25"/>
        <v>35622</v>
      </c>
    </row>
    <row r="28" spans="1:17" x14ac:dyDescent="0.3">
      <c r="A28" s="3">
        <f t="shared" si="7"/>
        <v>26</v>
      </c>
      <c r="B28" s="8">
        <f t="shared" si="8"/>
        <v>26</v>
      </c>
      <c r="C28" s="11">
        <f t="shared" si="3"/>
        <v>2248</v>
      </c>
      <c r="D28" s="8">
        <f t="shared" ref="D28" si="38">D27+1</f>
        <v>26</v>
      </c>
      <c r="E28" s="11">
        <f t="shared" si="4"/>
        <v>2248</v>
      </c>
      <c r="F28" s="5">
        <f t="shared" si="32"/>
        <v>94</v>
      </c>
      <c r="G28" s="5">
        <f t="shared" si="5"/>
        <v>2248</v>
      </c>
      <c r="H28" s="8">
        <f t="shared" si="6"/>
        <v>0.65000000000000024</v>
      </c>
      <c r="I28" s="11">
        <f t="shared" si="35"/>
        <v>270000</v>
      </c>
      <c r="J28" s="8">
        <f t="shared" si="11"/>
        <v>0.65000000000000024</v>
      </c>
      <c r="K28" s="13">
        <f t="shared" si="1"/>
        <v>2698</v>
      </c>
      <c r="N28" s="2"/>
      <c r="O28" s="2"/>
      <c r="P28" s="2">
        <f t="shared" si="2"/>
        <v>2698</v>
      </c>
      <c r="Q28" s="2">
        <f t="shared" si="25"/>
        <v>38320</v>
      </c>
    </row>
    <row r="29" spans="1:17" x14ac:dyDescent="0.3">
      <c r="A29" s="3">
        <f t="shared" si="7"/>
        <v>27</v>
      </c>
      <c r="B29" s="8">
        <f t="shared" si="8"/>
        <v>27</v>
      </c>
      <c r="C29" s="11">
        <f t="shared" si="3"/>
        <v>2325</v>
      </c>
      <c r="D29" s="8">
        <f t="shared" ref="D29" si="39">D28+1</f>
        <v>27</v>
      </c>
      <c r="E29" s="11">
        <f t="shared" si="4"/>
        <v>2325</v>
      </c>
      <c r="F29" s="5">
        <f t="shared" si="32"/>
        <v>98</v>
      </c>
      <c r="G29" s="5">
        <f t="shared" si="5"/>
        <v>2325</v>
      </c>
      <c r="H29" s="8">
        <f t="shared" si="6"/>
        <v>0.67500000000000027</v>
      </c>
      <c r="I29" s="11">
        <f t="shared" si="35"/>
        <v>290000</v>
      </c>
      <c r="J29" s="8">
        <f t="shared" si="11"/>
        <v>0.67500000000000027</v>
      </c>
      <c r="K29" s="13">
        <f t="shared" si="1"/>
        <v>2790</v>
      </c>
      <c r="N29" s="2"/>
      <c r="O29" s="2"/>
      <c r="P29" s="2">
        <f t="shared" si="2"/>
        <v>2790</v>
      </c>
      <c r="Q29" s="2">
        <f t="shared" si="25"/>
        <v>41110</v>
      </c>
    </row>
    <row r="30" spans="1:17" x14ac:dyDescent="0.3">
      <c r="A30" s="3">
        <f t="shared" si="7"/>
        <v>28</v>
      </c>
      <c r="B30" s="8">
        <f t="shared" si="8"/>
        <v>28</v>
      </c>
      <c r="C30" s="11">
        <f t="shared" si="3"/>
        <v>2402</v>
      </c>
      <c r="D30" s="8">
        <f t="shared" ref="D30" si="40">D29+1</f>
        <v>28</v>
      </c>
      <c r="E30" s="11">
        <f t="shared" si="4"/>
        <v>2402</v>
      </c>
      <c r="F30" s="5">
        <f t="shared" si="32"/>
        <v>102</v>
      </c>
      <c r="G30" s="5">
        <f t="shared" si="5"/>
        <v>2402</v>
      </c>
      <c r="H30" s="8">
        <f t="shared" si="6"/>
        <v>0.70000000000000029</v>
      </c>
      <c r="I30" s="11">
        <f t="shared" si="35"/>
        <v>310000</v>
      </c>
      <c r="J30" s="8">
        <f t="shared" si="11"/>
        <v>0.70000000000000029</v>
      </c>
      <c r="K30" s="13">
        <f t="shared" si="1"/>
        <v>2880</v>
      </c>
      <c r="N30" s="2"/>
      <c r="O30" s="2"/>
      <c r="P30" s="2">
        <f t="shared" si="2"/>
        <v>2880</v>
      </c>
      <c r="Q30" s="2">
        <f t="shared" si="25"/>
        <v>43990</v>
      </c>
    </row>
    <row r="31" spans="1:17" x14ac:dyDescent="0.3">
      <c r="A31" s="3">
        <f t="shared" si="7"/>
        <v>29</v>
      </c>
      <c r="B31" s="8">
        <f t="shared" si="8"/>
        <v>29</v>
      </c>
      <c r="C31" s="11">
        <f t="shared" si="3"/>
        <v>2478</v>
      </c>
      <c r="D31" s="8">
        <f t="shared" ref="D31" si="41">D30+1</f>
        <v>29</v>
      </c>
      <c r="E31" s="11">
        <f t="shared" si="4"/>
        <v>2478</v>
      </c>
      <c r="F31" s="5">
        <f t="shared" si="32"/>
        <v>106</v>
      </c>
      <c r="G31" s="5">
        <f t="shared" si="5"/>
        <v>2478</v>
      </c>
      <c r="H31" s="8">
        <f t="shared" si="6"/>
        <v>0.72500000000000031</v>
      </c>
      <c r="I31" s="11">
        <f t="shared" si="35"/>
        <v>330000</v>
      </c>
      <c r="J31" s="8">
        <f t="shared" si="11"/>
        <v>0.72500000000000031</v>
      </c>
      <c r="K31" s="13">
        <f t="shared" si="1"/>
        <v>2969</v>
      </c>
      <c r="N31" s="2"/>
      <c r="O31" s="2"/>
      <c r="P31" s="2">
        <f t="shared" si="2"/>
        <v>2969</v>
      </c>
      <c r="Q31" s="2">
        <f t="shared" si="25"/>
        <v>46959</v>
      </c>
    </row>
    <row r="32" spans="1:17" x14ac:dyDescent="0.3">
      <c r="A32" s="3">
        <f t="shared" si="7"/>
        <v>30</v>
      </c>
      <c r="B32" s="8">
        <f t="shared" si="8"/>
        <v>30</v>
      </c>
      <c r="C32" s="11">
        <f t="shared" si="3"/>
        <v>2554</v>
      </c>
      <c r="D32" s="8">
        <f t="shared" ref="D32" si="42">D31+1</f>
        <v>30</v>
      </c>
      <c r="E32" s="11">
        <f t="shared" si="4"/>
        <v>2554</v>
      </c>
      <c r="F32" s="5">
        <f>F31+5</f>
        <v>111</v>
      </c>
      <c r="G32" s="5">
        <f t="shared" si="5"/>
        <v>2554</v>
      </c>
      <c r="H32" s="8">
        <f t="shared" si="6"/>
        <v>0.75000000000000033</v>
      </c>
      <c r="I32" s="11">
        <f t="shared" si="35"/>
        <v>350000</v>
      </c>
      <c r="J32" s="8">
        <f t="shared" si="11"/>
        <v>0.75000000000000033</v>
      </c>
      <c r="K32" s="13">
        <f t="shared" si="1"/>
        <v>3057</v>
      </c>
      <c r="N32" s="2"/>
      <c r="O32" s="2"/>
      <c r="P32" s="2">
        <f t="shared" si="2"/>
        <v>3057</v>
      </c>
      <c r="Q32" s="2">
        <f t="shared" si="25"/>
        <v>50016</v>
      </c>
    </row>
    <row r="33" spans="1:17" x14ac:dyDescent="0.3">
      <c r="A33" s="3">
        <f t="shared" si="7"/>
        <v>31</v>
      </c>
      <c r="B33" s="8">
        <f t="shared" si="8"/>
        <v>31</v>
      </c>
      <c r="C33" s="11">
        <f t="shared" si="3"/>
        <v>2629</v>
      </c>
      <c r="D33" s="8">
        <f t="shared" ref="D33" si="43">D32+1</f>
        <v>31</v>
      </c>
      <c r="E33" s="11">
        <f t="shared" si="4"/>
        <v>2629</v>
      </c>
      <c r="F33" s="5">
        <f t="shared" ref="F33:F41" si="44">F32+5</f>
        <v>116</v>
      </c>
      <c r="G33" s="5">
        <f t="shared" si="5"/>
        <v>2629</v>
      </c>
      <c r="H33" s="8">
        <f t="shared" si="6"/>
        <v>0.77500000000000036</v>
      </c>
      <c r="I33" s="11">
        <f t="shared" si="35"/>
        <v>370000</v>
      </c>
      <c r="J33" s="8">
        <f t="shared" si="11"/>
        <v>0.77500000000000036</v>
      </c>
      <c r="K33" s="13">
        <f t="shared" si="1"/>
        <v>3145</v>
      </c>
      <c r="N33" s="2"/>
      <c r="O33" s="2"/>
      <c r="P33" s="2">
        <f t="shared" si="2"/>
        <v>3145</v>
      </c>
      <c r="Q33" s="2">
        <f t="shared" si="25"/>
        <v>53161</v>
      </c>
    </row>
    <row r="34" spans="1:17" x14ac:dyDescent="0.3">
      <c r="A34" s="3">
        <f t="shared" si="7"/>
        <v>32</v>
      </c>
      <c r="B34" s="8">
        <f t="shared" si="8"/>
        <v>32</v>
      </c>
      <c r="C34" s="11">
        <f t="shared" si="3"/>
        <v>2703</v>
      </c>
      <c r="D34" s="8">
        <f t="shared" ref="D34" si="45">D33+1</f>
        <v>32</v>
      </c>
      <c r="E34" s="11">
        <f t="shared" si="4"/>
        <v>2703</v>
      </c>
      <c r="F34" s="5">
        <f t="shared" si="44"/>
        <v>121</v>
      </c>
      <c r="G34" s="5">
        <f t="shared" si="5"/>
        <v>2703</v>
      </c>
      <c r="H34" s="19">
        <f t="shared" si="6"/>
        <v>0.80000000000000038</v>
      </c>
      <c r="I34" s="21">
        <f t="shared" si="35"/>
        <v>390000</v>
      </c>
      <c r="J34" s="8">
        <f t="shared" si="11"/>
        <v>0.80000000000000038</v>
      </c>
      <c r="K34" s="13">
        <f t="shared" si="1"/>
        <v>3230</v>
      </c>
      <c r="N34" s="2"/>
      <c r="O34" s="2"/>
      <c r="P34" s="2">
        <f t="shared" si="2"/>
        <v>3230</v>
      </c>
      <c r="Q34" s="2">
        <f t="shared" si="25"/>
        <v>56391</v>
      </c>
    </row>
    <row r="35" spans="1:17" x14ac:dyDescent="0.3">
      <c r="A35" s="3">
        <f t="shared" si="7"/>
        <v>33</v>
      </c>
      <c r="B35" s="8">
        <f t="shared" si="8"/>
        <v>33</v>
      </c>
      <c r="C35" s="11">
        <f t="shared" si="3"/>
        <v>2777</v>
      </c>
      <c r="D35" s="8">
        <f t="shared" ref="D35" si="46">D34+1</f>
        <v>33</v>
      </c>
      <c r="E35" s="11">
        <f t="shared" si="4"/>
        <v>2777</v>
      </c>
      <c r="F35" s="5">
        <f t="shared" si="44"/>
        <v>126</v>
      </c>
      <c r="G35" s="5">
        <f t="shared" si="5"/>
        <v>2777</v>
      </c>
      <c r="H35" s="8">
        <f t="shared" si="6"/>
        <v>0.8250000000000004</v>
      </c>
      <c r="I35" s="11">
        <f t="shared" si="35"/>
        <v>410000</v>
      </c>
      <c r="J35" s="8">
        <f t="shared" si="11"/>
        <v>0.8250000000000004</v>
      </c>
      <c r="K35" s="13">
        <f t="shared" si="1"/>
        <v>3315</v>
      </c>
      <c r="N35" s="2"/>
      <c r="O35" s="2"/>
      <c r="P35" s="2">
        <f t="shared" ref="P35:P66" si="47">K35</f>
        <v>3315</v>
      </c>
      <c r="Q35" s="2">
        <f t="shared" si="25"/>
        <v>59706</v>
      </c>
    </row>
    <row r="36" spans="1:17" x14ac:dyDescent="0.3">
      <c r="A36" s="3">
        <f t="shared" si="7"/>
        <v>34</v>
      </c>
      <c r="B36" s="8">
        <f t="shared" si="8"/>
        <v>34</v>
      </c>
      <c r="C36" s="11">
        <f t="shared" si="3"/>
        <v>2850</v>
      </c>
      <c r="D36" s="8">
        <f t="shared" ref="D36" si="48">D35+1</f>
        <v>34</v>
      </c>
      <c r="E36" s="11">
        <f t="shared" si="4"/>
        <v>2850</v>
      </c>
      <c r="F36" s="5">
        <f t="shared" si="44"/>
        <v>131</v>
      </c>
      <c r="G36" s="5">
        <f t="shared" si="5"/>
        <v>2850</v>
      </c>
      <c r="H36" s="8">
        <f t="shared" si="6"/>
        <v>0.85000000000000042</v>
      </c>
      <c r="I36" s="11">
        <f t="shared" si="35"/>
        <v>430000</v>
      </c>
      <c r="J36" s="8">
        <f t="shared" si="11"/>
        <v>0.85000000000000042</v>
      </c>
      <c r="K36" s="13">
        <f t="shared" si="1"/>
        <v>3399</v>
      </c>
      <c r="N36" s="2"/>
      <c r="O36" s="2"/>
      <c r="P36" s="2">
        <f t="shared" si="47"/>
        <v>3399</v>
      </c>
      <c r="Q36" s="2">
        <f t="shared" si="25"/>
        <v>63105</v>
      </c>
    </row>
    <row r="37" spans="1:17" x14ac:dyDescent="0.3">
      <c r="A37" s="3">
        <f t="shared" si="7"/>
        <v>35</v>
      </c>
      <c r="B37" s="8">
        <f t="shared" si="8"/>
        <v>35</v>
      </c>
      <c r="C37" s="11">
        <f t="shared" si="3"/>
        <v>2922</v>
      </c>
      <c r="D37" s="8">
        <f t="shared" ref="D37" si="49">D36+1</f>
        <v>35</v>
      </c>
      <c r="E37" s="11">
        <f t="shared" si="4"/>
        <v>2922</v>
      </c>
      <c r="F37" s="5">
        <f t="shared" si="44"/>
        <v>136</v>
      </c>
      <c r="G37" s="5">
        <f t="shared" si="5"/>
        <v>2922</v>
      </c>
      <c r="H37" s="8">
        <f t="shared" si="6"/>
        <v>0.87500000000000044</v>
      </c>
      <c r="I37" s="11">
        <f t="shared" si="35"/>
        <v>450000</v>
      </c>
      <c r="J37" s="8">
        <f t="shared" si="11"/>
        <v>0.87500000000000044</v>
      </c>
      <c r="K37" s="13">
        <f t="shared" si="1"/>
        <v>3481</v>
      </c>
      <c r="N37" s="2"/>
      <c r="O37" s="2"/>
      <c r="P37" s="2">
        <f t="shared" si="47"/>
        <v>3481</v>
      </c>
      <c r="Q37" s="2">
        <f t="shared" si="25"/>
        <v>66586</v>
      </c>
    </row>
    <row r="38" spans="1:17" x14ac:dyDescent="0.3">
      <c r="A38" s="3">
        <f t="shared" si="7"/>
        <v>36</v>
      </c>
      <c r="B38" s="8">
        <f t="shared" si="8"/>
        <v>36</v>
      </c>
      <c r="C38" s="11">
        <f t="shared" si="3"/>
        <v>2994</v>
      </c>
      <c r="D38" s="8">
        <f t="shared" ref="D38" si="50">D37+1</f>
        <v>36</v>
      </c>
      <c r="E38" s="11">
        <f t="shared" si="4"/>
        <v>2994</v>
      </c>
      <c r="F38" s="5">
        <f t="shared" si="44"/>
        <v>141</v>
      </c>
      <c r="G38" s="5">
        <f t="shared" si="5"/>
        <v>2994</v>
      </c>
      <c r="H38" s="8">
        <f t="shared" si="6"/>
        <v>0.90000000000000047</v>
      </c>
      <c r="I38" s="11">
        <f t="shared" si="35"/>
        <v>470000</v>
      </c>
      <c r="J38" s="8">
        <f t="shared" si="11"/>
        <v>0.90000000000000047</v>
      </c>
      <c r="K38" s="13">
        <f t="shared" si="1"/>
        <v>3562</v>
      </c>
      <c r="N38" s="2"/>
      <c r="O38" s="2"/>
      <c r="P38" s="2">
        <f t="shared" si="47"/>
        <v>3562</v>
      </c>
      <c r="Q38" s="2">
        <f t="shared" si="25"/>
        <v>70148</v>
      </c>
    </row>
    <row r="39" spans="1:17" x14ac:dyDescent="0.3">
      <c r="A39" s="3">
        <f t="shared" si="7"/>
        <v>37</v>
      </c>
      <c r="B39" s="8">
        <f t="shared" si="8"/>
        <v>37</v>
      </c>
      <c r="C39" s="11">
        <f t="shared" si="3"/>
        <v>3065</v>
      </c>
      <c r="D39" s="8">
        <f t="shared" ref="D39" si="51">D38+1</f>
        <v>37</v>
      </c>
      <c r="E39" s="11">
        <f t="shared" si="4"/>
        <v>3065</v>
      </c>
      <c r="F39" s="5">
        <f t="shared" si="44"/>
        <v>146</v>
      </c>
      <c r="G39" s="5">
        <f t="shared" si="5"/>
        <v>3065</v>
      </c>
      <c r="H39" s="8">
        <f t="shared" si="6"/>
        <v>0.92500000000000049</v>
      </c>
      <c r="I39" s="11">
        <f t="shared" si="35"/>
        <v>490000</v>
      </c>
      <c r="J39" s="8">
        <f t="shared" si="11"/>
        <v>0.92500000000000049</v>
      </c>
      <c r="K39" s="13">
        <f t="shared" si="1"/>
        <v>3642</v>
      </c>
      <c r="N39" s="2"/>
      <c r="O39" s="2"/>
      <c r="P39" s="2">
        <f t="shared" si="47"/>
        <v>3642</v>
      </c>
      <c r="Q39" s="2">
        <f t="shared" si="25"/>
        <v>73790</v>
      </c>
    </row>
    <row r="40" spans="1:17" x14ac:dyDescent="0.3">
      <c r="A40" s="3">
        <f t="shared" si="7"/>
        <v>38</v>
      </c>
      <c r="B40" s="8">
        <f t="shared" si="8"/>
        <v>38</v>
      </c>
      <c r="C40" s="11">
        <f t="shared" si="3"/>
        <v>3136</v>
      </c>
      <c r="D40" s="8">
        <f t="shared" ref="D40" si="52">D39+1</f>
        <v>38</v>
      </c>
      <c r="E40" s="11">
        <f t="shared" si="4"/>
        <v>3136</v>
      </c>
      <c r="F40" s="5">
        <f t="shared" si="44"/>
        <v>151</v>
      </c>
      <c r="G40" s="5">
        <f t="shared" si="5"/>
        <v>3136</v>
      </c>
      <c r="H40" s="8">
        <f t="shared" si="6"/>
        <v>0.95000000000000051</v>
      </c>
      <c r="I40" s="11">
        <f t="shared" si="35"/>
        <v>510000</v>
      </c>
      <c r="J40" s="8">
        <f t="shared" si="11"/>
        <v>0.95000000000000051</v>
      </c>
      <c r="K40" s="13">
        <f t="shared" si="1"/>
        <v>3721</v>
      </c>
      <c r="N40" s="2"/>
      <c r="O40" s="2"/>
      <c r="P40" s="2">
        <f t="shared" si="47"/>
        <v>3721</v>
      </c>
      <c r="Q40" s="2">
        <f t="shared" si="25"/>
        <v>77511</v>
      </c>
    </row>
    <row r="41" spans="1:17" x14ac:dyDescent="0.3">
      <c r="A41" s="3">
        <f t="shared" si="7"/>
        <v>39</v>
      </c>
      <c r="B41" s="8">
        <f t="shared" si="8"/>
        <v>39</v>
      </c>
      <c r="C41" s="11">
        <f t="shared" si="3"/>
        <v>3205</v>
      </c>
      <c r="D41" s="8">
        <f t="shared" ref="D41" si="53">D40+1</f>
        <v>39</v>
      </c>
      <c r="E41" s="11">
        <f t="shared" si="4"/>
        <v>3205</v>
      </c>
      <c r="F41" s="5">
        <f t="shared" si="44"/>
        <v>156</v>
      </c>
      <c r="G41" s="5">
        <f t="shared" si="5"/>
        <v>3205</v>
      </c>
      <c r="H41" s="8">
        <f t="shared" si="6"/>
        <v>0.97500000000000053</v>
      </c>
      <c r="I41" s="11">
        <f t="shared" si="35"/>
        <v>530000</v>
      </c>
      <c r="J41" s="8">
        <f t="shared" si="11"/>
        <v>0.97500000000000053</v>
      </c>
      <c r="K41" s="13">
        <f t="shared" si="1"/>
        <v>3798</v>
      </c>
      <c r="N41" s="2"/>
      <c r="O41" s="2"/>
      <c r="P41" s="2">
        <f t="shared" si="47"/>
        <v>3798</v>
      </c>
      <c r="Q41" s="2">
        <f t="shared" si="25"/>
        <v>81309</v>
      </c>
    </row>
    <row r="42" spans="1:17" x14ac:dyDescent="0.3">
      <c r="A42" s="3">
        <f t="shared" si="7"/>
        <v>40</v>
      </c>
      <c r="B42" s="8">
        <f t="shared" si="8"/>
        <v>40</v>
      </c>
      <c r="C42" s="11">
        <f t="shared" si="3"/>
        <v>3274</v>
      </c>
      <c r="D42" s="8">
        <f t="shared" ref="D42" si="54">D41+1</f>
        <v>40</v>
      </c>
      <c r="E42" s="11">
        <f t="shared" si="4"/>
        <v>3274</v>
      </c>
      <c r="F42" s="5">
        <f>F41+6</f>
        <v>162</v>
      </c>
      <c r="G42" s="5">
        <f t="shared" si="5"/>
        <v>3274</v>
      </c>
      <c r="H42" s="8">
        <f t="shared" si="6"/>
        <v>1.0000000000000004</v>
      </c>
      <c r="I42" s="11">
        <v>-1</v>
      </c>
      <c r="J42" s="8">
        <f t="shared" si="11"/>
        <v>1.0000000000000004</v>
      </c>
      <c r="K42" s="13">
        <f t="shared" si="1"/>
        <v>3873</v>
      </c>
      <c r="N42" s="2"/>
      <c r="O42" s="2"/>
      <c r="P42" s="2">
        <f t="shared" si="47"/>
        <v>3873</v>
      </c>
      <c r="Q42" s="2">
        <f t="shared" si="25"/>
        <v>85182</v>
      </c>
    </row>
    <row r="43" spans="1:17" x14ac:dyDescent="0.3">
      <c r="A43" s="3">
        <f t="shared" si="7"/>
        <v>41</v>
      </c>
      <c r="B43" s="8">
        <f>B42+2</f>
        <v>42</v>
      </c>
      <c r="C43" s="11">
        <f t="shared" si="3"/>
        <v>3342</v>
      </c>
      <c r="D43" s="8">
        <f>D42+2</f>
        <v>42</v>
      </c>
      <c r="E43" s="11">
        <f t="shared" si="4"/>
        <v>3342</v>
      </c>
      <c r="F43" s="5">
        <f t="shared" ref="F43:F51" si="55">F42+6</f>
        <v>168</v>
      </c>
      <c r="G43" s="5">
        <f t="shared" si="5"/>
        <v>3342</v>
      </c>
      <c r="J43" s="8">
        <f t="shared" si="11"/>
        <v>1.0250000000000004</v>
      </c>
      <c r="K43" s="13">
        <f t="shared" si="1"/>
        <v>3948</v>
      </c>
      <c r="N43" s="2"/>
      <c r="O43" s="2"/>
      <c r="P43" s="2">
        <f t="shared" si="47"/>
        <v>3948</v>
      </c>
      <c r="Q43" s="2">
        <f t="shared" si="25"/>
        <v>89130</v>
      </c>
    </row>
    <row r="44" spans="1:17" x14ac:dyDescent="0.3">
      <c r="A44" s="3">
        <f t="shared" si="7"/>
        <v>42</v>
      </c>
      <c r="B44" s="8">
        <f t="shared" ref="B44:D61" si="56">B43+2</f>
        <v>44</v>
      </c>
      <c r="C44" s="11">
        <f t="shared" si="3"/>
        <v>3410</v>
      </c>
      <c r="D44" s="8">
        <f t="shared" si="56"/>
        <v>44</v>
      </c>
      <c r="E44" s="11">
        <f t="shared" si="4"/>
        <v>3410</v>
      </c>
      <c r="F44" s="5">
        <f t="shared" si="55"/>
        <v>174</v>
      </c>
      <c r="G44" s="5">
        <f t="shared" si="5"/>
        <v>3410</v>
      </c>
      <c r="J44" s="8">
        <f t="shared" si="11"/>
        <v>1.0500000000000003</v>
      </c>
      <c r="K44" s="13">
        <f t="shared" si="1"/>
        <v>4021</v>
      </c>
      <c r="N44" s="2"/>
      <c r="O44" s="2"/>
      <c r="P44" s="2">
        <f t="shared" si="47"/>
        <v>4021</v>
      </c>
      <c r="Q44" s="2">
        <f t="shared" si="25"/>
        <v>93151</v>
      </c>
    </row>
    <row r="45" spans="1:17" x14ac:dyDescent="0.3">
      <c r="A45" s="3">
        <f t="shared" si="7"/>
        <v>43</v>
      </c>
      <c r="B45" s="8">
        <f t="shared" si="56"/>
        <v>46</v>
      </c>
      <c r="C45" s="11">
        <f t="shared" si="3"/>
        <v>3476</v>
      </c>
      <c r="D45" s="8">
        <f t="shared" si="56"/>
        <v>46</v>
      </c>
      <c r="E45" s="11">
        <f t="shared" si="4"/>
        <v>3476</v>
      </c>
      <c r="F45" s="5">
        <f t="shared" si="55"/>
        <v>180</v>
      </c>
      <c r="G45" s="5">
        <f t="shared" si="5"/>
        <v>3476</v>
      </c>
      <c r="J45" s="8">
        <f t="shared" si="11"/>
        <v>1.0750000000000002</v>
      </c>
      <c r="K45" s="13">
        <f t="shared" si="1"/>
        <v>4092</v>
      </c>
      <c r="N45" s="2"/>
      <c r="O45" s="2"/>
      <c r="P45" s="2">
        <f t="shared" si="47"/>
        <v>4092</v>
      </c>
      <c r="Q45" s="2">
        <f t="shared" si="25"/>
        <v>97243</v>
      </c>
    </row>
    <row r="46" spans="1:17" x14ac:dyDescent="0.3">
      <c r="A46" s="3">
        <f t="shared" si="7"/>
        <v>44</v>
      </c>
      <c r="B46" s="8">
        <f t="shared" si="56"/>
        <v>48</v>
      </c>
      <c r="C46" s="11">
        <f t="shared" si="3"/>
        <v>3542</v>
      </c>
      <c r="D46" s="8">
        <f t="shared" si="56"/>
        <v>48</v>
      </c>
      <c r="E46" s="11">
        <f t="shared" si="4"/>
        <v>3542</v>
      </c>
      <c r="F46" s="5">
        <f t="shared" si="55"/>
        <v>186</v>
      </c>
      <c r="G46" s="5">
        <f t="shared" si="5"/>
        <v>3542</v>
      </c>
      <c r="J46" s="8">
        <f t="shared" si="11"/>
        <v>1.1000000000000001</v>
      </c>
      <c r="K46" s="13">
        <f t="shared" si="1"/>
        <v>4162</v>
      </c>
      <c r="N46" s="2"/>
      <c r="O46" s="2"/>
      <c r="P46" s="2">
        <f t="shared" si="47"/>
        <v>4162</v>
      </c>
      <c r="Q46" s="2">
        <f t="shared" si="25"/>
        <v>101405</v>
      </c>
    </row>
    <row r="47" spans="1:17" x14ac:dyDescent="0.3">
      <c r="A47" s="3">
        <f t="shared" si="7"/>
        <v>45</v>
      </c>
      <c r="B47" s="8">
        <f t="shared" si="56"/>
        <v>50</v>
      </c>
      <c r="C47" s="11">
        <f t="shared" si="3"/>
        <v>3607</v>
      </c>
      <c r="D47" s="8">
        <f t="shared" si="56"/>
        <v>50</v>
      </c>
      <c r="E47" s="11">
        <f t="shared" si="4"/>
        <v>3607</v>
      </c>
      <c r="F47" s="5">
        <f t="shared" si="55"/>
        <v>192</v>
      </c>
      <c r="G47" s="5">
        <f t="shared" si="5"/>
        <v>3607</v>
      </c>
      <c r="J47" s="8">
        <f t="shared" si="11"/>
        <v>1.125</v>
      </c>
      <c r="K47" s="13">
        <f t="shared" si="1"/>
        <v>4230</v>
      </c>
      <c r="N47" s="2"/>
      <c r="O47" s="2"/>
      <c r="P47" s="2">
        <f t="shared" si="47"/>
        <v>4230</v>
      </c>
      <c r="Q47" s="2">
        <f t="shared" si="25"/>
        <v>105635</v>
      </c>
    </row>
    <row r="48" spans="1:17" x14ac:dyDescent="0.3">
      <c r="A48" s="3">
        <f t="shared" si="7"/>
        <v>46</v>
      </c>
      <c r="B48" s="8">
        <f t="shared" si="56"/>
        <v>52</v>
      </c>
      <c r="C48" s="11">
        <f t="shared" si="3"/>
        <v>3671</v>
      </c>
      <c r="D48" s="8">
        <f t="shared" si="56"/>
        <v>52</v>
      </c>
      <c r="E48" s="11">
        <f t="shared" si="4"/>
        <v>3671</v>
      </c>
      <c r="F48" s="5">
        <f t="shared" si="55"/>
        <v>198</v>
      </c>
      <c r="G48" s="5">
        <f t="shared" si="5"/>
        <v>3671</v>
      </c>
      <c r="J48" s="8">
        <f t="shared" si="11"/>
        <v>1.1499999999999999</v>
      </c>
      <c r="K48" s="13">
        <f t="shared" si="1"/>
        <v>4297</v>
      </c>
      <c r="N48" s="2"/>
      <c r="O48" s="2"/>
      <c r="P48" s="2">
        <f t="shared" si="47"/>
        <v>4297</v>
      </c>
      <c r="Q48" s="2">
        <f t="shared" si="25"/>
        <v>109932</v>
      </c>
    </row>
    <row r="49" spans="1:17" x14ac:dyDescent="0.3">
      <c r="A49" s="3">
        <f t="shared" si="7"/>
        <v>47</v>
      </c>
      <c r="B49" s="8">
        <f t="shared" si="56"/>
        <v>54</v>
      </c>
      <c r="C49" s="11">
        <f t="shared" si="3"/>
        <v>3734</v>
      </c>
      <c r="D49" s="8">
        <f t="shared" si="56"/>
        <v>54</v>
      </c>
      <c r="E49" s="11">
        <f t="shared" si="4"/>
        <v>3734</v>
      </c>
      <c r="F49" s="5">
        <f t="shared" si="55"/>
        <v>204</v>
      </c>
      <c r="G49" s="5">
        <f t="shared" si="5"/>
        <v>3734</v>
      </c>
      <c r="J49" s="8">
        <f t="shared" si="11"/>
        <v>1.1749999999999998</v>
      </c>
      <c r="K49" s="13">
        <f t="shared" si="1"/>
        <v>4362</v>
      </c>
      <c r="N49" s="2"/>
      <c r="O49" s="2"/>
      <c r="P49" s="2">
        <f t="shared" si="47"/>
        <v>4362</v>
      </c>
      <c r="Q49" s="2">
        <f t="shared" ref="Q49:Q80" si="57">Q48+K49</f>
        <v>114294</v>
      </c>
    </row>
    <row r="50" spans="1:17" x14ac:dyDescent="0.3">
      <c r="A50" s="3">
        <f t="shared" si="7"/>
        <v>48</v>
      </c>
      <c r="B50" s="8">
        <f t="shared" si="56"/>
        <v>56</v>
      </c>
      <c r="C50" s="11">
        <f t="shared" si="3"/>
        <v>3796</v>
      </c>
      <c r="D50" s="8">
        <f t="shared" si="56"/>
        <v>56</v>
      </c>
      <c r="E50" s="11">
        <f t="shared" si="4"/>
        <v>3796</v>
      </c>
      <c r="F50" s="5">
        <f t="shared" si="55"/>
        <v>210</v>
      </c>
      <c r="G50" s="5">
        <f t="shared" si="5"/>
        <v>3796</v>
      </c>
      <c r="J50" s="8">
        <f t="shared" si="11"/>
        <v>1.1999999999999997</v>
      </c>
      <c r="K50" s="13">
        <f t="shared" si="1"/>
        <v>4426</v>
      </c>
      <c r="N50" s="2"/>
      <c r="O50" s="2"/>
      <c r="P50" s="2">
        <f t="shared" si="47"/>
        <v>4426</v>
      </c>
      <c r="Q50" s="2">
        <f t="shared" si="57"/>
        <v>118720</v>
      </c>
    </row>
    <row r="51" spans="1:17" x14ac:dyDescent="0.3">
      <c r="A51" s="3">
        <f t="shared" si="7"/>
        <v>49</v>
      </c>
      <c r="B51" s="8">
        <f t="shared" si="56"/>
        <v>58</v>
      </c>
      <c r="C51" s="11">
        <f t="shared" si="3"/>
        <v>3857</v>
      </c>
      <c r="D51" s="8">
        <f t="shared" si="56"/>
        <v>58</v>
      </c>
      <c r="E51" s="11">
        <f t="shared" si="4"/>
        <v>3857</v>
      </c>
      <c r="F51" s="5">
        <f t="shared" si="55"/>
        <v>216</v>
      </c>
      <c r="G51" s="5">
        <f t="shared" si="5"/>
        <v>3857</v>
      </c>
      <c r="J51" s="8">
        <f t="shared" si="11"/>
        <v>1.2249999999999996</v>
      </c>
      <c r="K51" s="13">
        <f t="shared" si="1"/>
        <v>4488</v>
      </c>
      <c r="N51" s="2"/>
      <c r="O51" s="2"/>
      <c r="P51" s="2">
        <f t="shared" si="47"/>
        <v>4488</v>
      </c>
      <c r="Q51" s="2">
        <f t="shared" si="57"/>
        <v>123208</v>
      </c>
    </row>
    <row r="52" spans="1:17" x14ac:dyDescent="0.3">
      <c r="A52" s="3">
        <f t="shared" si="7"/>
        <v>50</v>
      </c>
      <c r="B52" s="8">
        <f t="shared" si="56"/>
        <v>60</v>
      </c>
      <c r="C52" s="11">
        <f t="shared" si="3"/>
        <v>3918</v>
      </c>
      <c r="D52" s="8">
        <f t="shared" si="56"/>
        <v>60</v>
      </c>
      <c r="E52" s="11">
        <f t="shared" si="4"/>
        <v>3918</v>
      </c>
      <c r="F52" s="5">
        <f>F51+7</f>
        <v>223</v>
      </c>
      <c r="G52" s="5">
        <f t="shared" si="5"/>
        <v>3918</v>
      </c>
      <c r="J52" s="8">
        <f t="shared" si="11"/>
        <v>1.2499999999999996</v>
      </c>
      <c r="K52" s="13">
        <f t="shared" si="1"/>
        <v>4548</v>
      </c>
      <c r="N52" s="2"/>
      <c r="O52" s="2"/>
      <c r="P52" s="2">
        <f t="shared" si="47"/>
        <v>4548</v>
      </c>
      <c r="Q52" s="2">
        <f t="shared" si="57"/>
        <v>127756</v>
      </c>
    </row>
    <row r="53" spans="1:17" x14ac:dyDescent="0.3">
      <c r="A53" s="3">
        <f t="shared" si="7"/>
        <v>51</v>
      </c>
      <c r="B53" s="8">
        <f t="shared" si="56"/>
        <v>62</v>
      </c>
      <c r="C53" s="11">
        <f t="shared" si="3"/>
        <v>3977</v>
      </c>
      <c r="D53" s="8">
        <f t="shared" si="56"/>
        <v>62</v>
      </c>
      <c r="E53" s="11">
        <f t="shared" si="4"/>
        <v>3977</v>
      </c>
      <c r="F53" s="5">
        <f t="shared" ref="F53:F61" si="58">F52+7</f>
        <v>230</v>
      </c>
      <c r="G53" s="5">
        <f t="shared" si="5"/>
        <v>3977</v>
      </c>
      <c r="J53" s="8">
        <f t="shared" si="11"/>
        <v>1.2749999999999995</v>
      </c>
      <c r="K53" s="13">
        <f t="shared" si="1"/>
        <v>4607</v>
      </c>
      <c r="N53" s="2"/>
      <c r="O53" s="2"/>
      <c r="P53" s="2">
        <f t="shared" si="47"/>
        <v>4607</v>
      </c>
      <c r="Q53" s="2">
        <f t="shared" si="57"/>
        <v>132363</v>
      </c>
    </row>
    <row r="54" spans="1:17" x14ac:dyDescent="0.3">
      <c r="A54" s="3">
        <f t="shared" si="7"/>
        <v>52</v>
      </c>
      <c r="B54" s="8">
        <f t="shared" si="56"/>
        <v>64</v>
      </c>
      <c r="C54" s="11">
        <f t="shared" si="3"/>
        <v>4036</v>
      </c>
      <c r="D54" s="8">
        <f t="shared" si="56"/>
        <v>64</v>
      </c>
      <c r="E54" s="11">
        <f t="shared" si="4"/>
        <v>4036</v>
      </c>
      <c r="F54" s="5">
        <f t="shared" si="58"/>
        <v>237</v>
      </c>
      <c r="G54" s="5">
        <f t="shared" si="5"/>
        <v>4036</v>
      </c>
      <c r="J54" s="8">
        <f t="shared" si="11"/>
        <v>1.2999999999999994</v>
      </c>
      <c r="K54" s="13">
        <f t="shared" si="1"/>
        <v>4664</v>
      </c>
      <c r="N54" s="2"/>
      <c r="O54" s="2"/>
      <c r="P54" s="2">
        <f t="shared" si="47"/>
        <v>4664</v>
      </c>
      <c r="Q54" s="2">
        <f t="shared" si="57"/>
        <v>137027</v>
      </c>
    </row>
    <row r="55" spans="1:17" x14ac:dyDescent="0.3">
      <c r="A55" s="3">
        <f t="shared" si="7"/>
        <v>53</v>
      </c>
      <c r="B55" s="8">
        <f t="shared" si="56"/>
        <v>66</v>
      </c>
      <c r="C55" s="11">
        <f t="shared" si="3"/>
        <v>4093</v>
      </c>
      <c r="D55" s="8">
        <f t="shared" si="56"/>
        <v>66</v>
      </c>
      <c r="E55" s="11">
        <f t="shared" si="4"/>
        <v>4093</v>
      </c>
      <c r="F55" s="5">
        <f t="shared" si="58"/>
        <v>244</v>
      </c>
      <c r="G55" s="5">
        <f t="shared" si="5"/>
        <v>4093</v>
      </c>
      <c r="J55" s="8">
        <f t="shared" si="11"/>
        <v>1.3249999999999993</v>
      </c>
      <c r="K55" s="13">
        <f t="shared" si="1"/>
        <v>4719</v>
      </c>
      <c r="N55" s="2"/>
      <c r="O55" s="2"/>
      <c r="P55" s="2">
        <f t="shared" si="47"/>
        <v>4719</v>
      </c>
      <c r="Q55" s="2">
        <f t="shared" si="57"/>
        <v>141746</v>
      </c>
    </row>
    <row r="56" spans="1:17" x14ac:dyDescent="0.3">
      <c r="A56" s="3">
        <f t="shared" si="7"/>
        <v>54</v>
      </c>
      <c r="B56" s="8">
        <f t="shared" si="56"/>
        <v>68</v>
      </c>
      <c r="C56" s="11">
        <f t="shared" si="3"/>
        <v>4150</v>
      </c>
      <c r="D56" s="8">
        <f t="shared" si="56"/>
        <v>68</v>
      </c>
      <c r="E56" s="11">
        <f t="shared" si="4"/>
        <v>4150</v>
      </c>
      <c r="F56" s="5">
        <f t="shared" si="58"/>
        <v>251</v>
      </c>
      <c r="G56" s="5">
        <f t="shared" si="5"/>
        <v>4150</v>
      </c>
      <c r="J56" s="8">
        <f t="shared" si="11"/>
        <v>1.3499999999999992</v>
      </c>
      <c r="K56" s="13">
        <f t="shared" si="1"/>
        <v>4772</v>
      </c>
      <c r="N56" s="2"/>
      <c r="O56" s="2"/>
      <c r="P56" s="2">
        <f t="shared" si="47"/>
        <v>4772</v>
      </c>
      <c r="Q56" s="2">
        <f t="shared" si="57"/>
        <v>146518</v>
      </c>
    </row>
    <row r="57" spans="1:17" x14ac:dyDescent="0.3">
      <c r="A57" s="3">
        <f t="shared" si="7"/>
        <v>55</v>
      </c>
      <c r="B57" s="8">
        <f t="shared" si="56"/>
        <v>70</v>
      </c>
      <c r="C57" s="11">
        <f t="shared" si="3"/>
        <v>4205</v>
      </c>
      <c r="D57" s="8">
        <f t="shared" si="56"/>
        <v>70</v>
      </c>
      <c r="E57" s="11">
        <f t="shared" si="4"/>
        <v>4205</v>
      </c>
      <c r="F57" s="5">
        <f t="shared" si="58"/>
        <v>258</v>
      </c>
      <c r="G57" s="5">
        <f t="shared" si="5"/>
        <v>4205</v>
      </c>
      <c r="J57" s="8">
        <f t="shared" si="11"/>
        <v>1.3749999999999991</v>
      </c>
      <c r="K57" s="13">
        <f t="shared" si="1"/>
        <v>4824</v>
      </c>
      <c r="N57" s="2"/>
      <c r="O57" s="2"/>
      <c r="P57" s="2">
        <f t="shared" si="47"/>
        <v>4824</v>
      </c>
      <c r="Q57" s="2">
        <f t="shared" si="57"/>
        <v>151342</v>
      </c>
    </row>
    <row r="58" spans="1:17" x14ac:dyDescent="0.3">
      <c r="A58" s="3">
        <f t="shared" si="7"/>
        <v>56</v>
      </c>
      <c r="B58" s="8">
        <f t="shared" si="56"/>
        <v>72</v>
      </c>
      <c r="C58" s="11">
        <f t="shared" si="3"/>
        <v>4260</v>
      </c>
      <c r="D58" s="8">
        <f t="shared" si="56"/>
        <v>72</v>
      </c>
      <c r="E58" s="11">
        <f t="shared" si="4"/>
        <v>4260</v>
      </c>
      <c r="F58" s="5">
        <f t="shared" si="58"/>
        <v>265</v>
      </c>
      <c r="G58" s="5">
        <f t="shared" si="5"/>
        <v>4260</v>
      </c>
      <c r="J58" s="8">
        <f t="shared" si="11"/>
        <v>1.399999999999999</v>
      </c>
      <c r="K58" s="13">
        <f t="shared" si="1"/>
        <v>4874</v>
      </c>
      <c r="N58" s="2"/>
      <c r="O58" s="2"/>
      <c r="P58" s="2">
        <f t="shared" si="47"/>
        <v>4874</v>
      </c>
      <c r="Q58" s="2">
        <f t="shared" si="57"/>
        <v>156216</v>
      </c>
    </row>
    <row r="59" spans="1:17" x14ac:dyDescent="0.3">
      <c r="A59" s="3">
        <f t="shared" si="7"/>
        <v>57</v>
      </c>
      <c r="B59" s="8">
        <f t="shared" si="56"/>
        <v>74</v>
      </c>
      <c r="C59" s="11">
        <f t="shared" si="3"/>
        <v>4314</v>
      </c>
      <c r="D59" s="8">
        <f t="shared" si="56"/>
        <v>74</v>
      </c>
      <c r="E59" s="11">
        <f t="shared" si="4"/>
        <v>4314</v>
      </c>
      <c r="F59" s="5">
        <f t="shared" si="58"/>
        <v>272</v>
      </c>
      <c r="G59" s="5">
        <f t="shared" si="5"/>
        <v>4314</v>
      </c>
      <c r="J59" s="8">
        <f t="shared" si="11"/>
        <v>1.4249999999999989</v>
      </c>
      <c r="K59" s="13">
        <f t="shared" si="1"/>
        <v>4922</v>
      </c>
      <c r="N59" s="2"/>
      <c r="O59" s="2"/>
      <c r="P59" s="2">
        <f t="shared" si="47"/>
        <v>4922</v>
      </c>
      <c r="Q59" s="2">
        <f t="shared" si="57"/>
        <v>161138</v>
      </c>
    </row>
    <row r="60" spans="1:17" x14ac:dyDescent="0.3">
      <c r="A60" s="3">
        <f t="shared" si="7"/>
        <v>58</v>
      </c>
      <c r="B60" s="8">
        <f t="shared" si="56"/>
        <v>76</v>
      </c>
      <c r="C60" s="11">
        <f t="shared" si="3"/>
        <v>4366</v>
      </c>
      <c r="D60" s="8">
        <f t="shared" si="56"/>
        <v>76</v>
      </c>
      <c r="E60" s="11">
        <f t="shared" si="4"/>
        <v>4366</v>
      </c>
      <c r="F60" s="5">
        <f t="shared" si="58"/>
        <v>279</v>
      </c>
      <c r="G60" s="5">
        <f t="shared" si="5"/>
        <v>4366</v>
      </c>
      <c r="J60" s="8">
        <f t="shared" si="11"/>
        <v>1.4499999999999988</v>
      </c>
      <c r="K60" s="13">
        <f t="shared" si="1"/>
        <v>4969</v>
      </c>
      <c r="N60" s="2"/>
      <c r="O60" s="2"/>
      <c r="P60" s="2">
        <f t="shared" si="47"/>
        <v>4969</v>
      </c>
      <c r="Q60" s="2">
        <f t="shared" si="57"/>
        <v>166107</v>
      </c>
    </row>
    <row r="61" spans="1:17" x14ac:dyDescent="0.3">
      <c r="A61" s="3">
        <f t="shared" si="7"/>
        <v>59</v>
      </c>
      <c r="B61" s="8">
        <f t="shared" si="56"/>
        <v>78</v>
      </c>
      <c r="C61" s="11">
        <f t="shared" si="3"/>
        <v>4418</v>
      </c>
      <c r="D61" s="8">
        <f t="shared" si="56"/>
        <v>78</v>
      </c>
      <c r="E61" s="11">
        <f t="shared" si="4"/>
        <v>4418</v>
      </c>
      <c r="F61" s="5">
        <f t="shared" si="58"/>
        <v>286</v>
      </c>
      <c r="G61" s="5">
        <f t="shared" si="5"/>
        <v>4418</v>
      </c>
      <c r="J61" s="8">
        <f t="shared" si="11"/>
        <v>1.4749999999999988</v>
      </c>
      <c r="K61" s="13">
        <f t="shared" si="1"/>
        <v>5013</v>
      </c>
      <c r="N61" s="2"/>
      <c r="O61" s="2"/>
      <c r="P61" s="2">
        <f t="shared" si="47"/>
        <v>5013</v>
      </c>
      <c r="Q61" s="2">
        <f t="shared" si="57"/>
        <v>171120</v>
      </c>
    </row>
    <row r="62" spans="1:17" x14ac:dyDescent="0.3">
      <c r="A62" s="3">
        <f t="shared" si="7"/>
        <v>60</v>
      </c>
      <c r="B62" s="8">
        <f>B61+2</f>
        <v>80</v>
      </c>
      <c r="C62" s="11">
        <f t="shared" si="3"/>
        <v>4468</v>
      </c>
      <c r="D62" s="8">
        <f>D61+2</f>
        <v>80</v>
      </c>
      <c r="E62" s="11">
        <f t="shared" si="4"/>
        <v>4468</v>
      </c>
      <c r="F62" s="5">
        <f>F61+8</f>
        <v>294</v>
      </c>
      <c r="G62" s="5">
        <f t="shared" si="5"/>
        <v>4468</v>
      </c>
      <c r="J62" s="8">
        <f t="shared" si="11"/>
        <v>1.4999999999999987</v>
      </c>
      <c r="K62" s="13">
        <f t="shared" si="1"/>
        <v>5056</v>
      </c>
      <c r="N62" s="2"/>
      <c r="O62" s="2"/>
      <c r="P62" s="2">
        <f t="shared" si="47"/>
        <v>5056</v>
      </c>
      <c r="Q62" s="2">
        <f t="shared" si="57"/>
        <v>176176</v>
      </c>
    </row>
    <row r="63" spans="1:17" x14ac:dyDescent="0.3">
      <c r="A63" s="3">
        <f t="shared" si="7"/>
        <v>61</v>
      </c>
      <c r="B63" s="8">
        <f>B62+3</f>
        <v>83</v>
      </c>
      <c r="C63" s="11">
        <f t="shared" si="3"/>
        <v>4517</v>
      </c>
      <c r="D63" s="8">
        <f>D62+3</f>
        <v>83</v>
      </c>
      <c r="E63" s="11">
        <f t="shared" si="4"/>
        <v>4517</v>
      </c>
      <c r="F63" s="5">
        <f t="shared" ref="F63:F71" si="59">F62+8</f>
        <v>302</v>
      </c>
      <c r="G63" s="5">
        <f t="shared" si="5"/>
        <v>4517</v>
      </c>
      <c r="J63" s="8">
        <f t="shared" si="11"/>
        <v>1.5249999999999986</v>
      </c>
      <c r="K63" s="13">
        <f t="shared" si="1"/>
        <v>5097</v>
      </c>
      <c r="N63" s="2"/>
      <c r="O63" s="2"/>
      <c r="P63" s="2">
        <f t="shared" si="47"/>
        <v>5097</v>
      </c>
      <c r="Q63" s="2">
        <f t="shared" si="57"/>
        <v>181273</v>
      </c>
    </row>
    <row r="64" spans="1:17" x14ac:dyDescent="0.3">
      <c r="A64" s="3">
        <f t="shared" si="7"/>
        <v>62</v>
      </c>
      <c r="B64" s="8">
        <f t="shared" ref="B64:D82" si="60">B63+3</f>
        <v>86</v>
      </c>
      <c r="C64" s="11">
        <f t="shared" si="3"/>
        <v>4565</v>
      </c>
      <c r="D64" s="8">
        <f t="shared" si="60"/>
        <v>86</v>
      </c>
      <c r="E64" s="11">
        <f t="shared" si="4"/>
        <v>4565</v>
      </c>
      <c r="F64" s="5">
        <f t="shared" si="59"/>
        <v>310</v>
      </c>
      <c r="G64" s="5">
        <f t="shared" si="5"/>
        <v>4565</v>
      </c>
      <c r="J64" s="8">
        <f t="shared" si="11"/>
        <v>1.5499999999999985</v>
      </c>
      <c r="K64" s="13">
        <f t="shared" si="1"/>
        <v>5135</v>
      </c>
      <c r="N64" s="2"/>
      <c r="O64" s="2"/>
      <c r="P64" s="2">
        <f t="shared" si="47"/>
        <v>5135</v>
      </c>
      <c r="Q64" s="2">
        <f t="shared" si="57"/>
        <v>186408</v>
      </c>
    </row>
    <row r="65" spans="1:17" x14ac:dyDescent="0.3">
      <c r="A65" s="3">
        <f t="shared" si="7"/>
        <v>63</v>
      </c>
      <c r="B65" s="8">
        <f t="shared" si="60"/>
        <v>89</v>
      </c>
      <c r="C65" s="11">
        <f t="shared" si="3"/>
        <v>4613</v>
      </c>
      <c r="D65" s="8">
        <f t="shared" si="60"/>
        <v>89</v>
      </c>
      <c r="E65" s="11">
        <f t="shared" si="4"/>
        <v>4613</v>
      </c>
      <c r="F65" s="5">
        <f t="shared" si="59"/>
        <v>318</v>
      </c>
      <c r="G65" s="5">
        <f t="shared" si="5"/>
        <v>4613</v>
      </c>
      <c r="J65" s="8">
        <f t="shared" si="11"/>
        <v>1.5749999999999984</v>
      </c>
      <c r="K65" s="13">
        <f t="shared" si="1"/>
        <v>5172</v>
      </c>
      <c r="N65" s="2"/>
      <c r="O65" s="2"/>
      <c r="P65" s="2">
        <f t="shared" si="47"/>
        <v>5172</v>
      </c>
      <c r="Q65" s="2">
        <f t="shared" si="57"/>
        <v>191580</v>
      </c>
    </row>
    <row r="66" spans="1:17" x14ac:dyDescent="0.3">
      <c r="A66" s="3">
        <f t="shared" si="7"/>
        <v>64</v>
      </c>
      <c r="B66" s="8">
        <f t="shared" si="60"/>
        <v>92</v>
      </c>
      <c r="C66" s="11">
        <f t="shared" si="3"/>
        <v>4659</v>
      </c>
      <c r="D66" s="8">
        <f t="shared" si="60"/>
        <v>92</v>
      </c>
      <c r="E66" s="11">
        <f t="shared" si="4"/>
        <v>4659</v>
      </c>
      <c r="F66" s="5">
        <f t="shared" si="59"/>
        <v>326</v>
      </c>
      <c r="G66" s="5">
        <f t="shared" si="5"/>
        <v>4659</v>
      </c>
      <c r="J66" s="8">
        <f t="shared" si="11"/>
        <v>1.5999999999999983</v>
      </c>
      <c r="K66" s="13">
        <f t="shared" si="1"/>
        <v>5207</v>
      </c>
      <c r="N66" s="2"/>
      <c r="O66" s="2"/>
      <c r="P66" s="2">
        <f t="shared" si="47"/>
        <v>5207</v>
      </c>
      <c r="Q66" s="2">
        <f t="shared" si="57"/>
        <v>196787</v>
      </c>
    </row>
    <row r="67" spans="1:17" x14ac:dyDescent="0.3">
      <c r="A67" s="3">
        <f t="shared" si="7"/>
        <v>65</v>
      </c>
      <c r="B67" s="8">
        <f t="shared" si="60"/>
        <v>95</v>
      </c>
      <c r="C67" s="11">
        <f t="shared" si="3"/>
        <v>4704</v>
      </c>
      <c r="D67" s="8">
        <f t="shared" si="60"/>
        <v>95</v>
      </c>
      <c r="E67" s="11">
        <f t="shared" si="4"/>
        <v>4704</v>
      </c>
      <c r="F67" s="5">
        <f t="shared" si="59"/>
        <v>334</v>
      </c>
      <c r="G67" s="5">
        <f t="shared" si="5"/>
        <v>4704</v>
      </c>
      <c r="J67" s="8">
        <f t="shared" si="11"/>
        <v>1.6249999999999982</v>
      </c>
      <c r="K67" s="13">
        <f t="shared" ref="K67:K81" si="61">ROUND(200 + (5500-200) * SIN( (A67-1) / 80 * PI() / 2 ), 0)</f>
        <v>5241</v>
      </c>
      <c r="N67" s="2"/>
      <c r="O67" s="2"/>
      <c r="P67" s="2">
        <f t="shared" ref="P67:P101" si="62">K67</f>
        <v>5241</v>
      </c>
      <c r="Q67" s="2">
        <f t="shared" si="57"/>
        <v>202028</v>
      </c>
    </row>
    <row r="68" spans="1:17" x14ac:dyDescent="0.3">
      <c r="A68" s="3">
        <f t="shared" si="7"/>
        <v>66</v>
      </c>
      <c r="B68" s="8">
        <f t="shared" si="60"/>
        <v>98</v>
      </c>
      <c r="C68" s="11">
        <f t="shared" ref="C68:C101" si="63">ROUND(200 + (5500-200) * SIN( (A68-1) / 99 * PI() / 2 ), 0)</f>
        <v>4747</v>
      </c>
      <c r="D68" s="8">
        <f t="shared" si="60"/>
        <v>98</v>
      </c>
      <c r="E68" s="11">
        <f t="shared" ref="E68:E101" si="64">ROUND(200 + (5500-200) * SIN( (A68-1) / 99 * PI() / 2 ), 0)</f>
        <v>4747</v>
      </c>
      <c r="F68" s="5">
        <f t="shared" si="59"/>
        <v>342</v>
      </c>
      <c r="G68" s="5">
        <f t="shared" ref="G68:G101" si="65">ROUND(200 + (5500-200) * SIN( (A68-1) / 99 * PI() / 2 ), 0)</f>
        <v>4747</v>
      </c>
      <c r="J68" s="8">
        <f t="shared" si="11"/>
        <v>1.6499999999999981</v>
      </c>
      <c r="K68" s="13">
        <f t="shared" si="61"/>
        <v>5272</v>
      </c>
      <c r="N68" s="2"/>
      <c r="O68" s="2"/>
      <c r="P68" s="2">
        <f t="shared" si="62"/>
        <v>5272</v>
      </c>
      <c r="Q68" s="2">
        <f t="shared" si="57"/>
        <v>207300</v>
      </c>
    </row>
    <row r="69" spans="1:17" x14ac:dyDescent="0.3">
      <c r="A69" s="3">
        <f t="shared" ref="A69:A132" si="66">A68+1</f>
        <v>67</v>
      </c>
      <c r="B69" s="8">
        <f t="shared" si="60"/>
        <v>101</v>
      </c>
      <c r="C69" s="11">
        <f t="shared" si="63"/>
        <v>4790</v>
      </c>
      <c r="D69" s="8">
        <f t="shared" si="60"/>
        <v>101</v>
      </c>
      <c r="E69" s="11">
        <f t="shared" si="64"/>
        <v>4790</v>
      </c>
      <c r="F69" s="5">
        <f t="shared" si="59"/>
        <v>350</v>
      </c>
      <c r="G69" s="5">
        <f t="shared" si="65"/>
        <v>4790</v>
      </c>
      <c r="J69" s="8">
        <f t="shared" ref="J69:J82" si="67">J68+0.025</f>
        <v>1.674999999999998</v>
      </c>
      <c r="K69" s="13">
        <f t="shared" si="61"/>
        <v>5301</v>
      </c>
      <c r="N69" s="2"/>
      <c r="O69" s="2"/>
      <c r="P69" s="2">
        <f t="shared" si="62"/>
        <v>5301</v>
      </c>
      <c r="Q69" s="2">
        <f t="shared" si="57"/>
        <v>212601</v>
      </c>
    </row>
    <row r="70" spans="1:17" x14ac:dyDescent="0.3">
      <c r="A70" s="3">
        <f t="shared" si="66"/>
        <v>68</v>
      </c>
      <c r="B70" s="8">
        <f t="shared" si="60"/>
        <v>104</v>
      </c>
      <c r="C70" s="11">
        <f t="shared" si="63"/>
        <v>4831</v>
      </c>
      <c r="D70" s="8">
        <f t="shared" si="60"/>
        <v>104</v>
      </c>
      <c r="E70" s="11">
        <f t="shared" si="64"/>
        <v>4831</v>
      </c>
      <c r="F70" s="5">
        <f t="shared" si="59"/>
        <v>358</v>
      </c>
      <c r="G70" s="5">
        <f t="shared" si="65"/>
        <v>4831</v>
      </c>
      <c r="J70" s="8">
        <f t="shared" si="67"/>
        <v>1.699999999999998</v>
      </c>
      <c r="K70" s="13">
        <f t="shared" si="61"/>
        <v>5328</v>
      </c>
      <c r="N70" s="2"/>
      <c r="O70" s="2"/>
      <c r="P70" s="2">
        <f t="shared" si="62"/>
        <v>5328</v>
      </c>
      <c r="Q70" s="2">
        <f t="shared" si="57"/>
        <v>217929</v>
      </c>
    </row>
    <row r="71" spans="1:17" x14ac:dyDescent="0.3">
      <c r="A71" s="3">
        <f t="shared" si="66"/>
        <v>69</v>
      </c>
      <c r="B71" s="8">
        <f t="shared" si="60"/>
        <v>107</v>
      </c>
      <c r="C71" s="11">
        <f t="shared" si="63"/>
        <v>4872</v>
      </c>
      <c r="D71" s="8">
        <f t="shared" si="60"/>
        <v>107</v>
      </c>
      <c r="E71" s="11">
        <f t="shared" si="64"/>
        <v>4872</v>
      </c>
      <c r="F71" s="5">
        <f t="shared" si="59"/>
        <v>366</v>
      </c>
      <c r="G71" s="5">
        <f t="shared" si="65"/>
        <v>4872</v>
      </c>
      <c r="J71" s="8">
        <f t="shared" si="67"/>
        <v>1.7249999999999979</v>
      </c>
      <c r="K71" s="13">
        <f t="shared" si="61"/>
        <v>5354</v>
      </c>
      <c r="N71" s="2"/>
      <c r="O71" s="2"/>
      <c r="P71" s="2">
        <f t="shared" si="62"/>
        <v>5354</v>
      </c>
      <c r="Q71" s="2">
        <f t="shared" si="57"/>
        <v>223283</v>
      </c>
    </row>
    <row r="72" spans="1:17" x14ac:dyDescent="0.3">
      <c r="A72" s="3">
        <f t="shared" si="66"/>
        <v>70</v>
      </c>
      <c r="B72" s="8">
        <f t="shared" si="60"/>
        <v>110</v>
      </c>
      <c r="C72" s="11">
        <f t="shared" si="63"/>
        <v>4911</v>
      </c>
      <c r="D72" s="8">
        <f t="shared" si="60"/>
        <v>110</v>
      </c>
      <c r="E72" s="11">
        <f t="shared" si="64"/>
        <v>4911</v>
      </c>
      <c r="F72" s="5">
        <f>F71+9</f>
        <v>375</v>
      </c>
      <c r="G72" s="5">
        <f t="shared" si="65"/>
        <v>4911</v>
      </c>
      <c r="J72" s="8">
        <f t="shared" si="67"/>
        <v>1.7499999999999978</v>
      </c>
      <c r="K72" s="13">
        <f t="shared" si="61"/>
        <v>5377</v>
      </c>
      <c r="N72" s="2"/>
      <c r="O72" s="2"/>
      <c r="P72" s="2">
        <f t="shared" si="62"/>
        <v>5377</v>
      </c>
      <c r="Q72" s="2">
        <f t="shared" si="57"/>
        <v>228660</v>
      </c>
    </row>
    <row r="73" spans="1:17" x14ac:dyDescent="0.3">
      <c r="A73" s="3">
        <f t="shared" si="66"/>
        <v>71</v>
      </c>
      <c r="B73" s="8">
        <f t="shared" si="60"/>
        <v>113</v>
      </c>
      <c r="C73" s="11">
        <f t="shared" si="63"/>
        <v>4949</v>
      </c>
      <c r="D73" s="8">
        <f t="shared" si="60"/>
        <v>113</v>
      </c>
      <c r="E73" s="11">
        <f t="shared" si="64"/>
        <v>4949</v>
      </c>
      <c r="F73" s="5">
        <f t="shared" ref="F73:F81" si="68">F72+9</f>
        <v>384</v>
      </c>
      <c r="G73" s="5">
        <f t="shared" si="65"/>
        <v>4949</v>
      </c>
      <c r="J73" s="8">
        <f t="shared" si="67"/>
        <v>1.7749999999999977</v>
      </c>
      <c r="K73" s="13">
        <f t="shared" si="61"/>
        <v>5398</v>
      </c>
      <c r="N73" s="2"/>
      <c r="O73" s="2"/>
      <c r="P73" s="2">
        <f t="shared" si="62"/>
        <v>5398</v>
      </c>
      <c r="Q73" s="2">
        <f t="shared" si="57"/>
        <v>234058</v>
      </c>
    </row>
    <row r="74" spans="1:17" x14ac:dyDescent="0.3">
      <c r="A74" s="3">
        <f t="shared" si="66"/>
        <v>72</v>
      </c>
      <c r="B74" s="8">
        <f t="shared" si="60"/>
        <v>116</v>
      </c>
      <c r="C74" s="11">
        <f t="shared" si="63"/>
        <v>4986</v>
      </c>
      <c r="D74" s="8">
        <f t="shared" si="60"/>
        <v>116</v>
      </c>
      <c r="E74" s="11">
        <f t="shared" si="64"/>
        <v>4986</v>
      </c>
      <c r="F74" s="5">
        <f t="shared" si="68"/>
        <v>393</v>
      </c>
      <c r="G74" s="5">
        <f t="shared" si="65"/>
        <v>4986</v>
      </c>
      <c r="J74" s="8">
        <f t="shared" si="67"/>
        <v>1.7999999999999976</v>
      </c>
      <c r="K74" s="13">
        <f t="shared" si="61"/>
        <v>5417</v>
      </c>
      <c r="N74" s="2"/>
      <c r="O74" s="2"/>
      <c r="P74" s="2">
        <f t="shared" si="62"/>
        <v>5417</v>
      </c>
      <c r="Q74" s="2">
        <f t="shared" si="57"/>
        <v>239475</v>
      </c>
    </row>
    <row r="75" spans="1:17" x14ac:dyDescent="0.3">
      <c r="A75" s="3">
        <f t="shared" si="66"/>
        <v>73</v>
      </c>
      <c r="B75" s="8">
        <f t="shared" si="60"/>
        <v>119</v>
      </c>
      <c r="C75" s="11">
        <f t="shared" si="63"/>
        <v>5021</v>
      </c>
      <c r="D75" s="8">
        <f t="shared" si="60"/>
        <v>119</v>
      </c>
      <c r="E75" s="11">
        <f t="shared" si="64"/>
        <v>5021</v>
      </c>
      <c r="F75" s="5">
        <f t="shared" si="68"/>
        <v>402</v>
      </c>
      <c r="G75" s="5">
        <f t="shared" si="65"/>
        <v>5021</v>
      </c>
      <c r="J75" s="8">
        <f t="shared" si="67"/>
        <v>1.8249999999999975</v>
      </c>
      <c r="K75" s="13">
        <f t="shared" si="61"/>
        <v>5435</v>
      </c>
      <c r="N75" s="2"/>
      <c r="O75" s="2"/>
      <c r="P75" s="2">
        <f t="shared" si="62"/>
        <v>5435</v>
      </c>
      <c r="Q75" s="2">
        <f t="shared" si="57"/>
        <v>244910</v>
      </c>
    </row>
    <row r="76" spans="1:17" x14ac:dyDescent="0.3">
      <c r="A76" s="3">
        <f t="shared" si="66"/>
        <v>74</v>
      </c>
      <c r="B76" s="8">
        <f t="shared" si="60"/>
        <v>122</v>
      </c>
      <c r="C76" s="11">
        <f t="shared" si="63"/>
        <v>5055</v>
      </c>
      <c r="D76" s="8">
        <f t="shared" si="60"/>
        <v>122</v>
      </c>
      <c r="E76" s="11">
        <f t="shared" si="64"/>
        <v>5055</v>
      </c>
      <c r="F76" s="5">
        <f t="shared" si="68"/>
        <v>411</v>
      </c>
      <c r="G76" s="5">
        <f t="shared" si="65"/>
        <v>5055</v>
      </c>
      <c r="J76" s="8">
        <f t="shared" si="67"/>
        <v>1.8499999999999974</v>
      </c>
      <c r="K76" s="13">
        <f t="shared" si="61"/>
        <v>5450</v>
      </c>
      <c r="N76" s="2"/>
      <c r="O76" s="2"/>
      <c r="P76" s="2">
        <f t="shared" si="62"/>
        <v>5450</v>
      </c>
      <c r="Q76" s="2">
        <f t="shared" si="57"/>
        <v>250360</v>
      </c>
    </row>
    <row r="77" spans="1:17" x14ac:dyDescent="0.3">
      <c r="A77" s="3">
        <f t="shared" si="66"/>
        <v>75</v>
      </c>
      <c r="B77" s="8">
        <f t="shared" si="60"/>
        <v>125</v>
      </c>
      <c r="C77" s="11">
        <f t="shared" si="63"/>
        <v>5088</v>
      </c>
      <c r="D77" s="8">
        <f t="shared" si="60"/>
        <v>125</v>
      </c>
      <c r="E77" s="11">
        <f t="shared" si="64"/>
        <v>5088</v>
      </c>
      <c r="F77" s="5">
        <f t="shared" si="68"/>
        <v>420</v>
      </c>
      <c r="G77" s="5">
        <f t="shared" si="65"/>
        <v>5088</v>
      </c>
      <c r="J77" s="8">
        <f t="shared" si="67"/>
        <v>1.8749999999999973</v>
      </c>
      <c r="K77" s="13">
        <f t="shared" si="61"/>
        <v>5463</v>
      </c>
      <c r="N77" s="2"/>
      <c r="O77" s="2"/>
      <c r="P77" s="2">
        <f t="shared" si="62"/>
        <v>5463</v>
      </c>
      <c r="Q77" s="2">
        <f t="shared" si="57"/>
        <v>255823</v>
      </c>
    </row>
    <row r="78" spans="1:17" x14ac:dyDescent="0.3">
      <c r="A78" s="3">
        <f t="shared" si="66"/>
        <v>76</v>
      </c>
      <c r="B78" s="8">
        <f t="shared" si="60"/>
        <v>128</v>
      </c>
      <c r="C78" s="11">
        <f t="shared" si="63"/>
        <v>5120</v>
      </c>
      <c r="D78" s="8">
        <f t="shared" si="60"/>
        <v>128</v>
      </c>
      <c r="E78" s="11">
        <f t="shared" si="64"/>
        <v>5120</v>
      </c>
      <c r="F78" s="5">
        <f t="shared" si="68"/>
        <v>429</v>
      </c>
      <c r="G78" s="5">
        <f t="shared" si="65"/>
        <v>5120</v>
      </c>
      <c r="J78" s="8">
        <f t="shared" si="67"/>
        <v>1.8999999999999972</v>
      </c>
      <c r="K78" s="13">
        <f t="shared" si="61"/>
        <v>5474</v>
      </c>
      <c r="N78" s="2"/>
      <c r="O78" s="2"/>
      <c r="P78" s="2">
        <f t="shared" si="62"/>
        <v>5474</v>
      </c>
      <c r="Q78" s="2">
        <f t="shared" si="57"/>
        <v>261297</v>
      </c>
    </row>
    <row r="79" spans="1:17" x14ac:dyDescent="0.3">
      <c r="A79" s="3">
        <f t="shared" si="66"/>
        <v>77</v>
      </c>
      <c r="B79" s="8">
        <f t="shared" si="60"/>
        <v>131</v>
      </c>
      <c r="C79" s="11">
        <f t="shared" si="63"/>
        <v>5151</v>
      </c>
      <c r="D79" s="8">
        <f t="shared" si="60"/>
        <v>131</v>
      </c>
      <c r="E79" s="11">
        <f t="shared" si="64"/>
        <v>5151</v>
      </c>
      <c r="F79" s="5">
        <f t="shared" si="68"/>
        <v>438</v>
      </c>
      <c r="G79" s="5">
        <f t="shared" si="65"/>
        <v>5151</v>
      </c>
      <c r="J79" s="8">
        <f t="shared" si="67"/>
        <v>1.9249999999999972</v>
      </c>
      <c r="K79" s="13">
        <f t="shared" si="61"/>
        <v>5484</v>
      </c>
      <c r="N79" s="2"/>
      <c r="O79" s="2"/>
      <c r="P79" s="2">
        <f t="shared" si="62"/>
        <v>5484</v>
      </c>
      <c r="Q79" s="2">
        <f t="shared" si="57"/>
        <v>266781</v>
      </c>
    </row>
    <row r="80" spans="1:17" x14ac:dyDescent="0.3">
      <c r="A80" s="3">
        <f t="shared" si="66"/>
        <v>78</v>
      </c>
      <c r="B80" s="8">
        <f t="shared" si="60"/>
        <v>134</v>
      </c>
      <c r="C80" s="11">
        <f t="shared" si="63"/>
        <v>5180</v>
      </c>
      <c r="D80" s="8">
        <f t="shared" si="60"/>
        <v>134</v>
      </c>
      <c r="E80" s="11">
        <f t="shared" si="64"/>
        <v>5180</v>
      </c>
      <c r="F80" s="5">
        <f t="shared" si="68"/>
        <v>447</v>
      </c>
      <c r="G80" s="5">
        <f t="shared" si="65"/>
        <v>5180</v>
      </c>
      <c r="J80" s="8">
        <f t="shared" si="67"/>
        <v>1.9499999999999971</v>
      </c>
      <c r="K80" s="13">
        <f t="shared" si="61"/>
        <v>5491</v>
      </c>
      <c r="N80" s="2"/>
      <c r="O80" s="2"/>
      <c r="P80" s="2">
        <f t="shared" si="62"/>
        <v>5491</v>
      </c>
      <c r="Q80" s="2">
        <f t="shared" si="57"/>
        <v>272272</v>
      </c>
    </row>
    <row r="81" spans="1:17" x14ac:dyDescent="0.3">
      <c r="A81" s="3">
        <f t="shared" si="66"/>
        <v>79</v>
      </c>
      <c r="B81" s="8">
        <f t="shared" si="60"/>
        <v>137</v>
      </c>
      <c r="C81" s="11">
        <f t="shared" si="63"/>
        <v>5209</v>
      </c>
      <c r="D81" s="8">
        <f t="shared" si="60"/>
        <v>137</v>
      </c>
      <c r="E81" s="11">
        <f t="shared" si="64"/>
        <v>5209</v>
      </c>
      <c r="F81" s="5">
        <f t="shared" si="68"/>
        <v>456</v>
      </c>
      <c r="G81" s="5">
        <f t="shared" si="65"/>
        <v>5209</v>
      </c>
      <c r="J81" s="8">
        <f t="shared" si="67"/>
        <v>1.974999999999997</v>
      </c>
      <c r="K81" s="13">
        <f t="shared" si="61"/>
        <v>5496</v>
      </c>
      <c r="N81" s="2"/>
      <c r="O81" s="2"/>
      <c r="P81" s="2">
        <f t="shared" si="62"/>
        <v>5496</v>
      </c>
      <c r="Q81" s="2">
        <f t="shared" ref="Q81:Q101" si="69">Q80+K81</f>
        <v>277768</v>
      </c>
    </row>
    <row r="82" spans="1:17" x14ac:dyDescent="0.3">
      <c r="A82" s="3">
        <f t="shared" si="66"/>
        <v>80</v>
      </c>
      <c r="B82" s="8">
        <f t="shared" si="60"/>
        <v>140</v>
      </c>
      <c r="C82" s="11">
        <f t="shared" si="63"/>
        <v>5235</v>
      </c>
      <c r="D82" s="8">
        <f t="shared" si="60"/>
        <v>140</v>
      </c>
      <c r="E82" s="11">
        <f t="shared" si="64"/>
        <v>5235</v>
      </c>
      <c r="F82" s="5">
        <f>F81+10</f>
        <v>466</v>
      </c>
      <c r="G82" s="5">
        <f t="shared" si="65"/>
        <v>5235</v>
      </c>
      <c r="J82" s="19">
        <f t="shared" si="67"/>
        <v>1.9999999999999969</v>
      </c>
      <c r="K82" s="20">
        <v>5500</v>
      </c>
      <c r="N82" s="2"/>
      <c r="O82" s="2"/>
      <c r="P82" s="2">
        <f t="shared" si="62"/>
        <v>5500</v>
      </c>
      <c r="Q82" s="2">
        <f t="shared" si="69"/>
        <v>283268</v>
      </c>
    </row>
    <row r="83" spans="1:17" x14ac:dyDescent="0.3">
      <c r="A83" s="3">
        <f t="shared" si="66"/>
        <v>81</v>
      </c>
      <c r="B83" s="8">
        <f>B82+4</f>
        <v>144</v>
      </c>
      <c r="C83" s="11">
        <f t="shared" si="63"/>
        <v>5261</v>
      </c>
      <c r="D83" s="8">
        <f>D82+4</f>
        <v>144</v>
      </c>
      <c r="E83" s="11">
        <f t="shared" si="64"/>
        <v>5261</v>
      </c>
      <c r="F83" s="5">
        <f t="shared" ref="F83:F92" si="70">F82+10</f>
        <v>476</v>
      </c>
      <c r="G83" s="5">
        <f t="shared" si="65"/>
        <v>5261</v>
      </c>
      <c r="J83" s="8">
        <f>J82+0.01</f>
        <v>2.0099999999999967</v>
      </c>
      <c r="K83" s="13">
        <f>K82+190</f>
        <v>5690</v>
      </c>
      <c r="N83" s="2"/>
      <c r="O83" s="2"/>
      <c r="P83" s="2">
        <f t="shared" si="62"/>
        <v>5690</v>
      </c>
      <c r="Q83" s="2">
        <f t="shared" si="69"/>
        <v>288958</v>
      </c>
    </row>
    <row r="84" spans="1:17" x14ac:dyDescent="0.3">
      <c r="A84" s="3">
        <f t="shared" si="66"/>
        <v>82</v>
      </c>
      <c r="B84" s="8">
        <f t="shared" ref="B84:D101" si="71">B83+4</f>
        <v>148</v>
      </c>
      <c r="C84" s="11">
        <f t="shared" si="63"/>
        <v>5285</v>
      </c>
      <c r="D84" s="8">
        <f t="shared" si="71"/>
        <v>148</v>
      </c>
      <c r="E84" s="11">
        <f t="shared" si="64"/>
        <v>5285</v>
      </c>
      <c r="F84" s="5">
        <f t="shared" si="70"/>
        <v>486</v>
      </c>
      <c r="G84" s="5">
        <f t="shared" si="65"/>
        <v>5285</v>
      </c>
      <c r="J84" s="8">
        <f t="shared" ref="J84:J147" si="72">J83+0.01</f>
        <v>2.0199999999999965</v>
      </c>
      <c r="K84" s="13">
        <f t="shared" ref="K84:K147" si="73">K83+190</f>
        <v>5880</v>
      </c>
      <c r="N84" s="2"/>
      <c r="O84" s="2"/>
      <c r="P84" s="2">
        <f t="shared" si="62"/>
        <v>5880</v>
      </c>
      <c r="Q84" s="2">
        <f t="shared" si="69"/>
        <v>294838</v>
      </c>
    </row>
    <row r="85" spans="1:17" x14ac:dyDescent="0.3">
      <c r="A85" s="3">
        <f t="shared" si="66"/>
        <v>83</v>
      </c>
      <c r="B85" s="8">
        <f t="shared" si="71"/>
        <v>152</v>
      </c>
      <c r="C85" s="11">
        <f t="shared" si="63"/>
        <v>5308</v>
      </c>
      <c r="D85" s="8">
        <f t="shared" si="71"/>
        <v>152</v>
      </c>
      <c r="E85" s="11">
        <f t="shared" si="64"/>
        <v>5308</v>
      </c>
      <c r="F85" s="5">
        <f t="shared" si="70"/>
        <v>496</v>
      </c>
      <c r="G85" s="5">
        <f t="shared" si="65"/>
        <v>5308</v>
      </c>
      <c r="J85" s="8">
        <f t="shared" si="72"/>
        <v>2.0299999999999963</v>
      </c>
      <c r="K85" s="13">
        <f t="shared" si="73"/>
        <v>6070</v>
      </c>
      <c r="N85" s="2"/>
      <c r="O85" s="2"/>
      <c r="P85" s="2">
        <f t="shared" si="62"/>
        <v>6070</v>
      </c>
      <c r="Q85" s="2">
        <f t="shared" si="69"/>
        <v>300908</v>
      </c>
    </row>
    <row r="86" spans="1:17" x14ac:dyDescent="0.3">
      <c r="A86" s="3">
        <f t="shared" si="66"/>
        <v>84</v>
      </c>
      <c r="B86" s="8">
        <f t="shared" si="71"/>
        <v>156</v>
      </c>
      <c r="C86" s="11">
        <f t="shared" si="63"/>
        <v>5330</v>
      </c>
      <c r="D86" s="8">
        <f t="shared" si="71"/>
        <v>156</v>
      </c>
      <c r="E86" s="11">
        <f t="shared" si="64"/>
        <v>5330</v>
      </c>
      <c r="F86" s="5">
        <f t="shared" si="70"/>
        <v>506</v>
      </c>
      <c r="G86" s="5">
        <f t="shared" si="65"/>
        <v>5330</v>
      </c>
      <c r="J86" s="8">
        <f t="shared" si="72"/>
        <v>2.039999999999996</v>
      </c>
      <c r="K86" s="13">
        <f t="shared" si="73"/>
        <v>6260</v>
      </c>
      <c r="N86" s="2"/>
      <c r="O86" s="2"/>
      <c r="P86" s="2">
        <f t="shared" si="62"/>
        <v>6260</v>
      </c>
      <c r="Q86" s="2">
        <f t="shared" si="69"/>
        <v>307168</v>
      </c>
    </row>
    <row r="87" spans="1:17" x14ac:dyDescent="0.3">
      <c r="A87" s="3">
        <f t="shared" si="66"/>
        <v>85</v>
      </c>
      <c r="B87" s="8">
        <f t="shared" si="71"/>
        <v>160</v>
      </c>
      <c r="C87" s="11">
        <f t="shared" si="63"/>
        <v>5351</v>
      </c>
      <c r="D87" s="8">
        <f t="shared" si="71"/>
        <v>160</v>
      </c>
      <c r="E87" s="11">
        <f t="shared" si="64"/>
        <v>5351</v>
      </c>
      <c r="F87" s="5">
        <f t="shared" si="70"/>
        <v>516</v>
      </c>
      <c r="G87" s="5">
        <f t="shared" si="65"/>
        <v>5351</v>
      </c>
      <c r="J87" s="8">
        <f t="shared" si="72"/>
        <v>2.0499999999999958</v>
      </c>
      <c r="K87" s="13">
        <f t="shared" si="73"/>
        <v>6450</v>
      </c>
      <c r="N87" s="2"/>
      <c r="O87" s="2"/>
      <c r="P87" s="2">
        <f t="shared" si="62"/>
        <v>6450</v>
      </c>
      <c r="Q87" s="2">
        <f t="shared" si="69"/>
        <v>313618</v>
      </c>
    </row>
    <row r="88" spans="1:17" x14ac:dyDescent="0.3">
      <c r="A88" s="3">
        <f t="shared" si="66"/>
        <v>86</v>
      </c>
      <c r="B88" s="8">
        <f t="shared" si="71"/>
        <v>164</v>
      </c>
      <c r="C88" s="11">
        <f t="shared" si="63"/>
        <v>5370</v>
      </c>
      <c r="D88" s="8">
        <f t="shared" si="71"/>
        <v>164</v>
      </c>
      <c r="E88" s="11">
        <f t="shared" si="64"/>
        <v>5370</v>
      </c>
      <c r="F88" s="5">
        <f t="shared" si="70"/>
        <v>526</v>
      </c>
      <c r="G88" s="5">
        <f t="shared" si="65"/>
        <v>5370</v>
      </c>
      <c r="J88" s="8">
        <f t="shared" si="72"/>
        <v>2.0599999999999956</v>
      </c>
      <c r="K88" s="13">
        <f t="shared" si="73"/>
        <v>6640</v>
      </c>
      <c r="N88" s="2"/>
      <c r="O88" s="2"/>
      <c r="P88" s="2">
        <f t="shared" si="62"/>
        <v>6640</v>
      </c>
      <c r="Q88" s="2">
        <f t="shared" si="69"/>
        <v>320258</v>
      </c>
    </row>
    <row r="89" spans="1:17" x14ac:dyDescent="0.3">
      <c r="A89" s="3">
        <f t="shared" si="66"/>
        <v>87</v>
      </c>
      <c r="B89" s="8">
        <f t="shared" si="71"/>
        <v>168</v>
      </c>
      <c r="C89" s="11">
        <f t="shared" si="63"/>
        <v>5388</v>
      </c>
      <c r="D89" s="8">
        <f t="shared" si="71"/>
        <v>168</v>
      </c>
      <c r="E89" s="11">
        <f t="shared" si="64"/>
        <v>5388</v>
      </c>
      <c r="F89" s="5">
        <f t="shared" si="70"/>
        <v>536</v>
      </c>
      <c r="G89" s="5">
        <f t="shared" si="65"/>
        <v>5388</v>
      </c>
      <c r="J89" s="8">
        <f t="shared" si="72"/>
        <v>2.0699999999999954</v>
      </c>
      <c r="K89" s="13">
        <f t="shared" si="73"/>
        <v>6830</v>
      </c>
      <c r="N89" s="2"/>
      <c r="O89" s="2"/>
      <c r="P89" s="2">
        <f t="shared" si="62"/>
        <v>6830</v>
      </c>
      <c r="Q89" s="2">
        <f t="shared" si="69"/>
        <v>327088</v>
      </c>
    </row>
    <row r="90" spans="1:17" x14ac:dyDescent="0.3">
      <c r="A90" s="3">
        <f t="shared" si="66"/>
        <v>88</v>
      </c>
      <c r="B90" s="8">
        <f t="shared" si="71"/>
        <v>172</v>
      </c>
      <c r="C90" s="11">
        <f t="shared" si="63"/>
        <v>5404</v>
      </c>
      <c r="D90" s="8">
        <f t="shared" si="71"/>
        <v>172</v>
      </c>
      <c r="E90" s="11">
        <f t="shared" si="64"/>
        <v>5404</v>
      </c>
      <c r="F90" s="5">
        <f t="shared" si="70"/>
        <v>546</v>
      </c>
      <c r="G90" s="5">
        <f t="shared" si="65"/>
        <v>5404</v>
      </c>
      <c r="J90" s="8">
        <f t="shared" si="72"/>
        <v>2.0799999999999952</v>
      </c>
      <c r="K90" s="13">
        <f t="shared" si="73"/>
        <v>7020</v>
      </c>
      <c r="N90" s="2"/>
      <c r="O90" s="2"/>
      <c r="P90" s="2">
        <f t="shared" si="62"/>
        <v>7020</v>
      </c>
      <c r="Q90" s="2">
        <f t="shared" si="69"/>
        <v>334108</v>
      </c>
    </row>
    <row r="91" spans="1:17" x14ac:dyDescent="0.3">
      <c r="A91" s="3">
        <f t="shared" si="66"/>
        <v>89</v>
      </c>
      <c r="B91" s="8">
        <f t="shared" si="71"/>
        <v>176</v>
      </c>
      <c r="C91" s="11">
        <f t="shared" si="63"/>
        <v>5419</v>
      </c>
      <c r="D91" s="8">
        <f t="shared" si="71"/>
        <v>176</v>
      </c>
      <c r="E91" s="11">
        <f t="shared" si="64"/>
        <v>5419</v>
      </c>
      <c r="F91" s="5">
        <f t="shared" si="70"/>
        <v>556</v>
      </c>
      <c r="G91" s="5">
        <f t="shared" si="65"/>
        <v>5419</v>
      </c>
      <c r="J91" s="8">
        <f t="shared" si="72"/>
        <v>2.089999999999995</v>
      </c>
      <c r="K91" s="13">
        <f t="shared" si="73"/>
        <v>7210</v>
      </c>
      <c r="N91" s="2"/>
      <c r="O91" s="2"/>
      <c r="P91" s="2">
        <f t="shared" si="62"/>
        <v>7210</v>
      </c>
      <c r="Q91" s="2">
        <f t="shared" si="69"/>
        <v>341318</v>
      </c>
    </row>
    <row r="92" spans="1:17" x14ac:dyDescent="0.3">
      <c r="A92" s="3">
        <f t="shared" si="66"/>
        <v>90</v>
      </c>
      <c r="B92" s="8">
        <f t="shared" si="71"/>
        <v>180</v>
      </c>
      <c r="C92" s="11">
        <f t="shared" si="63"/>
        <v>5433</v>
      </c>
      <c r="D92" s="8">
        <f t="shared" si="71"/>
        <v>180</v>
      </c>
      <c r="E92" s="11">
        <f t="shared" si="64"/>
        <v>5433</v>
      </c>
      <c r="F92" s="5">
        <f t="shared" si="70"/>
        <v>566</v>
      </c>
      <c r="G92" s="5">
        <f t="shared" si="65"/>
        <v>5433</v>
      </c>
      <c r="J92" s="8">
        <f t="shared" si="72"/>
        <v>2.0999999999999948</v>
      </c>
      <c r="K92" s="13">
        <f t="shared" si="73"/>
        <v>7400</v>
      </c>
      <c r="N92" s="2"/>
      <c r="O92" s="2"/>
      <c r="P92" s="2">
        <f t="shared" si="62"/>
        <v>7400</v>
      </c>
      <c r="Q92" s="2">
        <f t="shared" si="69"/>
        <v>348718</v>
      </c>
    </row>
    <row r="93" spans="1:17" x14ac:dyDescent="0.3">
      <c r="A93" s="3">
        <f t="shared" si="66"/>
        <v>91</v>
      </c>
      <c r="B93" s="8">
        <f t="shared" si="71"/>
        <v>184</v>
      </c>
      <c r="C93" s="11">
        <f t="shared" si="63"/>
        <v>5446</v>
      </c>
      <c r="D93" s="8">
        <f t="shared" si="71"/>
        <v>184</v>
      </c>
      <c r="E93" s="11">
        <f t="shared" si="64"/>
        <v>5446</v>
      </c>
      <c r="F93" s="5">
        <f>F92+11</f>
        <v>577</v>
      </c>
      <c r="G93" s="5">
        <f t="shared" si="65"/>
        <v>5446</v>
      </c>
      <c r="J93" s="8">
        <f t="shared" si="72"/>
        <v>2.1099999999999945</v>
      </c>
      <c r="K93" s="13">
        <f t="shared" si="73"/>
        <v>7590</v>
      </c>
      <c r="N93" s="2"/>
      <c r="O93" s="2"/>
      <c r="P93" s="2">
        <f t="shared" si="62"/>
        <v>7590</v>
      </c>
      <c r="Q93" s="2">
        <f t="shared" si="69"/>
        <v>356308</v>
      </c>
    </row>
    <row r="94" spans="1:17" x14ac:dyDescent="0.3">
      <c r="A94" s="3">
        <f t="shared" si="66"/>
        <v>92</v>
      </c>
      <c r="B94" s="8">
        <f t="shared" si="71"/>
        <v>188</v>
      </c>
      <c r="C94" s="11">
        <f t="shared" si="63"/>
        <v>5457</v>
      </c>
      <c r="D94" s="8">
        <f t="shared" si="71"/>
        <v>188</v>
      </c>
      <c r="E94" s="11">
        <f t="shared" si="64"/>
        <v>5457</v>
      </c>
      <c r="F94" s="5">
        <f t="shared" ref="F94:F97" si="74">F93+11</f>
        <v>588</v>
      </c>
      <c r="G94" s="5">
        <f t="shared" si="65"/>
        <v>5457</v>
      </c>
      <c r="J94" s="8">
        <f t="shared" si="72"/>
        <v>2.1199999999999943</v>
      </c>
      <c r="K94" s="13">
        <f t="shared" si="73"/>
        <v>7780</v>
      </c>
      <c r="N94" s="2"/>
      <c r="O94" s="2"/>
      <c r="P94" s="2">
        <f t="shared" si="62"/>
        <v>7780</v>
      </c>
      <c r="Q94" s="2">
        <f t="shared" si="69"/>
        <v>364088</v>
      </c>
    </row>
    <row r="95" spans="1:17" x14ac:dyDescent="0.3">
      <c r="A95" s="3">
        <f t="shared" si="66"/>
        <v>93</v>
      </c>
      <c r="B95" s="8">
        <f t="shared" si="71"/>
        <v>192</v>
      </c>
      <c r="C95" s="11">
        <f t="shared" si="63"/>
        <v>5467</v>
      </c>
      <c r="D95" s="8">
        <f t="shared" si="71"/>
        <v>192</v>
      </c>
      <c r="E95" s="11">
        <f t="shared" si="64"/>
        <v>5467</v>
      </c>
      <c r="F95" s="5">
        <f t="shared" si="74"/>
        <v>599</v>
      </c>
      <c r="G95" s="5">
        <f t="shared" si="65"/>
        <v>5467</v>
      </c>
      <c r="J95" s="8">
        <f t="shared" si="72"/>
        <v>2.1299999999999941</v>
      </c>
      <c r="K95" s="13">
        <f t="shared" si="73"/>
        <v>7970</v>
      </c>
      <c r="N95" s="2"/>
      <c r="O95" s="2"/>
      <c r="P95" s="2">
        <f t="shared" si="62"/>
        <v>7970</v>
      </c>
      <c r="Q95" s="2">
        <f t="shared" si="69"/>
        <v>372058</v>
      </c>
    </row>
    <row r="96" spans="1:17" x14ac:dyDescent="0.3">
      <c r="A96" s="3">
        <f t="shared" si="66"/>
        <v>94</v>
      </c>
      <c r="B96" s="8">
        <f t="shared" si="71"/>
        <v>196</v>
      </c>
      <c r="C96" s="11">
        <f t="shared" si="63"/>
        <v>5476</v>
      </c>
      <c r="D96" s="8">
        <f t="shared" si="71"/>
        <v>196</v>
      </c>
      <c r="E96" s="11">
        <f t="shared" si="64"/>
        <v>5476</v>
      </c>
      <c r="F96" s="5">
        <f t="shared" si="74"/>
        <v>610</v>
      </c>
      <c r="G96" s="5">
        <f t="shared" si="65"/>
        <v>5476</v>
      </c>
      <c r="J96" s="8">
        <f t="shared" si="72"/>
        <v>2.1399999999999939</v>
      </c>
      <c r="K96" s="13">
        <f t="shared" si="73"/>
        <v>8160</v>
      </c>
      <c r="N96" s="2"/>
      <c r="O96" s="2"/>
      <c r="P96" s="2">
        <f t="shared" si="62"/>
        <v>8160</v>
      </c>
      <c r="Q96" s="2">
        <f t="shared" si="69"/>
        <v>380218</v>
      </c>
    </row>
    <row r="97" spans="1:17" x14ac:dyDescent="0.3">
      <c r="A97" s="3">
        <f t="shared" si="66"/>
        <v>95</v>
      </c>
      <c r="B97" s="8">
        <f t="shared" si="71"/>
        <v>200</v>
      </c>
      <c r="C97" s="11">
        <f t="shared" si="63"/>
        <v>5483</v>
      </c>
      <c r="D97" s="8">
        <f t="shared" si="71"/>
        <v>200</v>
      </c>
      <c r="E97" s="11">
        <f t="shared" si="64"/>
        <v>5483</v>
      </c>
      <c r="F97" s="5">
        <f t="shared" si="74"/>
        <v>621</v>
      </c>
      <c r="G97" s="5">
        <f t="shared" si="65"/>
        <v>5483</v>
      </c>
      <c r="J97" s="8">
        <f t="shared" si="72"/>
        <v>2.1499999999999937</v>
      </c>
      <c r="K97" s="13">
        <f t="shared" si="73"/>
        <v>8350</v>
      </c>
      <c r="N97" s="2"/>
      <c r="O97" s="2"/>
      <c r="P97" s="2">
        <f t="shared" si="62"/>
        <v>8350</v>
      </c>
      <c r="Q97" s="2">
        <f t="shared" si="69"/>
        <v>388568</v>
      </c>
    </row>
    <row r="98" spans="1:17" x14ac:dyDescent="0.3">
      <c r="A98" s="3">
        <f t="shared" si="66"/>
        <v>96</v>
      </c>
      <c r="B98" s="8">
        <f t="shared" si="71"/>
        <v>204</v>
      </c>
      <c r="C98" s="11">
        <f t="shared" si="63"/>
        <v>5489</v>
      </c>
      <c r="D98" s="8">
        <f t="shared" si="71"/>
        <v>204</v>
      </c>
      <c r="E98" s="11">
        <f t="shared" si="64"/>
        <v>5489</v>
      </c>
      <c r="F98" s="5">
        <f>F97+12</f>
        <v>633</v>
      </c>
      <c r="G98" s="5">
        <f t="shared" si="65"/>
        <v>5489</v>
      </c>
      <c r="J98" s="8">
        <f t="shared" si="72"/>
        <v>2.1599999999999935</v>
      </c>
      <c r="K98" s="13">
        <f t="shared" si="73"/>
        <v>8540</v>
      </c>
      <c r="N98" s="2"/>
      <c r="O98" s="2"/>
      <c r="P98" s="2">
        <f t="shared" si="62"/>
        <v>8540</v>
      </c>
      <c r="Q98" s="2">
        <f t="shared" si="69"/>
        <v>397108</v>
      </c>
    </row>
    <row r="99" spans="1:17" x14ac:dyDescent="0.3">
      <c r="A99" s="3">
        <f t="shared" si="66"/>
        <v>97</v>
      </c>
      <c r="B99" s="8">
        <f t="shared" si="71"/>
        <v>208</v>
      </c>
      <c r="C99" s="11">
        <f t="shared" si="63"/>
        <v>5494</v>
      </c>
      <c r="D99" s="8">
        <f t="shared" si="71"/>
        <v>208</v>
      </c>
      <c r="E99" s="11">
        <f t="shared" si="64"/>
        <v>5494</v>
      </c>
      <c r="F99" s="5">
        <f t="shared" ref="F99:F100" si="75">F98+12</f>
        <v>645</v>
      </c>
      <c r="G99" s="5">
        <f t="shared" si="65"/>
        <v>5494</v>
      </c>
      <c r="J99" s="8">
        <f t="shared" si="72"/>
        <v>2.1699999999999933</v>
      </c>
      <c r="K99" s="13">
        <f t="shared" si="73"/>
        <v>8730</v>
      </c>
      <c r="N99" s="2"/>
      <c r="O99" s="2"/>
      <c r="P99" s="2">
        <f t="shared" si="62"/>
        <v>8730</v>
      </c>
      <c r="Q99" s="2">
        <f t="shared" si="69"/>
        <v>405838</v>
      </c>
    </row>
    <row r="100" spans="1:17" x14ac:dyDescent="0.3">
      <c r="A100" s="3">
        <f t="shared" si="66"/>
        <v>98</v>
      </c>
      <c r="B100" s="8">
        <f t="shared" si="71"/>
        <v>212</v>
      </c>
      <c r="C100" s="11">
        <f t="shared" si="63"/>
        <v>5497</v>
      </c>
      <c r="D100" s="8">
        <f t="shared" si="71"/>
        <v>212</v>
      </c>
      <c r="E100" s="11">
        <f t="shared" si="64"/>
        <v>5497</v>
      </c>
      <c r="F100" s="5">
        <f t="shared" si="75"/>
        <v>657</v>
      </c>
      <c r="G100" s="5">
        <f t="shared" si="65"/>
        <v>5497</v>
      </c>
      <c r="J100" s="8">
        <f t="shared" si="72"/>
        <v>2.1799999999999931</v>
      </c>
      <c r="K100" s="13">
        <f t="shared" si="73"/>
        <v>8920</v>
      </c>
      <c r="N100" s="2"/>
      <c r="O100" s="2"/>
      <c r="P100" s="2">
        <f t="shared" si="62"/>
        <v>8920</v>
      </c>
      <c r="Q100" s="2">
        <f t="shared" si="69"/>
        <v>414758</v>
      </c>
    </row>
    <row r="101" spans="1:17" x14ac:dyDescent="0.3">
      <c r="A101" s="3">
        <f t="shared" si="66"/>
        <v>99</v>
      </c>
      <c r="B101" s="8">
        <f t="shared" si="71"/>
        <v>216</v>
      </c>
      <c r="C101" s="11">
        <f t="shared" si="63"/>
        <v>5499</v>
      </c>
      <c r="D101" s="8">
        <f t="shared" si="71"/>
        <v>216</v>
      </c>
      <c r="E101" s="11">
        <f t="shared" si="64"/>
        <v>5499</v>
      </c>
      <c r="F101" s="5">
        <f>F100+13</f>
        <v>670</v>
      </c>
      <c r="G101" s="5">
        <f t="shared" si="65"/>
        <v>5499</v>
      </c>
      <c r="J101" s="8">
        <f t="shared" si="72"/>
        <v>2.1899999999999928</v>
      </c>
      <c r="K101" s="13">
        <f t="shared" si="73"/>
        <v>9110</v>
      </c>
      <c r="N101" s="2"/>
      <c r="O101" s="2"/>
      <c r="P101" s="2">
        <f t="shared" si="62"/>
        <v>9110</v>
      </c>
      <c r="Q101" s="2">
        <f t="shared" si="69"/>
        <v>423868</v>
      </c>
    </row>
    <row r="102" spans="1:17" x14ac:dyDescent="0.3">
      <c r="A102" s="14">
        <f t="shared" si="66"/>
        <v>100</v>
      </c>
      <c r="B102" s="15">
        <v>250</v>
      </c>
      <c r="C102" s="16">
        <v>5500</v>
      </c>
      <c r="D102" s="15">
        <v>250</v>
      </c>
      <c r="E102" s="16">
        <v>5500</v>
      </c>
      <c r="F102" s="17">
        <v>700</v>
      </c>
      <c r="G102" s="18">
        <v>5500</v>
      </c>
      <c r="J102" s="8">
        <f t="shared" si="72"/>
        <v>2.1999999999999926</v>
      </c>
      <c r="K102" s="13">
        <f t="shared" si="73"/>
        <v>9300</v>
      </c>
      <c r="N102" s="2"/>
      <c r="O102" s="2"/>
      <c r="P102" s="2">
        <f t="shared" ref="P102:P165" si="76">K102</f>
        <v>9300</v>
      </c>
      <c r="Q102" s="2">
        <f t="shared" ref="Q102:Q165" si="77">Q101+K102</f>
        <v>433168</v>
      </c>
    </row>
    <row r="103" spans="1:17" x14ac:dyDescent="0.3">
      <c r="A103" s="3">
        <f t="shared" si="66"/>
        <v>101</v>
      </c>
      <c r="B103" s="8">
        <f>B102+2</f>
        <v>252</v>
      </c>
      <c r="C103" s="11">
        <f>C102+110</f>
        <v>5610</v>
      </c>
      <c r="D103" s="8">
        <f>D102+1</f>
        <v>251</v>
      </c>
      <c r="E103" s="11">
        <f>E102+90</f>
        <v>5590</v>
      </c>
      <c r="F103" s="5">
        <f>F102+1</f>
        <v>701</v>
      </c>
      <c r="G103" s="5">
        <f>G102+70</f>
        <v>5570</v>
      </c>
      <c r="J103" s="8">
        <f t="shared" si="72"/>
        <v>2.2099999999999924</v>
      </c>
      <c r="K103" s="13">
        <f t="shared" si="73"/>
        <v>9490</v>
      </c>
      <c r="P103" s="2">
        <f t="shared" si="76"/>
        <v>9490</v>
      </c>
      <c r="Q103" s="2">
        <f t="shared" si="77"/>
        <v>442658</v>
      </c>
    </row>
    <row r="104" spans="1:17" x14ac:dyDescent="0.3">
      <c r="A104" s="3">
        <f t="shared" si="66"/>
        <v>102</v>
      </c>
      <c r="B104" s="8">
        <f t="shared" ref="B104:B167" si="78">B103+2</f>
        <v>254</v>
      </c>
      <c r="C104" s="11">
        <f t="shared" ref="C104:C167" si="79">C103+110</f>
        <v>5720</v>
      </c>
      <c r="D104" s="8">
        <f t="shared" ref="D104:D167" si="80">D103+1</f>
        <v>252</v>
      </c>
      <c r="E104" s="11">
        <f t="shared" ref="E104:E167" si="81">E103+90</f>
        <v>5680</v>
      </c>
      <c r="F104" s="5">
        <f t="shared" ref="F104:F167" si="82">F103+1</f>
        <v>702</v>
      </c>
      <c r="G104" s="5">
        <f t="shared" ref="G104:G167" si="83">G103+70</f>
        <v>5640</v>
      </c>
      <c r="J104" s="8">
        <f t="shared" si="72"/>
        <v>2.2199999999999922</v>
      </c>
      <c r="K104" s="13">
        <f t="shared" si="73"/>
        <v>9680</v>
      </c>
      <c r="P104" s="2">
        <f t="shared" si="76"/>
        <v>9680</v>
      </c>
      <c r="Q104" s="2">
        <f t="shared" si="77"/>
        <v>452338</v>
      </c>
    </row>
    <row r="105" spans="1:17" x14ac:dyDescent="0.3">
      <c r="A105" s="3">
        <f t="shared" si="66"/>
        <v>103</v>
      </c>
      <c r="B105" s="8">
        <f t="shared" si="78"/>
        <v>256</v>
      </c>
      <c r="C105" s="11">
        <f t="shared" si="79"/>
        <v>5830</v>
      </c>
      <c r="D105" s="8">
        <f t="shared" si="80"/>
        <v>253</v>
      </c>
      <c r="E105" s="11">
        <f t="shared" si="81"/>
        <v>5770</v>
      </c>
      <c r="F105" s="5">
        <f t="shared" si="82"/>
        <v>703</v>
      </c>
      <c r="G105" s="5">
        <f t="shared" si="83"/>
        <v>5710</v>
      </c>
      <c r="J105" s="8">
        <f t="shared" si="72"/>
        <v>2.229999999999992</v>
      </c>
      <c r="K105" s="13">
        <f t="shared" si="73"/>
        <v>9870</v>
      </c>
      <c r="P105" s="2">
        <f t="shared" si="76"/>
        <v>9870</v>
      </c>
      <c r="Q105" s="2">
        <f t="shared" si="77"/>
        <v>462208</v>
      </c>
    </row>
    <row r="106" spans="1:17" x14ac:dyDescent="0.3">
      <c r="A106" s="3">
        <f t="shared" si="66"/>
        <v>104</v>
      </c>
      <c r="B106" s="8">
        <f t="shared" si="78"/>
        <v>258</v>
      </c>
      <c r="C106" s="11">
        <f t="shared" si="79"/>
        <v>5940</v>
      </c>
      <c r="D106" s="8">
        <f t="shared" si="80"/>
        <v>254</v>
      </c>
      <c r="E106" s="11">
        <f t="shared" si="81"/>
        <v>5860</v>
      </c>
      <c r="F106" s="5">
        <f t="shared" si="82"/>
        <v>704</v>
      </c>
      <c r="G106" s="5">
        <f t="shared" si="83"/>
        <v>5780</v>
      </c>
      <c r="J106" s="8">
        <f t="shared" si="72"/>
        <v>2.2399999999999918</v>
      </c>
      <c r="K106" s="13">
        <f t="shared" si="73"/>
        <v>10060</v>
      </c>
      <c r="P106" s="2">
        <f t="shared" si="76"/>
        <v>10060</v>
      </c>
      <c r="Q106" s="2">
        <f t="shared" si="77"/>
        <v>472268</v>
      </c>
    </row>
    <row r="107" spans="1:17" x14ac:dyDescent="0.3">
      <c r="A107" s="3">
        <f t="shared" si="66"/>
        <v>105</v>
      </c>
      <c r="B107" s="8">
        <f t="shared" si="78"/>
        <v>260</v>
      </c>
      <c r="C107" s="11">
        <f t="shared" si="79"/>
        <v>6050</v>
      </c>
      <c r="D107" s="8">
        <f t="shared" si="80"/>
        <v>255</v>
      </c>
      <c r="E107" s="11">
        <f t="shared" si="81"/>
        <v>5950</v>
      </c>
      <c r="F107" s="5">
        <f t="shared" si="82"/>
        <v>705</v>
      </c>
      <c r="G107" s="5">
        <f t="shared" si="83"/>
        <v>5850</v>
      </c>
      <c r="J107" s="8">
        <f t="shared" si="72"/>
        <v>2.2499999999999916</v>
      </c>
      <c r="K107" s="13">
        <f t="shared" si="73"/>
        <v>10250</v>
      </c>
      <c r="P107" s="2">
        <f t="shared" si="76"/>
        <v>10250</v>
      </c>
      <c r="Q107" s="2">
        <f t="shared" si="77"/>
        <v>482518</v>
      </c>
    </row>
    <row r="108" spans="1:17" x14ac:dyDescent="0.3">
      <c r="A108" s="3">
        <f t="shared" si="66"/>
        <v>106</v>
      </c>
      <c r="B108" s="8">
        <f t="shared" si="78"/>
        <v>262</v>
      </c>
      <c r="C108" s="11">
        <f t="shared" si="79"/>
        <v>6160</v>
      </c>
      <c r="D108" s="8">
        <f t="shared" si="80"/>
        <v>256</v>
      </c>
      <c r="E108" s="11">
        <f t="shared" si="81"/>
        <v>6040</v>
      </c>
      <c r="F108" s="5">
        <f t="shared" si="82"/>
        <v>706</v>
      </c>
      <c r="G108" s="5">
        <f t="shared" si="83"/>
        <v>5920</v>
      </c>
      <c r="J108" s="8">
        <f t="shared" si="72"/>
        <v>2.2599999999999913</v>
      </c>
      <c r="K108" s="13">
        <f t="shared" si="73"/>
        <v>10440</v>
      </c>
      <c r="P108" s="2">
        <f t="shared" si="76"/>
        <v>10440</v>
      </c>
      <c r="Q108" s="2">
        <f t="shared" si="77"/>
        <v>492958</v>
      </c>
    </row>
    <row r="109" spans="1:17" x14ac:dyDescent="0.3">
      <c r="A109" s="3">
        <f t="shared" si="66"/>
        <v>107</v>
      </c>
      <c r="B109" s="8">
        <f t="shared" si="78"/>
        <v>264</v>
      </c>
      <c r="C109" s="11">
        <f t="shared" si="79"/>
        <v>6270</v>
      </c>
      <c r="D109" s="8">
        <f t="shared" si="80"/>
        <v>257</v>
      </c>
      <c r="E109" s="11">
        <f t="shared" si="81"/>
        <v>6130</v>
      </c>
      <c r="F109" s="5">
        <f t="shared" si="82"/>
        <v>707</v>
      </c>
      <c r="G109" s="5">
        <f t="shared" si="83"/>
        <v>5990</v>
      </c>
      <c r="J109" s="8">
        <f t="shared" si="72"/>
        <v>2.2699999999999911</v>
      </c>
      <c r="K109" s="13">
        <f t="shared" si="73"/>
        <v>10630</v>
      </c>
      <c r="P109" s="2">
        <f t="shared" si="76"/>
        <v>10630</v>
      </c>
      <c r="Q109" s="2">
        <f t="shared" si="77"/>
        <v>503588</v>
      </c>
    </row>
    <row r="110" spans="1:17" x14ac:dyDescent="0.3">
      <c r="A110" s="3">
        <f t="shared" si="66"/>
        <v>108</v>
      </c>
      <c r="B110" s="8">
        <f t="shared" si="78"/>
        <v>266</v>
      </c>
      <c r="C110" s="11">
        <f t="shared" si="79"/>
        <v>6380</v>
      </c>
      <c r="D110" s="8">
        <f t="shared" si="80"/>
        <v>258</v>
      </c>
      <c r="E110" s="11">
        <f t="shared" si="81"/>
        <v>6220</v>
      </c>
      <c r="F110" s="5">
        <f t="shared" si="82"/>
        <v>708</v>
      </c>
      <c r="G110" s="5">
        <f t="shared" si="83"/>
        <v>6060</v>
      </c>
      <c r="J110" s="8">
        <f t="shared" si="72"/>
        <v>2.2799999999999909</v>
      </c>
      <c r="K110" s="13">
        <f t="shared" si="73"/>
        <v>10820</v>
      </c>
      <c r="P110" s="2">
        <f t="shared" si="76"/>
        <v>10820</v>
      </c>
      <c r="Q110" s="2">
        <f t="shared" si="77"/>
        <v>514408</v>
      </c>
    </row>
    <row r="111" spans="1:17" x14ac:dyDescent="0.3">
      <c r="A111" s="3">
        <f t="shared" si="66"/>
        <v>109</v>
      </c>
      <c r="B111" s="8">
        <f t="shared" si="78"/>
        <v>268</v>
      </c>
      <c r="C111" s="11">
        <f t="shared" si="79"/>
        <v>6490</v>
      </c>
      <c r="D111" s="8">
        <f t="shared" si="80"/>
        <v>259</v>
      </c>
      <c r="E111" s="11">
        <f t="shared" si="81"/>
        <v>6310</v>
      </c>
      <c r="F111" s="5">
        <f t="shared" si="82"/>
        <v>709</v>
      </c>
      <c r="G111" s="5">
        <f t="shared" si="83"/>
        <v>6130</v>
      </c>
      <c r="J111" s="8">
        <f t="shared" si="72"/>
        <v>2.2899999999999907</v>
      </c>
      <c r="K111" s="13">
        <f t="shared" si="73"/>
        <v>11010</v>
      </c>
      <c r="P111" s="2">
        <f t="shared" si="76"/>
        <v>11010</v>
      </c>
      <c r="Q111" s="2">
        <f t="shared" si="77"/>
        <v>525418</v>
      </c>
    </row>
    <row r="112" spans="1:17" x14ac:dyDescent="0.3">
      <c r="A112" s="3">
        <f t="shared" si="66"/>
        <v>110</v>
      </c>
      <c r="B112" s="8">
        <f t="shared" si="78"/>
        <v>270</v>
      </c>
      <c r="C112" s="11">
        <f t="shared" si="79"/>
        <v>6600</v>
      </c>
      <c r="D112" s="8">
        <f t="shared" si="80"/>
        <v>260</v>
      </c>
      <c r="E112" s="11">
        <f t="shared" si="81"/>
        <v>6400</v>
      </c>
      <c r="F112" s="5">
        <f t="shared" si="82"/>
        <v>710</v>
      </c>
      <c r="G112" s="5">
        <f t="shared" si="83"/>
        <v>6200</v>
      </c>
      <c r="J112" s="8">
        <f t="shared" si="72"/>
        <v>2.2999999999999905</v>
      </c>
      <c r="K112" s="13">
        <f t="shared" si="73"/>
        <v>11200</v>
      </c>
      <c r="P112" s="2">
        <f t="shared" si="76"/>
        <v>11200</v>
      </c>
      <c r="Q112" s="2">
        <f t="shared" si="77"/>
        <v>536618</v>
      </c>
    </row>
    <row r="113" spans="1:17" x14ac:dyDescent="0.3">
      <c r="A113" s="3">
        <f t="shared" si="66"/>
        <v>111</v>
      </c>
      <c r="B113" s="8">
        <f t="shared" si="78"/>
        <v>272</v>
      </c>
      <c r="C113" s="11">
        <f t="shared" si="79"/>
        <v>6710</v>
      </c>
      <c r="D113" s="8">
        <f t="shared" si="80"/>
        <v>261</v>
      </c>
      <c r="E113" s="11">
        <f t="shared" si="81"/>
        <v>6490</v>
      </c>
      <c r="F113" s="5">
        <f t="shared" si="82"/>
        <v>711</v>
      </c>
      <c r="G113" s="5">
        <f t="shared" si="83"/>
        <v>6270</v>
      </c>
      <c r="J113" s="8">
        <f t="shared" si="72"/>
        <v>2.3099999999999903</v>
      </c>
      <c r="K113" s="13">
        <f t="shared" si="73"/>
        <v>11390</v>
      </c>
      <c r="P113" s="2">
        <f t="shared" si="76"/>
        <v>11390</v>
      </c>
      <c r="Q113" s="2">
        <f t="shared" si="77"/>
        <v>548008</v>
      </c>
    </row>
    <row r="114" spans="1:17" x14ac:dyDescent="0.3">
      <c r="A114" s="3">
        <f t="shared" si="66"/>
        <v>112</v>
      </c>
      <c r="B114" s="8">
        <f t="shared" si="78"/>
        <v>274</v>
      </c>
      <c r="C114" s="11">
        <f t="shared" si="79"/>
        <v>6820</v>
      </c>
      <c r="D114" s="8">
        <f t="shared" si="80"/>
        <v>262</v>
      </c>
      <c r="E114" s="11">
        <f t="shared" si="81"/>
        <v>6580</v>
      </c>
      <c r="F114" s="5">
        <f t="shared" si="82"/>
        <v>712</v>
      </c>
      <c r="G114" s="5">
        <f t="shared" si="83"/>
        <v>6340</v>
      </c>
      <c r="J114" s="8">
        <f t="shared" si="72"/>
        <v>2.3199999999999901</v>
      </c>
      <c r="K114" s="13">
        <f t="shared" si="73"/>
        <v>11580</v>
      </c>
      <c r="P114" s="2">
        <f t="shared" si="76"/>
        <v>11580</v>
      </c>
      <c r="Q114" s="2">
        <f t="shared" si="77"/>
        <v>559588</v>
      </c>
    </row>
    <row r="115" spans="1:17" x14ac:dyDescent="0.3">
      <c r="A115" s="3">
        <f t="shared" si="66"/>
        <v>113</v>
      </c>
      <c r="B115" s="8">
        <f t="shared" si="78"/>
        <v>276</v>
      </c>
      <c r="C115" s="11">
        <f t="shared" si="79"/>
        <v>6930</v>
      </c>
      <c r="D115" s="8">
        <f t="shared" si="80"/>
        <v>263</v>
      </c>
      <c r="E115" s="11">
        <f t="shared" si="81"/>
        <v>6670</v>
      </c>
      <c r="F115" s="5">
        <f t="shared" si="82"/>
        <v>713</v>
      </c>
      <c r="G115" s="5">
        <f t="shared" si="83"/>
        <v>6410</v>
      </c>
      <c r="J115" s="8">
        <f t="shared" si="72"/>
        <v>2.3299999999999899</v>
      </c>
      <c r="K115" s="13">
        <f t="shared" si="73"/>
        <v>11770</v>
      </c>
      <c r="P115" s="2">
        <f t="shared" si="76"/>
        <v>11770</v>
      </c>
      <c r="Q115" s="2">
        <f t="shared" si="77"/>
        <v>571358</v>
      </c>
    </row>
    <row r="116" spans="1:17" x14ac:dyDescent="0.3">
      <c r="A116" s="3">
        <f t="shared" si="66"/>
        <v>114</v>
      </c>
      <c r="B116" s="8">
        <f t="shared" si="78"/>
        <v>278</v>
      </c>
      <c r="C116" s="11">
        <f t="shared" si="79"/>
        <v>7040</v>
      </c>
      <c r="D116" s="8">
        <f t="shared" si="80"/>
        <v>264</v>
      </c>
      <c r="E116" s="11">
        <f t="shared" si="81"/>
        <v>6760</v>
      </c>
      <c r="F116" s="5">
        <f t="shared" si="82"/>
        <v>714</v>
      </c>
      <c r="G116" s="5">
        <f t="shared" si="83"/>
        <v>6480</v>
      </c>
      <c r="J116" s="8">
        <f t="shared" si="72"/>
        <v>2.3399999999999896</v>
      </c>
      <c r="K116" s="13">
        <f t="shared" si="73"/>
        <v>11960</v>
      </c>
      <c r="P116" s="2">
        <f t="shared" si="76"/>
        <v>11960</v>
      </c>
      <c r="Q116" s="2">
        <f t="shared" si="77"/>
        <v>583318</v>
      </c>
    </row>
    <row r="117" spans="1:17" x14ac:dyDescent="0.3">
      <c r="A117" s="3">
        <f t="shared" si="66"/>
        <v>115</v>
      </c>
      <c r="B117" s="8">
        <f t="shared" si="78"/>
        <v>280</v>
      </c>
      <c r="C117" s="11">
        <f t="shared" si="79"/>
        <v>7150</v>
      </c>
      <c r="D117" s="8">
        <f t="shared" si="80"/>
        <v>265</v>
      </c>
      <c r="E117" s="11">
        <f t="shared" si="81"/>
        <v>6850</v>
      </c>
      <c r="F117" s="5">
        <f t="shared" si="82"/>
        <v>715</v>
      </c>
      <c r="G117" s="5">
        <f t="shared" si="83"/>
        <v>6550</v>
      </c>
      <c r="J117" s="8">
        <f t="shared" si="72"/>
        <v>2.3499999999999894</v>
      </c>
      <c r="K117" s="13">
        <f t="shared" si="73"/>
        <v>12150</v>
      </c>
      <c r="P117" s="2">
        <f t="shared" si="76"/>
        <v>12150</v>
      </c>
      <c r="Q117" s="2">
        <f t="shared" si="77"/>
        <v>595468</v>
      </c>
    </row>
    <row r="118" spans="1:17" x14ac:dyDescent="0.3">
      <c r="A118" s="3">
        <f t="shared" si="66"/>
        <v>116</v>
      </c>
      <c r="B118" s="8">
        <f t="shared" si="78"/>
        <v>282</v>
      </c>
      <c r="C118" s="11">
        <f t="shared" si="79"/>
        <v>7260</v>
      </c>
      <c r="D118" s="8">
        <f t="shared" si="80"/>
        <v>266</v>
      </c>
      <c r="E118" s="11">
        <f t="shared" si="81"/>
        <v>6940</v>
      </c>
      <c r="F118" s="5">
        <f t="shared" si="82"/>
        <v>716</v>
      </c>
      <c r="G118" s="5">
        <f t="shared" si="83"/>
        <v>6620</v>
      </c>
      <c r="J118" s="8">
        <f t="shared" si="72"/>
        <v>2.3599999999999892</v>
      </c>
      <c r="K118" s="13">
        <f t="shared" si="73"/>
        <v>12340</v>
      </c>
      <c r="P118" s="2">
        <f t="shared" si="76"/>
        <v>12340</v>
      </c>
      <c r="Q118" s="2">
        <f t="shared" si="77"/>
        <v>607808</v>
      </c>
    </row>
    <row r="119" spans="1:17" x14ac:dyDescent="0.3">
      <c r="A119" s="3">
        <f t="shared" si="66"/>
        <v>117</v>
      </c>
      <c r="B119" s="8">
        <f t="shared" si="78"/>
        <v>284</v>
      </c>
      <c r="C119" s="11">
        <f t="shared" si="79"/>
        <v>7370</v>
      </c>
      <c r="D119" s="8">
        <f t="shared" si="80"/>
        <v>267</v>
      </c>
      <c r="E119" s="11">
        <f t="shared" si="81"/>
        <v>7030</v>
      </c>
      <c r="F119" s="5">
        <f t="shared" si="82"/>
        <v>717</v>
      </c>
      <c r="G119" s="5">
        <f t="shared" si="83"/>
        <v>6690</v>
      </c>
      <c r="J119" s="8">
        <f t="shared" si="72"/>
        <v>2.369999999999989</v>
      </c>
      <c r="K119" s="13">
        <f t="shared" si="73"/>
        <v>12530</v>
      </c>
      <c r="P119" s="2">
        <f t="shared" si="76"/>
        <v>12530</v>
      </c>
      <c r="Q119" s="2">
        <f t="shared" si="77"/>
        <v>620338</v>
      </c>
    </row>
    <row r="120" spans="1:17" x14ac:dyDescent="0.3">
      <c r="A120" s="3">
        <f t="shared" si="66"/>
        <v>118</v>
      </c>
      <c r="B120" s="8">
        <f t="shared" si="78"/>
        <v>286</v>
      </c>
      <c r="C120" s="11">
        <f t="shared" si="79"/>
        <v>7480</v>
      </c>
      <c r="D120" s="8">
        <f t="shared" si="80"/>
        <v>268</v>
      </c>
      <c r="E120" s="11">
        <f t="shared" si="81"/>
        <v>7120</v>
      </c>
      <c r="F120" s="5">
        <f t="shared" si="82"/>
        <v>718</v>
      </c>
      <c r="G120" s="5">
        <f t="shared" si="83"/>
        <v>6760</v>
      </c>
      <c r="J120" s="8">
        <f t="shared" si="72"/>
        <v>2.3799999999999888</v>
      </c>
      <c r="K120" s="13">
        <f t="shared" si="73"/>
        <v>12720</v>
      </c>
      <c r="P120" s="2">
        <f t="shared" si="76"/>
        <v>12720</v>
      </c>
      <c r="Q120" s="2">
        <f t="shared" si="77"/>
        <v>633058</v>
      </c>
    </row>
    <row r="121" spans="1:17" x14ac:dyDescent="0.3">
      <c r="A121" s="3">
        <f t="shared" si="66"/>
        <v>119</v>
      </c>
      <c r="B121" s="8">
        <f t="shared" si="78"/>
        <v>288</v>
      </c>
      <c r="C121" s="11">
        <f t="shared" si="79"/>
        <v>7590</v>
      </c>
      <c r="D121" s="8">
        <f t="shared" si="80"/>
        <v>269</v>
      </c>
      <c r="E121" s="11">
        <f t="shared" si="81"/>
        <v>7210</v>
      </c>
      <c r="F121" s="5">
        <f t="shared" si="82"/>
        <v>719</v>
      </c>
      <c r="G121" s="5">
        <f t="shared" si="83"/>
        <v>6830</v>
      </c>
      <c r="J121" s="8">
        <f t="shared" si="72"/>
        <v>2.3899999999999886</v>
      </c>
      <c r="K121" s="13">
        <f t="shared" si="73"/>
        <v>12910</v>
      </c>
      <c r="P121" s="2">
        <f t="shared" si="76"/>
        <v>12910</v>
      </c>
      <c r="Q121" s="2">
        <f t="shared" si="77"/>
        <v>645968</v>
      </c>
    </row>
    <row r="122" spans="1:17" x14ac:dyDescent="0.3">
      <c r="A122" s="3">
        <f t="shared" si="66"/>
        <v>120</v>
      </c>
      <c r="B122" s="8">
        <f t="shared" si="78"/>
        <v>290</v>
      </c>
      <c r="C122" s="11">
        <f t="shared" si="79"/>
        <v>7700</v>
      </c>
      <c r="D122" s="8">
        <f t="shared" si="80"/>
        <v>270</v>
      </c>
      <c r="E122" s="11">
        <f t="shared" si="81"/>
        <v>7300</v>
      </c>
      <c r="F122" s="5">
        <f t="shared" si="82"/>
        <v>720</v>
      </c>
      <c r="G122" s="5">
        <f t="shared" si="83"/>
        <v>6900</v>
      </c>
      <c r="J122" s="8">
        <f t="shared" si="72"/>
        <v>2.3999999999999884</v>
      </c>
      <c r="K122" s="13">
        <f t="shared" si="73"/>
        <v>13100</v>
      </c>
      <c r="P122" s="2">
        <f t="shared" si="76"/>
        <v>13100</v>
      </c>
      <c r="Q122" s="2">
        <f t="shared" si="77"/>
        <v>659068</v>
      </c>
    </row>
    <row r="123" spans="1:17" x14ac:dyDescent="0.3">
      <c r="A123" s="3">
        <f t="shared" si="66"/>
        <v>121</v>
      </c>
      <c r="B123" s="8">
        <f t="shared" si="78"/>
        <v>292</v>
      </c>
      <c r="C123" s="11">
        <f t="shared" si="79"/>
        <v>7810</v>
      </c>
      <c r="D123" s="8">
        <f t="shared" si="80"/>
        <v>271</v>
      </c>
      <c r="E123" s="11">
        <f t="shared" si="81"/>
        <v>7390</v>
      </c>
      <c r="F123" s="5">
        <f t="shared" si="82"/>
        <v>721</v>
      </c>
      <c r="G123" s="5">
        <f t="shared" si="83"/>
        <v>6970</v>
      </c>
      <c r="J123" s="8">
        <f t="shared" si="72"/>
        <v>2.4099999999999882</v>
      </c>
      <c r="K123" s="13">
        <f t="shared" si="73"/>
        <v>13290</v>
      </c>
      <c r="P123" s="2">
        <f t="shared" si="76"/>
        <v>13290</v>
      </c>
      <c r="Q123" s="2">
        <f t="shared" si="77"/>
        <v>672358</v>
      </c>
    </row>
    <row r="124" spans="1:17" x14ac:dyDescent="0.3">
      <c r="A124" s="3">
        <f t="shared" si="66"/>
        <v>122</v>
      </c>
      <c r="B124" s="8">
        <f t="shared" si="78"/>
        <v>294</v>
      </c>
      <c r="C124" s="11">
        <f t="shared" si="79"/>
        <v>7920</v>
      </c>
      <c r="D124" s="8">
        <f t="shared" si="80"/>
        <v>272</v>
      </c>
      <c r="E124" s="11">
        <f t="shared" si="81"/>
        <v>7480</v>
      </c>
      <c r="F124" s="5">
        <f t="shared" si="82"/>
        <v>722</v>
      </c>
      <c r="G124" s="5">
        <f t="shared" si="83"/>
        <v>7040</v>
      </c>
      <c r="J124" s="8">
        <f t="shared" si="72"/>
        <v>2.4199999999999879</v>
      </c>
      <c r="K124" s="13">
        <f t="shared" si="73"/>
        <v>13480</v>
      </c>
      <c r="P124" s="2">
        <f t="shared" si="76"/>
        <v>13480</v>
      </c>
      <c r="Q124" s="2">
        <f t="shared" si="77"/>
        <v>685838</v>
      </c>
    </row>
    <row r="125" spans="1:17" x14ac:dyDescent="0.3">
      <c r="A125" s="3">
        <f t="shared" si="66"/>
        <v>123</v>
      </c>
      <c r="B125" s="8">
        <f t="shared" si="78"/>
        <v>296</v>
      </c>
      <c r="C125" s="11">
        <f t="shared" si="79"/>
        <v>8030</v>
      </c>
      <c r="D125" s="8">
        <f t="shared" si="80"/>
        <v>273</v>
      </c>
      <c r="E125" s="11">
        <f t="shared" si="81"/>
        <v>7570</v>
      </c>
      <c r="F125" s="5">
        <f t="shared" si="82"/>
        <v>723</v>
      </c>
      <c r="G125" s="5">
        <f t="shared" si="83"/>
        <v>7110</v>
      </c>
      <c r="J125" s="8">
        <f t="shared" si="72"/>
        <v>2.4299999999999877</v>
      </c>
      <c r="K125" s="13">
        <f t="shared" si="73"/>
        <v>13670</v>
      </c>
      <c r="P125" s="2">
        <f t="shared" si="76"/>
        <v>13670</v>
      </c>
      <c r="Q125" s="2">
        <f t="shared" si="77"/>
        <v>699508</v>
      </c>
    </row>
    <row r="126" spans="1:17" x14ac:dyDescent="0.3">
      <c r="A126" s="3">
        <f t="shared" si="66"/>
        <v>124</v>
      </c>
      <c r="B126" s="8">
        <f t="shared" si="78"/>
        <v>298</v>
      </c>
      <c r="C126" s="11">
        <f t="shared" si="79"/>
        <v>8140</v>
      </c>
      <c r="D126" s="8">
        <f t="shared" si="80"/>
        <v>274</v>
      </c>
      <c r="E126" s="11">
        <f t="shared" si="81"/>
        <v>7660</v>
      </c>
      <c r="F126" s="5">
        <f t="shared" si="82"/>
        <v>724</v>
      </c>
      <c r="G126" s="5">
        <f t="shared" si="83"/>
        <v>7180</v>
      </c>
      <c r="J126" s="8">
        <f t="shared" si="72"/>
        <v>2.4399999999999875</v>
      </c>
      <c r="K126" s="13">
        <f t="shared" si="73"/>
        <v>13860</v>
      </c>
      <c r="P126" s="2">
        <f t="shared" si="76"/>
        <v>13860</v>
      </c>
      <c r="Q126" s="2">
        <f t="shared" si="77"/>
        <v>713368</v>
      </c>
    </row>
    <row r="127" spans="1:17" x14ac:dyDescent="0.3">
      <c r="A127" s="3">
        <f t="shared" si="66"/>
        <v>125</v>
      </c>
      <c r="B127" s="8">
        <f t="shared" si="78"/>
        <v>300</v>
      </c>
      <c r="C127" s="11">
        <f t="shared" si="79"/>
        <v>8250</v>
      </c>
      <c r="D127" s="8">
        <f t="shared" si="80"/>
        <v>275</v>
      </c>
      <c r="E127" s="11">
        <f t="shared" si="81"/>
        <v>7750</v>
      </c>
      <c r="F127" s="5">
        <f t="shared" si="82"/>
        <v>725</v>
      </c>
      <c r="G127" s="5">
        <f t="shared" si="83"/>
        <v>7250</v>
      </c>
      <c r="J127" s="8">
        <f t="shared" si="72"/>
        <v>2.4499999999999873</v>
      </c>
      <c r="K127" s="13">
        <f t="shared" si="73"/>
        <v>14050</v>
      </c>
      <c r="P127" s="2">
        <f t="shared" si="76"/>
        <v>14050</v>
      </c>
      <c r="Q127" s="2">
        <f t="shared" si="77"/>
        <v>727418</v>
      </c>
    </row>
    <row r="128" spans="1:17" x14ac:dyDescent="0.3">
      <c r="A128" s="3">
        <f t="shared" si="66"/>
        <v>126</v>
      </c>
      <c r="B128" s="8">
        <f t="shared" si="78"/>
        <v>302</v>
      </c>
      <c r="C128" s="11">
        <f t="shared" si="79"/>
        <v>8360</v>
      </c>
      <c r="D128" s="8">
        <f t="shared" si="80"/>
        <v>276</v>
      </c>
      <c r="E128" s="11">
        <f t="shared" si="81"/>
        <v>7840</v>
      </c>
      <c r="F128" s="5">
        <f t="shared" si="82"/>
        <v>726</v>
      </c>
      <c r="G128" s="5">
        <f t="shared" si="83"/>
        <v>7320</v>
      </c>
      <c r="J128" s="8">
        <f t="shared" si="72"/>
        <v>2.4599999999999871</v>
      </c>
      <c r="K128" s="13">
        <f t="shared" si="73"/>
        <v>14240</v>
      </c>
      <c r="P128" s="2">
        <f t="shared" si="76"/>
        <v>14240</v>
      </c>
      <c r="Q128" s="2">
        <f t="shared" si="77"/>
        <v>741658</v>
      </c>
    </row>
    <row r="129" spans="1:17" x14ac:dyDescent="0.3">
      <c r="A129" s="3">
        <f t="shared" si="66"/>
        <v>127</v>
      </c>
      <c r="B129" s="8">
        <f t="shared" si="78"/>
        <v>304</v>
      </c>
      <c r="C129" s="11">
        <f t="shared" si="79"/>
        <v>8470</v>
      </c>
      <c r="D129" s="8">
        <f t="shared" si="80"/>
        <v>277</v>
      </c>
      <c r="E129" s="11">
        <f t="shared" si="81"/>
        <v>7930</v>
      </c>
      <c r="F129" s="5">
        <f t="shared" si="82"/>
        <v>727</v>
      </c>
      <c r="G129" s="5">
        <f t="shared" si="83"/>
        <v>7390</v>
      </c>
      <c r="J129" s="8">
        <f t="shared" si="72"/>
        <v>2.4699999999999869</v>
      </c>
      <c r="K129" s="13">
        <f t="shared" si="73"/>
        <v>14430</v>
      </c>
      <c r="P129" s="2">
        <f t="shared" si="76"/>
        <v>14430</v>
      </c>
      <c r="Q129" s="2">
        <f t="shared" si="77"/>
        <v>756088</v>
      </c>
    </row>
    <row r="130" spans="1:17" x14ac:dyDescent="0.3">
      <c r="A130" s="3">
        <f t="shared" si="66"/>
        <v>128</v>
      </c>
      <c r="B130" s="8">
        <f t="shared" si="78"/>
        <v>306</v>
      </c>
      <c r="C130" s="11">
        <f t="shared" si="79"/>
        <v>8580</v>
      </c>
      <c r="D130" s="8">
        <f t="shared" si="80"/>
        <v>278</v>
      </c>
      <c r="E130" s="11">
        <f t="shared" si="81"/>
        <v>8020</v>
      </c>
      <c r="F130" s="5">
        <f t="shared" si="82"/>
        <v>728</v>
      </c>
      <c r="G130" s="5">
        <f t="shared" si="83"/>
        <v>7460</v>
      </c>
      <c r="J130" s="8">
        <f t="shared" si="72"/>
        <v>2.4799999999999867</v>
      </c>
      <c r="K130" s="13">
        <f t="shared" si="73"/>
        <v>14620</v>
      </c>
      <c r="P130" s="2">
        <f t="shared" si="76"/>
        <v>14620</v>
      </c>
      <c r="Q130" s="2">
        <f t="shared" si="77"/>
        <v>770708</v>
      </c>
    </row>
    <row r="131" spans="1:17" x14ac:dyDescent="0.3">
      <c r="A131" s="3">
        <f t="shared" si="66"/>
        <v>129</v>
      </c>
      <c r="B131" s="8">
        <f t="shared" si="78"/>
        <v>308</v>
      </c>
      <c r="C131" s="11">
        <f t="shared" si="79"/>
        <v>8690</v>
      </c>
      <c r="D131" s="8">
        <f t="shared" si="80"/>
        <v>279</v>
      </c>
      <c r="E131" s="11">
        <f t="shared" si="81"/>
        <v>8110</v>
      </c>
      <c r="F131" s="5">
        <f t="shared" si="82"/>
        <v>729</v>
      </c>
      <c r="G131" s="5">
        <f t="shared" si="83"/>
        <v>7530</v>
      </c>
      <c r="J131" s="8">
        <f t="shared" si="72"/>
        <v>2.4899999999999864</v>
      </c>
      <c r="K131" s="13">
        <f t="shared" si="73"/>
        <v>14810</v>
      </c>
      <c r="P131" s="2">
        <f t="shared" si="76"/>
        <v>14810</v>
      </c>
      <c r="Q131" s="2">
        <f t="shared" si="77"/>
        <v>785518</v>
      </c>
    </row>
    <row r="132" spans="1:17" x14ac:dyDescent="0.3">
      <c r="A132" s="3">
        <f t="shared" si="66"/>
        <v>130</v>
      </c>
      <c r="B132" s="8">
        <f t="shared" si="78"/>
        <v>310</v>
      </c>
      <c r="C132" s="11">
        <f t="shared" si="79"/>
        <v>8800</v>
      </c>
      <c r="D132" s="8">
        <f t="shared" si="80"/>
        <v>280</v>
      </c>
      <c r="E132" s="11">
        <f t="shared" si="81"/>
        <v>8200</v>
      </c>
      <c r="F132" s="5">
        <f t="shared" si="82"/>
        <v>730</v>
      </c>
      <c r="G132" s="5">
        <f t="shared" si="83"/>
        <v>7600</v>
      </c>
      <c r="J132" s="8">
        <f t="shared" si="72"/>
        <v>2.4999999999999862</v>
      </c>
      <c r="K132" s="13">
        <f t="shared" si="73"/>
        <v>15000</v>
      </c>
      <c r="P132" s="2">
        <f t="shared" si="76"/>
        <v>15000</v>
      </c>
      <c r="Q132" s="2">
        <f t="shared" si="77"/>
        <v>800518</v>
      </c>
    </row>
    <row r="133" spans="1:17" x14ac:dyDescent="0.3">
      <c r="A133" s="3">
        <f t="shared" ref="A133:A196" si="84">A132+1</f>
        <v>131</v>
      </c>
      <c r="B133" s="8">
        <f t="shared" si="78"/>
        <v>312</v>
      </c>
      <c r="C133" s="11">
        <f t="shared" si="79"/>
        <v>8910</v>
      </c>
      <c r="D133" s="8">
        <f t="shared" si="80"/>
        <v>281</v>
      </c>
      <c r="E133" s="11">
        <f t="shared" si="81"/>
        <v>8290</v>
      </c>
      <c r="F133" s="5">
        <f t="shared" si="82"/>
        <v>731</v>
      </c>
      <c r="G133" s="5">
        <f t="shared" si="83"/>
        <v>7670</v>
      </c>
      <c r="J133" s="8">
        <f t="shared" si="72"/>
        <v>2.509999999999986</v>
      </c>
      <c r="K133" s="13">
        <f t="shared" si="73"/>
        <v>15190</v>
      </c>
      <c r="P133" s="2">
        <f t="shared" si="76"/>
        <v>15190</v>
      </c>
      <c r="Q133" s="2">
        <f t="shared" si="77"/>
        <v>815708</v>
      </c>
    </row>
    <row r="134" spans="1:17" x14ac:dyDescent="0.3">
      <c r="A134" s="3">
        <f t="shared" si="84"/>
        <v>132</v>
      </c>
      <c r="B134" s="8">
        <f t="shared" si="78"/>
        <v>314</v>
      </c>
      <c r="C134" s="11">
        <f t="shared" si="79"/>
        <v>9020</v>
      </c>
      <c r="D134" s="8">
        <f t="shared" si="80"/>
        <v>282</v>
      </c>
      <c r="E134" s="11">
        <f t="shared" si="81"/>
        <v>8380</v>
      </c>
      <c r="F134" s="5">
        <f t="shared" si="82"/>
        <v>732</v>
      </c>
      <c r="G134" s="5">
        <f t="shared" si="83"/>
        <v>7740</v>
      </c>
      <c r="J134" s="8">
        <f t="shared" si="72"/>
        <v>2.5199999999999858</v>
      </c>
      <c r="K134" s="13">
        <f t="shared" si="73"/>
        <v>15380</v>
      </c>
      <c r="P134" s="2">
        <f t="shared" si="76"/>
        <v>15380</v>
      </c>
      <c r="Q134" s="2">
        <f t="shared" si="77"/>
        <v>831088</v>
      </c>
    </row>
    <row r="135" spans="1:17" x14ac:dyDescent="0.3">
      <c r="A135" s="3">
        <f t="shared" si="84"/>
        <v>133</v>
      </c>
      <c r="B135" s="8">
        <f t="shared" si="78"/>
        <v>316</v>
      </c>
      <c r="C135" s="11">
        <f t="shared" si="79"/>
        <v>9130</v>
      </c>
      <c r="D135" s="8">
        <f t="shared" si="80"/>
        <v>283</v>
      </c>
      <c r="E135" s="11">
        <f t="shared" si="81"/>
        <v>8470</v>
      </c>
      <c r="F135" s="5">
        <f t="shared" si="82"/>
        <v>733</v>
      </c>
      <c r="G135" s="5">
        <f t="shared" si="83"/>
        <v>7810</v>
      </c>
      <c r="J135" s="8">
        <f t="shared" si="72"/>
        <v>2.5299999999999856</v>
      </c>
      <c r="K135" s="13">
        <f t="shared" si="73"/>
        <v>15570</v>
      </c>
      <c r="P135" s="2">
        <f t="shared" si="76"/>
        <v>15570</v>
      </c>
      <c r="Q135" s="2">
        <f t="shared" si="77"/>
        <v>846658</v>
      </c>
    </row>
    <row r="136" spans="1:17" x14ac:dyDescent="0.3">
      <c r="A136" s="3">
        <f t="shared" si="84"/>
        <v>134</v>
      </c>
      <c r="B136" s="8">
        <f t="shared" si="78"/>
        <v>318</v>
      </c>
      <c r="C136" s="11">
        <f t="shared" si="79"/>
        <v>9240</v>
      </c>
      <c r="D136" s="8">
        <f t="shared" si="80"/>
        <v>284</v>
      </c>
      <c r="E136" s="11">
        <f t="shared" si="81"/>
        <v>8560</v>
      </c>
      <c r="F136" s="5">
        <f t="shared" si="82"/>
        <v>734</v>
      </c>
      <c r="G136" s="5">
        <f t="shared" si="83"/>
        <v>7880</v>
      </c>
      <c r="J136" s="8">
        <f t="shared" si="72"/>
        <v>2.5399999999999854</v>
      </c>
      <c r="K136" s="13">
        <f t="shared" si="73"/>
        <v>15760</v>
      </c>
      <c r="P136" s="2">
        <f t="shared" si="76"/>
        <v>15760</v>
      </c>
      <c r="Q136" s="2">
        <f t="shared" si="77"/>
        <v>862418</v>
      </c>
    </row>
    <row r="137" spans="1:17" x14ac:dyDescent="0.3">
      <c r="A137" s="3">
        <f t="shared" si="84"/>
        <v>135</v>
      </c>
      <c r="B137" s="8">
        <f t="shared" si="78"/>
        <v>320</v>
      </c>
      <c r="C137" s="11">
        <f t="shared" si="79"/>
        <v>9350</v>
      </c>
      <c r="D137" s="8">
        <f t="shared" si="80"/>
        <v>285</v>
      </c>
      <c r="E137" s="11">
        <f t="shared" si="81"/>
        <v>8650</v>
      </c>
      <c r="F137" s="5">
        <f t="shared" si="82"/>
        <v>735</v>
      </c>
      <c r="G137" s="5">
        <f t="shared" si="83"/>
        <v>7950</v>
      </c>
      <c r="J137" s="8">
        <f t="shared" si="72"/>
        <v>2.5499999999999852</v>
      </c>
      <c r="K137" s="13">
        <f t="shared" si="73"/>
        <v>15950</v>
      </c>
      <c r="P137" s="2">
        <f t="shared" si="76"/>
        <v>15950</v>
      </c>
      <c r="Q137" s="2">
        <f t="shared" si="77"/>
        <v>878368</v>
      </c>
    </row>
    <row r="138" spans="1:17" x14ac:dyDescent="0.3">
      <c r="A138" s="3">
        <f t="shared" si="84"/>
        <v>136</v>
      </c>
      <c r="B138" s="8">
        <f t="shared" si="78"/>
        <v>322</v>
      </c>
      <c r="C138" s="11">
        <f t="shared" si="79"/>
        <v>9460</v>
      </c>
      <c r="D138" s="8">
        <f t="shared" si="80"/>
        <v>286</v>
      </c>
      <c r="E138" s="11">
        <f t="shared" si="81"/>
        <v>8740</v>
      </c>
      <c r="F138" s="5">
        <f t="shared" si="82"/>
        <v>736</v>
      </c>
      <c r="G138" s="5">
        <f t="shared" si="83"/>
        <v>8020</v>
      </c>
      <c r="J138" s="8">
        <f t="shared" si="72"/>
        <v>2.559999999999985</v>
      </c>
      <c r="K138" s="13">
        <f t="shared" si="73"/>
        <v>16140</v>
      </c>
      <c r="P138" s="2">
        <f t="shared" si="76"/>
        <v>16140</v>
      </c>
      <c r="Q138" s="2">
        <f t="shared" si="77"/>
        <v>894508</v>
      </c>
    </row>
    <row r="139" spans="1:17" x14ac:dyDescent="0.3">
      <c r="A139" s="3">
        <f t="shared" si="84"/>
        <v>137</v>
      </c>
      <c r="B139" s="8">
        <f t="shared" si="78"/>
        <v>324</v>
      </c>
      <c r="C139" s="11">
        <f t="shared" si="79"/>
        <v>9570</v>
      </c>
      <c r="D139" s="8">
        <f t="shared" si="80"/>
        <v>287</v>
      </c>
      <c r="E139" s="11">
        <f t="shared" si="81"/>
        <v>8830</v>
      </c>
      <c r="F139" s="5">
        <f t="shared" si="82"/>
        <v>737</v>
      </c>
      <c r="G139" s="5">
        <f t="shared" si="83"/>
        <v>8090</v>
      </c>
      <c r="J139" s="8">
        <f t="shared" si="72"/>
        <v>2.5699999999999847</v>
      </c>
      <c r="K139" s="13">
        <f t="shared" si="73"/>
        <v>16330</v>
      </c>
      <c r="P139" s="2">
        <f t="shared" si="76"/>
        <v>16330</v>
      </c>
      <c r="Q139" s="2">
        <f t="shared" si="77"/>
        <v>910838</v>
      </c>
    </row>
    <row r="140" spans="1:17" x14ac:dyDescent="0.3">
      <c r="A140" s="3">
        <f t="shared" si="84"/>
        <v>138</v>
      </c>
      <c r="B140" s="8">
        <f t="shared" si="78"/>
        <v>326</v>
      </c>
      <c r="C140" s="11">
        <f t="shared" si="79"/>
        <v>9680</v>
      </c>
      <c r="D140" s="8">
        <f t="shared" si="80"/>
        <v>288</v>
      </c>
      <c r="E140" s="11">
        <f t="shared" si="81"/>
        <v>8920</v>
      </c>
      <c r="F140" s="5">
        <f t="shared" si="82"/>
        <v>738</v>
      </c>
      <c r="G140" s="5">
        <f t="shared" si="83"/>
        <v>8160</v>
      </c>
      <c r="J140" s="8">
        <f t="shared" si="72"/>
        <v>2.5799999999999845</v>
      </c>
      <c r="K140" s="13">
        <f t="shared" si="73"/>
        <v>16520</v>
      </c>
      <c r="P140" s="2">
        <f t="shared" si="76"/>
        <v>16520</v>
      </c>
      <c r="Q140" s="2">
        <f t="shared" si="77"/>
        <v>927358</v>
      </c>
    </row>
    <row r="141" spans="1:17" x14ac:dyDescent="0.3">
      <c r="A141" s="3">
        <f t="shared" si="84"/>
        <v>139</v>
      </c>
      <c r="B141" s="8">
        <f t="shared" si="78"/>
        <v>328</v>
      </c>
      <c r="C141" s="11">
        <f t="shared" si="79"/>
        <v>9790</v>
      </c>
      <c r="D141" s="8">
        <f t="shared" si="80"/>
        <v>289</v>
      </c>
      <c r="E141" s="11">
        <f t="shared" si="81"/>
        <v>9010</v>
      </c>
      <c r="F141" s="5">
        <f t="shared" si="82"/>
        <v>739</v>
      </c>
      <c r="G141" s="5">
        <f t="shared" si="83"/>
        <v>8230</v>
      </c>
      <c r="J141" s="8">
        <f t="shared" si="72"/>
        <v>2.5899999999999843</v>
      </c>
      <c r="K141" s="13">
        <f t="shared" si="73"/>
        <v>16710</v>
      </c>
      <c r="P141" s="2">
        <f t="shared" si="76"/>
        <v>16710</v>
      </c>
      <c r="Q141" s="2">
        <f t="shared" si="77"/>
        <v>944068</v>
      </c>
    </row>
    <row r="142" spans="1:17" x14ac:dyDescent="0.3">
      <c r="A142" s="3">
        <f t="shared" si="84"/>
        <v>140</v>
      </c>
      <c r="B142" s="8">
        <f t="shared" si="78"/>
        <v>330</v>
      </c>
      <c r="C142" s="11">
        <f t="shared" si="79"/>
        <v>9900</v>
      </c>
      <c r="D142" s="8">
        <f t="shared" si="80"/>
        <v>290</v>
      </c>
      <c r="E142" s="11">
        <f t="shared" si="81"/>
        <v>9100</v>
      </c>
      <c r="F142" s="5">
        <f t="shared" si="82"/>
        <v>740</v>
      </c>
      <c r="G142" s="5">
        <f t="shared" si="83"/>
        <v>8300</v>
      </c>
      <c r="J142" s="8">
        <f t="shared" si="72"/>
        <v>2.5999999999999841</v>
      </c>
      <c r="K142" s="13">
        <f t="shared" si="73"/>
        <v>16900</v>
      </c>
      <c r="P142" s="2">
        <f t="shared" si="76"/>
        <v>16900</v>
      </c>
      <c r="Q142" s="2">
        <f t="shared" si="77"/>
        <v>960968</v>
      </c>
    </row>
    <row r="143" spans="1:17" x14ac:dyDescent="0.3">
      <c r="A143" s="3">
        <f t="shared" si="84"/>
        <v>141</v>
      </c>
      <c r="B143" s="8">
        <f t="shared" si="78"/>
        <v>332</v>
      </c>
      <c r="C143" s="11">
        <f t="shared" si="79"/>
        <v>10010</v>
      </c>
      <c r="D143" s="8">
        <f t="shared" si="80"/>
        <v>291</v>
      </c>
      <c r="E143" s="11">
        <f t="shared" si="81"/>
        <v>9190</v>
      </c>
      <c r="F143" s="5">
        <f t="shared" si="82"/>
        <v>741</v>
      </c>
      <c r="G143" s="5">
        <f t="shared" si="83"/>
        <v>8370</v>
      </c>
      <c r="J143" s="8">
        <f t="shared" si="72"/>
        <v>2.6099999999999839</v>
      </c>
      <c r="K143" s="13">
        <f t="shared" si="73"/>
        <v>17090</v>
      </c>
      <c r="P143" s="2">
        <f t="shared" si="76"/>
        <v>17090</v>
      </c>
      <c r="Q143" s="2">
        <f t="shared" si="77"/>
        <v>978058</v>
      </c>
    </row>
    <row r="144" spans="1:17" x14ac:dyDescent="0.3">
      <c r="A144" s="3">
        <f t="shared" si="84"/>
        <v>142</v>
      </c>
      <c r="B144" s="8">
        <f t="shared" si="78"/>
        <v>334</v>
      </c>
      <c r="C144" s="11">
        <f t="shared" si="79"/>
        <v>10120</v>
      </c>
      <c r="D144" s="8">
        <f t="shared" si="80"/>
        <v>292</v>
      </c>
      <c r="E144" s="11">
        <f t="shared" si="81"/>
        <v>9280</v>
      </c>
      <c r="F144" s="5">
        <f t="shared" si="82"/>
        <v>742</v>
      </c>
      <c r="G144" s="5">
        <f t="shared" si="83"/>
        <v>8440</v>
      </c>
      <c r="J144" s="8">
        <f t="shared" si="72"/>
        <v>2.6199999999999837</v>
      </c>
      <c r="K144" s="13">
        <f t="shared" si="73"/>
        <v>17280</v>
      </c>
      <c r="P144" s="2">
        <f t="shared" si="76"/>
        <v>17280</v>
      </c>
      <c r="Q144" s="2">
        <f t="shared" si="77"/>
        <v>995338</v>
      </c>
    </row>
    <row r="145" spans="1:17" x14ac:dyDescent="0.3">
      <c r="A145" s="3">
        <f t="shared" si="84"/>
        <v>143</v>
      </c>
      <c r="B145" s="8">
        <f t="shared" si="78"/>
        <v>336</v>
      </c>
      <c r="C145" s="11">
        <f t="shared" si="79"/>
        <v>10230</v>
      </c>
      <c r="D145" s="8">
        <f t="shared" si="80"/>
        <v>293</v>
      </c>
      <c r="E145" s="11">
        <f t="shared" si="81"/>
        <v>9370</v>
      </c>
      <c r="F145" s="5">
        <f t="shared" si="82"/>
        <v>743</v>
      </c>
      <c r="G145" s="5">
        <f t="shared" si="83"/>
        <v>8510</v>
      </c>
      <c r="J145" s="8">
        <f t="shared" si="72"/>
        <v>2.6299999999999835</v>
      </c>
      <c r="K145" s="13">
        <f t="shared" si="73"/>
        <v>17470</v>
      </c>
      <c r="P145" s="2">
        <f t="shared" si="76"/>
        <v>17470</v>
      </c>
      <c r="Q145" s="2">
        <f t="shared" si="77"/>
        <v>1012808</v>
      </c>
    </row>
    <row r="146" spans="1:17" x14ac:dyDescent="0.3">
      <c r="A146" s="3">
        <f t="shared" si="84"/>
        <v>144</v>
      </c>
      <c r="B146" s="8">
        <f t="shared" si="78"/>
        <v>338</v>
      </c>
      <c r="C146" s="11">
        <f t="shared" si="79"/>
        <v>10340</v>
      </c>
      <c r="D146" s="8">
        <f t="shared" si="80"/>
        <v>294</v>
      </c>
      <c r="E146" s="11">
        <f t="shared" si="81"/>
        <v>9460</v>
      </c>
      <c r="F146" s="5">
        <f t="shared" si="82"/>
        <v>744</v>
      </c>
      <c r="G146" s="5">
        <f t="shared" si="83"/>
        <v>8580</v>
      </c>
      <c r="J146" s="8">
        <f t="shared" si="72"/>
        <v>2.6399999999999832</v>
      </c>
      <c r="K146" s="13">
        <f t="shared" si="73"/>
        <v>17660</v>
      </c>
      <c r="P146" s="2">
        <f t="shared" si="76"/>
        <v>17660</v>
      </c>
      <c r="Q146" s="2">
        <f t="shared" si="77"/>
        <v>1030468</v>
      </c>
    </row>
    <row r="147" spans="1:17" x14ac:dyDescent="0.3">
      <c r="A147" s="3">
        <f t="shared" si="84"/>
        <v>145</v>
      </c>
      <c r="B147" s="8">
        <f t="shared" si="78"/>
        <v>340</v>
      </c>
      <c r="C147" s="11">
        <f t="shared" si="79"/>
        <v>10450</v>
      </c>
      <c r="D147" s="8">
        <f t="shared" si="80"/>
        <v>295</v>
      </c>
      <c r="E147" s="11">
        <f t="shared" si="81"/>
        <v>9550</v>
      </c>
      <c r="F147" s="5">
        <f t="shared" si="82"/>
        <v>745</v>
      </c>
      <c r="G147" s="5">
        <f t="shared" si="83"/>
        <v>8650</v>
      </c>
      <c r="J147" s="8">
        <f t="shared" si="72"/>
        <v>2.649999999999983</v>
      </c>
      <c r="K147" s="13">
        <f t="shared" si="73"/>
        <v>17850</v>
      </c>
      <c r="P147" s="2">
        <f t="shared" si="76"/>
        <v>17850</v>
      </c>
      <c r="Q147" s="2">
        <f t="shared" si="77"/>
        <v>1048318</v>
      </c>
    </row>
    <row r="148" spans="1:17" x14ac:dyDescent="0.3">
      <c r="A148" s="3">
        <f t="shared" si="84"/>
        <v>146</v>
      </c>
      <c r="B148" s="8">
        <f t="shared" si="78"/>
        <v>342</v>
      </c>
      <c r="C148" s="11">
        <f t="shared" si="79"/>
        <v>10560</v>
      </c>
      <c r="D148" s="8">
        <f t="shared" si="80"/>
        <v>296</v>
      </c>
      <c r="E148" s="11">
        <f t="shared" si="81"/>
        <v>9640</v>
      </c>
      <c r="F148" s="5">
        <f t="shared" si="82"/>
        <v>746</v>
      </c>
      <c r="G148" s="5">
        <f t="shared" si="83"/>
        <v>8720</v>
      </c>
      <c r="J148" s="8">
        <f t="shared" ref="J148:J211" si="85">J147+0.01</f>
        <v>2.6599999999999828</v>
      </c>
      <c r="K148" s="13">
        <f t="shared" ref="K148:K211" si="86">K147+190</f>
        <v>18040</v>
      </c>
      <c r="P148" s="2">
        <f t="shared" si="76"/>
        <v>18040</v>
      </c>
      <c r="Q148" s="2">
        <f t="shared" si="77"/>
        <v>1066358</v>
      </c>
    </row>
    <row r="149" spans="1:17" x14ac:dyDescent="0.3">
      <c r="A149" s="3">
        <f t="shared" si="84"/>
        <v>147</v>
      </c>
      <c r="B149" s="8">
        <f t="shared" si="78"/>
        <v>344</v>
      </c>
      <c r="C149" s="11">
        <f t="shared" si="79"/>
        <v>10670</v>
      </c>
      <c r="D149" s="8">
        <f t="shared" si="80"/>
        <v>297</v>
      </c>
      <c r="E149" s="11">
        <f t="shared" si="81"/>
        <v>9730</v>
      </c>
      <c r="F149" s="5">
        <f t="shared" si="82"/>
        <v>747</v>
      </c>
      <c r="G149" s="5">
        <f t="shared" si="83"/>
        <v>8790</v>
      </c>
      <c r="J149" s="8">
        <f t="shared" si="85"/>
        <v>2.6699999999999826</v>
      </c>
      <c r="K149" s="13">
        <f t="shared" si="86"/>
        <v>18230</v>
      </c>
      <c r="P149" s="2">
        <f t="shared" si="76"/>
        <v>18230</v>
      </c>
      <c r="Q149" s="2">
        <f t="shared" si="77"/>
        <v>1084588</v>
      </c>
    </row>
    <row r="150" spans="1:17" x14ac:dyDescent="0.3">
      <c r="A150" s="3">
        <f t="shared" si="84"/>
        <v>148</v>
      </c>
      <c r="B150" s="8">
        <f t="shared" si="78"/>
        <v>346</v>
      </c>
      <c r="C150" s="11">
        <f t="shared" si="79"/>
        <v>10780</v>
      </c>
      <c r="D150" s="8">
        <f t="shared" si="80"/>
        <v>298</v>
      </c>
      <c r="E150" s="11">
        <f t="shared" si="81"/>
        <v>9820</v>
      </c>
      <c r="F150" s="5">
        <f t="shared" si="82"/>
        <v>748</v>
      </c>
      <c r="G150" s="5">
        <f t="shared" si="83"/>
        <v>8860</v>
      </c>
      <c r="J150" s="8">
        <f t="shared" si="85"/>
        <v>2.6799999999999824</v>
      </c>
      <c r="K150" s="13">
        <f t="shared" si="86"/>
        <v>18420</v>
      </c>
      <c r="P150" s="2">
        <f t="shared" si="76"/>
        <v>18420</v>
      </c>
      <c r="Q150" s="2">
        <f t="shared" si="77"/>
        <v>1103008</v>
      </c>
    </row>
    <row r="151" spans="1:17" x14ac:dyDescent="0.3">
      <c r="A151" s="3">
        <f t="shared" si="84"/>
        <v>149</v>
      </c>
      <c r="B151" s="8">
        <f t="shared" si="78"/>
        <v>348</v>
      </c>
      <c r="C151" s="11">
        <f t="shared" si="79"/>
        <v>10890</v>
      </c>
      <c r="D151" s="8">
        <f t="shared" si="80"/>
        <v>299</v>
      </c>
      <c r="E151" s="11">
        <f t="shared" si="81"/>
        <v>9910</v>
      </c>
      <c r="F151" s="5">
        <f t="shared" si="82"/>
        <v>749</v>
      </c>
      <c r="G151" s="5">
        <f t="shared" si="83"/>
        <v>8930</v>
      </c>
      <c r="J151" s="8">
        <f t="shared" si="85"/>
        <v>2.6899999999999822</v>
      </c>
      <c r="K151" s="13">
        <f t="shared" si="86"/>
        <v>18610</v>
      </c>
      <c r="P151" s="2">
        <f t="shared" si="76"/>
        <v>18610</v>
      </c>
      <c r="Q151" s="2">
        <f t="shared" si="77"/>
        <v>1121618</v>
      </c>
    </row>
    <row r="152" spans="1:17" x14ac:dyDescent="0.3">
      <c r="A152" s="3">
        <f t="shared" si="84"/>
        <v>150</v>
      </c>
      <c r="B152" s="8">
        <f t="shared" si="78"/>
        <v>350</v>
      </c>
      <c r="C152" s="11">
        <f t="shared" si="79"/>
        <v>11000</v>
      </c>
      <c r="D152" s="8">
        <f t="shared" si="80"/>
        <v>300</v>
      </c>
      <c r="E152" s="11">
        <f t="shared" si="81"/>
        <v>10000</v>
      </c>
      <c r="F152" s="5">
        <f t="shared" si="82"/>
        <v>750</v>
      </c>
      <c r="G152" s="5">
        <f t="shared" si="83"/>
        <v>9000</v>
      </c>
      <c r="J152" s="8">
        <f t="shared" si="85"/>
        <v>2.699999999999982</v>
      </c>
      <c r="K152" s="13">
        <f t="shared" si="86"/>
        <v>18800</v>
      </c>
      <c r="P152" s="2">
        <f t="shared" si="76"/>
        <v>18800</v>
      </c>
      <c r="Q152" s="2">
        <f t="shared" si="77"/>
        <v>1140418</v>
      </c>
    </row>
    <row r="153" spans="1:17" x14ac:dyDescent="0.3">
      <c r="A153" s="3">
        <f t="shared" si="84"/>
        <v>151</v>
      </c>
      <c r="B153" s="8">
        <f t="shared" si="78"/>
        <v>352</v>
      </c>
      <c r="C153" s="11">
        <f t="shared" si="79"/>
        <v>11110</v>
      </c>
      <c r="D153" s="8">
        <f t="shared" si="80"/>
        <v>301</v>
      </c>
      <c r="E153" s="11">
        <f t="shared" si="81"/>
        <v>10090</v>
      </c>
      <c r="F153" s="5">
        <f t="shared" si="82"/>
        <v>751</v>
      </c>
      <c r="G153" s="5">
        <f t="shared" si="83"/>
        <v>9070</v>
      </c>
      <c r="J153" s="8">
        <f t="shared" si="85"/>
        <v>2.7099999999999818</v>
      </c>
      <c r="K153" s="13">
        <f t="shared" si="86"/>
        <v>18990</v>
      </c>
      <c r="P153" s="2">
        <f t="shared" si="76"/>
        <v>18990</v>
      </c>
      <c r="Q153" s="2">
        <f t="shared" si="77"/>
        <v>1159408</v>
      </c>
    </row>
    <row r="154" spans="1:17" x14ac:dyDescent="0.3">
      <c r="A154" s="3">
        <f t="shared" si="84"/>
        <v>152</v>
      </c>
      <c r="B154" s="8">
        <f t="shared" si="78"/>
        <v>354</v>
      </c>
      <c r="C154" s="11">
        <f t="shared" si="79"/>
        <v>11220</v>
      </c>
      <c r="D154" s="8">
        <f t="shared" si="80"/>
        <v>302</v>
      </c>
      <c r="E154" s="11">
        <f t="shared" si="81"/>
        <v>10180</v>
      </c>
      <c r="F154" s="5">
        <f t="shared" si="82"/>
        <v>752</v>
      </c>
      <c r="G154" s="5">
        <f t="shared" si="83"/>
        <v>9140</v>
      </c>
      <c r="J154" s="8">
        <f t="shared" si="85"/>
        <v>2.7199999999999815</v>
      </c>
      <c r="K154" s="13">
        <f t="shared" si="86"/>
        <v>19180</v>
      </c>
      <c r="P154" s="2">
        <f t="shared" si="76"/>
        <v>19180</v>
      </c>
      <c r="Q154" s="2">
        <f t="shared" si="77"/>
        <v>1178588</v>
      </c>
    </row>
    <row r="155" spans="1:17" x14ac:dyDescent="0.3">
      <c r="A155" s="3">
        <f t="shared" si="84"/>
        <v>153</v>
      </c>
      <c r="B155" s="8">
        <f t="shared" si="78"/>
        <v>356</v>
      </c>
      <c r="C155" s="11">
        <f t="shared" si="79"/>
        <v>11330</v>
      </c>
      <c r="D155" s="8">
        <f t="shared" si="80"/>
        <v>303</v>
      </c>
      <c r="E155" s="11">
        <f t="shared" si="81"/>
        <v>10270</v>
      </c>
      <c r="F155" s="5">
        <f t="shared" si="82"/>
        <v>753</v>
      </c>
      <c r="G155" s="5">
        <f t="shared" si="83"/>
        <v>9210</v>
      </c>
      <c r="J155" s="8">
        <f t="shared" si="85"/>
        <v>2.7299999999999813</v>
      </c>
      <c r="K155" s="13">
        <f t="shared" si="86"/>
        <v>19370</v>
      </c>
      <c r="P155" s="2">
        <f t="shared" si="76"/>
        <v>19370</v>
      </c>
      <c r="Q155" s="2">
        <f t="shared" si="77"/>
        <v>1197958</v>
      </c>
    </row>
    <row r="156" spans="1:17" x14ac:dyDescent="0.3">
      <c r="A156" s="3">
        <f t="shared" si="84"/>
        <v>154</v>
      </c>
      <c r="B156" s="8">
        <f t="shared" si="78"/>
        <v>358</v>
      </c>
      <c r="C156" s="11">
        <f t="shared" si="79"/>
        <v>11440</v>
      </c>
      <c r="D156" s="8">
        <f t="shared" si="80"/>
        <v>304</v>
      </c>
      <c r="E156" s="11">
        <f t="shared" si="81"/>
        <v>10360</v>
      </c>
      <c r="F156" s="5">
        <f t="shared" si="82"/>
        <v>754</v>
      </c>
      <c r="G156" s="5">
        <f t="shared" si="83"/>
        <v>9280</v>
      </c>
      <c r="J156" s="8">
        <f t="shared" si="85"/>
        <v>2.7399999999999811</v>
      </c>
      <c r="K156" s="13">
        <f t="shared" si="86"/>
        <v>19560</v>
      </c>
      <c r="P156" s="2">
        <f t="shared" si="76"/>
        <v>19560</v>
      </c>
      <c r="Q156" s="2">
        <f t="shared" si="77"/>
        <v>1217518</v>
      </c>
    </row>
    <row r="157" spans="1:17" x14ac:dyDescent="0.3">
      <c r="A157" s="3">
        <f t="shared" si="84"/>
        <v>155</v>
      </c>
      <c r="B157" s="8">
        <f t="shared" si="78"/>
        <v>360</v>
      </c>
      <c r="C157" s="11">
        <f t="shared" si="79"/>
        <v>11550</v>
      </c>
      <c r="D157" s="8">
        <f t="shared" si="80"/>
        <v>305</v>
      </c>
      <c r="E157" s="11">
        <f t="shared" si="81"/>
        <v>10450</v>
      </c>
      <c r="F157" s="5">
        <f t="shared" si="82"/>
        <v>755</v>
      </c>
      <c r="G157" s="5">
        <f t="shared" si="83"/>
        <v>9350</v>
      </c>
      <c r="J157" s="8">
        <f t="shared" si="85"/>
        <v>2.7499999999999809</v>
      </c>
      <c r="K157" s="13">
        <f t="shared" si="86"/>
        <v>19750</v>
      </c>
      <c r="P157" s="2">
        <f t="shared" si="76"/>
        <v>19750</v>
      </c>
      <c r="Q157" s="2">
        <f t="shared" si="77"/>
        <v>1237268</v>
      </c>
    </row>
    <row r="158" spans="1:17" x14ac:dyDescent="0.3">
      <c r="A158" s="3">
        <f t="shared" si="84"/>
        <v>156</v>
      </c>
      <c r="B158" s="8">
        <f t="shared" si="78"/>
        <v>362</v>
      </c>
      <c r="C158" s="11">
        <f t="shared" si="79"/>
        <v>11660</v>
      </c>
      <c r="D158" s="8">
        <f t="shared" si="80"/>
        <v>306</v>
      </c>
      <c r="E158" s="11">
        <f t="shared" si="81"/>
        <v>10540</v>
      </c>
      <c r="F158" s="5">
        <f t="shared" si="82"/>
        <v>756</v>
      </c>
      <c r="G158" s="5">
        <f t="shared" si="83"/>
        <v>9420</v>
      </c>
      <c r="J158" s="8">
        <f t="shared" si="85"/>
        <v>2.7599999999999807</v>
      </c>
      <c r="K158" s="13">
        <f t="shared" si="86"/>
        <v>19940</v>
      </c>
      <c r="P158" s="2">
        <f t="shared" si="76"/>
        <v>19940</v>
      </c>
      <c r="Q158" s="2">
        <f t="shared" si="77"/>
        <v>1257208</v>
      </c>
    </row>
    <row r="159" spans="1:17" x14ac:dyDescent="0.3">
      <c r="A159" s="3">
        <f t="shared" si="84"/>
        <v>157</v>
      </c>
      <c r="B159" s="8">
        <f t="shared" si="78"/>
        <v>364</v>
      </c>
      <c r="C159" s="11">
        <f t="shared" si="79"/>
        <v>11770</v>
      </c>
      <c r="D159" s="8">
        <f t="shared" si="80"/>
        <v>307</v>
      </c>
      <c r="E159" s="11">
        <f t="shared" si="81"/>
        <v>10630</v>
      </c>
      <c r="F159" s="5">
        <f t="shared" si="82"/>
        <v>757</v>
      </c>
      <c r="G159" s="5">
        <f t="shared" si="83"/>
        <v>9490</v>
      </c>
      <c r="J159" s="8">
        <f t="shared" si="85"/>
        <v>2.7699999999999805</v>
      </c>
      <c r="K159" s="13">
        <f t="shared" si="86"/>
        <v>20130</v>
      </c>
      <c r="P159" s="2">
        <f t="shared" si="76"/>
        <v>20130</v>
      </c>
      <c r="Q159" s="2">
        <f t="shared" si="77"/>
        <v>1277338</v>
      </c>
    </row>
    <row r="160" spans="1:17" x14ac:dyDescent="0.3">
      <c r="A160" s="3">
        <f t="shared" si="84"/>
        <v>158</v>
      </c>
      <c r="B160" s="8">
        <f t="shared" si="78"/>
        <v>366</v>
      </c>
      <c r="C160" s="11">
        <f t="shared" si="79"/>
        <v>11880</v>
      </c>
      <c r="D160" s="8">
        <f t="shared" si="80"/>
        <v>308</v>
      </c>
      <c r="E160" s="11">
        <f t="shared" si="81"/>
        <v>10720</v>
      </c>
      <c r="F160" s="5">
        <f t="shared" si="82"/>
        <v>758</v>
      </c>
      <c r="G160" s="5">
        <f t="shared" si="83"/>
        <v>9560</v>
      </c>
      <c r="J160" s="8">
        <f t="shared" si="85"/>
        <v>2.7799999999999803</v>
      </c>
      <c r="K160" s="13">
        <f t="shared" si="86"/>
        <v>20320</v>
      </c>
      <c r="P160" s="2">
        <f t="shared" si="76"/>
        <v>20320</v>
      </c>
      <c r="Q160" s="2">
        <f t="shared" si="77"/>
        <v>1297658</v>
      </c>
    </row>
    <row r="161" spans="1:17" x14ac:dyDescent="0.3">
      <c r="A161" s="3">
        <f t="shared" si="84"/>
        <v>159</v>
      </c>
      <c r="B161" s="8">
        <f t="shared" si="78"/>
        <v>368</v>
      </c>
      <c r="C161" s="11">
        <f t="shared" si="79"/>
        <v>11990</v>
      </c>
      <c r="D161" s="8">
        <f t="shared" si="80"/>
        <v>309</v>
      </c>
      <c r="E161" s="11">
        <f t="shared" si="81"/>
        <v>10810</v>
      </c>
      <c r="F161" s="5">
        <f t="shared" si="82"/>
        <v>759</v>
      </c>
      <c r="G161" s="5">
        <f t="shared" si="83"/>
        <v>9630</v>
      </c>
      <c r="J161" s="8">
        <f t="shared" si="85"/>
        <v>2.7899999999999801</v>
      </c>
      <c r="K161" s="13">
        <f t="shared" si="86"/>
        <v>20510</v>
      </c>
      <c r="P161" s="2">
        <f t="shared" si="76"/>
        <v>20510</v>
      </c>
      <c r="Q161" s="2">
        <f t="shared" si="77"/>
        <v>1318168</v>
      </c>
    </row>
    <row r="162" spans="1:17" x14ac:dyDescent="0.3">
      <c r="A162" s="3">
        <f t="shared" si="84"/>
        <v>160</v>
      </c>
      <c r="B162" s="8">
        <f t="shared" si="78"/>
        <v>370</v>
      </c>
      <c r="C162" s="11">
        <f t="shared" si="79"/>
        <v>12100</v>
      </c>
      <c r="D162" s="8">
        <f t="shared" si="80"/>
        <v>310</v>
      </c>
      <c r="E162" s="11">
        <f t="shared" si="81"/>
        <v>10900</v>
      </c>
      <c r="F162" s="5">
        <f t="shared" si="82"/>
        <v>760</v>
      </c>
      <c r="G162" s="5">
        <f t="shared" si="83"/>
        <v>9700</v>
      </c>
      <c r="J162" s="8">
        <f t="shared" si="85"/>
        <v>2.7999999999999798</v>
      </c>
      <c r="K162" s="13">
        <f t="shared" si="86"/>
        <v>20700</v>
      </c>
      <c r="P162" s="2">
        <f t="shared" si="76"/>
        <v>20700</v>
      </c>
      <c r="Q162" s="2">
        <f t="shared" si="77"/>
        <v>1338868</v>
      </c>
    </row>
    <row r="163" spans="1:17" x14ac:dyDescent="0.3">
      <c r="A163" s="3">
        <f t="shared" si="84"/>
        <v>161</v>
      </c>
      <c r="B163" s="8">
        <f t="shared" si="78"/>
        <v>372</v>
      </c>
      <c r="C163" s="11">
        <f t="shared" si="79"/>
        <v>12210</v>
      </c>
      <c r="D163" s="8">
        <f t="shared" si="80"/>
        <v>311</v>
      </c>
      <c r="E163" s="11">
        <f t="shared" si="81"/>
        <v>10990</v>
      </c>
      <c r="F163" s="5">
        <f t="shared" si="82"/>
        <v>761</v>
      </c>
      <c r="G163" s="5">
        <f t="shared" si="83"/>
        <v>9770</v>
      </c>
      <c r="J163" s="8">
        <f t="shared" si="85"/>
        <v>2.8099999999999796</v>
      </c>
      <c r="K163" s="13">
        <f t="shared" si="86"/>
        <v>20890</v>
      </c>
      <c r="P163" s="2">
        <f t="shared" si="76"/>
        <v>20890</v>
      </c>
      <c r="Q163" s="2">
        <f t="shared" si="77"/>
        <v>1359758</v>
      </c>
    </row>
    <row r="164" spans="1:17" x14ac:dyDescent="0.3">
      <c r="A164" s="3">
        <f t="shared" si="84"/>
        <v>162</v>
      </c>
      <c r="B164" s="8">
        <f t="shared" si="78"/>
        <v>374</v>
      </c>
      <c r="C164" s="11">
        <f t="shared" si="79"/>
        <v>12320</v>
      </c>
      <c r="D164" s="8">
        <f t="shared" si="80"/>
        <v>312</v>
      </c>
      <c r="E164" s="11">
        <f t="shared" si="81"/>
        <v>11080</v>
      </c>
      <c r="F164" s="5">
        <f t="shared" si="82"/>
        <v>762</v>
      </c>
      <c r="G164" s="5">
        <f t="shared" si="83"/>
        <v>9840</v>
      </c>
      <c r="J164" s="8">
        <f t="shared" si="85"/>
        <v>2.8199999999999794</v>
      </c>
      <c r="K164" s="13">
        <f t="shared" si="86"/>
        <v>21080</v>
      </c>
      <c r="P164" s="2">
        <f t="shared" si="76"/>
        <v>21080</v>
      </c>
      <c r="Q164" s="2">
        <f t="shared" si="77"/>
        <v>1380838</v>
      </c>
    </row>
    <row r="165" spans="1:17" x14ac:dyDescent="0.3">
      <c r="A165" s="3">
        <f t="shared" si="84"/>
        <v>163</v>
      </c>
      <c r="B165" s="8">
        <f t="shared" si="78"/>
        <v>376</v>
      </c>
      <c r="C165" s="11">
        <f t="shared" si="79"/>
        <v>12430</v>
      </c>
      <c r="D165" s="8">
        <f t="shared" si="80"/>
        <v>313</v>
      </c>
      <c r="E165" s="11">
        <f t="shared" si="81"/>
        <v>11170</v>
      </c>
      <c r="F165" s="5">
        <f t="shared" si="82"/>
        <v>763</v>
      </c>
      <c r="G165" s="5">
        <f t="shared" si="83"/>
        <v>9910</v>
      </c>
      <c r="J165" s="8">
        <f t="shared" si="85"/>
        <v>2.8299999999999792</v>
      </c>
      <c r="K165" s="13">
        <f t="shared" si="86"/>
        <v>21270</v>
      </c>
      <c r="P165" s="2">
        <f t="shared" si="76"/>
        <v>21270</v>
      </c>
      <c r="Q165" s="2">
        <f t="shared" si="77"/>
        <v>1402108</v>
      </c>
    </row>
    <row r="166" spans="1:17" x14ac:dyDescent="0.3">
      <c r="A166" s="3">
        <f t="shared" si="84"/>
        <v>164</v>
      </c>
      <c r="B166" s="8">
        <f t="shared" si="78"/>
        <v>378</v>
      </c>
      <c r="C166" s="11">
        <f t="shared" si="79"/>
        <v>12540</v>
      </c>
      <c r="D166" s="8">
        <f t="shared" si="80"/>
        <v>314</v>
      </c>
      <c r="E166" s="11">
        <f t="shared" si="81"/>
        <v>11260</v>
      </c>
      <c r="F166" s="5">
        <f t="shared" si="82"/>
        <v>764</v>
      </c>
      <c r="G166" s="5">
        <f t="shared" si="83"/>
        <v>9980</v>
      </c>
      <c r="J166" s="8">
        <f t="shared" si="85"/>
        <v>2.839999999999979</v>
      </c>
      <c r="K166" s="13">
        <f t="shared" si="86"/>
        <v>21460</v>
      </c>
      <c r="P166" s="2">
        <f t="shared" ref="P166:P229" si="87">K166</f>
        <v>21460</v>
      </c>
      <c r="Q166" s="2">
        <f t="shared" ref="Q166:Q229" si="88">Q165+K166</f>
        <v>1423568</v>
      </c>
    </row>
    <row r="167" spans="1:17" x14ac:dyDescent="0.3">
      <c r="A167" s="3">
        <f t="shared" si="84"/>
        <v>165</v>
      </c>
      <c r="B167" s="8">
        <f t="shared" si="78"/>
        <v>380</v>
      </c>
      <c r="C167" s="11">
        <f t="shared" si="79"/>
        <v>12650</v>
      </c>
      <c r="D167" s="8">
        <f t="shared" si="80"/>
        <v>315</v>
      </c>
      <c r="E167" s="11">
        <f t="shared" si="81"/>
        <v>11350</v>
      </c>
      <c r="F167" s="5">
        <f t="shared" si="82"/>
        <v>765</v>
      </c>
      <c r="G167" s="5">
        <f t="shared" si="83"/>
        <v>10050</v>
      </c>
      <c r="J167" s="8">
        <f t="shared" si="85"/>
        <v>2.8499999999999788</v>
      </c>
      <c r="K167" s="13">
        <f t="shared" si="86"/>
        <v>21650</v>
      </c>
      <c r="P167" s="2">
        <f t="shared" si="87"/>
        <v>21650</v>
      </c>
      <c r="Q167" s="2">
        <f t="shared" si="88"/>
        <v>1445218</v>
      </c>
    </row>
    <row r="168" spans="1:17" x14ac:dyDescent="0.3">
      <c r="A168" s="3">
        <f t="shared" si="84"/>
        <v>166</v>
      </c>
      <c r="B168" s="8">
        <f t="shared" ref="B168:B231" si="89">B167+2</f>
        <v>382</v>
      </c>
      <c r="C168" s="11">
        <f t="shared" ref="C168:C231" si="90">C167+110</f>
        <v>12760</v>
      </c>
      <c r="D168" s="8">
        <f t="shared" ref="D168:D231" si="91">D167+1</f>
        <v>316</v>
      </c>
      <c r="E168" s="11">
        <f t="shared" ref="E168:E231" si="92">E167+90</f>
        <v>11440</v>
      </c>
      <c r="F168" s="5">
        <f t="shared" ref="F168:F231" si="93">F167+1</f>
        <v>766</v>
      </c>
      <c r="G168" s="5">
        <f t="shared" ref="G168:G231" si="94">G167+70</f>
        <v>10120</v>
      </c>
      <c r="J168" s="8">
        <f t="shared" si="85"/>
        <v>2.8599999999999786</v>
      </c>
      <c r="K168" s="13">
        <f t="shared" si="86"/>
        <v>21840</v>
      </c>
      <c r="P168" s="2">
        <f t="shared" si="87"/>
        <v>21840</v>
      </c>
      <c r="Q168" s="2">
        <f t="shared" si="88"/>
        <v>1467058</v>
      </c>
    </row>
    <row r="169" spans="1:17" x14ac:dyDescent="0.3">
      <c r="A169" s="3">
        <f t="shared" si="84"/>
        <v>167</v>
      </c>
      <c r="B169" s="8">
        <f t="shared" si="89"/>
        <v>384</v>
      </c>
      <c r="C169" s="11">
        <f t="shared" si="90"/>
        <v>12870</v>
      </c>
      <c r="D169" s="8">
        <f t="shared" si="91"/>
        <v>317</v>
      </c>
      <c r="E169" s="11">
        <f t="shared" si="92"/>
        <v>11530</v>
      </c>
      <c r="F169" s="5">
        <f t="shared" si="93"/>
        <v>767</v>
      </c>
      <c r="G169" s="5">
        <f t="shared" si="94"/>
        <v>10190</v>
      </c>
      <c r="J169" s="8">
        <f t="shared" si="85"/>
        <v>2.8699999999999783</v>
      </c>
      <c r="K169" s="13">
        <f t="shared" si="86"/>
        <v>22030</v>
      </c>
      <c r="P169" s="2">
        <f t="shared" si="87"/>
        <v>22030</v>
      </c>
      <c r="Q169" s="2">
        <f t="shared" si="88"/>
        <v>1489088</v>
      </c>
    </row>
    <row r="170" spans="1:17" x14ac:dyDescent="0.3">
      <c r="A170" s="3">
        <f t="shared" si="84"/>
        <v>168</v>
      </c>
      <c r="B170" s="8">
        <f t="shared" si="89"/>
        <v>386</v>
      </c>
      <c r="C170" s="11">
        <f t="shared" si="90"/>
        <v>12980</v>
      </c>
      <c r="D170" s="8">
        <f t="shared" si="91"/>
        <v>318</v>
      </c>
      <c r="E170" s="11">
        <f t="shared" si="92"/>
        <v>11620</v>
      </c>
      <c r="F170" s="5">
        <f t="shared" si="93"/>
        <v>768</v>
      </c>
      <c r="G170" s="5">
        <f t="shared" si="94"/>
        <v>10260</v>
      </c>
      <c r="J170" s="8">
        <f t="shared" si="85"/>
        <v>2.8799999999999781</v>
      </c>
      <c r="K170" s="13">
        <f t="shared" si="86"/>
        <v>22220</v>
      </c>
      <c r="P170" s="2">
        <f t="shared" si="87"/>
        <v>22220</v>
      </c>
      <c r="Q170" s="2">
        <f t="shared" si="88"/>
        <v>1511308</v>
      </c>
    </row>
    <row r="171" spans="1:17" x14ac:dyDescent="0.3">
      <c r="A171" s="3">
        <f t="shared" si="84"/>
        <v>169</v>
      </c>
      <c r="B171" s="8">
        <f t="shared" si="89"/>
        <v>388</v>
      </c>
      <c r="C171" s="11">
        <f t="shared" si="90"/>
        <v>13090</v>
      </c>
      <c r="D171" s="8">
        <f t="shared" si="91"/>
        <v>319</v>
      </c>
      <c r="E171" s="11">
        <f t="shared" si="92"/>
        <v>11710</v>
      </c>
      <c r="F171" s="5">
        <f t="shared" si="93"/>
        <v>769</v>
      </c>
      <c r="G171" s="5">
        <f t="shared" si="94"/>
        <v>10330</v>
      </c>
      <c r="J171" s="8">
        <f t="shared" si="85"/>
        <v>2.8899999999999779</v>
      </c>
      <c r="K171" s="13">
        <f t="shared" si="86"/>
        <v>22410</v>
      </c>
      <c r="P171" s="2">
        <f t="shared" si="87"/>
        <v>22410</v>
      </c>
      <c r="Q171" s="2">
        <f t="shared" si="88"/>
        <v>1533718</v>
      </c>
    </row>
    <row r="172" spans="1:17" x14ac:dyDescent="0.3">
      <c r="A172" s="3">
        <f t="shared" si="84"/>
        <v>170</v>
      </c>
      <c r="B172" s="8">
        <f t="shared" si="89"/>
        <v>390</v>
      </c>
      <c r="C172" s="11">
        <f t="shared" si="90"/>
        <v>13200</v>
      </c>
      <c r="D172" s="8">
        <f t="shared" si="91"/>
        <v>320</v>
      </c>
      <c r="E172" s="11">
        <f t="shared" si="92"/>
        <v>11800</v>
      </c>
      <c r="F172" s="5">
        <f t="shared" si="93"/>
        <v>770</v>
      </c>
      <c r="G172" s="5">
        <f t="shared" si="94"/>
        <v>10400</v>
      </c>
      <c r="J172" s="8">
        <f t="shared" si="85"/>
        <v>2.8999999999999777</v>
      </c>
      <c r="K172" s="13">
        <f t="shared" si="86"/>
        <v>22600</v>
      </c>
      <c r="P172" s="2">
        <f t="shared" si="87"/>
        <v>22600</v>
      </c>
      <c r="Q172" s="2">
        <f t="shared" si="88"/>
        <v>1556318</v>
      </c>
    </row>
    <row r="173" spans="1:17" x14ac:dyDescent="0.3">
      <c r="A173" s="3">
        <f t="shared" si="84"/>
        <v>171</v>
      </c>
      <c r="B173" s="8">
        <f t="shared" si="89"/>
        <v>392</v>
      </c>
      <c r="C173" s="11">
        <f t="shared" si="90"/>
        <v>13310</v>
      </c>
      <c r="D173" s="8">
        <f t="shared" si="91"/>
        <v>321</v>
      </c>
      <c r="E173" s="11">
        <f t="shared" si="92"/>
        <v>11890</v>
      </c>
      <c r="F173" s="5">
        <f t="shared" si="93"/>
        <v>771</v>
      </c>
      <c r="G173" s="5">
        <f t="shared" si="94"/>
        <v>10470</v>
      </c>
      <c r="J173" s="8">
        <f t="shared" si="85"/>
        <v>2.9099999999999775</v>
      </c>
      <c r="K173" s="13">
        <f t="shared" si="86"/>
        <v>22790</v>
      </c>
      <c r="P173" s="2">
        <f t="shared" si="87"/>
        <v>22790</v>
      </c>
      <c r="Q173" s="2">
        <f t="shared" si="88"/>
        <v>1579108</v>
      </c>
    </row>
    <row r="174" spans="1:17" x14ac:dyDescent="0.3">
      <c r="A174" s="3">
        <f t="shared" si="84"/>
        <v>172</v>
      </c>
      <c r="B174" s="8">
        <f t="shared" si="89"/>
        <v>394</v>
      </c>
      <c r="C174" s="11">
        <f t="shared" si="90"/>
        <v>13420</v>
      </c>
      <c r="D174" s="8">
        <f t="shared" si="91"/>
        <v>322</v>
      </c>
      <c r="E174" s="11">
        <f t="shared" si="92"/>
        <v>11980</v>
      </c>
      <c r="F174" s="5">
        <f t="shared" si="93"/>
        <v>772</v>
      </c>
      <c r="G174" s="5">
        <f t="shared" si="94"/>
        <v>10540</v>
      </c>
      <c r="J174" s="8">
        <f t="shared" si="85"/>
        <v>2.9199999999999773</v>
      </c>
      <c r="K174" s="13">
        <f t="shared" si="86"/>
        <v>22980</v>
      </c>
      <c r="P174" s="2">
        <f t="shared" si="87"/>
        <v>22980</v>
      </c>
      <c r="Q174" s="2">
        <f t="shared" si="88"/>
        <v>1602088</v>
      </c>
    </row>
    <row r="175" spans="1:17" x14ac:dyDescent="0.3">
      <c r="A175" s="3">
        <f t="shared" si="84"/>
        <v>173</v>
      </c>
      <c r="B175" s="8">
        <f t="shared" si="89"/>
        <v>396</v>
      </c>
      <c r="C175" s="11">
        <f t="shared" si="90"/>
        <v>13530</v>
      </c>
      <c r="D175" s="8">
        <f t="shared" si="91"/>
        <v>323</v>
      </c>
      <c r="E175" s="11">
        <f t="shared" si="92"/>
        <v>12070</v>
      </c>
      <c r="F175" s="5">
        <f t="shared" si="93"/>
        <v>773</v>
      </c>
      <c r="G175" s="5">
        <f t="shared" si="94"/>
        <v>10610</v>
      </c>
      <c r="J175" s="8">
        <f t="shared" si="85"/>
        <v>2.9299999999999771</v>
      </c>
      <c r="K175" s="13">
        <f t="shared" si="86"/>
        <v>23170</v>
      </c>
      <c r="P175" s="2">
        <f t="shared" si="87"/>
        <v>23170</v>
      </c>
      <c r="Q175" s="2">
        <f t="shared" si="88"/>
        <v>1625258</v>
      </c>
    </row>
    <row r="176" spans="1:17" x14ac:dyDescent="0.3">
      <c r="A176" s="3">
        <f t="shared" si="84"/>
        <v>174</v>
      </c>
      <c r="B176" s="8">
        <f t="shared" si="89"/>
        <v>398</v>
      </c>
      <c r="C176" s="11">
        <f t="shared" si="90"/>
        <v>13640</v>
      </c>
      <c r="D176" s="8">
        <f t="shared" si="91"/>
        <v>324</v>
      </c>
      <c r="E176" s="11">
        <f t="shared" si="92"/>
        <v>12160</v>
      </c>
      <c r="F176" s="5">
        <f t="shared" si="93"/>
        <v>774</v>
      </c>
      <c r="G176" s="5">
        <f t="shared" si="94"/>
        <v>10680</v>
      </c>
      <c r="J176" s="8">
        <f t="shared" si="85"/>
        <v>2.9399999999999769</v>
      </c>
      <c r="K176" s="13">
        <f t="shared" si="86"/>
        <v>23360</v>
      </c>
      <c r="P176" s="2">
        <f t="shared" si="87"/>
        <v>23360</v>
      </c>
      <c r="Q176" s="2">
        <f t="shared" si="88"/>
        <v>1648618</v>
      </c>
    </row>
    <row r="177" spans="1:17" x14ac:dyDescent="0.3">
      <c r="A177" s="3">
        <f t="shared" si="84"/>
        <v>175</v>
      </c>
      <c r="B177" s="8">
        <f t="shared" si="89"/>
        <v>400</v>
      </c>
      <c r="C177" s="11">
        <f t="shared" si="90"/>
        <v>13750</v>
      </c>
      <c r="D177" s="8">
        <f t="shared" si="91"/>
        <v>325</v>
      </c>
      <c r="E177" s="11">
        <f t="shared" si="92"/>
        <v>12250</v>
      </c>
      <c r="F177" s="5">
        <f t="shared" si="93"/>
        <v>775</v>
      </c>
      <c r="G177" s="5">
        <f t="shared" si="94"/>
        <v>10750</v>
      </c>
      <c r="J177" s="8">
        <f t="shared" si="85"/>
        <v>2.9499999999999766</v>
      </c>
      <c r="K177" s="13">
        <f t="shared" si="86"/>
        <v>23550</v>
      </c>
      <c r="P177" s="2">
        <f t="shared" si="87"/>
        <v>23550</v>
      </c>
      <c r="Q177" s="2">
        <f t="shared" si="88"/>
        <v>1672168</v>
      </c>
    </row>
    <row r="178" spans="1:17" x14ac:dyDescent="0.3">
      <c r="A178" s="3">
        <f t="shared" si="84"/>
        <v>176</v>
      </c>
      <c r="B178" s="8">
        <f t="shared" si="89"/>
        <v>402</v>
      </c>
      <c r="C178" s="11">
        <f t="shared" si="90"/>
        <v>13860</v>
      </c>
      <c r="D178" s="8">
        <f t="shared" si="91"/>
        <v>326</v>
      </c>
      <c r="E178" s="11">
        <f t="shared" si="92"/>
        <v>12340</v>
      </c>
      <c r="F178" s="5">
        <f t="shared" si="93"/>
        <v>776</v>
      </c>
      <c r="G178" s="5">
        <f t="shared" si="94"/>
        <v>10820</v>
      </c>
      <c r="J178" s="8">
        <f t="shared" si="85"/>
        <v>2.9599999999999764</v>
      </c>
      <c r="K178" s="13">
        <f t="shared" si="86"/>
        <v>23740</v>
      </c>
      <c r="P178" s="2">
        <f t="shared" si="87"/>
        <v>23740</v>
      </c>
      <c r="Q178" s="2">
        <f t="shared" si="88"/>
        <v>1695908</v>
      </c>
    </row>
    <row r="179" spans="1:17" x14ac:dyDescent="0.3">
      <c r="A179" s="3">
        <f t="shared" si="84"/>
        <v>177</v>
      </c>
      <c r="B179" s="8">
        <f t="shared" si="89"/>
        <v>404</v>
      </c>
      <c r="C179" s="11">
        <f t="shared" si="90"/>
        <v>13970</v>
      </c>
      <c r="D179" s="8">
        <f t="shared" si="91"/>
        <v>327</v>
      </c>
      <c r="E179" s="11">
        <f t="shared" si="92"/>
        <v>12430</v>
      </c>
      <c r="F179" s="5">
        <f t="shared" si="93"/>
        <v>777</v>
      </c>
      <c r="G179" s="5">
        <f t="shared" si="94"/>
        <v>10890</v>
      </c>
      <c r="J179" s="8">
        <f t="shared" si="85"/>
        <v>2.9699999999999762</v>
      </c>
      <c r="K179" s="13">
        <f t="shared" si="86"/>
        <v>23930</v>
      </c>
      <c r="P179" s="2">
        <f t="shared" si="87"/>
        <v>23930</v>
      </c>
      <c r="Q179" s="2">
        <f t="shared" si="88"/>
        <v>1719838</v>
      </c>
    </row>
    <row r="180" spans="1:17" x14ac:dyDescent="0.3">
      <c r="A180" s="3">
        <f t="shared" si="84"/>
        <v>178</v>
      </c>
      <c r="B180" s="8">
        <f t="shared" si="89"/>
        <v>406</v>
      </c>
      <c r="C180" s="11">
        <f t="shared" si="90"/>
        <v>14080</v>
      </c>
      <c r="D180" s="8">
        <f t="shared" si="91"/>
        <v>328</v>
      </c>
      <c r="E180" s="11">
        <f t="shared" si="92"/>
        <v>12520</v>
      </c>
      <c r="F180" s="5">
        <f t="shared" si="93"/>
        <v>778</v>
      </c>
      <c r="G180" s="5">
        <f t="shared" si="94"/>
        <v>10960</v>
      </c>
      <c r="J180" s="8">
        <f t="shared" si="85"/>
        <v>2.979999999999976</v>
      </c>
      <c r="K180" s="13">
        <f t="shared" si="86"/>
        <v>24120</v>
      </c>
      <c r="P180" s="2">
        <f t="shared" si="87"/>
        <v>24120</v>
      </c>
      <c r="Q180" s="2">
        <f t="shared" si="88"/>
        <v>1743958</v>
      </c>
    </row>
    <row r="181" spans="1:17" x14ac:dyDescent="0.3">
      <c r="A181" s="3">
        <f t="shared" si="84"/>
        <v>179</v>
      </c>
      <c r="B181" s="8">
        <f t="shared" si="89"/>
        <v>408</v>
      </c>
      <c r="C181" s="11">
        <f t="shared" si="90"/>
        <v>14190</v>
      </c>
      <c r="D181" s="8">
        <f t="shared" si="91"/>
        <v>329</v>
      </c>
      <c r="E181" s="11">
        <f t="shared" si="92"/>
        <v>12610</v>
      </c>
      <c r="F181" s="5">
        <f t="shared" si="93"/>
        <v>779</v>
      </c>
      <c r="G181" s="5">
        <f t="shared" si="94"/>
        <v>11030</v>
      </c>
      <c r="J181" s="8">
        <f t="shared" si="85"/>
        <v>2.9899999999999758</v>
      </c>
      <c r="K181" s="13">
        <f t="shared" si="86"/>
        <v>24310</v>
      </c>
      <c r="P181" s="2">
        <f t="shared" si="87"/>
        <v>24310</v>
      </c>
      <c r="Q181" s="2">
        <f t="shared" si="88"/>
        <v>1768268</v>
      </c>
    </row>
    <row r="182" spans="1:17" x14ac:dyDescent="0.3">
      <c r="A182" s="3">
        <f t="shared" si="84"/>
        <v>180</v>
      </c>
      <c r="B182" s="8">
        <f t="shared" si="89"/>
        <v>410</v>
      </c>
      <c r="C182" s="11">
        <f t="shared" si="90"/>
        <v>14300</v>
      </c>
      <c r="D182" s="8">
        <f t="shared" si="91"/>
        <v>330</v>
      </c>
      <c r="E182" s="11">
        <f t="shared" si="92"/>
        <v>12700</v>
      </c>
      <c r="F182" s="5">
        <f t="shared" si="93"/>
        <v>780</v>
      </c>
      <c r="G182" s="5">
        <f t="shared" si="94"/>
        <v>11100</v>
      </c>
      <c r="J182" s="8">
        <f t="shared" si="85"/>
        <v>2.9999999999999756</v>
      </c>
      <c r="K182" s="13">
        <f t="shared" si="86"/>
        <v>24500</v>
      </c>
      <c r="P182" s="2">
        <f t="shared" si="87"/>
        <v>24500</v>
      </c>
      <c r="Q182" s="2">
        <f t="shared" si="88"/>
        <v>1792768</v>
      </c>
    </row>
    <row r="183" spans="1:17" x14ac:dyDescent="0.3">
      <c r="A183" s="3">
        <f t="shared" si="84"/>
        <v>181</v>
      </c>
      <c r="B183" s="8">
        <f t="shared" si="89"/>
        <v>412</v>
      </c>
      <c r="C183" s="11">
        <f t="shared" si="90"/>
        <v>14410</v>
      </c>
      <c r="D183" s="8">
        <f t="shared" si="91"/>
        <v>331</v>
      </c>
      <c r="E183" s="11">
        <f t="shared" si="92"/>
        <v>12790</v>
      </c>
      <c r="F183" s="5">
        <f t="shared" si="93"/>
        <v>781</v>
      </c>
      <c r="G183" s="5">
        <f t="shared" si="94"/>
        <v>11170</v>
      </c>
      <c r="J183" s="8">
        <f t="shared" si="85"/>
        <v>3.0099999999999754</v>
      </c>
      <c r="K183" s="13">
        <f t="shared" si="86"/>
        <v>24690</v>
      </c>
      <c r="P183" s="2">
        <f t="shared" si="87"/>
        <v>24690</v>
      </c>
      <c r="Q183" s="2">
        <f t="shared" si="88"/>
        <v>1817458</v>
      </c>
    </row>
    <row r="184" spans="1:17" x14ac:dyDescent="0.3">
      <c r="A184" s="3">
        <f t="shared" si="84"/>
        <v>182</v>
      </c>
      <c r="B184" s="8">
        <f t="shared" si="89"/>
        <v>414</v>
      </c>
      <c r="C184" s="11">
        <f t="shared" si="90"/>
        <v>14520</v>
      </c>
      <c r="D184" s="8">
        <f t="shared" si="91"/>
        <v>332</v>
      </c>
      <c r="E184" s="11">
        <f t="shared" si="92"/>
        <v>12880</v>
      </c>
      <c r="F184" s="5">
        <f t="shared" si="93"/>
        <v>782</v>
      </c>
      <c r="G184" s="5">
        <f t="shared" si="94"/>
        <v>11240</v>
      </c>
      <c r="J184" s="8">
        <f t="shared" si="85"/>
        <v>3.0199999999999751</v>
      </c>
      <c r="K184" s="13">
        <f t="shared" si="86"/>
        <v>24880</v>
      </c>
      <c r="P184" s="2">
        <f t="shared" si="87"/>
        <v>24880</v>
      </c>
      <c r="Q184" s="2">
        <f t="shared" si="88"/>
        <v>1842338</v>
      </c>
    </row>
    <row r="185" spans="1:17" x14ac:dyDescent="0.3">
      <c r="A185" s="3">
        <f t="shared" si="84"/>
        <v>183</v>
      </c>
      <c r="B185" s="8">
        <f t="shared" si="89"/>
        <v>416</v>
      </c>
      <c r="C185" s="11">
        <f t="shared" si="90"/>
        <v>14630</v>
      </c>
      <c r="D185" s="8">
        <f t="shared" si="91"/>
        <v>333</v>
      </c>
      <c r="E185" s="11">
        <f t="shared" si="92"/>
        <v>12970</v>
      </c>
      <c r="F185" s="5">
        <f t="shared" si="93"/>
        <v>783</v>
      </c>
      <c r="G185" s="5">
        <f t="shared" si="94"/>
        <v>11310</v>
      </c>
      <c r="J185" s="8">
        <f t="shared" si="85"/>
        <v>3.0299999999999749</v>
      </c>
      <c r="K185" s="13">
        <f t="shared" si="86"/>
        <v>25070</v>
      </c>
      <c r="P185" s="2">
        <f t="shared" si="87"/>
        <v>25070</v>
      </c>
      <c r="Q185" s="2">
        <f t="shared" si="88"/>
        <v>1867408</v>
      </c>
    </row>
    <row r="186" spans="1:17" x14ac:dyDescent="0.3">
      <c r="A186" s="3">
        <f t="shared" si="84"/>
        <v>184</v>
      </c>
      <c r="B186" s="8">
        <f t="shared" si="89"/>
        <v>418</v>
      </c>
      <c r="C186" s="11">
        <f t="shared" si="90"/>
        <v>14740</v>
      </c>
      <c r="D186" s="8">
        <f t="shared" si="91"/>
        <v>334</v>
      </c>
      <c r="E186" s="11">
        <f t="shared" si="92"/>
        <v>13060</v>
      </c>
      <c r="F186" s="5">
        <f t="shared" si="93"/>
        <v>784</v>
      </c>
      <c r="G186" s="5">
        <f t="shared" si="94"/>
        <v>11380</v>
      </c>
      <c r="J186" s="8">
        <f t="shared" si="85"/>
        <v>3.0399999999999747</v>
      </c>
      <c r="K186" s="13">
        <f t="shared" si="86"/>
        <v>25260</v>
      </c>
      <c r="P186" s="2">
        <f t="shared" si="87"/>
        <v>25260</v>
      </c>
      <c r="Q186" s="2">
        <f t="shared" si="88"/>
        <v>1892668</v>
      </c>
    </row>
    <row r="187" spans="1:17" x14ac:dyDescent="0.3">
      <c r="A187" s="3">
        <f t="shared" si="84"/>
        <v>185</v>
      </c>
      <c r="B187" s="8">
        <f t="shared" si="89"/>
        <v>420</v>
      </c>
      <c r="C187" s="11">
        <f t="shared" si="90"/>
        <v>14850</v>
      </c>
      <c r="D187" s="8">
        <f t="shared" si="91"/>
        <v>335</v>
      </c>
      <c r="E187" s="11">
        <f t="shared" si="92"/>
        <v>13150</v>
      </c>
      <c r="F187" s="5">
        <f t="shared" si="93"/>
        <v>785</v>
      </c>
      <c r="G187" s="5">
        <f t="shared" si="94"/>
        <v>11450</v>
      </c>
      <c r="J187" s="8">
        <f t="shared" si="85"/>
        <v>3.0499999999999745</v>
      </c>
      <c r="K187" s="13">
        <f t="shared" si="86"/>
        <v>25450</v>
      </c>
      <c r="P187" s="2">
        <f t="shared" si="87"/>
        <v>25450</v>
      </c>
      <c r="Q187" s="2">
        <f t="shared" si="88"/>
        <v>1918118</v>
      </c>
    </row>
    <row r="188" spans="1:17" x14ac:dyDescent="0.3">
      <c r="A188" s="3">
        <f t="shared" si="84"/>
        <v>186</v>
      </c>
      <c r="B188" s="8">
        <f t="shared" si="89"/>
        <v>422</v>
      </c>
      <c r="C188" s="11">
        <f t="shared" si="90"/>
        <v>14960</v>
      </c>
      <c r="D188" s="8">
        <f t="shared" si="91"/>
        <v>336</v>
      </c>
      <c r="E188" s="11">
        <f t="shared" si="92"/>
        <v>13240</v>
      </c>
      <c r="F188" s="5">
        <f t="shared" si="93"/>
        <v>786</v>
      </c>
      <c r="G188" s="5">
        <f t="shared" si="94"/>
        <v>11520</v>
      </c>
      <c r="J188" s="8">
        <f t="shared" si="85"/>
        <v>3.0599999999999743</v>
      </c>
      <c r="K188" s="13">
        <f t="shared" si="86"/>
        <v>25640</v>
      </c>
      <c r="P188" s="2">
        <f t="shared" si="87"/>
        <v>25640</v>
      </c>
      <c r="Q188" s="2">
        <f t="shared" si="88"/>
        <v>1943758</v>
      </c>
    </row>
    <row r="189" spans="1:17" x14ac:dyDescent="0.3">
      <c r="A189" s="3">
        <f t="shared" si="84"/>
        <v>187</v>
      </c>
      <c r="B189" s="8">
        <f t="shared" si="89"/>
        <v>424</v>
      </c>
      <c r="C189" s="11">
        <f t="shared" si="90"/>
        <v>15070</v>
      </c>
      <c r="D189" s="8">
        <f t="shared" si="91"/>
        <v>337</v>
      </c>
      <c r="E189" s="11">
        <f t="shared" si="92"/>
        <v>13330</v>
      </c>
      <c r="F189" s="5">
        <f t="shared" si="93"/>
        <v>787</v>
      </c>
      <c r="G189" s="5">
        <f t="shared" si="94"/>
        <v>11590</v>
      </c>
      <c r="J189" s="8">
        <f t="shared" si="85"/>
        <v>3.0699999999999741</v>
      </c>
      <c r="K189" s="13">
        <f t="shared" si="86"/>
        <v>25830</v>
      </c>
      <c r="P189" s="2">
        <f t="shared" si="87"/>
        <v>25830</v>
      </c>
      <c r="Q189" s="2">
        <f t="shared" si="88"/>
        <v>1969588</v>
      </c>
    </row>
    <row r="190" spans="1:17" x14ac:dyDescent="0.3">
      <c r="A190" s="3">
        <f t="shared" si="84"/>
        <v>188</v>
      </c>
      <c r="B190" s="8">
        <f t="shared" si="89"/>
        <v>426</v>
      </c>
      <c r="C190" s="11">
        <f t="shared" si="90"/>
        <v>15180</v>
      </c>
      <c r="D190" s="8">
        <f t="shared" si="91"/>
        <v>338</v>
      </c>
      <c r="E190" s="11">
        <f t="shared" si="92"/>
        <v>13420</v>
      </c>
      <c r="F190" s="5">
        <f t="shared" si="93"/>
        <v>788</v>
      </c>
      <c r="G190" s="5">
        <f t="shared" si="94"/>
        <v>11660</v>
      </c>
      <c r="J190" s="8">
        <f t="shared" si="85"/>
        <v>3.0799999999999739</v>
      </c>
      <c r="K190" s="13">
        <f t="shared" si="86"/>
        <v>26020</v>
      </c>
      <c r="P190" s="2">
        <f t="shared" si="87"/>
        <v>26020</v>
      </c>
      <c r="Q190" s="2">
        <f t="shared" si="88"/>
        <v>1995608</v>
      </c>
    </row>
    <row r="191" spans="1:17" x14ac:dyDescent="0.3">
      <c r="A191" s="3">
        <f t="shared" si="84"/>
        <v>189</v>
      </c>
      <c r="B191" s="8">
        <f t="shared" si="89"/>
        <v>428</v>
      </c>
      <c r="C191" s="11">
        <f t="shared" si="90"/>
        <v>15290</v>
      </c>
      <c r="D191" s="8">
        <f t="shared" si="91"/>
        <v>339</v>
      </c>
      <c r="E191" s="11">
        <f t="shared" si="92"/>
        <v>13510</v>
      </c>
      <c r="F191" s="5">
        <f t="shared" si="93"/>
        <v>789</v>
      </c>
      <c r="G191" s="5">
        <f t="shared" si="94"/>
        <v>11730</v>
      </c>
      <c r="J191" s="8">
        <f t="shared" si="85"/>
        <v>3.0899999999999737</v>
      </c>
      <c r="K191" s="13">
        <f t="shared" si="86"/>
        <v>26210</v>
      </c>
      <c r="P191" s="2">
        <f t="shared" si="87"/>
        <v>26210</v>
      </c>
      <c r="Q191" s="2">
        <f t="shared" si="88"/>
        <v>2021818</v>
      </c>
    </row>
    <row r="192" spans="1:17" x14ac:dyDescent="0.3">
      <c r="A192" s="3">
        <f t="shared" si="84"/>
        <v>190</v>
      </c>
      <c r="B192" s="8">
        <f t="shared" si="89"/>
        <v>430</v>
      </c>
      <c r="C192" s="11">
        <f t="shared" si="90"/>
        <v>15400</v>
      </c>
      <c r="D192" s="8">
        <f t="shared" si="91"/>
        <v>340</v>
      </c>
      <c r="E192" s="11">
        <f t="shared" si="92"/>
        <v>13600</v>
      </c>
      <c r="F192" s="5">
        <f t="shared" si="93"/>
        <v>790</v>
      </c>
      <c r="G192" s="5">
        <f t="shared" si="94"/>
        <v>11800</v>
      </c>
      <c r="J192" s="8">
        <f t="shared" si="85"/>
        <v>3.0999999999999734</v>
      </c>
      <c r="K192" s="13">
        <f t="shared" si="86"/>
        <v>26400</v>
      </c>
      <c r="P192" s="2">
        <f t="shared" si="87"/>
        <v>26400</v>
      </c>
      <c r="Q192" s="2">
        <f t="shared" si="88"/>
        <v>2048218</v>
      </c>
    </row>
    <row r="193" spans="1:17" x14ac:dyDescent="0.3">
      <c r="A193" s="3">
        <f t="shared" si="84"/>
        <v>191</v>
      </c>
      <c r="B193" s="8">
        <f t="shared" si="89"/>
        <v>432</v>
      </c>
      <c r="C193" s="11">
        <f t="shared" si="90"/>
        <v>15510</v>
      </c>
      <c r="D193" s="8">
        <f t="shared" si="91"/>
        <v>341</v>
      </c>
      <c r="E193" s="11">
        <f t="shared" si="92"/>
        <v>13690</v>
      </c>
      <c r="F193" s="5">
        <f t="shared" si="93"/>
        <v>791</v>
      </c>
      <c r="G193" s="5">
        <f t="shared" si="94"/>
        <v>11870</v>
      </c>
      <c r="J193" s="8">
        <f t="shared" si="85"/>
        <v>3.1099999999999732</v>
      </c>
      <c r="K193" s="13">
        <f t="shared" si="86"/>
        <v>26590</v>
      </c>
      <c r="P193" s="2">
        <f t="shared" si="87"/>
        <v>26590</v>
      </c>
      <c r="Q193" s="2">
        <f t="shared" si="88"/>
        <v>2074808</v>
      </c>
    </row>
    <row r="194" spans="1:17" x14ac:dyDescent="0.3">
      <c r="A194" s="3">
        <f t="shared" si="84"/>
        <v>192</v>
      </c>
      <c r="B194" s="8">
        <f t="shared" si="89"/>
        <v>434</v>
      </c>
      <c r="C194" s="11">
        <f t="shared" si="90"/>
        <v>15620</v>
      </c>
      <c r="D194" s="8">
        <f t="shared" si="91"/>
        <v>342</v>
      </c>
      <c r="E194" s="11">
        <f t="shared" si="92"/>
        <v>13780</v>
      </c>
      <c r="F194" s="5">
        <f t="shared" si="93"/>
        <v>792</v>
      </c>
      <c r="G194" s="5">
        <f t="shared" si="94"/>
        <v>11940</v>
      </c>
      <c r="J194" s="8">
        <f t="shared" si="85"/>
        <v>3.119999999999973</v>
      </c>
      <c r="K194" s="13">
        <f t="shared" si="86"/>
        <v>26780</v>
      </c>
      <c r="P194" s="2">
        <f t="shared" si="87"/>
        <v>26780</v>
      </c>
      <c r="Q194" s="2">
        <f t="shared" si="88"/>
        <v>2101588</v>
      </c>
    </row>
    <row r="195" spans="1:17" x14ac:dyDescent="0.3">
      <c r="A195" s="3">
        <f t="shared" si="84"/>
        <v>193</v>
      </c>
      <c r="B195" s="8">
        <f t="shared" si="89"/>
        <v>436</v>
      </c>
      <c r="C195" s="11">
        <f t="shared" si="90"/>
        <v>15730</v>
      </c>
      <c r="D195" s="8">
        <f t="shared" si="91"/>
        <v>343</v>
      </c>
      <c r="E195" s="11">
        <f t="shared" si="92"/>
        <v>13870</v>
      </c>
      <c r="F195" s="5">
        <f t="shared" si="93"/>
        <v>793</v>
      </c>
      <c r="G195" s="5">
        <f t="shared" si="94"/>
        <v>12010</v>
      </c>
      <c r="J195" s="8">
        <f t="shared" si="85"/>
        <v>3.1299999999999728</v>
      </c>
      <c r="K195" s="13">
        <f t="shared" si="86"/>
        <v>26970</v>
      </c>
      <c r="P195" s="2">
        <f t="shared" si="87"/>
        <v>26970</v>
      </c>
      <c r="Q195" s="2">
        <f t="shared" si="88"/>
        <v>2128558</v>
      </c>
    </row>
    <row r="196" spans="1:17" x14ac:dyDescent="0.3">
      <c r="A196" s="3">
        <f t="shared" si="84"/>
        <v>194</v>
      </c>
      <c r="B196" s="8">
        <f t="shared" si="89"/>
        <v>438</v>
      </c>
      <c r="C196" s="11">
        <f t="shared" si="90"/>
        <v>15840</v>
      </c>
      <c r="D196" s="8">
        <f t="shared" si="91"/>
        <v>344</v>
      </c>
      <c r="E196" s="11">
        <f t="shared" si="92"/>
        <v>13960</v>
      </c>
      <c r="F196" s="5">
        <f t="shared" si="93"/>
        <v>794</v>
      </c>
      <c r="G196" s="5">
        <f t="shared" si="94"/>
        <v>12080</v>
      </c>
      <c r="J196" s="8">
        <f t="shared" si="85"/>
        <v>3.1399999999999726</v>
      </c>
      <c r="K196" s="13">
        <f t="shared" si="86"/>
        <v>27160</v>
      </c>
      <c r="P196" s="2">
        <f t="shared" si="87"/>
        <v>27160</v>
      </c>
      <c r="Q196" s="2">
        <f t="shared" si="88"/>
        <v>2155718</v>
      </c>
    </row>
    <row r="197" spans="1:17" x14ac:dyDescent="0.3">
      <c r="A197" s="3">
        <f t="shared" ref="A197:A260" si="95">A196+1</f>
        <v>195</v>
      </c>
      <c r="B197" s="8">
        <f t="shared" si="89"/>
        <v>440</v>
      </c>
      <c r="C197" s="11">
        <f t="shared" si="90"/>
        <v>15950</v>
      </c>
      <c r="D197" s="8">
        <f t="shared" si="91"/>
        <v>345</v>
      </c>
      <c r="E197" s="11">
        <f t="shared" si="92"/>
        <v>14050</v>
      </c>
      <c r="F197" s="5">
        <f t="shared" si="93"/>
        <v>795</v>
      </c>
      <c r="G197" s="5">
        <f t="shared" si="94"/>
        <v>12150</v>
      </c>
      <c r="J197" s="8">
        <f t="shared" si="85"/>
        <v>3.1499999999999724</v>
      </c>
      <c r="K197" s="13">
        <f t="shared" si="86"/>
        <v>27350</v>
      </c>
      <c r="P197" s="2">
        <f t="shared" si="87"/>
        <v>27350</v>
      </c>
      <c r="Q197" s="2">
        <f t="shared" si="88"/>
        <v>2183068</v>
      </c>
    </row>
    <row r="198" spans="1:17" x14ac:dyDescent="0.3">
      <c r="A198" s="3">
        <f t="shared" si="95"/>
        <v>196</v>
      </c>
      <c r="B198" s="8">
        <f t="shared" si="89"/>
        <v>442</v>
      </c>
      <c r="C198" s="11">
        <f t="shared" si="90"/>
        <v>16060</v>
      </c>
      <c r="D198" s="8">
        <f t="shared" si="91"/>
        <v>346</v>
      </c>
      <c r="E198" s="11">
        <f t="shared" si="92"/>
        <v>14140</v>
      </c>
      <c r="F198" s="5">
        <f t="shared" si="93"/>
        <v>796</v>
      </c>
      <c r="G198" s="5">
        <f t="shared" si="94"/>
        <v>12220</v>
      </c>
      <c r="J198" s="8">
        <f t="shared" si="85"/>
        <v>3.1599999999999722</v>
      </c>
      <c r="K198" s="13">
        <f t="shared" si="86"/>
        <v>27540</v>
      </c>
      <c r="P198" s="2">
        <f t="shared" si="87"/>
        <v>27540</v>
      </c>
      <c r="Q198" s="2">
        <f t="shared" si="88"/>
        <v>2210608</v>
      </c>
    </row>
    <row r="199" spans="1:17" x14ac:dyDescent="0.3">
      <c r="A199" s="3">
        <f t="shared" si="95"/>
        <v>197</v>
      </c>
      <c r="B199" s="8">
        <f t="shared" si="89"/>
        <v>444</v>
      </c>
      <c r="C199" s="11">
        <f t="shared" si="90"/>
        <v>16170</v>
      </c>
      <c r="D199" s="8">
        <f t="shared" si="91"/>
        <v>347</v>
      </c>
      <c r="E199" s="11">
        <f t="shared" si="92"/>
        <v>14230</v>
      </c>
      <c r="F199" s="5">
        <f t="shared" si="93"/>
        <v>797</v>
      </c>
      <c r="G199" s="5">
        <f t="shared" si="94"/>
        <v>12290</v>
      </c>
      <c r="J199" s="8">
        <f t="shared" si="85"/>
        <v>3.169999999999972</v>
      </c>
      <c r="K199" s="13">
        <f t="shared" si="86"/>
        <v>27730</v>
      </c>
      <c r="P199" s="2">
        <f t="shared" si="87"/>
        <v>27730</v>
      </c>
      <c r="Q199" s="2">
        <f t="shared" si="88"/>
        <v>2238338</v>
      </c>
    </row>
    <row r="200" spans="1:17" x14ac:dyDescent="0.3">
      <c r="A200" s="3">
        <f t="shared" si="95"/>
        <v>198</v>
      </c>
      <c r="B200" s="8">
        <f t="shared" si="89"/>
        <v>446</v>
      </c>
      <c r="C200" s="11">
        <f t="shared" si="90"/>
        <v>16280</v>
      </c>
      <c r="D200" s="8">
        <f t="shared" si="91"/>
        <v>348</v>
      </c>
      <c r="E200" s="11">
        <f t="shared" si="92"/>
        <v>14320</v>
      </c>
      <c r="F200" s="5">
        <f t="shared" si="93"/>
        <v>798</v>
      </c>
      <c r="G200" s="5">
        <f t="shared" si="94"/>
        <v>12360</v>
      </c>
      <c r="J200" s="8">
        <f t="shared" si="85"/>
        <v>3.1799999999999717</v>
      </c>
      <c r="K200" s="13">
        <f t="shared" si="86"/>
        <v>27920</v>
      </c>
      <c r="P200" s="2">
        <f t="shared" si="87"/>
        <v>27920</v>
      </c>
      <c r="Q200" s="2">
        <f t="shared" si="88"/>
        <v>2266258</v>
      </c>
    </row>
    <row r="201" spans="1:17" x14ac:dyDescent="0.3">
      <c r="A201" s="3">
        <f t="shared" si="95"/>
        <v>199</v>
      </c>
      <c r="B201" s="8">
        <f t="shared" si="89"/>
        <v>448</v>
      </c>
      <c r="C201" s="11">
        <f t="shared" si="90"/>
        <v>16390</v>
      </c>
      <c r="D201" s="8">
        <f t="shared" si="91"/>
        <v>349</v>
      </c>
      <c r="E201" s="11">
        <f t="shared" si="92"/>
        <v>14410</v>
      </c>
      <c r="F201" s="5">
        <f t="shared" si="93"/>
        <v>799</v>
      </c>
      <c r="G201" s="5">
        <f t="shared" si="94"/>
        <v>12430</v>
      </c>
      <c r="J201" s="8">
        <f t="shared" si="85"/>
        <v>3.1899999999999715</v>
      </c>
      <c r="K201" s="13">
        <f t="shared" si="86"/>
        <v>28110</v>
      </c>
      <c r="P201" s="2">
        <f t="shared" si="87"/>
        <v>28110</v>
      </c>
      <c r="Q201" s="2">
        <f t="shared" si="88"/>
        <v>2294368</v>
      </c>
    </row>
    <row r="202" spans="1:17" x14ac:dyDescent="0.3">
      <c r="A202" s="3">
        <f t="shared" si="95"/>
        <v>200</v>
      </c>
      <c r="B202" s="8">
        <f t="shared" si="89"/>
        <v>450</v>
      </c>
      <c r="C202" s="11">
        <f t="shared" si="90"/>
        <v>16500</v>
      </c>
      <c r="D202" s="8">
        <f t="shared" si="91"/>
        <v>350</v>
      </c>
      <c r="E202" s="11">
        <f t="shared" si="92"/>
        <v>14500</v>
      </c>
      <c r="F202" s="5">
        <f t="shared" si="93"/>
        <v>800</v>
      </c>
      <c r="G202" s="5">
        <f t="shared" si="94"/>
        <v>12500</v>
      </c>
      <c r="J202" s="8">
        <f t="shared" si="85"/>
        <v>3.1999999999999713</v>
      </c>
      <c r="K202" s="13">
        <f t="shared" si="86"/>
        <v>28300</v>
      </c>
      <c r="P202" s="2">
        <f t="shared" si="87"/>
        <v>28300</v>
      </c>
      <c r="Q202" s="2">
        <f t="shared" si="88"/>
        <v>2322668</v>
      </c>
    </row>
    <row r="203" spans="1:17" x14ac:dyDescent="0.3">
      <c r="A203" s="3">
        <f t="shared" si="95"/>
        <v>201</v>
      </c>
      <c r="B203" s="8">
        <f t="shared" si="89"/>
        <v>452</v>
      </c>
      <c r="C203" s="11">
        <f t="shared" si="90"/>
        <v>16610</v>
      </c>
      <c r="D203" s="8">
        <f t="shared" si="91"/>
        <v>351</v>
      </c>
      <c r="E203" s="11">
        <f t="shared" si="92"/>
        <v>14590</v>
      </c>
      <c r="F203" s="5">
        <f t="shared" si="93"/>
        <v>801</v>
      </c>
      <c r="G203" s="5">
        <f t="shared" si="94"/>
        <v>12570</v>
      </c>
      <c r="J203" s="8">
        <f t="shared" si="85"/>
        <v>3.2099999999999711</v>
      </c>
      <c r="K203" s="13">
        <f t="shared" si="86"/>
        <v>28490</v>
      </c>
      <c r="P203" s="2">
        <f t="shared" si="87"/>
        <v>28490</v>
      </c>
      <c r="Q203" s="2">
        <f t="shared" si="88"/>
        <v>2351158</v>
      </c>
    </row>
    <row r="204" spans="1:17" x14ac:dyDescent="0.3">
      <c r="A204" s="3">
        <f t="shared" si="95"/>
        <v>202</v>
      </c>
      <c r="B204" s="8">
        <f t="shared" si="89"/>
        <v>454</v>
      </c>
      <c r="C204" s="11">
        <f t="shared" si="90"/>
        <v>16720</v>
      </c>
      <c r="D204" s="8">
        <f t="shared" si="91"/>
        <v>352</v>
      </c>
      <c r="E204" s="11">
        <f t="shared" si="92"/>
        <v>14680</v>
      </c>
      <c r="F204" s="5">
        <f t="shared" si="93"/>
        <v>802</v>
      </c>
      <c r="G204" s="5">
        <f t="shared" si="94"/>
        <v>12640</v>
      </c>
      <c r="J204" s="8">
        <f t="shared" si="85"/>
        <v>3.2199999999999709</v>
      </c>
      <c r="K204" s="13">
        <f t="shared" si="86"/>
        <v>28680</v>
      </c>
      <c r="P204" s="2">
        <f t="shared" si="87"/>
        <v>28680</v>
      </c>
      <c r="Q204" s="2">
        <f t="shared" si="88"/>
        <v>2379838</v>
      </c>
    </row>
    <row r="205" spans="1:17" x14ac:dyDescent="0.3">
      <c r="A205" s="3">
        <f t="shared" si="95"/>
        <v>203</v>
      </c>
      <c r="B205" s="8">
        <f t="shared" si="89"/>
        <v>456</v>
      </c>
      <c r="C205" s="11">
        <f t="shared" si="90"/>
        <v>16830</v>
      </c>
      <c r="D205" s="8">
        <f t="shared" si="91"/>
        <v>353</v>
      </c>
      <c r="E205" s="11">
        <f t="shared" si="92"/>
        <v>14770</v>
      </c>
      <c r="F205" s="5">
        <f t="shared" si="93"/>
        <v>803</v>
      </c>
      <c r="G205" s="5">
        <f t="shared" si="94"/>
        <v>12710</v>
      </c>
      <c r="J205" s="8">
        <f t="shared" si="85"/>
        <v>3.2299999999999707</v>
      </c>
      <c r="K205" s="13">
        <f t="shared" si="86"/>
        <v>28870</v>
      </c>
      <c r="P205" s="2">
        <f t="shared" si="87"/>
        <v>28870</v>
      </c>
      <c r="Q205" s="2">
        <f t="shared" si="88"/>
        <v>2408708</v>
      </c>
    </row>
    <row r="206" spans="1:17" x14ac:dyDescent="0.3">
      <c r="A206" s="3">
        <f t="shared" si="95"/>
        <v>204</v>
      </c>
      <c r="B206" s="8">
        <f t="shared" si="89"/>
        <v>458</v>
      </c>
      <c r="C206" s="11">
        <f t="shared" si="90"/>
        <v>16940</v>
      </c>
      <c r="D206" s="8">
        <f t="shared" si="91"/>
        <v>354</v>
      </c>
      <c r="E206" s="11">
        <f t="shared" si="92"/>
        <v>14860</v>
      </c>
      <c r="F206" s="5">
        <f t="shared" si="93"/>
        <v>804</v>
      </c>
      <c r="G206" s="5">
        <f t="shared" si="94"/>
        <v>12780</v>
      </c>
      <c r="J206" s="8">
        <f t="shared" si="85"/>
        <v>3.2399999999999705</v>
      </c>
      <c r="K206" s="13">
        <f t="shared" si="86"/>
        <v>29060</v>
      </c>
      <c r="P206" s="2">
        <f t="shared" si="87"/>
        <v>29060</v>
      </c>
      <c r="Q206" s="2">
        <f t="shared" si="88"/>
        <v>2437768</v>
      </c>
    </row>
    <row r="207" spans="1:17" x14ac:dyDescent="0.3">
      <c r="A207" s="3">
        <f t="shared" si="95"/>
        <v>205</v>
      </c>
      <c r="B207" s="8">
        <f t="shared" si="89"/>
        <v>460</v>
      </c>
      <c r="C207" s="11">
        <f t="shared" si="90"/>
        <v>17050</v>
      </c>
      <c r="D207" s="8">
        <f t="shared" si="91"/>
        <v>355</v>
      </c>
      <c r="E207" s="11">
        <f t="shared" si="92"/>
        <v>14950</v>
      </c>
      <c r="F207" s="5">
        <f t="shared" si="93"/>
        <v>805</v>
      </c>
      <c r="G207" s="5">
        <f t="shared" si="94"/>
        <v>12850</v>
      </c>
      <c r="J207" s="8">
        <f t="shared" si="85"/>
        <v>3.2499999999999702</v>
      </c>
      <c r="K207" s="13">
        <f t="shared" si="86"/>
        <v>29250</v>
      </c>
      <c r="P207" s="2">
        <f t="shared" si="87"/>
        <v>29250</v>
      </c>
      <c r="Q207" s="2">
        <f t="shared" si="88"/>
        <v>2467018</v>
      </c>
    </row>
    <row r="208" spans="1:17" x14ac:dyDescent="0.3">
      <c r="A208" s="3">
        <f t="shared" si="95"/>
        <v>206</v>
      </c>
      <c r="B208" s="8">
        <f t="shared" si="89"/>
        <v>462</v>
      </c>
      <c r="C208" s="11">
        <f t="shared" si="90"/>
        <v>17160</v>
      </c>
      <c r="D208" s="8">
        <f t="shared" si="91"/>
        <v>356</v>
      </c>
      <c r="E208" s="11">
        <f t="shared" si="92"/>
        <v>15040</v>
      </c>
      <c r="F208" s="5">
        <f t="shared" si="93"/>
        <v>806</v>
      </c>
      <c r="G208" s="5">
        <f t="shared" si="94"/>
        <v>12920</v>
      </c>
      <c r="J208" s="8">
        <f t="shared" si="85"/>
        <v>3.25999999999997</v>
      </c>
      <c r="K208" s="13">
        <f t="shared" si="86"/>
        <v>29440</v>
      </c>
      <c r="P208" s="2">
        <f t="shared" si="87"/>
        <v>29440</v>
      </c>
      <c r="Q208" s="2">
        <f t="shared" si="88"/>
        <v>2496458</v>
      </c>
    </row>
    <row r="209" spans="1:17" x14ac:dyDescent="0.3">
      <c r="A209" s="3">
        <f t="shared" si="95"/>
        <v>207</v>
      </c>
      <c r="B209" s="8">
        <f t="shared" si="89"/>
        <v>464</v>
      </c>
      <c r="C209" s="11">
        <f t="shared" si="90"/>
        <v>17270</v>
      </c>
      <c r="D209" s="8">
        <f t="shared" si="91"/>
        <v>357</v>
      </c>
      <c r="E209" s="11">
        <f t="shared" si="92"/>
        <v>15130</v>
      </c>
      <c r="F209" s="5">
        <f t="shared" si="93"/>
        <v>807</v>
      </c>
      <c r="G209" s="5">
        <f t="shared" si="94"/>
        <v>12990</v>
      </c>
      <c r="J209" s="8">
        <f t="shared" si="85"/>
        <v>3.2699999999999698</v>
      </c>
      <c r="K209" s="13">
        <f t="shared" si="86"/>
        <v>29630</v>
      </c>
      <c r="P209" s="2">
        <f t="shared" si="87"/>
        <v>29630</v>
      </c>
      <c r="Q209" s="2">
        <f t="shared" si="88"/>
        <v>2526088</v>
      </c>
    </row>
    <row r="210" spans="1:17" x14ac:dyDescent="0.3">
      <c r="A210" s="3">
        <f t="shared" si="95"/>
        <v>208</v>
      </c>
      <c r="B210" s="8">
        <f t="shared" si="89"/>
        <v>466</v>
      </c>
      <c r="C210" s="11">
        <f t="shared" si="90"/>
        <v>17380</v>
      </c>
      <c r="D210" s="8">
        <f t="shared" si="91"/>
        <v>358</v>
      </c>
      <c r="E210" s="11">
        <f t="shared" si="92"/>
        <v>15220</v>
      </c>
      <c r="F210" s="5">
        <f t="shared" si="93"/>
        <v>808</v>
      </c>
      <c r="G210" s="5">
        <f t="shared" si="94"/>
        <v>13060</v>
      </c>
      <c r="J210" s="8">
        <f t="shared" si="85"/>
        <v>3.2799999999999696</v>
      </c>
      <c r="K210" s="13">
        <f t="shared" si="86"/>
        <v>29820</v>
      </c>
      <c r="P210" s="2">
        <f t="shared" si="87"/>
        <v>29820</v>
      </c>
      <c r="Q210" s="2">
        <f t="shared" si="88"/>
        <v>2555908</v>
      </c>
    </row>
    <row r="211" spans="1:17" x14ac:dyDescent="0.3">
      <c r="A211" s="3">
        <f t="shared" si="95"/>
        <v>209</v>
      </c>
      <c r="B211" s="8">
        <f t="shared" si="89"/>
        <v>468</v>
      </c>
      <c r="C211" s="11">
        <f t="shared" si="90"/>
        <v>17490</v>
      </c>
      <c r="D211" s="8">
        <f t="shared" si="91"/>
        <v>359</v>
      </c>
      <c r="E211" s="11">
        <f t="shared" si="92"/>
        <v>15310</v>
      </c>
      <c r="F211" s="5">
        <f t="shared" si="93"/>
        <v>809</v>
      </c>
      <c r="G211" s="5">
        <f t="shared" si="94"/>
        <v>13130</v>
      </c>
      <c r="J211" s="8">
        <f t="shared" si="85"/>
        <v>3.2899999999999694</v>
      </c>
      <c r="K211" s="13">
        <f t="shared" si="86"/>
        <v>30010</v>
      </c>
      <c r="P211" s="2">
        <f t="shared" si="87"/>
        <v>30010</v>
      </c>
      <c r="Q211" s="2">
        <f t="shared" si="88"/>
        <v>2585918</v>
      </c>
    </row>
    <row r="212" spans="1:17" x14ac:dyDescent="0.3">
      <c r="A212" s="3">
        <f t="shared" si="95"/>
        <v>210</v>
      </c>
      <c r="B212" s="8">
        <f t="shared" si="89"/>
        <v>470</v>
      </c>
      <c r="C212" s="11">
        <f t="shared" si="90"/>
        <v>17600</v>
      </c>
      <c r="D212" s="8">
        <f t="shared" si="91"/>
        <v>360</v>
      </c>
      <c r="E212" s="11">
        <f t="shared" si="92"/>
        <v>15400</v>
      </c>
      <c r="F212" s="5">
        <f t="shared" si="93"/>
        <v>810</v>
      </c>
      <c r="G212" s="5">
        <f t="shared" si="94"/>
        <v>13200</v>
      </c>
      <c r="J212" s="8">
        <f t="shared" ref="J212:J275" si="96">J211+0.01</f>
        <v>3.2999999999999692</v>
      </c>
      <c r="K212" s="13">
        <f t="shared" ref="K212:K275" si="97">K211+190</f>
        <v>30200</v>
      </c>
      <c r="P212" s="2">
        <f t="shared" si="87"/>
        <v>30200</v>
      </c>
      <c r="Q212" s="2">
        <f t="shared" si="88"/>
        <v>2616118</v>
      </c>
    </row>
    <row r="213" spans="1:17" x14ac:dyDescent="0.3">
      <c r="A213" s="3">
        <f t="shared" si="95"/>
        <v>211</v>
      </c>
      <c r="B213" s="8">
        <f t="shared" si="89"/>
        <v>472</v>
      </c>
      <c r="C213" s="11">
        <f t="shared" si="90"/>
        <v>17710</v>
      </c>
      <c r="D213" s="8">
        <f t="shared" si="91"/>
        <v>361</v>
      </c>
      <c r="E213" s="11">
        <f t="shared" si="92"/>
        <v>15490</v>
      </c>
      <c r="F213" s="5">
        <f t="shared" si="93"/>
        <v>811</v>
      </c>
      <c r="G213" s="5">
        <f t="shared" si="94"/>
        <v>13270</v>
      </c>
      <c r="J213" s="8">
        <f t="shared" si="96"/>
        <v>3.309999999999969</v>
      </c>
      <c r="K213" s="13">
        <f t="shared" si="97"/>
        <v>30390</v>
      </c>
      <c r="P213" s="2">
        <f t="shared" si="87"/>
        <v>30390</v>
      </c>
      <c r="Q213" s="2">
        <f t="shared" si="88"/>
        <v>2646508</v>
      </c>
    </row>
    <row r="214" spans="1:17" x14ac:dyDescent="0.3">
      <c r="A214" s="3">
        <f t="shared" si="95"/>
        <v>212</v>
      </c>
      <c r="B214" s="8">
        <f t="shared" si="89"/>
        <v>474</v>
      </c>
      <c r="C214" s="11">
        <f t="shared" si="90"/>
        <v>17820</v>
      </c>
      <c r="D214" s="8">
        <f t="shared" si="91"/>
        <v>362</v>
      </c>
      <c r="E214" s="11">
        <f t="shared" si="92"/>
        <v>15580</v>
      </c>
      <c r="F214" s="5">
        <f t="shared" si="93"/>
        <v>812</v>
      </c>
      <c r="G214" s="5">
        <f t="shared" si="94"/>
        <v>13340</v>
      </c>
      <c r="J214" s="8">
        <f t="shared" si="96"/>
        <v>3.3199999999999688</v>
      </c>
      <c r="K214" s="13">
        <f t="shared" si="97"/>
        <v>30580</v>
      </c>
      <c r="P214" s="2">
        <f t="shared" si="87"/>
        <v>30580</v>
      </c>
      <c r="Q214" s="2">
        <f t="shared" si="88"/>
        <v>2677088</v>
      </c>
    </row>
    <row r="215" spans="1:17" x14ac:dyDescent="0.3">
      <c r="A215" s="3">
        <f t="shared" si="95"/>
        <v>213</v>
      </c>
      <c r="B215" s="8">
        <f t="shared" si="89"/>
        <v>476</v>
      </c>
      <c r="C215" s="11">
        <f t="shared" si="90"/>
        <v>17930</v>
      </c>
      <c r="D215" s="8">
        <f t="shared" si="91"/>
        <v>363</v>
      </c>
      <c r="E215" s="11">
        <f t="shared" si="92"/>
        <v>15670</v>
      </c>
      <c r="F215" s="5">
        <f t="shared" si="93"/>
        <v>813</v>
      </c>
      <c r="G215" s="5">
        <f t="shared" si="94"/>
        <v>13410</v>
      </c>
      <c r="J215" s="8">
        <f t="shared" si="96"/>
        <v>3.3299999999999685</v>
      </c>
      <c r="K215" s="13">
        <f t="shared" si="97"/>
        <v>30770</v>
      </c>
      <c r="P215" s="2">
        <f t="shared" si="87"/>
        <v>30770</v>
      </c>
      <c r="Q215" s="2">
        <f t="shared" si="88"/>
        <v>2707858</v>
      </c>
    </row>
    <row r="216" spans="1:17" x14ac:dyDescent="0.3">
      <c r="A216" s="3">
        <f t="shared" si="95"/>
        <v>214</v>
      </c>
      <c r="B216" s="8">
        <f t="shared" si="89"/>
        <v>478</v>
      </c>
      <c r="C216" s="11">
        <f t="shared" si="90"/>
        <v>18040</v>
      </c>
      <c r="D216" s="8">
        <f t="shared" si="91"/>
        <v>364</v>
      </c>
      <c r="E216" s="11">
        <f t="shared" si="92"/>
        <v>15760</v>
      </c>
      <c r="F216" s="5">
        <f t="shared" si="93"/>
        <v>814</v>
      </c>
      <c r="G216" s="5">
        <f t="shared" si="94"/>
        <v>13480</v>
      </c>
      <c r="J216" s="8">
        <f t="shared" si="96"/>
        <v>3.3399999999999683</v>
      </c>
      <c r="K216" s="13">
        <f t="shared" si="97"/>
        <v>30960</v>
      </c>
      <c r="P216" s="2">
        <f t="shared" si="87"/>
        <v>30960</v>
      </c>
      <c r="Q216" s="2">
        <f t="shared" si="88"/>
        <v>2738818</v>
      </c>
    </row>
    <row r="217" spans="1:17" x14ac:dyDescent="0.3">
      <c r="A217" s="3">
        <f t="shared" si="95"/>
        <v>215</v>
      </c>
      <c r="B217" s="8">
        <f t="shared" si="89"/>
        <v>480</v>
      </c>
      <c r="C217" s="11">
        <f t="shared" si="90"/>
        <v>18150</v>
      </c>
      <c r="D217" s="8">
        <f t="shared" si="91"/>
        <v>365</v>
      </c>
      <c r="E217" s="11">
        <f t="shared" si="92"/>
        <v>15850</v>
      </c>
      <c r="F217" s="5">
        <f t="shared" si="93"/>
        <v>815</v>
      </c>
      <c r="G217" s="5">
        <f t="shared" si="94"/>
        <v>13550</v>
      </c>
      <c r="J217" s="8">
        <f t="shared" si="96"/>
        <v>3.3499999999999681</v>
      </c>
      <c r="K217" s="13">
        <f t="shared" si="97"/>
        <v>31150</v>
      </c>
      <c r="P217" s="2">
        <f t="shared" si="87"/>
        <v>31150</v>
      </c>
      <c r="Q217" s="2">
        <f t="shared" si="88"/>
        <v>2769968</v>
      </c>
    </row>
    <row r="218" spans="1:17" x14ac:dyDescent="0.3">
      <c r="A218" s="3">
        <f t="shared" si="95"/>
        <v>216</v>
      </c>
      <c r="B218" s="8">
        <f t="shared" si="89"/>
        <v>482</v>
      </c>
      <c r="C218" s="11">
        <f t="shared" si="90"/>
        <v>18260</v>
      </c>
      <c r="D218" s="8">
        <f t="shared" si="91"/>
        <v>366</v>
      </c>
      <c r="E218" s="11">
        <f t="shared" si="92"/>
        <v>15940</v>
      </c>
      <c r="F218" s="5">
        <f t="shared" si="93"/>
        <v>816</v>
      </c>
      <c r="G218" s="5">
        <f t="shared" si="94"/>
        <v>13620</v>
      </c>
      <c r="J218" s="8">
        <f t="shared" si="96"/>
        <v>3.3599999999999679</v>
      </c>
      <c r="K218" s="13">
        <f t="shared" si="97"/>
        <v>31340</v>
      </c>
      <c r="P218" s="2">
        <f t="shared" si="87"/>
        <v>31340</v>
      </c>
      <c r="Q218" s="2">
        <f t="shared" si="88"/>
        <v>2801308</v>
      </c>
    </row>
    <row r="219" spans="1:17" x14ac:dyDescent="0.3">
      <c r="A219" s="3">
        <f t="shared" si="95"/>
        <v>217</v>
      </c>
      <c r="B219" s="8">
        <f t="shared" si="89"/>
        <v>484</v>
      </c>
      <c r="C219" s="11">
        <f t="shared" si="90"/>
        <v>18370</v>
      </c>
      <c r="D219" s="8">
        <f t="shared" si="91"/>
        <v>367</v>
      </c>
      <c r="E219" s="11">
        <f t="shared" si="92"/>
        <v>16030</v>
      </c>
      <c r="F219" s="5">
        <f t="shared" si="93"/>
        <v>817</v>
      </c>
      <c r="G219" s="5">
        <f t="shared" si="94"/>
        <v>13690</v>
      </c>
      <c r="J219" s="8">
        <f t="shared" si="96"/>
        <v>3.3699999999999677</v>
      </c>
      <c r="K219" s="13">
        <f t="shared" si="97"/>
        <v>31530</v>
      </c>
      <c r="P219" s="2">
        <f t="shared" si="87"/>
        <v>31530</v>
      </c>
      <c r="Q219" s="2">
        <f t="shared" si="88"/>
        <v>2832838</v>
      </c>
    </row>
    <row r="220" spans="1:17" x14ac:dyDescent="0.3">
      <c r="A220" s="3">
        <f t="shared" si="95"/>
        <v>218</v>
      </c>
      <c r="B220" s="8">
        <f t="shared" si="89"/>
        <v>486</v>
      </c>
      <c r="C220" s="11">
        <f t="shared" si="90"/>
        <v>18480</v>
      </c>
      <c r="D220" s="8">
        <f t="shared" si="91"/>
        <v>368</v>
      </c>
      <c r="E220" s="11">
        <f t="shared" si="92"/>
        <v>16120</v>
      </c>
      <c r="F220" s="5">
        <f t="shared" si="93"/>
        <v>818</v>
      </c>
      <c r="G220" s="5">
        <f t="shared" si="94"/>
        <v>13760</v>
      </c>
      <c r="J220" s="8">
        <f t="shared" si="96"/>
        <v>3.3799999999999675</v>
      </c>
      <c r="K220" s="13">
        <f t="shared" si="97"/>
        <v>31720</v>
      </c>
      <c r="P220" s="2">
        <f t="shared" si="87"/>
        <v>31720</v>
      </c>
      <c r="Q220" s="2">
        <f t="shared" si="88"/>
        <v>2864558</v>
      </c>
    </row>
    <row r="221" spans="1:17" x14ac:dyDescent="0.3">
      <c r="A221" s="3">
        <f t="shared" si="95"/>
        <v>219</v>
      </c>
      <c r="B221" s="8">
        <f t="shared" si="89"/>
        <v>488</v>
      </c>
      <c r="C221" s="11">
        <f t="shared" si="90"/>
        <v>18590</v>
      </c>
      <c r="D221" s="8">
        <f t="shared" si="91"/>
        <v>369</v>
      </c>
      <c r="E221" s="11">
        <f t="shared" si="92"/>
        <v>16210</v>
      </c>
      <c r="F221" s="5">
        <f t="shared" si="93"/>
        <v>819</v>
      </c>
      <c r="G221" s="5">
        <f t="shared" si="94"/>
        <v>13830</v>
      </c>
      <c r="J221" s="8">
        <f t="shared" si="96"/>
        <v>3.3899999999999673</v>
      </c>
      <c r="K221" s="13">
        <f t="shared" si="97"/>
        <v>31910</v>
      </c>
      <c r="P221" s="2">
        <f t="shared" si="87"/>
        <v>31910</v>
      </c>
      <c r="Q221" s="2">
        <f t="shared" si="88"/>
        <v>2896468</v>
      </c>
    </row>
    <row r="222" spans="1:17" x14ac:dyDescent="0.3">
      <c r="A222" s="3">
        <f t="shared" si="95"/>
        <v>220</v>
      </c>
      <c r="B222" s="8">
        <f t="shared" si="89"/>
        <v>490</v>
      </c>
      <c r="C222" s="11">
        <f t="shared" si="90"/>
        <v>18700</v>
      </c>
      <c r="D222" s="8">
        <f t="shared" si="91"/>
        <v>370</v>
      </c>
      <c r="E222" s="11">
        <f t="shared" si="92"/>
        <v>16300</v>
      </c>
      <c r="F222" s="5">
        <f t="shared" si="93"/>
        <v>820</v>
      </c>
      <c r="G222" s="5">
        <f t="shared" si="94"/>
        <v>13900</v>
      </c>
      <c r="J222" s="8">
        <f t="shared" si="96"/>
        <v>3.399999999999967</v>
      </c>
      <c r="K222" s="13">
        <f t="shared" si="97"/>
        <v>32100</v>
      </c>
      <c r="P222" s="2">
        <f t="shared" si="87"/>
        <v>32100</v>
      </c>
      <c r="Q222" s="2">
        <f t="shared" si="88"/>
        <v>2928568</v>
      </c>
    </row>
    <row r="223" spans="1:17" x14ac:dyDescent="0.3">
      <c r="A223" s="3">
        <f t="shared" si="95"/>
        <v>221</v>
      </c>
      <c r="B223" s="8">
        <f t="shared" si="89"/>
        <v>492</v>
      </c>
      <c r="C223" s="11">
        <f t="shared" si="90"/>
        <v>18810</v>
      </c>
      <c r="D223" s="8">
        <f t="shared" si="91"/>
        <v>371</v>
      </c>
      <c r="E223" s="11">
        <f t="shared" si="92"/>
        <v>16390</v>
      </c>
      <c r="F223" s="5">
        <f t="shared" si="93"/>
        <v>821</v>
      </c>
      <c r="G223" s="5">
        <f t="shared" si="94"/>
        <v>13970</v>
      </c>
      <c r="J223" s="8">
        <f t="shared" si="96"/>
        <v>3.4099999999999668</v>
      </c>
      <c r="K223" s="13">
        <f t="shared" si="97"/>
        <v>32290</v>
      </c>
      <c r="P223" s="2">
        <f t="shared" si="87"/>
        <v>32290</v>
      </c>
      <c r="Q223" s="2">
        <f t="shared" si="88"/>
        <v>2960858</v>
      </c>
    </row>
    <row r="224" spans="1:17" x14ac:dyDescent="0.3">
      <c r="A224" s="3">
        <f t="shared" si="95"/>
        <v>222</v>
      </c>
      <c r="B224" s="8">
        <f t="shared" si="89"/>
        <v>494</v>
      </c>
      <c r="C224" s="11">
        <f t="shared" si="90"/>
        <v>18920</v>
      </c>
      <c r="D224" s="8">
        <f t="shared" si="91"/>
        <v>372</v>
      </c>
      <c r="E224" s="11">
        <f t="shared" si="92"/>
        <v>16480</v>
      </c>
      <c r="F224" s="5">
        <f t="shared" si="93"/>
        <v>822</v>
      </c>
      <c r="G224" s="5">
        <f t="shared" si="94"/>
        <v>14040</v>
      </c>
      <c r="J224" s="8">
        <f t="shared" si="96"/>
        <v>3.4199999999999666</v>
      </c>
      <c r="K224" s="13">
        <f t="shared" si="97"/>
        <v>32480</v>
      </c>
      <c r="P224" s="2">
        <f t="shared" si="87"/>
        <v>32480</v>
      </c>
      <c r="Q224" s="2">
        <f t="shared" si="88"/>
        <v>2993338</v>
      </c>
    </row>
    <row r="225" spans="1:17" x14ac:dyDescent="0.3">
      <c r="A225" s="3">
        <f t="shared" si="95"/>
        <v>223</v>
      </c>
      <c r="B225" s="8">
        <f t="shared" si="89"/>
        <v>496</v>
      </c>
      <c r="C225" s="11">
        <f t="shared" si="90"/>
        <v>19030</v>
      </c>
      <c r="D225" s="8">
        <f t="shared" si="91"/>
        <v>373</v>
      </c>
      <c r="E225" s="11">
        <f t="shared" si="92"/>
        <v>16570</v>
      </c>
      <c r="F225" s="5">
        <f t="shared" si="93"/>
        <v>823</v>
      </c>
      <c r="G225" s="5">
        <f t="shared" si="94"/>
        <v>14110</v>
      </c>
      <c r="J225" s="8">
        <f t="shared" si="96"/>
        <v>3.4299999999999664</v>
      </c>
      <c r="K225" s="13">
        <f t="shared" si="97"/>
        <v>32670</v>
      </c>
      <c r="P225" s="2">
        <f t="shared" si="87"/>
        <v>32670</v>
      </c>
      <c r="Q225" s="2">
        <f t="shared" si="88"/>
        <v>3026008</v>
      </c>
    </row>
    <row r="226" spans="1:17" x14ac:dyDescent="0.3">
      <c r="A226" s="3">
        <f t="shared" si="95"/>
        <v>224</v>
      </c>
      <c r="B226" s="8">
        <f t="shared" si="89"/>
        <v>498</v>
      </c>
      <c r="C226" s="11">
        <f t="shared" si="90"/>
        <v>19140</v>
      </c>
      <c r="D226" s="8">
        <f t="shared" si="91"/>
        <v>374</v>
      </c>
      <c r="E226" s="11">
        <f t="shared" si="92"/>
        <v>16660</v>
      </c>
      <c r="F226" s="5">
        <f t="shared" si="93"/>
        <v>824</v>
      </c>
      <c r="G226" s="5">
        <f t="shared" si="94"/>
        <v>14180</v>
      </c>
      <c r="J226" s="8">
        <f t="shared" si="96"/>
        <v>3.4399999999999662</v>
      </c>
      <c r="K226" s="13">
        <f t="shared" si="97"/>
        <v>32860</v>
      </c>
      <c r="P226" s="2">
        <f t="shared" si="87"/>
        <v>32860</v>
      </c>
      <c r="Q226" s="2">
        <f t="shared" si="88"/>
        <v>3058868</v>
      </c>
    </row>
    <row r="227" spans="1:17" x14ac:dyDescent="0.3">
      <c r="A227" s="3">
        <f t="shared" si="95"/>
        <v>225</v>
      </c>
      <c r="B227" s="8">
        <f t="shared" si="89"/>
        <v>500</v>
      </c>
      <c r="C227" s="11">
        <f t="shared" si="90"/>
        <v>19250</v>
      </c>
      <c r="D227" s="8">
        <f t="shared" si="91"/>
        <v>375</v>
      </c>
      <c r="E227" s="11">
        <f t="shared" si="92"/>
        <v>16750</v>
      </c>
      <c r="F227" s="5">
        <f t="shared" si="93"/>
        <v>825</v>
      </c>
      <c r="G227" s="5">
        <f t="shared" si="94"/>
        <v>14250</v>
      </c>
      <c r="J227" s="8">
        <f t="shared" si="96"/>
        <v>3.449999999999966</v>
      </c>
      <c r="K227" s="13">
        <f t="shared" si="97"/>
        <v>33050</v>
      </c>
      <c r="P227" s="2">
        <f t="shared" si="87"/>
        <v>33050</v>
      </c>
      <c r="Q227" s="2">
        <f t="shared" si="88"/>
        <v>3091918</v>
      </c>
    </row>
    <row r="228" spans="1:17" x14ac:dyDescent="0.3">
      <c r="A228" s="3">
        <f t="shared" si="95"/>
        <v>226</v>
      </c>
      <c r="B228" s="8">
        <f t="shared" si="89"/>
        <v>502</v>
      </c>
      <c r="C228" s="11">
        <f t="shared" si="90"/>
        <v>19360</v>
      </c>
      <c r="D228" s="8">
        <f t="shared" si="91"/>
        <v>376</v>
      </c>
      <c r="E228" s="11">
        <f t="shared" si="92"/>
        <v>16840</v>
      </c>
      <c r="F228" s="5">
        <f t="shared" si="93"/>
        <v>826</v>
      </c>
      <c r="G228" s="5">
        <f t="shared" si="94"/>
        <v>14320</v>
      </c>
      <c r="J228" s="8">
        <f t="shared" si="96"/>
        <v>3.4599999999999658</v>
      </c>
      <c r="K228" s="13">
        <f t="shared" si="97"/>
        <v>33240</v>
      </c>
      <c r="P228" s="2">
        <f t="shared" si="87"/>
        <v>33240</v>
      </c>
      <c r="Q228" s="2">
        <f t="shared" si="88"/>
        <v>3125158</v>
      </c>
    </row>
    <row r="229" spans="1:17" x14ac:dyDescent="0.3">
      <c r="A229" s="3">
        <f t="shared" si="95"/>
        <v>227</v>
      </c>
      <c r="B229" s="8">
        <f t="shared" si="89"/>
        <v>504</v>
      </c>
      <c r="C229" s="11">
        <f t="shared" si="90"/>
        <v>19470</v>
      </c>
      <c r="D229" s="8">
        <f t="shared" si="91"/>
        <v>377</v>
      </c>
      <c r="E229" s="11">
        <f t="shared" si="92"/>
        <v>16930</v>
      </c>
      <c r="F229" s="5">
        <f t="shared" si="93"/>
        <v>827</v>
      </c>
      <c r="G229" s="5">
        <f t="shared" si="94"/>
        <v>14390</v>
      </c>
      <c r="J229" s="8">
        <f t="shared" si="96"/>
        <v>3.4699999999999656</v>
      </c>
      <c r="K229" s="13">
        <f t="shared" si="97"/>
        <v>33430</v>
      </c>
      <c r="P229" s="2">
        <f t="shared" si="87"/>
        <v>33430</v>
      </c>
      <c r="Q229" s="2">
        <f t="shared" si="88"/>
        <v>3158588</v>
      </c>
    </row>
    <row r="230" spans="1:17" x14ac:dyDescent="0.3">
      <c r="A230" s="3">
        <f t="shared" si="95"/>
        <v>228</v>
      </c>
      <c r="B230" s="8">
        <f t="shared" si="89"/>
        <v>506</v>
      </c>
      <c r="C230" s="11">
        <f t="shared" si="90"/>
        <v>19580</v>
      </c>
      <c r="D230" s="8">
        <f t="shared" si="91"/>
        <v>378</v>
      </c>
      <c r="E230" s="11">
        <f t="shared" si="92"/>
        <v>17020</v>
      </c>
      <c r="F230" s="5">
        <f t="shared" si="93"/>
        <v>828</v>
      </c>
      <c r="G230" s="5">
        <f t="shared" si="94"/>
        <v>14460</v>
      </c>
      <c r="J230" s="8">
        <f t="shared" si="96"/>
        <v>3.4799999999999653</v>
      </c>
      <c r="K230" s="13">
        <f t="shared" si="97"/>
        <v>33620</v>
      </c>
      <c r="P230" s="2">
        <f t="shared" ref="P230:P293" si="98">K230</f>
        <v>33620</v>
      </c>
      <c r="Q230" s="2">
        <f t="shared" ref="Q230:Q293" si="99">Q229+K230</f>
        <v>3192208</v>
      </c>
    </row>
    <row r="231" spans="1:17" x14ac:dyDescent="0.3">
      <c r="A231" s="3">
        <f t="shared" si="95"/>
        <v>229</v>
      </c>
      <c r="B231" s="8">
        <f t="shared" si="89"/>
        <v>508</v>
      </c>
      <c r="C231" s="11">
        <f t="shared" si="90"/>
        <v>19690</v>
      </c>
      <c r="D231" s="8">
        <f t="shared" si="91"/>
        <v>379</v>
      </c>
      <c r="E231" s="11">
        <f t="shared" si="92"/>
        <v>17110</v>
      </c>
      <c r="F231" s="5">
        <f t="shared" si="93"/>
        <v>829</v>
      </c>
      <c r="G231" s="5">
        <f t="shared" si="94"/>
        <v>14530</v>
      </c>
      <c r="J231" s="8">
        <f t="shared" si="96"/>
        <v>3.4899999999999651</v>
      </c>
      <c r="K231" s="13">
        <f t="shared" si="97"/>
        <v>33810</v>
      </c>
      <c r="P231" s="2">
        <f t="shared" si="98"/>
        <v>33810</v>
      </c>
      <c r="Q231" s="2">
        <f t="shared" si="99"/>
        <v>3226018</v>
      </c>
    </row>
    <row r="232" spans="1:17" x14ac:dyDescent="0.3">
      <c r="A232" s="3">
        <f t="shared" si="95"/>
        <v>230</v>
      </c>
      <c r="B232" s="8">
        <f t="shared" ref="B232:B295" si="100">B231+2</f>
        <v>510</v>
      </c>
      <c r="C232" s="11">
        <f t="shared" ref="C232:C295" si="101">C231+110</f>
        <v>19800</v>
      </c>
      <c r="D232" s="8">
        <f t="shared" ref="D232:D295" si="102">D231+1</f>
        <v>380</v>
      </c>
      <c r="E232" s="11">
        <f t="shared" ref="E232:E295" si="103">E231+90</f>
        <v>17200</v>
      </c>
      <c r="F232" s="5">
        <f t="shared" ref="F232:F295" si="104">F231+1</f>
        <v>830</v>
      </c>
      <c r="G232" s="5">
        <f t="shared" ref="G232:G295" si="105">G231+70</f>
        <v>14600</v>
      </c>
      <c r="J232" s="8">
        <f t="shared" si="96"/>
        <v>3.4999999999999649</v>
      </c>
      <c r="K232" s="13">
        <f t="shared" si="97"/>
        <v>34000</v>
      </c>
      <c r="P232" s="2">
        <f t="shared" si="98"/>
        <v>34000</v>
      </c>
      <c r="Q232" s="2">
        <f t="shared" si="99"/>
        <v>3260018</v>
      </c>
    </row>
    <row r="233" spans="1:17" x14ac:dyDescent="0.3">
      <c r="A233" s="3">
        <f t="shared" si="95"/>
        <v>231</v>
      </c>
      <c r="B233" s="8">
        <f t="shared" si="100"/>
        <v>512</v>
      </c>
      <c r="C233" s="11">
        <f t="shared" si="101"/>
        <v>19910</v>
      </c>
      <c r="D233" s="8">
        <f t="shared" si="102"/>
        <v>381</v>
      </c>
      <c r="E233" s="11">
        <f t="shared" si="103"/>
        <v>17290</v>
      </c>
      <c r="F233" s="5">
        <f t="shared" si="104"/>
        <v>831</v>
      </c>
      <c r="G233" s="5">
        <f t="shared" si="105"/>
        <v>14670</v>
      </c>
      <c r="J233" s="8">
        <f t="shared" si="96"/>
        <v>3.5099999999999647</v>
      </c>
      <c r="K233" s="13">
        <f t="shared" si="97"/>
        <v>34190</v>
      </c>
      <c r="P233" s="2">
        <f t="shared" si="98"/>
        <v>34190</v>
      </c>
      <c r="Q233" s="2">
        <f t="shared" si="99"/>
        <v>3294208</v>
      </c>
    </row>
    <row r="234" spans="1:17" x14ac:dyDescent="0.3">
      <c r="A234" s="3">
        <f t="shared" si="95"/>
        <v>232</v>
      </c>
      <c r="B234" s="8">
        <f t="shared" si="100"/>
        <v>514</v>
      </c>
      <c r="C234" s="11">
        <f t="shared" si="101"/>
        <v>20020</v>
      </c>
      <c r="D234" s="8">
        <f t="shared" si="102"/>
        <v>382</v>
      </c>
      <c r="E234" s="11">
        <f t="shared" si="103"/>
        <v>17380</v>
      </c>
      <c r="F234" s="5">
        <f t="shared" si="104"/>
        <v>832</v>
      </c>
      <c r="G234" s="5">
        <f t="shared" si="105"/>
        <v>14740</v>
      </c>
      <c r="J234" s="8">
        <f t="shared" si="96"/>
        <v>3.5199999999999645</v>
      </c>
      <c r="K234" s="13">
        <f t="shared" si="97"/>
        <v>34380</v>
      </c>
      <c r="P234" s="2">
        <f t="shared" si="98"/>
        <v>34380</v>
      </c>
      <c r="Q234" s="2">
        <f t="shared" si="99"/>
        <v>3328588</v>
      </c>
    </row>
    <row r="235" spans="1:17" x14ac:dyDescent="0.3">
      <c r="A235" s="3">
        <f t="shared" si="95"/>
        <v>233</v>
      </c>
      <c r="B235" s="8">
        <f t="shared" si="100"/>
        <v>516</v>
      </c>
      <c r="C235" s="11">
        <f t="shared" si="101"/>
        <v>20130</v>
      </c>
      <c r="D235" s="8">
        <f t="shared" si="102"/>
        <v>383</v>
      </c>
      <c r="E235" s="11">
        <f t="shared" si="103"/>
        <v>17470</v>
      </c>
      <c r="F235" s="5">
        <f t="shared" si="104"/>
        <v>833</v>
      </c>
      <c r="G235" s="5">
        <f t="shared" si="105"/>
        <v>14810</v>
      </c>
      <c r="J235" s="8">
        <f t="shared" si="96"/>
        <v>3.5299999999999643</v>
      </c>
      <c r="K235" s="13">
        <f t="shared" si="97"/>
        <v>34570</v>
      </c>
      <c r="P235" s="2">
        <f t="shared" si="98"/>
        <v>34570</v>
      </c>
      <c r="Q235" s="2">
        <f t="shared" si="99"/>
        <v>3363158</v>
      </c>
    </row>
    <row r="236" spans="1:17" x14ac:dyDescent="0.3">
      <c r="A236" s="3">
        <f t="shared" si="95"/>
        <v>234</v>
      </c>
      <c r="B236" s="8">
        <f t="shared" si="100"/>
        <v>518</v>
      </c>
      <c r="C236" s="11">
        <f t="shared" si="101"/>
        <v>20240</v>
      </c>
      <c r="D236" s="8">
        <f t="shared" si="102"/>
        <v>384</v>
      </c>
      <c r="E236" s="11">
        <f t="shared" si="103"/>
        <v>17560</v>
      </c>
      <c r="F236" s="5">
        <f t="shared" si="104"/>
        <v>834</v>
      </c>
      <c r="G236" s="5">
        <f t="shared" si="105"/>
        <v>14880</v>
      </c>
      <c r="J236" s="8">
        <f t="shared" si="96"/>
        <v>3.5399999999999641</v>
      </c>
      <c r="K236" s="13">
        <f t="shared" si="97"/>
        <v>34760</v>
      </c>
      <c r="P236" s="2">
        <f t="shared" si="98"/>
        <v>34760</v>
      </c>
      <c r="Q236" s="2">
        <f t="shared" si="99"/>
        <v>3397918</v>
      </c>
    </row>
    <row r="237" spans="1:17" x14ac:dyDescent="0.3">
      <c r="A237" s="3">
        <f t="shared" si="95"/>
        <v>235</v>
      </c>
      <c r="B237" s="8">
        <f t="shared" si="100"/>
        <v>520</v>
      </c>
      <c r="C237" s="11">
        <f t="shared" si="101"/>
        <v>20350</v>
      </c>
      <c r="D237" s="8">
        <f t="shared" si="102"/>
        <v>385</v>
      </c>
      <c r="E237" s="11">
        <f t="shared" si="103"/>
        <v>17650</v>
      </c>
      <c r="F237" s="5">
        <f t="shared" si="104"/>
        <v>835</v>
      </c>
      <c r="G237" s="5">
        <f t="shared" si="105"/>
        <v>14950</v>
      </c>
      <c r="J237" s="8">
        <f t="shared" si="96"/>
        <v>3.5499999999999639</v>
      </c>
      <c r="K237" s="13">
        <f t="shared" si="97"/>
        <v>34950</v>
      </c>
      <c r="P237" s="2">
        <f t="shared" si="98"/>
        <v>34950</v>
      </c>
      <c r="Q237" s="2">
        <f t="shared" si="99"/>
        <v>3432868</v>
      </c>
    </row>
    <row r="238" spans="1:17" x14ac:dyDescent="0.3">
      <c r="A238" s="3">
        <f t="shared" si="95"/>
        <v>236</v>
      </c>
      <c r="B238" s="8">
        <f t="shared" si="100"/>
        <v>522</v>
      </c>
      <c r="C238" s="11">
        <f t="shared" si="101"/>
        <v>20460</v>
      </c>
      <c r="D238" s="8">
        <f t="shared" si="102"/>
        <v>386</v>
      </c>
      <c r="E238" s="11">
        <f t="shared" si="103"/>
        <v>17740</v>
      </c>
      <c r="F238" s="5">
        <f t="shared" si="104"/>
        <v>836</v>
      </c>
      <c r="G238" s="5">
        <f t="shared" si="105"/>
        <v>15020</v>
      </c>
      <c r="J238" s="8">
        <f t="shared" si="96"/>
        <v>3.5599999999999636</v>
      </c>
      <c r="K238" s="13">
        <f t="shared" si="97"/>
        <v>35140</v>
      </c>
      <c r="P238" s="2">
        <f t="shared" si="98"/>
        <v>35140</v>
      </c>
      <c r="Q238" s="2">
        <f t="shared" si="99"/>
        <v>3468008</v>
      </c>
    </row>
    <row r="239" spans="1:17" x14ac:dyDescent="0.3">
      <c r="A239" s="3">
        <f t="shared" si="95"/>
        <v>237</v>
      </c>
      <c r="B239" s="8">
        <f t="shared" si="100"/>
        <v>524</v>
      </c>
      <c r="C239" s="11">
        <f t="shared" si="101"/>
        <v>20570</v>
      </c>
      <c r="D239" s="8">
        <f t="shared" si="102"/>
        <v>387</v>
      </c>
      <c r="E239" s="11">
        <f t="shared" si="103"/>
        <v>17830</v>
      </c>
      <c r="F239" s="5">
        <f t="shared" si="104"/>
        <v>837</v>
      </c>
      <c r="G239" s="5">
        <f t="shared" si="105"/>
        <v>15090</v>
      </c>
      <c r="J239" s="8">
        <f t="shared" si="96"/>
        <v>3.5699999999999634</v>
      </c>
      <c r="K239" s="13">
        <f t="shared" si="97"/>
        <v>35330</v>
      </c>
      <c r="P239" s="2">
        <f t="shared" si="98"/>
        <v>35330</v>
      </c>
      <c r="Q239" s="2">
        <f t="shared" si="99"/>
        <v>3503338</v>
      </c>
    </row>
    <row r="240" spans="1:17" x14ac:dyDescent="0.3">
      <c r="A240" s="3">
        <f t="shared" si="95"/>
        <v>238</v>
      </c>
      <c r="B240" s="8">
        <f t="shared" si="100"/>
        <v>526</v>
      </c>
      <c r="C240" s="11">
        <f t="shared" si="101"/>
        <v>20680</v>
      </c>
      <c r="D240" s="8">
        <f t="shared" si="102"/>
        <v>388</v>
      </c>
      <c r="E240" s="11">
        <f t="shared" si="103"/>
        <v>17920</v>
      </c>
      <c r="F240" s="5">
        <f t="shared" si="104"/>
        <v>838</v>
      </c>
      <c r="G240" s="5">
        <f t="shared" si="105"/>
        <v>15160</v>
      </c>
      <c r="J240" s="8">
        <f t="shared" si="96"/>
        <v>3.5799999999999632</v>
      </c>
      <c r="K240" s="13">
        <f t="shared" si="97"/>
        <v>35520</v>
      </c>
      <c r="P240" s="2">
        <f t="shared" si="98"/>
        <v>35520</v>
      </c>
      <c r="Q240" s="2">
        <f t="shared" si="99"/>
        <v>3538858</v>
      </c>
    </row>
    <row r="241" spans="1:17" x14ac:dyDescent="0.3">
      <c r="A241" s="3">
        <f t="shared" si="95"/>
        <v>239</v>
      </c>
      <c r="B241" s="8">
        <f t="shared" si="100"/>
        <v>528</v>
      </c>
      <c r="C241" s="11">
        <f t="shared" si="101"/>
        <v>20790</v>
      </c>
      <c r="D241" s="8">
        <f t="shared" si="102"/>
        <v>389</v>
      </c>
      <c r="E241" s="11">
        <f t="shared" si="103"/>
        <v>18010</v>
      </c>
      <c r="F241" s="5">
        <f t="shared" si="104"/>
        <v>839</v>
      </c>
      <c r="G241" s="5">
        <f t="shared" si="105"/>
        <v>15230</v>
      </c>
      <c r="J241" s="8">
        <f t="shared" si="96"/>
        <v>3.589999999999963</v>
      </c>
      <c r="K241" s="13">
        <f t="shared" si="97"/>
        <v>35710</v>
      </c>
      <c r="P241" s="2">
        <f t="shared" si="98"/>
        <v>35710</v>
      </c>
      <c r="Q241" s="2">
        <f t="shared" si="99"/>
        <v>3574568</v>
      </c>
    </row>
    <row r="242" spans="1:17" x14ac:dyDescent="0.3">
      <c r="A242" s="3">
        <f t="shared" si="95"/>
        <v>240</v>
      </c>
      <c r="B242" s="8">
        <f t="shared" si="100"/>
        <v>530</v>
      </c>
      <c r="C242" s="11">
        <f t="shared" si="101"/>
        <v>20900</v>
      </c>
      <c r="D242" s="8">
        <f t="shared" si="102"/>
        <v>390</v>
      </c>
      <c r="E242" s="11">
        <f t="shared" si="103"/>
        <v>18100</v>
      </c>
      <c r="F242" s="5">
        <f t="shared" si="104"/>
        <v>840</v>
      </c>
      <c r="G242" s="5">
        <f t="shared" si="105"/>
        <v>15300</v>
      </c>
      <c r="J242" s="8">
        <f t="shared" si="96"/>
        <v>3.5999999999999628</v>
      </c>
      <c r="K242" s="13">
        <f t="shared" si="97"/>
        <v>35900</v>
      </c>
      <c r="P242" s="2">
        <f t="shared" si="98"/>
        <v>35900</v>
      </c>
      <c r="Q242" s="2">
        <f t="shared" si="99"/>
        <v>3610468</v>
      </c>
    </row>
    <row r="243" spans="1:17" x14ac:dyDescent="0.3">
      <c r="A243" s="3">
        <f t="shared" si="95"/>
        <v>241</v>
      </c>
      <c r="B243" s="8">
        <f t="shared" si="100"/>
        <v>532</v>
      </c>
      <c r="C243" s="11">
        <f t="shared" si="101"/>
        <v>21010</v>
      </c>
      <c r="D243" s="8">
        <f t="shared" si="102"/>
        <v>391</v>
      </c>
      <c r="E243" s="11">
        <f t="shared" si="103"/>
        <v>18190</v>
      </c>
      <c r="F243" s="5">
        <f t="shared" si="104"/>
        <v>841</v>
      </c>
      <c r="G243" s="5">
        <f t="shared" si="105"/>
        <v>15370</v>
      </c>
      <c r="J243" s="8">
        <f t="shared" si="96"/>
        <v>3.6099999999999626</v>
      </c>
      <c r="K243" s="13">
        <f t="shared" si="97"/>
        <v>36090</v>
      </c>
      <c r="P243" s="2">
        <f t="shared" si="98"/>
        <v>36090</v>
      </c>
      <c r="Q243" s="2">
        <f t="shared" si="99"/>
        <v>3646558</v>
      </c>
    </row>
    <row r="244" spans="1:17" x14ac:dyDescent="0.3">
      <c r="A244" s="3">
        <f t="shared" si="95"/>
        <v>242</v>
      </c>
      <c r="B244" s="8">
        <f t="shared" si="100"/>
        <v>534</v>
      </c>
      <c r="C244" s="11">
        <f t="shared" si="101"/>
        <v>21120</v>
      </c>
      <c r="D244" s="8">
        <f t="shared" si="102"/>
        <v>392</v>
      </c>
      <c r="E244" s="11">
        <f t="shared" si="103"/>
        <v>18280</v>
      </c>
      <c r="F244" s="5">
        <f t="shared" si="104"/>
        <v>842</v>
      </c>
      <c r="G244" s="5">
        <f t="shared" si="105"/>
        <v>15440</v>
      </c>
      <c r="J244" s="8">
        <f t="shared" si="96"/>
        <v>3.6199999999999624</v>
      </c>
      <c r="K244" s="13">
        <f t="shared" si="97"/>
        <v>36280</v>
      </c>
      <c r="P244" s="2">
        <f t="shared" si="98"/>
        <v>36280</v>
      </c>
      <c r="Q244" s="2">
        <f t="shared" si="99"/>
        <v>3682838</v>
      </c>
    </row>
    <row r="245" spans="1:17" x14ac:dyDescent="0.3">
      <c r="A245" s="3">
        <f t="shared" si="95"/>
        <v>243</v>
      </c>
      <c r="B245" s="8">
        <f t="shared" si="100"/>
        <v>536</v>
      </c>
      <c r="C245" s="11">
        <f t="shared" si="101"/>
        <v>21230</v>
      </c>
      <c r="D245" s="8">
        <f t="shared" si="102"/>
        <v>393</v>
      </c>
      <c r="E245" s="11">
        <f t="shared" si="103"/>
        <v>18370</v>
      </c>
      <c r="F245" s="5">
        <f t="shared" si="104"/>
        <v>843</v>
      </c>
      <c r="G245" s="5">
        <f t="shared" si="105"/>
        <v>15510</v>
      </c>
      <c r="J245" s="8">
        <f t="shared" si="96"/>
        <v>3.6299999999999621</v>
      </c>
      <c r="K245" s="13">
        <f t="shared" si="97"/>
        <v>36470</v>
      </c>
      <c r="P245" s="2">
        <f t="shared" si="98"/>
        <v>36470</v>
      </c>
      <c r="Q245" s="2">
        <f t="shared" si="99"/>
        <v>3719308</v>
      </c>
    </row>
    <row r="246" spans="1:17" x14ac:dyDescent="0.3">
      <c r="A246" s="3">
        <f t="shared" si="95"/>
        <v>244</v>
      </c>
      <c r="B246" s="8">
        <f t="shared" si="100"/>
        <v>538</v>
      </c>
      <c r="C246" s="11">
        <f t="shared" si="101"/>
        <v>21340</v>
      </c>
      <c r="D246" s="8">
        <f t="shared" si="102"/>
        <v>394</v>
      </c>
      <c r="E246" s="11">
        <f t="shared" si="103"/>
        <v>18460</v>
      </c>
      <c r="F246" s="5">
        <f t="shared" si="104"/>
        <v>844</v>
      </c>
      <c r="G246" s="5">
        <f t="shared" si="105"/>
        <v>15580</v>
      </c>
      <c r="J246" s="8">
        <f t="shared" si="96"/>
        <v>3.6399999999999619</v>
      </c>
      <c r="K246" s="13">
        <f t="shared" si="97"/>
        <v>36660</v>
      </c>
      <c r="P246" s="2">
        <f t="shared" si="98"/>
        <v>36660</v>
      </c>
      <c r="Q246" s="2">
        <f t="shared" si="99"/>
        <v>3755968</v>
      </c>
    </row>
    <row r="247" spans="1:17" x14ac:dyDescent="0.3">
      <c r="A247" s="3">
        <f t="shared" si="95"/>
        <v>245</v>
      </c>
      <c r="B247" s="8">
        <f t="shared" si="100"/>
        <v>540</v>
      </c>
      <c r="C247" s="11">
        <f t="shared" si="101"/>
        <v>21450</v>
      </c>
      <c r="D247" s="8">
        <f t="shared" si="102"/>
        <v>395</v>
      </c>
      <c r="E247" s="11">
        <f t="shared" si="103"/>
        <v>18550</v>
      </c>
      <c r="F247" s="5">
        <f t="shared" si="104"/>
        <v>845</v>
      </c>
      <c r="G247" s="5">
        <f t="shared" si="105"/>
        <v>15650</v>
      </c>
      <c r="J247" s="8">
        <f t="shared" si="96"/>
        <v>3.6499999999999617</v>
      </c>
      <c r="K247" s="13">
        <f t="shared" si="97"/>
        <v>36850</v>
      </c>
      <c r="P247" s="2">
        <f t="shared" si="98"/>
        <v>36850</v>
      </c>
      <c r="Q247" s="2">
        <f t="shared" si="99"/>
        <v>3792818</v>
      </c>
    </row>
    <row r="248" spans="1:17" x14ac:dyDescent="0.3">
      <c r="A248" s="3">
        <f t="shared" si="95"/>
        <v>246</v>
      </c>
      <c r="B248" s="8">
        <f t="shared" si="100"/>
        <v>542</v>
      </c>
      <c r="C248" s="11">
        <f t="shared" si="101"/>
        <v>21560</v>
      </c>
      <c r="D248" s="8">
        <f t="shared" si="102"/>
        <v>396</v>
      </c>
      <c r="E248" s="11">
        <f t="shared" si="103"/>
        <v>18640</v>
      </c>
      <c r="F248" s="5">
        <f t="shared" si="104"/>
        <v>846</v>
      </c>
      <c r="G248" s="5">
        <f t="shared" si="105"/>
        <v>15720</v>
      </c>
      <c r="J248" s="8">
        <f t="shared" si="96"/>
        <v>3.6599999999999615</v>
      </c>
      <c r="K248" s="13">
        <f t="shared" si="97"/>
        <v>37040</v>
      </c>
      <c r="P248" s="2">
        <f t="shared" si="98"/>
        <v>37040</v>
      </c>
      <c r="Q248" s="2">
        <f t="shared" si="99"/>
        <v>3829858</v>
      </c>
    </row>
    <row r="249" spans="1:17" x14ac:dyDescent="0.3">
      <c r="A249" s="3">
        <f t="shared" si="95"/>
        <v>247</v>
      </c>
      <c r="B249" s="8">
        <f t="shared" si="100"/>
        <v>544</v>
      </c>
      <c r="C249" s="11">
        <f t="shared" si="101"/>
        <v>21670</v>
      </c>
      <c r="D249" s="8">
        <f t="shared" si="102"/>
        <v>397</v>
      </c>
      <c r="E249" s="11">
        <f t="shared" si="103"/>
        <v>18730</v>
      </c>
      <c r="F249" s="5">
        <f t="shared" si="104"/>
        <v>847</v>
      </c>
      <c r="G249" s="5">
        <f t="shared" si="105"/>
        <v>15790</v>
      </c>
      <c r="J249" s="8">
        <f t="shared" si="96"/>
        <v>3.6699999999999613</v>
      </c>
      <c r="K249" s="13">
        <f t="shared" si="97"/>
        <v>37230</v>
      </c>
      <c r="P249" s="2">
        <f t="shared" si="98"/>
        <v>37230</v>
      </c>
      <c r="Q249" s="2">
        <f t="shared" si="99"/>
        <v>3867088</v>
      </c>
    </row>
    <row r="250" spans="1:17" x14ac:dyDescent="0.3">
      <c r="A250" s="3">
        <f t="shared" si="95"/>
        <v>248</v>
      </c>
      <c r="B250" s="8">
        <f t="shared" si="100"/>
        <v>546</v>
      </c>
      <c r="C250" s="11">
        <f t="shared" si="101"/>
        <v>21780</v>
      </c>
      <c r="D250" s="8">
        <f t="shared" si="102"/>
        <v>398</v>
      </c>
      <c r="E250" s="11">
        <f t="shared" si="103"/>
        <v>18820</v>
      </c>
      <c r="F250" s="5">
        <f t="shared" si="104"/>
        <v>848</v>
      </c>
      <c r="G250" s="5">
        <f t="shared" si="105"/>
        <v>15860</v>
      </c>
      <c r="J250" s="8">
        <f t="shared" si="96"/>
        <v>3.6799999999999611</v>
      </c>
      <c r="K250" s="13">
        <f t="shared" si="97"/>
        <v>37420</v>
      </c>
      <c r="P250" s="2">
        <f t="shared" si="98"/>
        <v>37420</v>
      </c>
      <c r="Q250" s="2">
        <f t="shared" si="99"/>
        <v>3904508</v>
      </c>
    </row>
    <row r="251" spans="1:17" x14ac:dyDescent="0.3">
      <c r="A251" s="3">
        <f t="shared" si="95"/>
        <v>249</v>
      </c>
      <c r="B251" s="8">
        <f t="shared" si="100"/>
        <v>548</v>
      </c>
      <c r="C251" s="11">
        <f t="shared" si="101"/>
        <v>21890</v>
      </c>
      <c r="D251" s="8">
        <f t="shared" si="102"/>
        <v>399</v>
      </c>
      <c r="E251" s="11">
        <f t="shared" si="103"/>
        <v>18910</v>
      </c>
      <c r="F251" s="5">
        <f t="shared" si="104"/>
        <v>849</v>
      </c>
      <c r="G251" s="5">
        <f t="shared" si="105"/>
        <v>15930</v>
      </c>
      <c r="J251" s="8">
        <f t="shared" si="96"/>
        <v>3.6899999999999609</v>
      </c>
      <c r="K251" s="13">
        <f t="shared" si="97"/>
        <v>37610</v>
      </c>
      <c r="P251" s="2">
        <f t="shared" si="98"/>
        <v>37610</v>
      </c>
      <c r="Q251" s="2">
        <f t="shared" si="99"/>
        <v>3942118</v>
      </c>
    </row>
    <row r="252" spans="1:17" x14ac:dyDescent="0.3">
      <c r="A252" s="3">
        <f t="shared" si="95"/>
        <v>250</v>
      </c>
      <c r="B252" s="8">
        <f t="shared" si="100"/>
        <v>550</v>
      </c>
      <c r="C252" s="11">
        <f t="shared" si="101"/>
        <v>22000</v>
      </c>
      <c r="D252" s="8">
        <f t="shared" si="102"/>
        <v>400</v>
      </c>
      <c r="E252" s="11">
        <f t="shared" si="103"/>
        <v>19000</v>
      </c>
      <c r="F252" s="5">
        <f t="shared" si="104"/>
        <v>850</v>
      </c>
      <c r="G252" s="5">
        <f t="shared" si="105"/>
        <v>16000</v>
      </c>
      <c r="J252" s="8">
        <f t="shared" si="96"/>
        <v>3.6999999999999607</v>
      </c>
      <c r="K252" s="13">
        <f t="shared" si="97"/>
        <v>37800</v>
      </c>
      <c r="P252" s="2">
        <f t="shared" si="98"/>
        <v>37800</v>
      </c>
      <c r="Q252" s="2">
        <f t="shared" si="99"/>
        <v>3979918</v>
      </c>
    </row>
    <row r="253" spans="1:17" x14ac:dyDescent="0.3">
      <c r="A253" s="3">
        <f t="shared" si="95"/>
        <v>251</v>
      </c>
      <c r="B253" s="8">
        <f t="shared" si="100"/>
        <v>552</v>
      </c>
      <c r="C253" s="11">
        <f t="shared" si="101"/>
        <v>22110</v>
      </c>
      <c r="D253" s="8">
        <f t="shared" si="102"/>
        <v>401</v>
      </c>
      <c r="E253" s="11">
        <f t="shared" si="103"/>
        <v>19090</v>
      </c>
      <c r="F253" s="5">
        <f t="shared" si="104"/>
        <v>851</v>
      </c>
      <c r="G253" s="5">
        <f t="shared" si="105"/>
        <v>16070</v>
      </c>
      <c r="J253" s="8">
        <f t="shared" si="96"/>
        <v>3.7099999999999604</v>
      </c>
      <c r="K253" s="13">
        <f t="shared" si="97"/>
        <v>37990</v>
      </c>
      <c r="P253" s="2">
        <f t="shared" si="98"/>
        <v>37990</v>
      </c>
      <c r="Q253" s="2">
        <f t="shared" si="99"/>
        <v>4017908</v>
      </c>
    </row>
    <row r="254" spans="1:17" x14ac:dyDescent="0.3">
      <c r="A254" s="3">
        <f t="shared" si="95"/>
        <v>252</v>
      </c>
      <c r="B254" s="8">
        <f t="shared" si="100"/>
        <v>554</v>
      </c>
      <c r="C254" s="11">
        <f t="shared" si="101"/>
        <v>22220</v>
      </c>
      <c r="D254" s="8">
        <f t="shared" si="102"/>
        <v>402</v>
      </c>
      <c r="E254" s="11">
        <f t="shared" si="103"/>
        <v>19180</v>
      </c>
      <c r="F254" s="5">
        <f t="shared" si="104"/>
        <v>852</v>
      </c>
      <c r="G254" s="5">
        <f t="shared" si="105"/>
        <v>16140</v>
      </c>
      <c r="J254" s="8">
        <f t="shared" si="96"/>
        <v>3.7199999999999602</v>
      </c>
      <c r="K254" s="13">
        <f t="shared" si="97"/>
        <v>38180</v>
      </c>
      <c r="P254" s="2">
        <f t="shared" si="98"/>
        <v>38180</v>
      </c>
      <c r="Q254" s="2">
        <f t="shared" si="99"/>
        <v>4056088</v>
      </c>
    </row>
    <row r="255" spans="1:17" x14ac:dyDescent="0.3">
      <c r="A255" s="3">
        <f t="shared" si="95"/>
        <v>253</v>
      </c>
      <c r="B255" s="8">
        <f t="shared" si="100"/>
        <v>556</v>
      </c>
      <c r="C255" s="11">
        <f t="shared" si="101"/>
        <v>22330</v>
      </c>
      <c r="D255" s="8">
        <f t="shared" si="102"/>
        <v>403</v>
      </c>
      <c r="E255" s="11">
        <f t="shared" si="103"/>
        <v>19270</v>
      </c>
      <c r="F255" s="5">
        <f t="shared" si="104"/>
        <v>853</v>
      </c>
      <c r="G255" s="5">
        <f t="shared" si="105"/>
        <v>16210</v>
      </c>
      <c r="J255" s="8">
        <f t="shared" si="96"/>
        <v>3.72999999999996</v>
      </c>
      <c r="K255" s="13">
        <f t="shared" si="97"/>
        <v>38370</v>
      </c>
      <c r="P255" s="2">
        <f t="shared" si="98"/>
        <v>38370</v>
      </c>
      <c r="Q255" s="2">
        <f t="shared" si="99"/>
        <v>4094458</v>
      </c>
    </row>
    <row r="256" spans="1:17" x14ac:dyDescent="0.3">
      <c r="A256" s="3">
        <f t="shared" si="95"/>
        <v>254</v>
      </c>
      <c r="B256" s="8">
        <f t="shared" si="100"/>
        <v>558</v>
      </c>
      <c r="C256" s="11">
        <f t="shared" si="101"/>
        <v>22440</v>
      </c>
      <c r="D256" s="8">
        <f t="shared" si="102"/>
        <v>404</v>
      </c>
      <c r="E256" s="11">
        <f t="shared" si="103"/>
        <v>19360</v>
      </c>
      <c r="F256" s="5">
        <f t="shared" si="104"/>
        <v>854</v>
      </c>
      <c r="G256" s="5">
        <f t="shared" si="105"/>
        <v>16280</v>
      </c>
      <c r="J256" s="8">
        <f t="shared" si="96"/>
        <v>3.7399999999999598</v>
      </c>
      <c r="K256" s="13">
        <f t="shared" si="97"/>
        <v>38560</v>
      </c>
      <c r="P256" s="2">
        <f t="shared" si="98"/>
        <v>38560</v>
      </c>
      <c r="Q256" s="2">
        <f t="shared" si="99"/>
        <v>4133018</v>
      </c>
    </row>
    <row r="257" spans="1:17" x14ac:dyDescent="0.3">
      <c r="A257" s="3">
        <f t="shared" si="95"/>
        <v>255</v>
      </c>
      <c r="B257" s="8">
        <f t="shared" si="100"/>
        <v>560</v>
      </c>
      <c r="C257" s="11">
        <f t="shared" si="101"/>
        <v>22550</v>
      </c>
      <c r="D257" s="8">
        <f t="shared" si="102"/>
        <v>405</v>
      </c>
      <c r="E257" s="11">
        <f t="shared" si="103"/>
        <v>19450</v>
      </c>
      <c r="F257" s="5">
        <f t="shared" si="104"/>
        <v>855</v>
      </c>
      <c r="G257" s="5">
        <f t="shared" si="105"/>
        <v>16350</v>
      </c>
      <c r="J257" s="8">
        <f t="shared" si="96"/>
        <v>3.7499999999999596</v>
      </c>
      <c r="K257" s="13">
        <f t="shared" si="97"/>
        <v>38750</v>
      </c>
      <c r="P257" s="2">
        <f t="shared" si="98"/>
        <v>38750</v>
      </c>
      <c r="Q257" s="2">
        <f t="shared" si="99"/>
        <v>4171768</v>
      </c>
    </row>
    <row r="258" spans="1:17" x14ac:dyDescent="0.3">
      <c r="A258" s="3">
        <f t="shared" si="95"/>
        <v>256</v>
      </c>
      <c r="B258" s="8">
        <f t="shared" si="100"/>
        <v>562</v>
      </c>
      <c r="C258" s="11">
        <f t="shared" si="101"/>
        <v>22660</v>
      </c>
      <c r="D258" s="8">
        <f t="shared" si="102"/>
        <v>406</v>
      </c>
      <c r="E258" s="11">
        <f t="shared" si="103"/>
        <v>19540</v>
      </c>
      <c r="F258" s="5">
        <f t="shared" si="104"/>
        <v>856</v>
      </c>
      <c r="G258" s="5">
        <f t="shared" si="105"/>
        <v>16420</v>
      </c>
      <c r="J258" s="8">
        <f t="shared" si="96"/>
        <v>3.7599999999999594</v>
      </c>
      <c r="K258" s="13">
        <f t="shared" si="97"/>
        <v>38940</v>
      </c>
      <c r="P258" s="2">
        <f t="shared" si="98"/>
        <v>38940</v>
      </c>
      <c r="Q258" s="2">
        <f t="shared" si="99"/>
        <v>4210708</v>
      </c>
    </row>
    <row r="259" spans="1:17" x14ac:dyDescent="0.3">
      <c r="A259" s="3">
        <f t="shared" si="95"/>
        <v>257</v>
      </c>
      <c r="B259" s="8">
        <f t="shared" si="100"/>
        <v>564</v>
      </c>
      <c r="C259" s="11">
        <f t="shared" si="101"/>
        <v>22770</v>
      </c>
      <c r="D259" s="8">
        <f t="shared" si="102"/>
        <v>407</v>
      </c>
      <c r="E259" s="11">
        <f t="shared" si="103"/>
        <v>19630</v>
      </c>
      <c r="F259" s="5">
        <f t="shared" si="104"/>
        <v>857</v>
      </c>
      <c r="G259" s="5">
        <f t="shared" si="105"/>
        <v>16490</v>
      </c>
      <c r="J259" s="8">
        <f t="shared" si="96"/>
        <v>3.7699999999999592</v>
      </c>
      <c r="K259" s="13">
        <f t="shared" si="97"/>
        <v>39130</v>
      </c>
      <c r="P259" s="2">
        <f t="shared" si="98"/>
        <v>39130</v>
      </c>
      <c r="Q259" s="2">
        <f t="shared" si="99"/>
        <v>4249838</v>
      </c>
    </row>
    <row r="260" spans="1:17" x14ac:dyDescent="0.3">
      <c r="A260" s="3">
        <f t="shared" si="95"/>
        <v>258</v>
      </c>
      <c r="B260" s="8">
        <f t="shared" si="100"/>
        <v>566</v>
      </c>
      <c r="C260" s="11">
        <f t="shared" si="101"/>
        <v>22880</v>
      </c>
      <c r="D260" s="8">
        <f t="shared" si="102"/>
        <v>408</v>
      </c>
      <c r="E260" s="11">
        <f t="shared" si="103"/>
        <v>19720</v>
      </c>
      <c r="F260" s="5">
        <f t="shared" si="104"/>
        <v>858</v>
      </c>
      <c r="G260" s="5">
        <f t="shared" si="105"/>
        <v>16560</v>
      </c>
      <c r="J260" s="8">
        <f t="shared" si="96"/>
        <v>3.7799999999999589</v>
      </c>
      <c r="K260" s="13">
        <f t="shared" si="97"/>
        <v>39320</v>
      </c>
      <c r="P260" s="2">
        <f t="shared" si="98"/>
        <v>39320</v>
      </c>
      <c r="Q260" s="2">
        <f t="shared" si="99"/>
        <v>4289158</v>
      </c>
    </row>
    <row r="261" spans="1:17" x14ac:dyDescent="0.3">
      <c r="A261" s="3">
        <f t="shared" ref="A261:A324" si="106">A260+1</f>
        <v>259</v>
      </c>
      <c r="B261" s="8">
        <f t="shared" si="100"/>
        <v>568</v>
      </c>
      <c r="C261" s="11">
        <f t="shared" si="101"/>
        <v>22990</v>
      </c>
      <c r="D261" s="8">
        <f t="shared" si="102"/>
        <v>409</v>
      </c>
      <c r="E261" s="11">
        <f t="shared" si="103"/>
        <v>19810</v>
      </c>
      <c r="F261" s="5">
        <f t="shared" si="104"/>
        <v>859</v>
      </c>
      <c r="G261" s="5">
        <f t="shared" si="105"/>
        <v>16630</v>
      </c>
      <c r="J261" s="8">
        <f t="shared" si="96"/>
        <v>3.7899999999999587</v>
      </c>
      <c r="K261" s="13">
        <f t="shared" si="97"/>
        <v>39510</v>
      </c>
      <c r="P261" s="2">
        <f t="shared" si="98"/>
        <v>39510</v>
      </c>
      <c r="Q261" s="2">
        <f t="shared" si="99"/>
        <v>4328668</v>
      </c>
    </row>
    <row r="262" spans="1:17" x14ac:dyDescent="0.3">
      <c r="A262" s="3">
        <f t="shared" si="106"/>
        <v>260</v>
      </c>
      <c r="B262" s="8">
        <f t="shared" si="100"/>
        <v>570</v>
      </c>
      <c r="C262" s="11">
        <f t="shared" si="101"/>
        <v>23100</v>
      </c>
      <c r="D262" s="8">
        <f t="shared" si="102"/>
        <v>410</v>
      </c>
      <c r="E262" s="11">
        <f t="shared" si="103"/>
        <v>19900</v>
      </c>
      <c r="F262" s="5">
        <f t="shared" si="104"/>
        <v>860</v>
      </c>
      <c r="G262" s="5">
        <f t="shared" si="105"/>
        <v>16700</v>
      </c>
      <c r="J262" s="8">
        <f t="shared" si="96"/>
        <v>3.7999999999999585</v>
      </c>
      <c r="K262" s="13">
        <f t="shared" si="97"/>
        <v>39700</v>
      </c>
      <c r="P262" s="2">
        <f t="shared" si="98"/>
        <v>39700</v>
      </c>
      <c r="Q262" s="2">
        <f t="shared" si="99"/>
        <v>4368368</v>
      </c>
    </row>
    <row r="263" spans="1:17" x14ac:dyDescent="0.3">
      <c r="A263" s="3">
        <f t="shared" si="106"/>
        <v>261</v>
      </c>
      <c r="B263" s="8">
        <f t="shared" si="100"/>
        <v>572</v>
      </c>
      <c r="C263" s="11">
        <f t="shared" si="101"/>
        <v>23210</v>
      </c>
      <c r="D263" s="8">
        <f t="shared" si="102"/>
        <v>411</v>
      </c>
      <c r="E263" s="11">
        <f t="shared" si="103"/>
        <v>19990</v>
      </c>
      <c r="F263" s="5">
        <f t="shared" si="104"/>
        <v>861</v>
      </c>
      <c r="G263" s="5">
        <f t="shared" si="105"/>
        <v>16770</v>
      </c>
      <c r="J263" s="8">
        <f t="shared" si="96"/>
        <v>3.8099999999999583</v>
      </c>
      <c r="K263" s="13">
        <f t="shared" si="97"/>
        <v>39890</v>
      </c>
      <c r="P263" s="2">
        <f t="shared" si="98"/>
        <v>39890</v>
      </c>
      <c r="Q263" s="2">
        <f t="shared" si="99"/>
        <v>4408258</v>
      </c>
    </row>
    <row r="264" spans="1:17" x14ac:dyDescent="0.3">
      <c r="A264" s="3">
        <f t="shared" si="106"/>
        <v>262</v>
      </c>
      <c r="B264" s="8">
        <f t="shared" si="100"/>
        <v>574</v>
      </c>
      <c r="C264" s="11">
        <f t="shared" si="101"/>
        <v>23320</v>
      </c>
      <c r="D264" s="8">
        <f t="shared" si="102"/>
        <v>412</v>
      </c>
      <c r="E264" s="11">
        <f t="shared" si="103"/>
        <v>20080</v>
      </c>
      <c r="F264" s="5">
        <f t="shared" si="104"/>
        <v>862</v>
      </c>
      <c r="G264" s="5">
        <f t="shared" si="105"/>
        <v>16840</v>
      </c>
      <c r="J264" s="8">
        <f t="shared" si="96"/>
        <v>3.8199999999999581</v>
      </c>
      <c r="K264" s="13">
        <f t="shared" si="97"/>
        <v>40080</v>
      </c>
      <c r="P264" s="2">
        <f t="shared" si="98"/>
        <v>40080</v>
      </c>
      <c r="Q264" s="2">
        <f t="shared" si="99"/>
        <v>4448338</v>
      </c>
    </row>
    <row r="265" spans="1:17" x14ac:dyDescent="0.3">
      <c r="A265" s="3">
        <f t="shared" si="106"/>
        <v>263</v>
      </c>
      <c r="B265" s="8">
        <f t="shared" si="100"/>
        <v>576</v>
      </c>
      <c r="C265" s="11">
        <f t="shared" si="101"/>
        <v>23430</v>
      </c>
      <c r="D265" s="8">
        <f t="shared" si="102"/>
        <v>413</v>
      </c>
      <c r="E265" s="11">
        <f t="shared" si="103"/>
        <v>20170</v>
      </c>
      <c r="F265" s="5">
        <f t="shared" si="104"/>
        <v>863</v>
      </c>
      <c r="G265" s="5">
        <f t="shared" si="105"/>
        <v>16910</v>
      </c>
      <c r="J265" s="8">
        <f t="shared" si="96"/>
        <v>3.8299999999999579</v>
      </c>
      <c r="K265" s="13">
        <f t="shared" si="97"/>
        <v>40270</v>
      </c>
      <c r="P265" s="2">
        <f t="shared" si="98"/>
        <v>40270</v>
      </c>
      <c r="Q265" s="2">
        <f t="shared" si="99"/>
        <v>4488608</v>
      </c>
    </row>
    <row r="266" spans="1:17" x14ac:dyDescent="0.3">
      <c r="A266" s="3">
        <f t="shared" si="106"/>
        <v>264</v>
      </c>
      <c r="B266" s="8">
        <f t="shared" si="100"/>
        <v>578</v>
      </c>
      <c r="C266" s="11">
        <f t="shared" si="101"/>
        <v>23540</v>
      </c>
      <c r="D266" s="8">
        <f t="shared" si="102"/>
        <v>414</v>
      </c>
      <c r="E266" s="11">
        <f t="shared" si="103"/>
        <v>20260</v>
      </c>
      <c r="F266" s="5">
        <f t="shared" si="104"/>
        <v>864</v>
      </c>
      <c r="G266" s="5">
        <f t="shared" si="105"/>
        <v>16980</v>
      </c>
      <c r="J266" s="8">
        <f t="shared" si="96"/>
        <v>3.8399999999999577</v>
      </c>
      <c r="K266" s="13">
        <f t="shared" si="97"/>
        <v>40460</v>
      </c>
      <c r="P266" s="2">
        <f t="shared" si="98"/>
        <v>40460</v>
      </c>
      <c r="Q266" s="2">
        <f t="shared" si="99"/>
        <v>4529068</v>
      </c>
    </row>
    <row r="267" spans="1:17" x14ac:dyDescent="0.3">
      <c r="A267" s="3">
        <f t="shared" si="106"/>
        <v>265</v>
      </c>
      <c r="B267" s="8">
        <f t="shared" si="100"/>
        <v>580</v>
      </c>
      <c r="C267" s="11">
        <f t="shared" si="101"/>
        <v>23650</v>
      </c>
      <c r="D267" s="8">
        <f t="shared" si="102"/>
        <v>415</v>
      </c>
      <c r="E267" s="11">
        <f t="shared" si="103"/>
        <v>20350</v>
      </c>
      <c r="F267" s="5">
        <f t="shared" si="104"/>
        <v>865</v>
      </c>
      <c r="G267" s="5">
        <f t="shared" si="105"/>
        <v>17050</v>
      </c>
      <c r="J267" s="8">
        <f t="shared" si="96"/>
        <v>3.8499999999999575</v>
      </c>
      <c r="K267" s="13">
        <f t="shared" si="97"/>
        <v>40650</v>
      </c>
      <c r="P267" s="2">
        <f t="shared" si="98"/>
        <v>40650</v>
      </c>
      <c r="Q267" s="2">
        <f t="shared" si="99"/>
        <v>4569718</v>
      </c>
    </row>
    <row r="268" spans="1:17" x14ac:dyDescent="0.3">
      <c r="A268" s="3">
        <f t="shared" si="106"/>
        <v>266</v>
      </c>
      <c r="B268" s="8">
        <f t="shared" si="100"/>
        <v>582</v>
      </c>
      <c r="C268" s="11">
        <f t="shared" si="101"/>
        <v>23760</v>
      </c>
      <c r="D268" s="8">
        <f t="shared" si="102"/>
        <v>416</v>
      </c>
      <c r="E268" s="11">
        <f t="shared" si="103"/>
        <v>20440</v>
      </c>
      <c r="F268" s="5">
        <f t="shared" si="104"/>
        <v>866</v>
      </c>
      <c r="G268" s="5">
        <f t="shared" si="105"/>
        <v>17120</v>
      </c>
      <c r="J268" s="8">
        <f t="shared" si="96"/>
        <v>3.8599999999999572</v>
      </c>
      <c r="K268" s="13">
        <f t="shared" si="97"/>
        <v>40840</v>
      </c>
      <c r="P268" s="2">
        <f t="shared" si="98"/>
        <v>40840</v>
      </c>
      <c r="Q268" s="2">
        <f t="shared" si="99"/>
        <v>4610558</v>
      </c>
    </row>
    <row r="269" spans="1:17" x14ac:dyDescent="0.3">
      <c r="A269" s="3">
        <f t="shared" si="106"/>
        <v>267</v>
      </c>
      <c r="B269" s="8">
        <f t="shared" si="100"/>
        <v>584</v>
      </c>
      <c r="C269" s="11">
        <f t="shared" si="101"/>
        <v>23870</v>
      </c>
      <c r="D269" s="8">
        <f t="shared" si="102"/>
        <v>417</v>
      </c>
      <c r="E269" s="11">
        <f t="shared" si="103"/>
        <v>20530</v>
      </c>
      <c r="F269" s="5">
        <f t="shared" si="104"/>
        <v>867</v>
      </c>
      <c r="G269" s="5">
        <f t="shared" si="105"/>
        <v>17190</v>
      </c>
      <c r="J269" s="8">
        <f t="shared" si="96"/>
        <v>3.869999999999957</v>
      </c>
      <c r="K269" s="13">
        <f t="shared" si="97"/>
        <v>41030</v>
      </c>
      <c r="P269" s="2">
        <f t="shared" si="98"/>
        <v>41030</v>
      </c>
      <c r="Q269" s="2">
        <f t="shared" si="99"/>
        <v>4651588</v>
      </c>
    </row>
    <row r="270" spans="1:17" x14ac:dyDescent="0.3">
      <c r="A270" s="3">
        <f t="shared" si="106"/>
        <v>268</v>
      </c>
      <c r="B270" s="8">
        <f t="shared" si="100"/>
        <v>586</v>
      </c>
      <c r="C270" s="11">
        <f t="shared" si="101"/>
        <v>23980</v>
      </c>
      <c r="D270" s="8">
        <f t="shared" si="102"/>
        <v>418</v>
      </c>
      <c r="E270" s="11">
        <f t="shared" si="103"/>
        <v>20620</v>
      </c>
      <c r="F270" s="5">
        <f t="shared" si="104"/>
        <v>868</v>
      </c>
      <c r="G270" s="5">
        <f t="shared" si="105"/>
        <v>17260</v>
      </c>
      <c r="J270" s="8">
        <f t="shared" si="96"/>
        <v>3.8799999999999568</v>
      </c>
      <c r="K270" s="13">
        <f t="shared" si="97"/>
        <v>41220</v>
      </c>
      <c r="P270" s="2">
        <f t="shared" si="98"/>
        <v>41220</v>
      </c>
      <c r="Q270" s="2">
        <f t="shared" si="99"/>
        <v>4692808</v>
      </c>
    </row>
    <row r="271" spans="1:17" x14ac:dyDescent="0.3">
      <c r="A271" s="3">
        <f t="shared" si="106"/>
        <v>269</v>
      </c>
      <c r="B271" s="8">
        <f t="shared" si="100"/>
        <v>588</v>
      </c>
      <c r="C271" s="11">
        <f t="shared" si="101"/>
        <v>24090</v>
      </c>
      <c r="D271" s="8">
        <f t="shared" si="102"/>
        <v>419</v>
      </c>
      <c r="E271" s="11">
        <f t="shared" si="103"/>
        <v>20710</v>
      </c>
      <c r="F271" s="5">
        <f t="shared" si="104"/>
        <v>869</v>
      </c>
      <c r="G271" s="5">
        <f t="shared" si="105"/>
        <v>17330</v>
      </c>
      <c r="J271" s="8">
        <f t="shared" si="96"/>
        <v>3.8899999999999566</v>
      </c>
      <c r="K271" s="13">
        <f t="shared" si="97"/>
        <v>41410</v>
      </c>
      <c r="P271" s="2">
        <f t="shared" si="98"/>
        <v>41410</v>
      </c>
      <c r="Q271" s="2">
        <f t="shared" si="99"/>
        <v>4734218</v>
      </c>
    </row>
    <row r="272" spans="1:17" x14ac:dyDescent="0.3">
      <c r="A272" s="3">
        <f t="shared" si="106"/>
        <v>270</v>
      </c>
      <c r="B272" s="8">
        <f t="shared" si="100"/>
        <v>590</v>
      </c>
      <c r="C272" s="11">
        <f t="shared" si="101"/>
        <v>24200</v>
      </c>
      <c r="D272" s="8">
        <f t="shared" si="102"/>
        <v>420</v>
      </c>
      <c r="E272" s="11">
        <f t="shared" si="103"/>
        <v>20800</v>
      </c>
      <c r="F272" s="5">
        <f t="shared" si="104"/>
        <v>870</v>
      </c>
      <c r="G272" s="5">
        <f t="shared" si="105"/>
        <v>17400</v>
      </c>
      <c r="J272" s="8">
        <f t="shared" si="96"/>
        <v>3.8999999999999564</v>
      </c>
      <c r="K272" s="13">
        <f t="shared" si="97"/>
        <v>41600</v>
      </c>
      <c r="P272" s="2">
        <f t="shared" si="98"/>
        <v>41600</v>
      </c>
      <c r="Q272" s="2">
        <f t="shared" si="99"/>
        <v>4775818</v>
      </c>
    </row>
    <row r="273" spans="1:17" x14ac:dyDescent="0.3">
      <c r="A273" s="3">
        <f t="shared" si="106"/>
        <v>271</v>
      </c>
      <c r="B273" s="8">
        <f t="shared" si="100"/>
        <v>592</v>
      </c>
      <c r="C273" s="11">
        <f t="shared" si="101"/>
        <v>24310</v>
      </c>
      <c r="D273" s="8">
        <f t="shared" si="102"/>
        <v>421</v>
      </c>
      <c r="E273" s="11">
        <f t="shared" si="103"/>
        <v>20890</v>
      </c>
      <c r="F273" s="5">
        <f t="shared" si="104"/>
        <v>871</v>
      </c>
      <c r="G273" s="5">
        <f t="shared" si="105"/>
        <v>17470</v>
      </c>
      <c r="J273" s="8">
        <f t="shared" si="96"/>
        <v>3.9099999999999562</v>
      </c>
      <c r="K273" s="13">
        <f t="shared" si="97"/>
        <v>41790</v>
      </c>
      <c r="P273" s="2">
        <f t="shared" si="98"/>
        <v>41790</v>
      </c>
      <c r="Q273" s="2">
        <f t="shared" si="99"/>
        <v>4817608</v>
      </c>
    </row>
    <row r="274" spans="1:17" x14ac:dyDescent="0.3">
      <c r="A274" s="3">
        <f t="shared" si="106"/>
        <v>272</v>
      </c>
      <c r="B274" s="8">
        <f t="shared" si="100"/>
        <v>594</v>
      </c>
      <c r="C274" s="11">
        <f t="shared" si="101"/>
        <v>24420</v>
      </c>
      <c r="D274" s="8">
        <f t="shared" si="102"/>
        <v>422</v>
      </c>
      <c r="E274" s="11">
        <f t="shared" si="103"/>
        <v>20980</v>
      </c>
      <c r="F274" s="5">
        <f t="shared" si="104"/>
        <v>872</v>
      </c>
      <c r="G274" s="5">
        <f t="shared" si="105"/>
        <v>17540</v>
      </c>
      <c r="J274" s="8">
        <f t="shared" si="96"/>
        <v>3.919999999999956</v>
      </c>
      <c r="K274" s="13">
        <f t="shared" si="97"/>
        <v>41980</v>
      </c>
      <c r="P274" s="2">
        <f t="shared" si="98"/>
        <v>41980</v>
      </c>
      <c r="Q274" s="2">
        <f t="shared" si="99"/>
        <v>4859588</v>
      </c>
    </row>
    <row r="275" spans="1:17" x14ac:dyDescent="0.3">
      <c r="A275" s="3">
        <f t="shared" si="106"/>
        <v>273</v>
      </c>
      <c r="B275" s="8">
        <f t="shared" si="100"/>
        <v>596</v>
      </c>
      <c r="C275" s="11">
        <f t="shared" si="101"/>
        <v>24530</v>
      </c>
      <c r="D275" s="8">
        <f t="shared" si="102"/>
        <v>423</v>
      </c>
      <c r="E275" s="11">
        <f t="shared" si="103"/>
        <v>21070</v>
      </c>
      <c r="F275" s="5">
        <f t="shared" si="104"/>
        <v>873</v>
      </c>
      <c r="G275" s="5">
        <f t="shared" si="105"/>
        <v>17610</v>
      </c>
      <c r="J275" s="8">
        <f t="shared" si="96"/>
        <v>3.9299999999999558</v>
      </c>
      <c r="K275" s="13">
        <f t="shared" si="97"/>
        <v>42170</v>
      </c>
      <c r="P275" s="2">
        <f t="shared" si="98"/>
        <v>42170</v>
      </c>
      <c r="Q275" s="2">
        <f t="shared" si="99"/>
        <v>4901758</v>
      </c>
    </row>
    <row r="276" spans="1:17" x14ac:dyDescent="0.3">
      <c r="A276" s="3">
        <f t="shared" si="106"/>
        <v>274</v>
      </c>
      <c r="B276" s="8">
        <f t="shared" si="100"/>
        <v>598</v>
      </c>
      <c r="C276" s="11">
        <f t="shared" si="101"/>
        <v>24640</v>
      </c>
      <c r="D276" s="8">
        <f t="shared" si="102"/>
        <v>424</v>
      </c>
      <c r="E276" s="11">
        <f t="shared" si="103"/>
        <v>21160</v>
      </c>
      <c r="F276" s="5">
        <f t="shared" si="104"/>
        <v>874</v>
      </c>
      <c r="G276" s="5">
        <f t="shared" si="105"/>
        <v>17680</v>
      </c>
      <c r="J276" s="8">
        <f t="shared" ref="J276:J339" si="107">J275+0.01</f>
        <v>3.9399999999999555</v>
      </c>
      <c r="K276" s="13">
        <f t="shared" ref="K276:K339" si="108">K275+190</f>
        <v>42360</v>
      </c>
      <c r="P276" s="2">
        <f t="shared" si="98"/>
        <v>42360</v>
      </c>
      <c r="Q276" s="2">
        <f t="shared" si="99"/>
        <v>4944118</v>
      </c>
    </row>
    <row r="277" spans="1:17" x14ac:dyDescent="0.3">
      <c r="A277" s="3">
        <f t="shared" si="106"/>
        <v>275</v>
      </c>
      <c r="B277" s="8">
        <f t="shared" si="100"/>
        <v>600</v>
      </c>
      <c r="C277" s="11">
        <f t="shared" si="101"/>
        <v>24750</v>
      </c>
      <c r="D277" s="8">
        <f t="shared" si="102"/>
        <v>425</v>
      </c>
      <c r="E277" s="11">
        <f t="shared" si="103"/>
        <v>21250</v>
      </c>
      <c r="F277" s="5">
        <f t="shared" si="104"/>
        <v>875</v>
      </c>
      <c r="G277" s="5">
        <f t="shared" si="105"/>
        <v>17750</v>
      </c>
      <c r="J277" s="8">
        <f t="shared" si="107"/>
        <v>3.9499999999999553</v>
      </c>
      <c r="K277" s="13">
        <f t="shared" si="108"/>
        <v>42550</v>
      </c>
      <c r="P277" s="2">
        <f t="shared" si="98"/>
        <v>42550</v>
      </c>
      <c r="Q277" s="2">
        <f t="shared" si="99"/>
        <v>4986668</v>
      </c>
    </row>
    <row r="278" spans="1:17" x14ac:dyDescent="0.3">
      <c r="A278" s="3">
        <f t="shared" si="106"/>
        <v>276</v>
      </c>
      <c r="B278" s="8">
        <f t="shared" si="100"/>
        <v>602</v>
      </c>
      <c r="C278" s="11">
        <f t="shared" si="101"/>
        <v>24860</v>
      </c>
      <c r="D278" s="8">
        <f t="shared" si="102"/>
        <v>426</v>
      </c>
      <c r="E278" s="11">
        <f t="shared" si="103"/>
        <v>21340</v>
      </c>
      <c r="F278" s="5">
        <f t="shared" si="104"/>
        <v>876</v>
      </c>
      <c r="G278" s="5">
        <f t="shared" si="105"/>
        <v>17820</v>
      </c>
      <c r="J278" s="8">
        <f t="shared" si="107"/>
        <v>3.9599999999999551</v>
      </c>
      <c r="K278" s="13">
        <f t="shared" si="108"/>
        <v>42740</v>
      </c>
      <c r="P278" s="2">
        <f t="shared" si="98"/>
        <v>42740</v>
      </c>
      <c r="Q278" s="2">
        <f t="shared" si="99"/>
        <v>5029408</v>
      </c>
    </row>
    <row r="279" spans="1:17" x14ac:dyDescent="0.3">
      <c r="A279" s="3">
        <f t="shared" si="106"/>
        <v>277</v>
      </c>
      <c r="B279" s="8">
        <f t="shared" si="100"/>
        <v>604</v>
      </c>
      <c r="C279" s="11">
        <f t="shared" si="101"/>
        <v>24970</v>
      </c>
      <c r="D279" s="8">
        <f t="shared" si="102"/>
        <v>427</v>
      </c>
      <c r="E279" s="11">
        <f t="shared" si="103"/>
        <v>21430</v>
      </c>
      <c r="F279" s="5">
        <f t="shared" si="104"/>
        <v>877</v>
      </c>
      <c r="G279" s="5">
        <f t="shared" si="105"/>
        <v>17890</v>
      </c>
      <c r="J279" s="8">
        <f t="shared" si="107"/>
        <v>3.9699999999999549</v>
      </c>
      <c r="K279" s="13">
        <f t="shared" si="108"/>
        <v>42930</v>
      </c>
      <c r="P279" s="2">
        <f t="shared" si="98"/>
        <v>42930</v>
      </c>
      <c r="Q279" s="2">
        <f t="shared" si="99"/>
        <v>5072338</v>
      </c>
    </row>
    <row r="280" spans="1:17" x14ac:dyDescent="0.3">
      <c r="A280" s="3">
        <f t="shared" si="106"/>
        <v>278</v>
      </c>
      <c r="B280" s="8">
        <f t="shared" si="100"/>
        <v>606</v>
      </c>
      <c r="C280" s="11">
        <f t="shared" si="101"/>
        <v>25080</v>
      </c>
      <c r="D280" s="8">
        <f t="shared" si="102"/>
        <v>428</v>
      </c>
      <c r="E280" s="11">
        <f t="shared" si="103"/>
        <v>21520</v>
      </c>
      <c r="F280" s="5">
        <f t="shared" si="104"/>
        <v>878</v>
      </c>
      <c r="G280" s="5">
        <f t="shared" si="105"/>
        <v>17960</v>
      </c>
      <c r="J280" s="8">
        <f t="shared" si="107"/>
        <v>3.9799999999999547</v>
      </c>
      <c r="K280" s="13">
        <f t="shared" si="108"/>
        <v>43120</v>
      </c>
      <c r="P280" s="2">
        <f t="shared" si="98"/>
        <v>43120</v>
      </c>
      <c r="Q280" s="2">
        <f t="shared" si="99"/>
        <v>5115458</v>
      </c>
    </row>
    <row r="281" spans="1:17" x14ac:dyDescent="0.3">
      <c r="A281" s="3">
        <f t="shared" si="106"/>
        <v>279</v>
      </c>
      <c r="B281" s="8">
        <f t="shared" si="100"/>
        <v>608</v>
      </c>
      <c r="C281" s="11">
        <f t="shared" si="101"/>
        <v>25190</v>
      </c>
      <c r="D281" s="8">
        <f t="shared" si="102"/>
        <v>429</v>
      </c>
      <c r="E281" s="11">
        <f t="shared" si="103"/>
        <v>21610</v>
      </c>
      <c r="F281" s="5">
        <f t="shared" si="104"/>
        <v>879</v>
      </c>
      <c r="G281" s="5">
        <f t="shared" si="105"/>
        <v>18030</v>
      </c>
      <c r="J281" s="8">
        <f t="shared" si="107"/>
        <v>3.9899999999999545</v>
      </c>
      <c r="K281" s="13">
        <f t="shared" si="108"/>
        <v>43310</v>
      </c>
      <c r="P281" s="2">
        <f t="shared" si="98"/>
        <v>43310</v>
      </c>
      <c r="Q281" s="2">
        <f t="shared" si="99"/>
        <v>5158768</v>
      </c>
    </row>
    <row r="282" spans="1:17" x14ac:dyDescent="0.3">
      <c r="A282" s="3">
        <f t="shared" si="106"/>
        <v>280</v>
      </c>
      <c r="B282" s="8">
        <f t="shared" si="100"/>
        <v>610</v>
      </c>
      <c r="C282" s="11">
        <f t="shared" si="101"/>
        <v>25300</v>
      </c>
      <c r="D282" s="8">
        <f t="shared" si="102"/>
        <v>430</v>
      </c>
      <c r="E282" s="11">
        <f t="shared" si="103"/>
        <v>21700</v>
      </c>
      <c r="F282" s="5">
        <f t="shared" si="104"/>
        <v>880</v>
      </c>
      <c r="G282" s="5">
        <f t="shared" si="105"/>
        <v>18100</v>
      </c>
      <c r="J282" s="8">
        <f t="shared" si="107"/>
        <v>3.9999999999999543</v>
      </c>
      <c r="K282" s="13">
        <f t="shared" si="108"/>
        <v>43500</v>
      </c>
      <c r="P282" s="2">
        <f t="shared" si="98"/>
        <v>43500</v>
      </c>
      <c r="Q282" s="2">
        <f t="shared" si="99"/>
        <v>5202268</v>
      </c>
    </row>
    <row r="283" spans="1:17" x14ac:dyDescent="0.3">
      <c r="A283" s="3">
        <f t="shared" si="106"/>
        <v>281</v>
      </c>
      <c r="B283" s="8">
        <f t="shared" si="100"/>
        <v>612</v>
      </c>
      <c r="C283" s="11">
        <f t="shared" si="101"/>
        <v>25410</v>
      </c>
      <c r="D283" s="8">
        <f t="shared" si="102"/>
        <v>431</v>
      </c>
      <c r="E283" s="11">
        <f t="shared" si="103"/>
        <v>21790</v>
      </c>
      <c r="F283" s="5">
        <f t="shared" si="104"/>
        <v>881</v>
      </c>
      <c r="G283" s="5">
        <f t="shared" si="105"/>
        <v>18170</v>
      </c>
      <c r="J283" s="8">
        <f t="shared" si="107"/>
        <v>4.0099999999999545</v>
      </c>
      <c r="K283" s="13">
        <f t="shared" si="108"/>
        <v>43690</v>
      </c>
      <c r="P283" s="2">
        <f t="shared" si="98"/>
        <v>43690</v>
      </c>
      <c r="Q283" s="2">
        <f t="shared" si="99"/>
        <v>5245958</v>
      </c>
    </row>
    <row r="284" spans="1:17" x14ac:dyDescent="0.3">
      <c r="A284" s="3">
        <f t="shared" si="106"/>
        <v>282</v>
      </c>
      <c r="B284" s="8">
        <f t="shared" si="100"/>
        <v>614</v>
      </c>
      <c r="C284" s="11">
        <f t="shared" si="101"/>
        <v>25520</v>
      </c>
      <c r="D284" s="8">
        <f t="shared" si="102"/>
        <v>432</v>
      </c>
      <c r="E284" s="11">
        <f t="shared" si="103"/>
        <v>21880</v>
      </c>
      <c r="F284" s="5">
        <f t="shared" si="104"/>
        <v>882</v>
      </c>
      <c r="G284" s="5">
        <f t="shared" si="105"/>
        <v>18240</v>
      </c>
      <c r="J284" s="8">
        <f t="shared" si="107"/>
        <v>4.0199999999999543</v>
      </c>
      <c r="K284" s="13">
        <f t="shared" si="108"/>
        <v>43880</v>
      </c>
      <c r="P284" s="2">
        <f t="shared" si="98"/>
        <v>43880</v>
      </c>
      <c r="Q284" s="2">
        <f t="shared" si="99"/>
        <v>5289838</v>
      </c>
    </row>
    <row r="285" spans="1:17" x14ac:dyDescent="0.3">
      <c r="A285" s="3">
        <f t="shared" si="106"/>
        <v>283</v>
      </c>
      <c r="B285" s="8">
        <f t="shared" si="100"/>
        <v>616</v>
      </c>
      <c r="C285" s="11">
        <f t="shared" si="101"/>
        <v>25630</v>
      </c>
      <c r="D285" s="8">
        <f t="shared" si="102"/>
        <v>433</v>
      </c>
      <c r="E285" s="11">
        <f t="shared" si="103"/>
        <v>21970</v>
      </c>
      <c r="F285" s="5">
        <f t="shared" si="104"/>
        <v>883</v>
      </c>
      <c r="G285" s="5">
        <f t="shared" si="105"/>
        <v>18310</v>
      </c>
      <c r="J285" s="8">
        <f t="shared" si="107"/>
        <v>4.0299999999999541</v>
      </c>
      <c r="K285" s="13">
        <f t="shared" si="108"/>
        <v>44070</v>
      </c>
      <c r="P285" s="2">
        <f t="shared" si="98"/>
        <v>44070</v>
      </c>
      <c r="Q285" s="2">
        <f t="shared" si="99"/>
        <v>5333908</v>
      </c>
    </row>
    <row r="286" spans="1:17" x14ac:dyDescent="0.3">
      <c r="A286" s="3">
        <f t="shared" si="106"/>
        <v>284</v>
      </c>
      <c r="B286" s="8">
        <f t="shared" si="100"/>
        <v>618</v>
      </c>
      <c r="C286" s="11">
        <f t="shared" si="101"/>
        <v>25740</v>
      </c>
      <c r="D286" s="8">
        <f t="shared" si="102"/>
        <v>434</v>
      </c>
      <c r="E286" s="11">
        <f t="shared" si="103"/>
        <v>22060</v>
      </c>
      <c r="F286" s="5">
        <f t="shared" si="104"/>
        <v>884</v>
      </c>
      <c r="G286" s="5">
        <f t="shared" si="105"/>
        <v>18380</v>
      </c>
      <c r="J286" s="8">
        <f t="shared" si="107"/>
        <v>4.0399999999999539</v>
      </c>
      <c r="K286" s="13">
        <f t="shared" si="108"/>
        <v>44260</v>
      </c>
      <c r="P286" s="2">
        <f t="shared" si="98"/>
        <v>44260</v>
      </c>
      <c r="Q286" s="2">
        <f t="shared" si="99"/>
        <v>5378168</v>
      </c>
    </row>
    <row r="287" spans="1:17" x14ac:dyDescent="0.3">
      <c r="A287" s="3">
        <f t="shared" si="106"/>
        <v>285</v>
      </c>
      <c r="B287" s="8">
        <f t="shared" si="100"/>
        <v>620</v>
      </c>
      <c r="C287" s="11">
        <f t="shared" si="101"/>
        <v>25850</v>
      </c>
      <c r="D287" s="8">
        <f t="shared" si="102"/>
        <v>435</v>
      </c>
      <c r="E287" s="11">
        <f t="shared" si="103"/>
        <v>22150</v>
      </c>
      <c r="F287" s="5">
        <f t="shared" si="104"/>
        <v>885</v>
      </c>
      <c r="G287" s="5">
        <f t="shared" si="105"/>
        <v>18450</v>
      </c>
      <c r="J287" s="8">
        <f t="shared" si="107"/>
        <v>4.0499999999999536</v>
      </c>
      <c r="K287" s="13">
        <f t="shared" si="108"/>
        <v>44450</v>
      </c>
      <c r="P287" s="2">
        <f t="shared" si="98"/>
        <v>44450</v>
      </c>
      <c r="Q287" s="2">
        <f t="shared" si="99"/>
        <v>5422618</v>
      </c>
    </row>
    <row r="288" spans="1:17" x14ac:dyDescent="0.3">
      <c r="A288" s="3">
        <f t="shared" si="106"/>
        <v>286</v>
      </c>
      <c r="B288" s="8">
        <f t="shared" si="100"/>
        <v>622</v>
      </c>
      <c r="C288" s="11">
        <f t="shared" si="101"/>
        <v>25960</v>
      </c>
      <c r="D288" s="8">
        <f t="shared" si="102"/>
        <v>436</v>
      </c>
      <c r="E288" s="11">
        <f t="shared" si="103"/>
        <v>22240</v>
      </c>
      <c r="F288" s="5">
        <f t="shared" si="104"/>
        <v>886</v>
      </c>
      <c r="G288" s="5">
        <f t="shared" si="105"/>
        <v>18520</v>
      </c>
      <c r="J288" s="8">
        <f t="shared" si="107"/>
        <v>4.0599999999999534</v>
      </c>
      <c r="K288" s="13">
        <f t="shared" si="108"/>
        <v>44640</v>
      </c>
      <c r="P288" s="2">
        <f t="shared" si="98"/>
        <v>44640</v>
      </c>
      <c r="Q288" s="2">
        <f t="shared" si="99"/>
        <v>5467258</v>
      </c>
    </row>
    <row r="289" spans="1:17" x14ac:dyDescent="0.3">
      <c r="A289" s="3">
        <f t="shared" si="106"/>
        <v>287</v>
      </c>
      <c r="B289" s="8">
        <f t="shared" si="100"/>
        <v>624</v>
      </c>
      <c r="C289" s="11">
        <f t="shared" si="101"/>
        <v>26070</v>
      </c>
      <c r="D289" s="8">
        <f t="shared" si="102"/>
        <v>437</v>
      </c>
      <c r="E289" s="11">
        <f t="shared" si="103"/>
        <v>22330</v>
      </c>
      <c r="F289" s="5">
        <f t="shared" si="104"/>
        <v>887</v>
      </c>
      <c r="G289" s="5">
        <f t="shared" si="105"/>
        <v>18590</v>
      </c>
      <c r="J289" s="8">
        <f t="shared" si="107"/>
        <v>4.0699999999999532</v>
      </c>
      <c r="K289" s="13">
        <f t="shared" si="108"/>
        <v>44830</v>
      </c>
      <c r="P289" s="2">
        <f t="shared" si="98"/>
        <v>44830</v>
      </c>
      <c r="Q289" s="2">
        <f t="shared" si="99"/>
        <v>5512088</v>
      </c>
    </row>
    <row r="290" spans="1:17" x14ac:dyDescent="0.3">
      <c r="A290" s="3">
        <f t="shared" si="106"/>
        <v>288</v>
      </c>
      <c r="B290" s="8">
        <f t="shared" si="100"/>
        <v>626</v>
      </c>
      <c r="C290" s="11">
        <f t="shared" si="101"/>
        <v>26180</v>
      </c>
      <c r="D290" s="8">
        <f t="shared" si="102"/>
        <v>438</v>
      </c>
      <c r="E290" s="11">
        <f t="shared" si="103"/>
        <v>22420</v>
      </c>
      <c r="F290" s="5">
        <f t="shared" si="104"/>
        <v>888</v>
      </c>
      <c r="G290" s="5">
        <f t="shared" si="105"/>
        <v>18660</v>
      </c>
      <c r="J290" s="8">
        <f t="shared" si="107"/>
        <v>4.079999999999953</v>
      </c>
      <c r="K290" s="13">
        <f t="shared" si="108"/>
        <v>45020</v>
      </c>
      <c r="P290" s="2">
        <f t="shared" si="98"/>
        <v>45020</v>
      </c>
      <c r="Q290" s="2">
        <f t="shared" si="99"/>
        <v>5557108</v>
      </c>
    </row>
    <row r="291" spans="1:17" x14ac:dyDescent="0.3">
      <c r="A291" s="3">
        <f t="shared" si="106"/>
        <v>289</v>
      </c>
      <c r="B291" s="8">
        <f t="shared" si="100"/>
        <v>628</v>
      </c>
      <c r="C291" s="11">
        <f t="shared" si="101"/>
        <v>26290</v>
      </c>
      <c r="D291" s="8">
        <f t="shared" si="102"/>
        <v>439</v>
      </c>
      <c r="E291" s="11">
        <f t="shared" si="103"/>
        <v>22510</v>
      </c>
      <c r="F291" s="5">
        <f t="shared" si="104"/>
        <v>889</v>
      </c>
      <c r="G291" s="5">
        <f t="shared" si="105"/>
        <v>18730</v>
      </c>
      <c r="J291" s="8">
        <f t="shared" si="107"/>
        <v>4.0899999999999528</v>
      </c>
      <c r="K291" s="13">
        <f t="shared" si="108"/>
        <v>45210</v>
      </c>
      <c r="P291" s="2">
        <f t="shared" si="98"/>
        <v>45210</v>
      </c>
      <c r="Q291" s="2">
        <f t="shared" si="99"/>
        <v>5602318</v>
      </c>
    </row>
    <row r="292" spans="1:17" x14ac:dyDescent="0.3">
      <c r="A292" s="3">
        <f t="shared" si="106"/>
        <v>290</v>
      </c>
      <c r="B292" s="8">
        <f t="shared" si="100"/>
        <v>630</v>
      </c>
      <c r="C292" s="11">
        <f t="shared" si="101"/>
        <v>26400</v>
      </c>
      <c r="D292" s="8">
        <f t="shared" si="102"/>
        <v>440</v>
      </c>
      <c r="E292" s="11">
        <f t="shared" si="103"/>
        <v>22600</v>
      </c>
      <c r="F292" s="5">
        <f t="shared" si="104"/>
        <v>890</v>
      </c>
      <c r="G292" s="5">
        <f t="shared" si="105"/>
        <v>18800</v>
      </c>
      <c r="J292" s="8">
        <f t="shared" si="107"/>
        <v>4.0999999999999526</v>
      </c>
      <c r="K292" s="13">
        <f t="shared" si="108"/>
        <v>45400</v>
      </c>
      <c r="P292" s="2">
        <f t="shared" si="98"/>
        <v>45400</v>
      </c>
      <c r="Q292" s="2">
        <f t="shared" si="99"/>
        <v>5647718</v>
      </c>
    </row>
    <row r="293" spans="1:17" x14ac:dyDescent="0.3">
      <c r="A293" s="3">
        <f t="shared" si="106"/>
        <v>291</v>
      </c>
      <c r="B293" s="8">
        <f t="shared" si="100"/>
        <v>632</v>
      </c>
      <c r="C293" s="11">
        <f t="shared" si="101"/>
        <v>26510</v>
      </c>
      <c r="D293" s="8">
        <f t="shared" si="102"/>
        <v>441</v>
      </c>
      <c r="E293" s="11">
        <f t="shared" si="103"/>
        <v>22690</v>
      </c>
      <c r="F293" s="5">
        <f t="shared" si="104"/>
        <v>891</v>
      </c>
      <c r="G293" s="5">
        <f t="shared" si="105"/>
        <v>18870</v>
      </c>
      <c r="J293" s="8">
        <f t="shared" si="107"/>
        <v>4.1099999999999524</v>
      </c>
      <c r="K293" s="13">
        <f t="shared" si="108"/>
        <v>45590</v>
      </c>
      <c r="P293" s="2">
        <f t="shared" si="98"/>
        <v>45590</v>
      </c>
      <c r="Q293" s="2">
        <f t="shared" si="99"/>
        <v>5693308</v>
      </c>
    </row>
    <row r="294" spans="1:17" x14ac:dyDescent="0.3">
      <c r="A294" s="3">
        <f t="shared" si="106"/>
        <v>292</v>
      </c>
      <c r="B294" s="8">
        <f t="shared" si="100"/>
        <v>634</v>
      </c>
      <c r="C294" s="11">
        <f t="shared" si="101"/>
        <v>26620</v>
      </c>
      <c r="D294" s="8">
        <f t="shared" si="102"/>
        <v>442</v>
      </c>
      <c r="E294" s="11">
        <f t="shared" si="103"/>
        <v>22780</v>
      </c>
      <c r="F294" s="5">
        <f t="shared" si="104"/>
        <v>892</v>
      </c>
      <c r="G294" s="5">
        <f t="shared" si="105"/>
        <v>18940</v>
      </c>
      <c r="J294" s="8">
        <f t="shared" si="107"/>
        <v>4.1199999999999521</v>
      </c>
      <c r="K294" s="13">
        <f t="shared" si="108"/>
        <v>45780</v>
      </c>
      <c r="P294" s="2">
        <f t="shared" ref="P294:P357" si="109">K294</f>
        <v>45780</v>
      </c>
      <c r="Q294" s="2">
        <f t="shared" ref="Q294:Q357" si="110">Q293+K294</f>
        <v>5739088</v>
      </c>
    </row>
    <row r="295" spans="1:17" x14ac:dyDescent="0.3">
      <c r="A295" s="3">
        <f t="shared" si="106"/>
        <v>293</v>
      </c>
      <c r="B295" s="8">
        <f t="shared" si="100"/>
        <v>636</v>
      </c>
      <c r="C295" s="11">
        <f t="shared" si="101"/>
        <v>26730</v>
      </c>
      <c r="D295" s="8">
        <f t="shared" si="102"/>
        <v>443</v>
      </c>
      <c r="E295" s="11">
        <f t="shared" si="103"/>
        <v>22870</v>
      </c>
      <c r="F295" s="5">
        <f t="shared" si="104"/>
        <v>893</v>
      </c>
      <c r="G295" s="5">
        <f t="shared" si="105"/>
        <v>19010</v>
      </c>
      <c r="J295" s="8">
        <f t="shared" si="107"/>
        <v>4.1299999999999519</v>
      </c>
      <c r="K295" s="13">
        <f t="shared" si="108"/>
        <v>45970</v>
      </c>
      <c r="P295" s="2">
        <f t="shared" si="109"/>
        <v>45970</v>
      </c>
      <c r="Q295" s="2">
        <f t="shared" si="110"/>
        <v>5785058</v>
      </c>
    </row>
    <row r="296" spans="1:17" x14ac:dyDescent="0.3">
      <c r="A296" s="3">
        <f t="shared" si="106"/>
        <v>294</v>
      </c>
      <c r="B296" s="8">
        <f t="shared" ref="B296:B359" si="111">B295+2</f>
        <v>638</v>
      </c>
      <c r="C296" s="11">
        <f t="shared" ref="C296:C359" si="112">C295+110</f>
        <v>26840</v>
      </c>
      <c r="D296" s="8">
        <f t="shared" ref="D296:D359" si="113">D295+1</f>
        <v>444</v>
      </c>
      <c r="E296" s="11">
        <f t="shared" ref="E296:E359" si="114">E295+90</f>
        <v>22960</v>
      </c>
      <c r="F296" s="5">
        <f t="shared" ref="F296:F359" si="115">F295+1</f>
        <v>894</v>
      </c>
      <c r="G296" s="5">
        <f t="shared" ref="G296:G359" si="116">G295+70</f>
        <v>19080</v>
      </c>
      <c r="J296" s="8">
        <f t="shared" si="107"/>
        <v>4.1399999999999517</v>
      </c>
      <c r="K296" s="13">
        <f t="shared" si="108"/>
        <v>46160</v>
      </c>
      <c r="P296" s="2">
        <f t="shared" si="109"/>
        <v>46160</v>
      </c>
      <c r="Q296" s="2">
        <f t="shared" si="110"/>
        <v>5831218</v>
      </c>
    </row>
    <row r="297" spans="1:17" x14ac:dyDescent="0.3">
      <c r="A297" s="3">
        <f t="shared" si="106"/>
        <v>295</v>
      </c>
      <c r="B297" s="8">
        <f t="shared" si="111"/>
        <v>640</v>
      </c>
      <c r="C297" s="11">
        <f t="shared" si="112"/>
        <v>26950</v>
      </c>
      <c r="D297" s="8">
        <f t="shared" si="113"/>
        <v>445</v>
      </c>
      <c r="E297" s="11">
        <f t="shared" si="114"/>
        <v>23050</v>
      </c>
      <c r="F297" s="5">
        <f t="shared" si="115"/>
        <v>895</v>
      </c>
      <c r="G297" s="5">
        <f t="shared" si="116"/>
        <v>19150</v>
      </c>
      <c r="J297" s="8">
        <f t="shared" si="107"/>
        <v>4.1499999999999515</v>
      </c>
      <c r="K297" s="13">
        <f t="shared" si="108"/>
        <v>46350</v>
      </c>
      <c r="P297" s="2">
        <f t="shared" si="109"/>
        <v>46350</v>
      </c>
      <c r="Q297" s="2">
        <f t="shared" si="110"/>
        <v>5877568</v>
      </c>
    </row>
    <row r="298" spans="1:17" x14ac:dyDescent="0.3">
      <c r="A298" s="3">
        <f t="shared" si="106"/>
        <v>296</v>
      </c>
      <c r="B298" s="8">
        <f t="shared" si="111"/>
        <v>642</v>
      </c>
      <c r="C298" s="11">
        <f t="shared" si="112"/>
        <v>27060</v>
      </c>
      <c r="D298" s="8">
        <f t="shared" si="113"/>
        <v>446</v>
      </c>
      <c r="E298" s="11">
        <f t="shared" si="114"/>
        <v>23140</v>
      </c>
      <c r="F298" s="5">
        <f t="shared" si="115"/>
        <v>896</v>
      </c>
      <c r="G298" s="5">
        <f t="shared" si="116"/>
        <v>19220</v>
      </c>
      <c r="J298" s="8">
        <f t="shared" si="107"/>
        <v>4.1599999999999513</v>
      </c>
      <c r="K298" s="13">
        <f t="shared" si="108"/>
        <v>46540</v>
      </c>
      <c r="P298" s="2">
        <f t="shared" si="109"/>
        <v>46540</v>
      </c>
      <c r="Q298" s="2">
        <f t="shared" si="110"/>
        <v>5924108</v>
      </c>
    </row>
    <row r="299" spans="1:17" x14ac:dyDescent="0.3">
      <c r="A299" s="3">
        <f t="shared" si="106"/>
        <v>297</v>
      </c>
      <c r="B299" s="8">
        <f t="shared" si="111"/>
        <v>644</v>
      </c>
      <c r="C299" s="11">
        <f t="shared" si="112"/>
        <v>27170</v>
      </c>
      <c r="D299" s="8">
        <f t="shared" si="113"/>
        <v>447</v>
      </c>
      <c r="E299" s="11">
        <f t="shared" si="114"/>
        <v>23230</v>
      </c>
      <c r="F299" s="5">
        <f t="shared" si="115"/>
        <v>897</v>
      </c>
      <c r="G299" s="5">
        <f t="shared" si="116"/>
        <v>19290</v>
      </c>
      <c r="J299" s="8">
        <f t="shared" si="107"/>
        <v>4.1699999999999511</v>
      </c>
      <c r="K299" s="13">
        <f t="shared" si="108"/>
        <v>46730</v>
      </c>
      <c r="P299" s="2">
        <f t="shared" si="109"/>
        <v>46730</v>
      </c>
      <c r="Q299" s="2">
        <f t="shared" si="110"/>
        <v>5970838</v>
      </c>
    </row>
    <row r="300" spans="1:17" x14ac:dyDescent="0.3">
      <c r="A300" s="3">
        <f t="shared" si="106"/>
        <v>298</v>
      </c>
      <c r="B300" s="8">
        <f t="shared" si="111"/>
        <v>646</v>
      </c>
      <c r="C300" s="11">
        <f t="shared" si="112"/>
        <v>27280</v>
      </c>
      <c r="D300" s="8">
        <f t="shared" si="113"/>
        <v>448</v>
      </c>
      <c r="E300" s="11">
        <f t="shared" si="114"/>
        <v>23320</v>
      </c>
      <c r="F300" s="5">
        <f t="shared" si="115"/>
        <v>898</v>
      </c>
      <c r="G300" s="5">
        <f t="shared" si="116"/>
        <v>19360</v>
      </c>
      <c r="J300" s="8">
        <f t="shared" si="107"/>
        <v>4.1799999999999509</v>
      </c>
      <c r="K300" s="13">
        <f t="shared" si="108"/>
        <v>46920</v>
      </c>
      <c r="P300" s="2">
        <f t="shared" si="109"/>
        <v>46920</v>
      </c>
      <c r="Q300" s="2">
        <f t="shared" si="110"/>
        <v>6017758</v>
      </c>
    </row>
    <row r="301" spans="1:17" x14ac:dyDescent="0.3">
      <c r="A301" s="3">
        <f t="shared" si="106"/>
        <v>299</v>
      </c>
      <c r="B301" s="8">
        <f t="shared" si="111"/>
        <v>648</v>
      </c>
      <c r="C301" s="11">
        <f t="shared" si="112"/>
        <v>27390</v>
      </c>
      <c r="D301" s="8">
        <f t="shared" si="113"/>
        <v>449</v>
      </c>
      <c r="E301" s="11">
        <f t="shared" si="114"/>
        <v>23410</v>
      </c>
      <c r="F301" s="5">
        <f t="shared" si="115"/>
        <v>899</v>
      </c>
      <c r="G301" s="5">
        <f t="shared" si="116"/>
        <v>19430</v>
      </c>
      <c r="J301" s="8">
        <f t="shared" si="107"/>
        <v>4.1899999999999507</v>
      </c>
      <c r="K301" s="13">
        <f t="shared" si="108"/>
        <v>47110</v>
      </c>
      <c r="P301" s="2">
        <f t="shared" si="109"/>
        <v>47110</v>
      </c>
      <c r="Q301" s="2">
        <f t="shared" si="110"/>
        <v>6064868</v>
      </c>
    </row>
    <row r="302" spans="1:17" x14ac:dyDescent="0.3">
      <c r="A302" s="3">
        <f t="shared" si="106"/>
        <v>300</v>
      </c>
      <c r="B302" s="8">
        <f t="shared" si="111"/>
        <v>650</v>
      </c>
      <c r="C302" s="11">
        <f t="shared" si="112"/>
        <v>27500</v>
      </c>
      <c r="D302" s="8">
        <f t="shared" si="113"/>
        <v>450</v>
      </c>
      <c r="E302" s="11">
        <f t="shared" si="114"/>
        <v>23500</v>
      </c>
      <c r="F302" s="5">
        <f t="shared" si="115"/>
        <v>900</v>
      </c>
      <c r="G302" s="5">
        <f t="shared" si="116"/>
        <v>19500</v>
      </c>
      <c r="J302" s="8">
        <f t="shared" si="107"/>
        <v>4.1999999999999504</v>
      </c>
      <c r="K302" s="13">
        <f t="shared" si="108"/>
        <v>47300</v>
      </c>
      <c r="P302" s="2">
        <f t="shared" si="109"/>
        <v>47300</v>
      </c>
      <c r="Q302" s="2">
        <f t="shared" si="110"/>
        <v>6112168</v>
      </c>
    </row>
    <row r="303" spans="1:17" x14ac:dyDescent="0.3">
      <c r="A303" s="3">
        <f t="shared" si="106"/>
        <v>301</v>
      </c>
      <c r="B303" s="8">
        <f t="shared" si="111"/>
        <v>652</v>
      </c>
      <c r="C303" s="11">
        <f t="shared" si="112"/>
        <v>27610</v>
      </c>
      <c r="D303" s="8">
        <f t="shared" si="113"/>
        <v>451</v>
      </c>
      <c r="E303" s="11">
        <f t="shared" si="114"/>
        <v>23590</v>
      </c>
      <c r="F303" s="5">
        <f t="shared" si="115"/>
        <v>901</v>
      </c>
      <c r="G303" s="5">
        <f t="shared" si="116"/>
        <v>19570</v>
      </c>
      <c r="J303" s="8">
        <f t="shared" si="107"/>
        <v>4.2099999999999502</v>
      </c>
      <c r="K303" s="13">
        <f t="shared" si="108"/>
        <v>47490</v>
      </c>
      <c r="P303" s="2">
        <f t="shared" si="109"/>
        <v>47490</v>
      </c>
      <c r="Q303" s="2">
        <f t="shared" si="110"/>
        <v>6159658</v>
      </c>
    </row>
    <row r="304" spans="1:17" x14ac:dyDescent="0.3">
      <c r="A304" s="3">
        <f t="shared" si="106"/>
        <v>302</v>
      </c>
      <c r="B304" s="8">
        <f t="shared" si="111"/>
        <v>654</v>
      </c>
      <c r="C304" s="11">
        <f t="shared" si="112"/>
        <v>27720</v>
      </c>
      <c r="D304" s="8">
        <f t="shared" si="113"/>
        <v>452</v>
      </c>
      <c r="E304" s="11">
        <f t="shared" si="114"/>
        <v>23680</v>
      </c>
      <c r="F304" s="5">
        <f t="shared" si="115"/>
        <v>902</v>
      </c>
      <c r="G304" s="5">
        <f t="shared" si="116"/>
        <v>19640</v>
      </c>
      <c r="J304" s="8">
        <f t="shared" si="107"/>
        <v>4.21999999999995</v>
      </c>
      <c r="K304" s="13">
        <f t="shared" si="108"/>
        <v>47680</v>
      </c>
      <c r="P304" s="2">
        <f t="shared" si="109"/>
        <v>47680</v>
      </c>
      <c r="Q304" s="2">
        <f t="shared" si="110"/>
        <v>6207338</v>
      </c>
    </row>
    <row r="305" spans="1:17" x14ac:dyDescent="0.3">
      <c r="A305" s="3">
        <f t="shared" si="106"/>
        <v>303</v>
      </c>
      <c r="B305" s="8">
        <f t="shared" si="111"/>
        <v>656</v>
      </c>
      <c r="C305" s="11">
        <f t="shared" si="112"/>
        <v>27830</v>
      </c>
      <c r="D305" s="8">
        <f t="shared" si="113"/>
        <v>453</v>
      </c>
      <c r="E305" s="11">
        <f t="shared" si="114"/>
        <v>23770</v>
      </c>
      <c r="F305" s="5">
        <f t="shared" si="115"/>
        <v>903</v>
      </c>
      <c r="G305" s="5">
        <f t="shared" si="116"/>
        <v>19710</v>
      </c>
      <c r="J305" s="8">
        <f t="shared" si="107"/>
        <v>4.2299999999999498</v>
      </c>
      <c r="K305" s="13">
        <f t="shared" si="108"/>
        <v>47870</v>
      </c>
      <c r="P305" s="2">
        <f t="shared" si="109"/>
        <v>47870</v>
      </c>
      <c r="Q305" s="2">
        <f t="shared" si="110"/>
        <v>6255208</v>
      </c>
    </row>
    <row r="306" spans="1:17" x14ac:dyDescent="0.3">
      <c r="A306" s="3">
        <f t="shared" si="106"/>
        <v>304</v>
      </c>
      <c r="B306" s="8">
        <f t="shared" si="111"/>
        <v>658</v>
      </c>
      <c r="C306" s="11">
        <f t="shared" si="112"/>
        <v>27940</v>
      </c>
      <c r="D306" s="8">
        <f t="shared" si="113"/>
        <v>454</v>
      </c>
      <c r="E306" s="11">
        <f t="shared" si="114"/>
        <v>23860</v>
      </c>
      <c r="F306" s="5">
        <f t="shared" si="115"/>
        <v>904</v>
      </c>
      <c r="G306" s="5">
        <f t="shared" si="116"/>
        <v>19780</v>
      </c>
      <c r="J306" s="8">
        <f t="shared" si="107"/>
        <v>4.2399999999999496</v>
      </c>
      <c r="K306" s="13">
        <f t="shared" si="108"/>
        <v>48060</v>
      </c>
      <c r="P306" s="2">
        <f t="shared" si="109"/>
        <v>48060</v>
      </c>
      <c r="Q306" s="2">
        <f t="shared" si="110"/>
        <v>6303268</v>
      </c>
    </row>
    <row r="307" spans="1:17" x14ac:dyDescent="0.3">
      <c r="A307" s="3">
        <f t="shared" si="106"/>
        <v>305</v>
      </c>
      <c r="B307" s="8">
        <f t="shared" si="111"/>
        <v>660</v>
      </c>
      <c r="C307" s="11">
        <f t="shared" si="112"/>
        <v>28050</v>
      </c>
      <c r="D307" s="8">
        <f t="shared" si="113"/>
        <v>455</v>
      </c>
      <c r="E307" s="11">
        <f t="shared" si="114"/>
        <v>23950</v>
      </c>
      <c r="F307" s="5">
        <f t="shared" si="115"/>
        <v>905</v>
      </c>
      <c r="G307" s="5">
        <f t="shared" si="116"/>
        <v>19850</v>
      </c>
      <c r="J307" s="8">
        <f t="shared" si="107"/>
        <v>4.2499999999999494</v>
      </c>
      <c r="K307" s="13">
        <f t="shared" si="108"/>
        <v>48250</v>
      </c>
      <c r="P307" s="2">
        <f t="shared" si="109"/>
        <v>48250</v>
      </c>
      <c r="Q307" s="2">
        <f t="shared" si="110"/>
        <v>6351518</v>
      </c>
    </row>
    <row r="308" spans="1:17" x14ac:dyDescent="0.3">
      <c r="A308" s="3">
        <f t="shared" si="106"/>
        <v>306</v>
      </c>
      <c r="B308" s="8">
        <f t="shared" si="111"/>
        <v>662</v>
      </c>
      <c r="C308" s="11">
        <f t="shared" si="112"/>
        <v>28160</v>
      </c>
      <c r="D308" s="8">
        <f t="shared" si="113"/>
        <v>456</v>
      </c>
      <c r="E308" s="11">
        <f t="shared" si="114"/>
        <v>24040</v>
      </c>
      <c r="F308" s="5">
        <f t="shared" si="115"/>
        <v>906</v>
      </c>
      <c r="G308" s="5">
        <f t="shared" si="116"/>
        <v>19920</v>
      </c>
      <c r="J308" s="8">
        <f t="shared" si="107"/>
        <v>4.2599999999999492</v>
      </c>
      <c r="K308" s="13">
        <f t="shared" si="108"/>
        <v>48440</v>
      </c>
      <c r="P308" s="2">
        <f t="shared" si="109"/>
        <v>48440</v>
      </c>
      <c r="Q308" s="2">
        <f t="shared" si="110"/>
        <v>6399958</v>
      </c>
    </row>
    <row r="309" spans="1:17" x14ac:dyDescent="0.3">
      <c r="A309" s="3">
        <f t="shared" si="106"/>
        <v>307</v>
      </c>
      <c r="B309" s="8">
        <f t="shared" si="111"/>
        <v>664</v>
      </c>
      <c r="C309" s="11">
        <f t="shared" si="112"/>
        <v>28270</v>
      </c>
      <c r="D309" s="8">
        <f t="shared" si="113"/>
        <v>457</v>
      </c>
      <c r="E309" s="11">
        <f t="shared" si="114"/>
        <v>24130</v>
      </c>
      <c r="F309" s="5">
        <f t="shared" si="115"/>
        <v>907</v>
      </c>
      <c r="G309" s="5">
        <f t="shared" si="116"/>
        <v>19990</v>
      </c>
      <c r="J309" s="8">
        <f t="shared" si="107"/>
        <v>4.2699999999999489</v>
      </c>
      <c r="K309" s="13">
        <f t="shared" si="108"/>
        <v>48630</v>
      </c>
      <c r="P309" s="2">
        <f t="shared" si="109"/>
        <v>48630</v>
      </c>
      <c r="Q309" s="2">
        <f t="shared" si="110"/>
        <v>6448588</v>
      </c>
    </row>
    <row r="310" spans="1:17" x14ac:dyDescent="0.3">
      <c r="A310" s="3">
        <f t="shared" si="106"/>
        <v>308</v>
      </c>
      <c r="B310" s="8">
        <f t="shared" si="111"/>
        <v>666</v>
      </c>
      <c r="C310" s="11">
        <f t="shared" si="112"/>
        <v>28380</v>
      </c>
      <c r="D310" s="8">
        <f t="shared" si="113"/>
        <v>458</v>
      </c>
      <c r="E310" s="11">
        <f t="shared" si="114"/>
        <v>24220</v>
      </c>
      <c r="F310" s="5">
        <f t="shared" si="115"/>
        <v>908</v>
      </c>
      <c r="G310" s="5">
        <f t="shared" si="116"/>
        <v>20060</v>
      </c>
      <c r="J310" s="8">
        <f t="shared" si="107"/>
        <v>4.2799999999999487</v>
      </c>
      <c r="K310" s="13">
        <f t="shared" si="108"/>
        <v>48820</v>
      </c>
      <c r="P310" s="2">
        <f t="shared" si="109"/>
        <v>48820</v>
      </c>
      <c r="Q310" s="2">
        <f t="shared" si="110"/>
        <v>6497408</v>
      </c>
    </row>
    <row r="311" spans="1:17" x14ac:dyDescent="0.3">
      <c r="A311" s="3">
        <f t="shared" si="106"/>
        <v>309</v>
      </c>
      <c r="B311" s="8">
        <f t="shared" si="111"/>
        <v>668</v>
      </c>
      <c r="C311" s="11">
        <f t="shared" si="112"/>
        <v>28490</v>
      </c>
      <c r="D311" s="8">
        <f t="shared" si="113"/>
        <v>459</v>
      </c>
      <c r="E311" s="11">
        <f t="shared" si="114"/>
        <v>24310</v>
      </c>
      <c r="F311" s="5">
        <f t="shared" si="115"/>
        <v>909</v>
      </c>
      <c r="G311" s="5">
        <f t="shared" si="116"/>
        <v>20130</v>
      </c>
      <c r="J311" s="8">
        <f t="shared" si="107"/>
        <v>4.2899999999999485</v>
      </c>
      <c r="K311" s="13">
        <f t="shared" si="108"/>
        <v>49010</v>
      </c>
      <c r="P311" s="2">
        <f t="shared" si="109"/>
        <v>49010</v>
      </c>
      <c r="Q311" s="2">
        <f t="shared" si="110"/>
        <v>6546418</v>
      </c>
    </row>
    <row r="312" spans="1:17" x14ac:dyDescent="0.3">
      <c r="A312" s="3">
        <f t="shared" si="106"/>
        <v>310</v>
      </c>
      <c r="B312" s="8">
        <f t="shared" si="111"/>
        <v>670</v>
      </c>
      <c r="C312" s="11">
        <f t="shared" si="112"/>
        <v>28600</v>
      </c>
      <c r="D312" s="8">
        <f t="shared" si="113"/>
        <v>460</v>
      </c>
      <c r="E312" s="11">
        <f t="shared" si="114"/>
        <v>24400</v>
      </c>
      <c r="F312" s="5">
        <f t="shared" si="115"/>
        <v>910</v>
      </c>
      <c r="G312" s="5">
        <f t="shared" si="116"/>
        <v>20200</v>
      </c>
      <c r="J312" s="8">
        <f t="shared" si="107"/>
        <v>4.2999999999999483</v>
      </c>
      <c r="K312" s="13">
        <f t="shared" si="108"/>
        <v>49200</v>
      </c>
      <c r="P312" s="2">
        <f t="shared" si="109"/>
        <v>49200</v>
      </c>
      <c r="Q312" s="2">
        <f t="shared" si="110"/>
        <v>6595618</v>
      </c>
    </row>
    <row r="313" spans="1:17" x14ac:dyDescent="0.3">
      <c r="A313" s="3">
        <f t="shared" si="106"/>
        <v>311</v>
      </c>
      <c r="B313" s="8">
        <f t="shared" si="111"/>
        <v>672</v>
      </c>
      <c r="C313" s="11">
        <f t="shared" si="112"/>
        <v>28710</v>
      </c>
      <c r="D313" s="8">
        <f t="shared" si="113"/>
        <v>461</v>
      </c>
      <c r="E313" s="11">
        <f t="shared" si="114"/>
        <v>24490</v>
      </c>
      <c r="F313" s="5">
        <f t="shared" si="115"/>
        <v>911</v>
      </c>
      <c r="G313" s="5">
        <f t="shared" si="116"/>
        <v>20270</v>
      </c>
      <c r="J313" s="8">
        <f t="shared" si="107"/>
        <v>4.3099999999999481</v>
      </c>
      <c r="K313" s="13">
        <f t="shared" si="108"/>
        <v>49390</v>
      </c>
      <c r="P313" s="2">
        <f t="shared" si="109"/>
        <v>49390</v>
      </c>
      <c r="Q313" s="2">
        <f t="shared" si="110"/>
        <v>6645008</v>
      </c>
    </row>
    <row r="314" spans="1:17" x14ac:dyDescent="0.3">
      <c r="A314" s="3">
        <f t="shared" si="106"/>
        <v>312</v>
      </c>
      <c r="B314" s="8">
        <f t="shared" si="111"/>
        <v>674</v>
      </c>
      <c r="C314" s="11">
        <f t="shared" si="112"/>
        <v>28820</v>
      </c>
      <c r="D314" s="8">
        <f t="shared" si="113"/>
        <v>462</v>
      </c>
      <c r="E314" s="11">
        <f t="shared" si="114"/>
        <v>24580</v>
      </c>
      <c r="F314" s="5">
        <f t="shared" si="115"/>
        <v>912</v>
      </c>
      <c r="G314" s="5">
        <f t="shared" si="116"/>
        <v>20340</v>
      </c>
      <c r="J314" s="8">
        <f t="shared" si="107"/>
        <v>4.3199999999999479</v>
      </c>
      <c r="K314" s="13">
        <f t="shared" si="108"/>
        <v>49580</v>
      </c>
      <c r="P314" s="2">
        <f t="shared" si="109"/>
        <v>49580</v>
      </c>
      <c r="Q314" s="2">
        <f t="shared" si="110"/>
        <v>6694588</v>
      </c>
    </row>
    <row r="315" spans="1:17" x14ac:dyDescent="0.3">
      <c r="A315" s="3">
        <f t="shared" si="106"/>
        <v>313</v>
      </c>
      <c r="B315" s="8">
        <f t="shared" si="111"/>
        <v>676</v>
      </c>
      <c r="C315" s="11">
        <f t="shared" si="112"/>
        <v>28930</v>
      </c>
      <c r="D315" s="8">
        <f t="shared" si="113"/>
        <v>463</v>
      </c>
      <c r="E315" s="11">
        <f t="shared" si="114"/>
        <v>24670</v>
      </c>
      <c r="F315" s="5">
        <f t="shared" si="115"/>
        <v>913</v>
      </c>
      <c r="G315" s="5">
        <f t="shared" si="116"/>
        <v>20410</v>
      </c>
      <c r="J315" s="8">
        <f t="shared" si="107"/>
        <v>4.3299999999999477</v>
      </c>
      <c r="K315" s="13">
        <f t="shared" si="108"/>
        <v>49770</v>
      </c>
      <c r="P315" s="2">
        <f t="shared" si="109"/>
        <v>49770</v>
      </c>
      <c r="Q315" s="2">
        <f t="shared" si="110"/>
        <v>6744358</v>
      </c>
    </row>
    <row r="316" spans="1:17" x14ac:dyDescent="0.3">
      <c r="A316" s="3">
        <f t="shared" si="106"/>
        <v>314</v>
      </c>
      <c r="B316" s="8">
        <f t="shared" si="111"/>
        <v>678</v>
      </c>
      <c r="C316" s="11">
        <f t="shared" si="112"/>
        <v>29040</v>
      </c>
      <c r="D316" s="8">
        <f t="shared" si="113"/>
        <v>464</v>
      </c>
      <c r="E316" s="11">
        <f t="shared" si="114"/>
        <v>24760</v>
      </c>
      <c r="F316" s="5">
        <f t="shared" si="115"/>
        <v>914</v>
      </c>
      <c r="G316" s="5">
        <f t="shared" si="116"/>
        <v>20480</v>
      </c>
      <c r="J316" s="8">
        <f t="shared" si="107"/>
        <v>4.3399999999999475</v>
      </c>
      <c r="K316" s="13">
        <f t="shared" si="108"/>
        <v>49960</v>
      </c>
      <c r="P316" s="2">
        <f t="shared" si="109"/>
        <v>49960</v>
      </c>
      <c r="Q316" s="2">
        <f t="shared" si="110"/>
        <v>6794318</v>
      </c>
    </row>
    <row r="317" spans="1:17" x14ac:dyDescent="0.3">
      <c r="A317" s="3">
        <f t="shared" si="106"/>
        <v>315</v>
      </c>
      <c r="B317" s="8">
        <f t="shared" si="111"/>
        <v>680</v>
      </c>
      <c r="C317" s="11">
        <f t="shared" si="112"/>
        <v>29150</v>
      </c>
      <c r="D317" s="8">
        <f t="shared" si="113"/>
        <v>465</v>
      </c>
      <c r="E317" s="11">
        <f t="shared" si="114"/>
        <v>24850</v>
      </c>
      <c r="F317" s="5">
        <f t="shared" si="115"/>
        <v>915</v>
      </c>
      <c r="G317" s="5">
        <f t="shared" si="116"/>
        <v>20550</v>
      </c>
      <c r="J317" s="8">
        <f t="shared" si="107"/>
        <v>4.3499999999999472</v>
      </c>
      <c r="K317" s="13">
        <f t="shared" si="108"/>
        <v>50150</v>
      </c>
      <c r="P317" s="2">
        <f t="shared" si="109"/>
        <v>50150</v>
      </c>
      <c r="Q317" s="2">
        <f t="shared" si="110"/>
        <v>6844468</v>
      </c>
    </row>
    <row r="318" spans="1:17" x14ac:dyDescent="0.3">
      <c r="A318" s="3">
        <f t="shared" si="106"/>
        <v>316</v>
      </c>
      <c r="B318" s="8">
        <f t="shared" si="111"/>
        <v>682</v>
      </c>
      <c r="C318" s="11">
        <f t="shared" si="112"/>
        <v>29260</v>
      </c>
      <c r="D318" s="8">
        <f t="shared" si="113"/>
        <v>466</v>
      </c>
      <c r="E318" s="11">
        <f t="shared" si="114"/>
        <v>24940</v>
      </c>
      <c r="F318" s="5">
        <f t="shared" si="115"/>
        <v>916</v>
      </c>
      <c r="G318" s="5">
        <f t="shared" si="116"/>
        <v>20620</v>
      </c>
      <c r="J318" s="8">
        <f t="shared" si="107"/>
        <v>4.359999999999947</v>
      </c>
      <c r="K318" s="13">
        <f t="shared" si="108"/>
        <v>50340</v>
      </c>
      <c r="P318" s="2">
        <f t="shared" si="109"/>
        <v>50340</v>
      </c>
      <c r="Q318" s="2">
        <f t="shared" si="110"/>
        <v>6894808</v>
      </c>
    </row>
    <row r="319" spans="1:17" x14ac:dyDescent="0.3">
      <c r="A319" s="3">
        <f t="shared" si="106"/>
        <v>317</v>
      </c>
      <c r="B319" s="8">
        <f t="shared" si="111"/>
        <v>684</v>
      </c>
      <c r="C319" s="11">
        <f t="shared" si="112"/>
        <v>29370</v>
      </c>
      <c r="D319" s="8">
        <f t="shared" si="113"/>
        <v>467</v>
      </c>
      <c r="E319" s="11">
        <f t="shared" si="114"/>
        <v>25030</v>
      </c>
      <c r="F319" s="5">
        <f t="shared" si="115"/>
        <v>917</v>
      </c>
      <c r="G319" s="5">
        <f t="shared" si="116"/>
        <v>20690</v>
      </c>
      <c r="J319" s="8">
        <f t="shared" si="107"/>
        <v>4.3699999999999468</v>
      </c>
      <c r="K319" s="13">
        <f t="shared" si="108"/>
        <v>50530</v>
      </c>
      <c r="P319" s="2">
        <f t="shared" si="109"/>
        <v>50530</v>
      </c>
      <c r="Q319" s="2">
        <f t="shared" si="110"/>
        <v>6945338</v>
      </c>
    </row>
    <row r="320" spans="1:17" x14ac:dyDescent="0.3">
      <c r="A320" s="3">
        <f t="shared" si="106"/>
        <v>318</v>
      </c>
      <c r="B320" s="8">
        <f t="shared" si="111"/>
        <v>686</v>
      </c>
      <c r="C320" s="11">
        <f t="shared" si="112"/>
        <v>29480</v>
      </c>
      <c r="D320" s="8">
        <f t="shared" si="113"/>
        <v>468</v>
      </c>
      <c r="E320" s="11">
        <f t="shared" si="114"/>
        <v>25120</v>
      </c>
      <c r="F320" s="5">
        <f t="shared" si="115"/>
        <v>918</v>
      </c>
      <c r="G320" s="5">
        <f t="shared" si="116"/>
        <v>20760</v>
      </c>
      <c r="J320" s="8">
        <f t="shared" si="107"/>
        <v>4.3799999999999466</v>
      </c>
      <c r="K320" s="13">
        <f t="shared" si="108"/>
        <v>50720</v>
      </c>
      <c r="P320" s="2">
        <f t="shared" si="109"/>
        <v>50720</v>
      </c>
      <c r="Q320" s="2">
        <f t="shared" si="110"/>
        <v>6996058</v>
      </c>
    </row>
    <row r="321" spans="1:17" x14ac:dyDescent="0.3">
      <c r="A321" s="3">
        <f t="shared" si="106"/>
        <v>319</v>
      </c>
      <c r="B321" s="8">
        <f t="shared" si="111"/>
        <v>688</v>
      </c>
      <c r="C321" s="11">
        <f t="shared" si="112"/>
        <v>29590</v>
      </c>
      <c r="D321" s="8">
        <f t="shared" si="113"/>
        <v>469</v>
      </c>
      <c r="E321" s="11">
        <f t="shared" si="114"/>
        <v>25210</v>
      </c>
      <c r="F321" s="5">
        <f t="shared" si="115"/>
        <v>919</v>
      </c>
      <c r="G321" s="5">
        <f t="shared" si="116"/>
        <v>20830</v>
      </c>
      <c r="J321" s="8">
        <f t="shared" si="107"/>
        <v>4.3899999999999464</v>
      </c>
      <c r="K321" s="13">
        <f t="shared" si="108"/>
        <v>50910</v>
      </c>
      <c r="P321" s="2">
        <f t="shared" si="109"/>
        <v>50910</v>
      </c>
      <c r="Q321" s="2">
        <f t="shared" si="110"/>
        <v>7046968</v>
      </c>
    </row>
    <row r="322" spans="1:17" x14ac:dyDescent="0.3">
      <c r="A322" s="3">
        <f t="shared" si="106"/>
        <v>320</v>
      </c>
      <c r="B322" s="8">
        <f t="shared" si="111"/>
        <v>690</v>
      </c>
      <c r="C322" s="11">
        <f t="shared" si="112"/>
        <v>29700</v>
      </c>
      <c r="D322" s="8">
        <f t="shared" si="113"/>
        <v>470</v>
      </c>
      <c r="E322" s="11">
        <f t="shared" si="114"/>
        <v>25300</v>
      </c>
      <c r="F322" s="5">
        <f t="shared" si="115"/>
        <v>920</v>
      </c>
      <c r="G322" s="5">
        <f t="shared" si="116"/>
        <v>20900</v>
      </c>
      <c r="J322" s="8">
        <f t="shared" si="107"/>
        <v>4.3999999999999462</v>
      </c>
      <c r="K322" s="13">
        <f t="shared" si="108"/>
        <v>51100</v>
      </c>
      <c r="P322" s="2">
        <f t="shared" si="109"/>
        <v>51100</v>
      </c>
      <c r="Q322" s="2">
        <f t="shared" si="110"/>
        <v>7098068</v>
      </c>
    </row>
    <row r="323" spans="1:17" x14ac:dyDescent="0.3">
      <c r="A323" s="3">
        <f t="shared" si="106"/>
        <v>321</v>
      </c>
      <c r="B323" s="8">
        <f t="shared" si="111"/>
        <v>692</v>
      </c>
      <c r="C323" s="11">
        <f t="shared" si="112"/>
        <v>29810</v>
      </c>
      <c r="D323" s="8">
        <f t="shared" si="113"/>
        <v>471</v>
      </c>
      <c r="E323" s="11">
        <f t="shared" si="114"/>
        <v>25390</v>
      </c>
      <c r="F323" s="5">
        <f t="shared" si="115"/>
        <v>921</v>
      </c>
      <c r="G323" s="5">
        <f t="shared" si="116"/>
        <v>20970</v>
      </c>
      <c r="J323" s="8">
        <f t="shared" si="107"/>
        <v>4.409999999999946</v>
      </c>
      <c r="K323" s="13">
        <f t="shared" si="108"/>
        <v>51290</v>
      </c>
      <c r="P323" s="2">
        <f t="shared" si="109"/>
        <v>51290</v>
      </c>
      <c r="Q323" s="2">
        <f t="shared" si="110"/>
        <v>7149358</v>
      </c>
    </row>
    <row r="324" spans="1:17" x14ac:dyDescent="0.3">
      <c r="A324" s="3">
        <f t="shared" si="106"/>
        <v>322</v>
      </c>
      <c r="B324" s="8">
        <f t="shared" si="111"/>
        <v>694</v>
      </c>
      <c r="C324" s="11">
        <f t="shared" si="112"/>
        <v>29920</v>
      </c>
      <c r="D324" s="8">
        <f t="shared" si="113"/>
        <v>472</v>
      </c>
      <c r="E324" s="11">
        <f t="shared" si="114"/>
        <v>25480</v>
      </c>
      <c r="F324" s="5">
        <f t="shared" si="115"/>
        <v>922</v>
      </c>
      <c r="G324" s="5">
        <f t="shared" si="116"/>
        <v>21040</v>
      </c>
      <c r="J324" s="8">
        <f t="shared" si="107"/>
        <v>4.4199999999999458</v>
      </c>
      <c r="K324" s="13">
        <f t="shared" si="108"/>
        <v>51480</v>
      </c>
      <c r="P324" s="2">
        <f t="shared" si="109"/>
        <v>51480</v>
      </c>
      <c r="Q324" s="2">
        <f t="shared" si="110"/>
        <v>7200838</v>
      </c>
    </row>
    <row r="325" spans="1:17" x14ac:dyDescent="0.3">
      <c r="A325" s="3">
        <f t="shared" ref="A325:A388" si="117">A324+1</f>
        <v>323</v>
      </c>
      <c r="B325" s="8">
        <f t="shared" si="111"/>
        <v>696</v>
      </c>
      <c r="C325" s="11">
        <f t="shared" si="112"/>
        <v>30030</v>
      </c>
      <c r="D325" s="8">
        <f t="shared" si="113"/>
        <v>473</v>
      </c>
      <c r="E325" s="11">
        <f t="shared" si="114"/>
        <v>25570</v>
      </c>
      <c r="F325" s="5">
        <f t="shared" si="115"/>
        <v>923</v>
      </c>
      <c r="G325" s="5">
        <f t="shared" si="116"/>
        <v>21110</v>
      </c>
      <c r="J325" s="8">
        <f t="shared" si="107"/>
        <v>4.4299999999999455</v>
      </c>
      <c r="K325" s="13">
        <f t="shared" si="108"/>
        <v>51670</v>
      </c>
      <c r="P325" s="2">
        <f t="shared" si="109"/>
        <v>51670</v>
      </c>
      <c r="Q325" s="2">
        <f t="shared" si="110"/>
        <v>7252508</v>
      </c>
    </row>
    <row r="326" spans="1:17" x14ac:dyDescent="0.3">
      <c r="A326" s="3">
        <f t="shared" si="117"/>
        <v>324</v>
      </c>
      <c r="B326" s="8">
        <f t="shared" si="111"/>
        <v>698</v>
      </c>
      <c r="C326" s="11">
        <f t="shared" si="112"/>
        <v>30140</v>
      </c>
      <c r="D326" s="8">
        <f t="shared" si="113"/>
        <v>474</v>
      </c>
      <c r="E326" s="11">
        <f t="shared" si="114"/>
        <v>25660</v>
      </c>
      <c r="F326" s="5">
        <f t="shared" si="115"/>
        <v>924</v>
      </c>
      <c r="G326" s="5">
        <f t="shared" si="116"/>
        <v>21180</v>
      </c>
      <c r="J326" s="8">
        <f t="shared" si="107"/>
        <v>4.4399999999999453</v>
      </c>
      <c r="K326" s="13">
        <f t="shared" si="108"/>
        <v>51860</v>
      </c>
      <c r="P326" s="2">
        <f t="shared" si="109"/>
        <v>51860</v>
      </c>
      <c r="Q326" s="2">
        <f t="shared" si="110"/>
        <v>7304368</v>
      </c>
    </row>
    <row r="327" spans="1:17" x14ac:dyDescent="0.3">
      <c r="A327" s="3">
        <f t="shared" si="117"/>
        <v>325</v>
      </c>
      <c r="B327" s="8">
        <f t="shared" si="111"/>
        <v>700</v>
      </c>
      <c r="C327" s="11">
        <f t="shared" si="112"/>
        <v>30250</v>
      </c>
      <c r="D327" s="8">
        <f t="shared" si="113"/>
        <v>475</v>
      </c>
      <c r="E327" s="11">
        <f t="shared" si="114"/>
        <v>25750</v>
      </c>
      <c r="F327" s="5">
        <f t="shared" si="115"/>
        <v>925</v>
      </c>
      <c r="G327" s="5">
        <f t="shared" si="116"/>
        <v>21250</v>
      </c>
      <c r="J327" s="8">
        <f t="shared" si="107"/>
        <v>4.4499999999999451</v>
      </c>
      <c r="K327" s="13">
        <f t="shared" si="108"/>
        <v>52050</v>
      </c>
      <c r="P327" s="2">
        <f t="shared" si="109"/>
        <v>52050</v>
      </c>
      <c r="Q327" s="2">
        <f t="shared" si="110"/>
        <v>7356418</v>
      </c>
    </row>
    <row r="328" spans="1:17" x14ac:dyDescent="0.3">
      <c r="A328" s="3">
        <f t="shared" si="117"/>
        <v>326</v>
      </c>
      <c r="B328" s="8">
        <f t="shared" si="111"/>
        <v>702</v>
      </c>
      <c r="C328" s="11">
        <f t="shared" si="112"/>
        <v>30360</v>
      </c>
      <c r="D328" s="8">
        <f t="shared" si="113"/>
        <v>476</v>
      </c>
      <c r="E328" s="11">
        <f t="shared" si="114"/>
        <v>25840</v>
      </c>
      <c r="F328" s="5">
        <f t="shared" si="115"/>
        <v>926</v>
      </c>
      <c r="G328" s="5">
        <f t="shared" si="116"/>
        <v>21320</v>
      </c>
      <c r="J328" s="8">
        <f t="shared" si="107"/>
        <v>4.4599999999999449</v>
      </c>
      <c r="K328" s="13">
        <f t="shared" si="108"/>
        <v>52240</v>
      </c>
      <c r="P328" s="2">
        <f t="shared" si="109"/>
        <v>52240</v>
      </c>
      <c r="Q328" s="2">
        <f t="shared" si="110"/>
        <v>7408658</v>
      </c>
    </row>
    <row r="329" spans="1:17" x14ac:dyDescent="0.3">
      <c r="A329" s="3">
        <f t="shared" si="117"/>
        <v>327</v>
      </c>
      <c r="B329" s="8">
        <f t="shared" si="111"/>
        <v>704</v>
      </c>
      <c r="C329" s="11">
        <f t="shared" si="112"/>
        <v>30470</v>
      </c>
      <c r="D329" s="8">
        <f t="shared" si="113"/>
        <v>477</v>
      </c>
      <c r="E329" s="11">
        <f t="shared" si="114"/>
        <v>25930</v>
      </c>
      <c r="F329" s="5">
        <f t="shared" si="115"/>
        <v>927</v>
      </c>
      <c r="G329" s="5">
        <f t="shared" si="116"/>
        <v>21390</v>
      </c>
      <c r="J329" s="8">
        <f t="shared" si="107"/>
        <v>4.4699999999999447</v>
      </c>
      <c r="K329" s="13">
        <f t="shared" si="108"/>
        <v>52430</v>
      </c>
      <c r="P329" s="2">
        <f t="shared" si="109"/>
        <v>52430</v>
      </c>
      <c r="Q329" s="2">
        <f t="shared" si="110"/>
        <v>7461088</v>
      </c>
    </row>
    <row r="330" spans="1:17" x14ac:dyDescent="0.3">
      <c r="A330" s="3">
        <f t="shared" si="117"/>
        <v>328</v>
      </c>
      <c r="B330" s="8">
        <f t="shared" si="111"/>
        <v>706</v>
      </c>
      <c r="C330" s="11">
        <f t="shared" si="112"/>
        <v>30580</v>
      </c>
      <c r="D330" s="8">
        <f t="shared" si="113"/>
        <v>478</v>
      </c>
      <c r="E330" s="11">
        <f t="shared" si="114"/>
        <v>26020</v>
      </c>
      <c r="F330" s="5">
        <f t="shared" si="115"/>
        <v>928</v>
      </c>
      <c r="G330" s="5">
        <f t="shared" si="116"/>
        <v>21460</v>
      </c>
      <c r="J330" s="8">
        <f t="shared" si="107"/>
        <v>4.4799999999999445</v>
      </c>
      <c r="K330" s="13">
        <f t="shared" si="108"/>
        <v>52620</v>
      </c>
      <c r="P330" s="2">
        <f t="shared" si="109"/>
        <v>52620</v>
      </c>
      <c r="Q330" s="2">
        <f t="shared" si="110"/>
        <v>7513708</v>
      </c>
    </row>
    <row r="331" spans="1:17" x14ac:dyDescent="0.3">
      <c r="A331" s="3">
        <f t="shared" si="117"/>
        <v>329</v>
      </c>
      <c r="B331" s="8">
        <f t="shared" si="111"/>
        <v>708</v>
      </c>
      <c r="C331" s="11">
        <f t="shared" si="112"/>
        <v>30690</v>
      </c>
      <c r="D331" s="8">
        <f t="shared" si="113"/>
        <v>479</v>
      </c>
      <c r="E331" s="11">
        <f t="shared" si="114"/>
        <v>26110</v>
      </c>
      <c r="F331" s="5">
        <f t="shared" si="115"/>
        <v>929</v>
      </c>
      <c r="G331" s="5">
        <f t="shared" si="116"/>
        <v>21530</v>
      </c>
      <c r="J331" s="8">
        <f t="shared" si="107"/>
        <v>4.4899999999999443</v>
      </c>
      <c r="K331" s="13">
        <f t="shared" si="108"/>
        <v>52810</v>
      </c>
      <c r="P331" s="2">
        <f t="shared" si="109"/>
        <v>52810</v>
      </c>
      <c r="Q331" s="2">
        <f t="shared" si="110"/>
        <v>7566518</v>
      </c>
    </row>
    <row r="332" spans="1:17" x14ac:dyDescent="0.3">
      <c r="A332" s="3">
        <f t="shared" si="117"/>
        <v>330</v>
      </c>
      <c r="B332" s="8">
        <f t="shared" si="111"/>
        <v>710</v>
      </c>
      <c r="C332" s="11">
        <f t="shared" si="112"/>
        <v>30800</v>
      </c>
      <c r="D332" s="8">
        <f t="shared" si="113"/>
        <v>480</v>
      </c>
      <c r="E332" s="11">
        <f t="shared" si="114"/>
        <v>26200</v>
      </c>
      <c r="F332" s="5">
        <f t="shared" si="115"/>
        <v>930</v>
      </c>
      <c r="G332" s="5">
        <f t="shared" si="116"/>
        <v>21600</v>
      </c>
      <c r="J332" s="8">
        <f t="shared" si="107"/>
        <v>4.499999999999944</v>
      </c>
      <c r="K332" s="13">
        <f t="shared" si="108"/>
        <v>53000</v>
      </c>
      <c r="P332" s="2">
        <f t="shared" si="109"/>
        <v>53000</v>
      </c>
      <c r="Q332" s="2">
        <f t="shared" si="110"/>
        <v>7619518</v>
      </c>
    </row>
    <row r="333" spans="1:17" x14ac:dyDescent="0.3">
      <c r="A333" s="3">
        <f t="shared" si="117"/>
        <v>331</v>
      </c>
      <c r="B333" s="8">
        <f t="shared" si="111"/>
        <v>712</v>
      </c>
      <c r="C333" s="11">
        <f t="shared" si="112"/>
        <v>30910</v>
      </c>
      <c r="D333" s="8">
        <f t="shared" si="113"/>
        <v>481</v>
      </c>
      <c r="E333" s="11">
        <f t="shared" si="114"/>
        <v>26290</v>
      </c>
      <c r="F333" s="5">
        <f t="shared" si="115"/>
        <v>931</v>
      </c>
      <c r="G333" s="5">
        <f t="shared" si="116"/>
        <v>21670</v>
      </c>
      <c r="J333" s="8">
        <f t="shared" si="107"/>
        <v>4.5099999999999438</v>
      </c>
      <c r="K333" s="13">
        <f t="shared" si="108"/>
        <v>53190</v>
      </c>
      <c r="P333" s="2">
        <f t="shared" si="109"/>
        <v>53190</v>
      </c>
      <c r="Q333" s="2">
        <f t="shared" si="110"/>
        <v>7672708</v>
      </c>
    </row>
    <row r="334" spans="1:17" x14ac:dyDescent="0.3">
      <c r="A334" s="3">
        <f t="shared" si="117"/>
        <v>332</v>
      </c>
      <c r="B334" s="8">
        <f t="shared" si="111"/>
        <v>714</v>
      </c>
      <c r="C334" s="11">
        <f t="shared" si="112"/>
        <v>31020</v>
      </c>
      <c r="D334" s="8">
        <f t="shared" si="113"/>
        <v>482</v>
      </c>
      <c r="E334" s="11">
        <f t="shared" si="114"/>
        <v>26380</v>
      </c>
      <c r="F334" s="5">
        <f t="shared" si="115"/>
        <v>932</v>
      </c>
      <c r="G334" s="5">
        <f t="shared" si="116"/>
        <v>21740</v>
      </c>
      <c r="J334" s="8">
        <f t="shared" si="107"/>
        <v>4.5199999999999436</v>
      </c>
      <c r="K334" s="13">
        <f t="shared" si="108"/>
        <v>53380</v>
      </c>
      <c r="P334" s="2">
        <f t="shared" si="109"/>
        <v>53380</v>
      </c>
      <c r="Q334" s="2">
        <f t="shared" si="110"/>
        <v>7726088</v>
      </c>
    </row>
    <row r="335" spans="1:17" x14ac:dyDescent="0.3">
      <c r="A335" s="3">
        <f t="shared" si="117"/>
        <v>333</v>
      </c>
      <c r="B335" s="8">
        <f t="shared" si="111"/>
        <v>716</v>
      </c>
      <c r="C335" s="11">
        <f t="shared" si="112"/>
        <v>31130</v>
      </c>
      <c r="D335" s="8">
        <f t="shared" si="113"/>
        <v>483</v>
      </c>
      <c r="E335" s="11">
        <f t="shared" si="114"/>
        <v>26470</v>
      </c>
      <c r="F335" s="5">
        <f t="shared" si="115"/>
        <v>933</v>
      </c>
      <c r="G335" s="5">
        <f t="shared" si="116"/>
        <v>21810</v>
      </c>
      <c r="J335" s="8">
        <f t="shared" si="107"/>
        <v>4.5299999999999434</v>
      </c>
      <c r="K335" s="13">
        <f t="shared" si="108"/>
        <v>53570</v>
      </c>
      <c r="P335" s="2">
        <f t="shared" si="109"/>
        <v>53570</v>
      </c>
      <c r="Q335" s="2">
        <f t="shared" si="110"/>
        <v>7779658</v>
      </c>
    </row>
    <row r="336" spans="1:17" x14ac:dyDescent="0.3">
      <c r="A336" s="3">
        <f t="shared" si="117"/>
        <v>334</v>
      </c>
      <c r="B336" s="8">
        <f t="shared" si="111"/>
        <v>718</v>
      </c>
      <c r="C336" s="11">
        <f t="shared" si="112"/>
        <v>31240</v>
      </c>
      <c r="D336" s="8">
        <f t="shared" si="113"/>
        <v>484</v>
      </c>
      <c r="E336" s="11">
        <f t="shared" si="114"/>
        <v>26560</v>
      </c>
      <c r="F336" s="5">
        <f t="shared" si="115"/>
        <v>934</v>
      </c>
      <c r="G336" s="5">
        <f t="shared" si="116"/>
        <v>21880</v>
      </c>
      <c r="J336" s="8">
        <f t="shared" si="107"/>
        <v>4.5399999999999432</v>
      </c>
      <c r="K336" s="13">
        <f t="shared" si="108"/>
        <v>53760</v>
      </c>
      <c r="P336" s="2">
        <f t="shared" si="109"/>
        <v>53760</v>
      </c>
      <c r="Q336" s="2">
        <f t="shared" si="110"/>
        <v>7833418</v>
      </c>
    </row>
    <row r="337" spans="1:17" x14ac:dyDescent="0.3">
      <c r="A337" s="3">
        <f t="shared" si="117"/>
        <v>335</v>
      </c>
      <c r="B337" s="8">
        <f t="shared" si="111"/>
        <v>720</v>
      </c>
      <c r="C337" s="11">
        <f t="shared" si="112"/>
        <v>31350</v>
      </c>
      <c r="D337" s="8">
        <f t="shared" si="113"/>
        <v>485</v>
      </c>
      <c r="E337" s="11">
        <f t="shared" si="114"/>
        <v>26650</v>
      </c>
      <c r="F337" s="5">
        <f t="shared" si="115"/>
        <v>935</v>
      </c>
      <c r="G337" s="5">
        <f t="shared" si="116"/>
        <v>21950</v>
      </c>
      <c r="J337" s="8">
        <f t="shared" si="107"/>
        <v>4.549999999999943</v>
      </c>
      <c r="K337" s="13">
        <f t="shared" si="108"/>
        <v>53950</v>
      </c>
      <c r="P337" s="2">
        <f t="shared" si="109"/>
        <v>53950</v>
      </c>
      <c r="Q337" s="2">
        <f t="shared" si="110"/>
        <v>7887368</v>
      </c>
    </row>
    <row r="338" spans="1:17" x14ac:dyDescent="0.3">
      <c r="A338" s="3">
        <f t="shared" si="117"/>
        <v>336</v>
      </c>
      <c r="B338" s="8">
        <f t="shared" si="111"/>
        <v>722</v>
      </c>
      <c r="C338" s="11">
        <f t="shared" si="112"/>
        <v>31460</v>
      </c>
      <c r="D338" s="8">
        <f t="shared" si="113"/>
        <v>486</v>
      </c>
      <c r="E338" s="11">
        <f t="shared" si="114"/>
        <v>26740</v>
      </c>
      <c r="F338" s="5">
        <f t="shared" si="115"/>
        <v>936</v>
      </c>
      <c r="G338" s="5">
        <f t="shared" si="116"/>
        <v>22020</v>
      </c>
      <c r="J338" s="8">
        <f t="shared" si="107"/>
        <v>4.5599999999999428</v>
      </c>
      <c r="K338" s="13">
        <f t="shared" si="108"/>
        <v>54140</v>
      </c>
      <c r="P338" s="2">
        <f t="shared" si="109"/>
        <v>54140</v>
      </c>
      <c r="Q338" s="2">
        <f t="shared" si="110"/>
        <v>7941508</v>
      </c>
    </row>
    <row r="339" spans="1:17" x14ac:dyDescent="0.3">
      <c r="A339" s="3">
        <f t="shared" si="117"/>
        <v>337</v>
      </c>
      <c r="B339" s="8">
        <f t="shared" si="111"/>
        <v>724</v>
      </c>
      <c r="C339" s="11">
        <f t="shared" si="112"/>
        <v>31570</v>
      </c>
      <c r="D339" s="8">
        <f t="shared" si="113"/>
        <v>487</v>
      </c>
      <c r="E339" s="11">
        <f t="shared" si="114"/>
        <v>26830</v>
      </c>
      <c r="F339" s="5">
        <f t="shared" si="115"/>
        <v>937</v>
      </c>
      <c r="G339" s="5">
        <f t="shared" si="116"/>
        <v>22090</v>
      </c>
      <c r="J339" s="8">
        <f t="shared" si="107"/>
        <v>4.5699999999999426</v>
      </c>
      <c r="K339" s="13">
        <f t="shared" si="108"/>
        <v>54330</v>
      </c>
      <c r="P339" s="2">
        <f t="shared" si="109"/>
        <v>54330</v>
      </c>
      <c r="Q339" s="2">
        <f t="shared" si="110"/>
        <v>7995838</v>
      </c>
    </row>
    <row r="340" spans="1:17" x14ac:dyDescent="0.3">
      <c r="A340" s="3">
        <f t="shared" si="117"/>
        <v>338</v>
      </c>
      <c r="B340" s="8">
        <f t="shared" si="111"/>
        <v>726</v>
      </c>
      <c r="C340" s="11">
        <f t="shared" si="112"/>
        <v>31680</v>
      </c>
      <c r="D340" s="8">
        <f t="shared" si="113"/>
        <v>488</v>
      </c>
      <c r="E340" s="11">
        <f t="shared" si="114"/>
        <v>26920</v>
      </c>
      <c r="F340" s="5">
        <f t="shared" si="115"/>
        <v>938</v>
      </c>
      <c r="G340" s="5">
        <f t="shared" si="116"/>
        <v>22160</v>
      </c>
      <c r="J340" s="8">
        <f t="shared" ref="J340:J403" si="118">J339+0.01</f>
        <v>4.5799999999999423</v>
      </c>
      <c r="K340" s="13">
        <f t="shared" ref="K340:K403" si="119">K339+190</f>
        <v>54520</v>
      </c>
      <c r="P340" s="2">
        <f t="shared" si="109"/>
        <v>54520</v>
      </c>
      <c r="Q340" s="2">
        <f t="shared" si="110"/>
        <v>8050358</v>
      </c>
    </row>
    <row r="341" spans="1:17" x14ac:dyDescent="0.3">
      <c r="A341" s="3">
        <f t="shared" si="117"/>
        <v>339</v>
      </c>
      <c r="B341" s="8">
        <f t="shared" si="111"/>
        <v>728</v>
      </c>
      <c r="C341" s="11">
        <f t="shared" si="112"/>
        <v>31790</v>
      </c>
      <c r="D341" s="8">
        <f t="shared" si="113"/>
        <v>489</v>
      </c>
      <c r="E341" s="11">
        <f t="shared" si="114"/>
        <v>27010</v>
      </c>
      <c r="F341" s="5">
        <f t="shared" si="115"/>
        <v>939</v>
      </c>
      <c r="G341" s="5">
        <f t="shared" si="116"/>
        <v>22230</v>
      </c>
      <c r="J341" s="8">
        <f t="shared" si="118"/>
        <v>4.5899999999999421</v>
      </c>
      <c r="K341" s="13">
        <f t="shared" si="119"/>
        <v>54710</v>
      </c>
      <c r="P341" s="2">
        <f t="shared" si="109"/>
        <v>54710</v>
      </c>
      <c r="Q341" s="2">
        <f t="shared" si="110"/>
        <v>8105068</v>
      </c>
    </row>
    <row r="342" spans="1:17" x14ac:dyDescent="0.3">
      <c r="A342" s="3">
        <f t="shared" si="117"/>
        <v>340</v>
      </c>
      <c r="B342" s="8">
        <f t="shared" si="111"/>
        <v>730</v>
      </c>
      <c r="C342" s="11">
        <f t="shared" si="112"/>
        <v>31900</v>
      </c>
      <c r="D342" s="8">
        <f t="shared" si="113"/>
        <v>490</v>
      </c>
      <c r="E342" s="11">
        <f t="shared" si="114"/>
        <v>27100</v>
      </c>
      <c r="F342" s="5">
        <f t="shared" si="115"/>
        <v>940</v>
      </c>
      <c r="G342" s="5">
        <f t="shared" si="116"/>
        <v>22300</v>
      </c>
      <c r="J342" s="8">
        <f t="shared" si="118"/>
        <v>4.5999999999999419</v>
      </c>
      <c r="K342" s="13">
        <f t="shared" si="119"/>
        <v>54900</v>
      </c>
      <c r="P342" s="2">
        <f t="shared" si="109"/>
        <v>54900</v>
      </c>
      <c r="Q342" s="2">
        <f t="shared" si="110"/>
        <v>8159968</v>
      </c>
    </row>
    <row r="343" spans="1:17" x14ac:dyDescent="0.3">
      <c r="A343" s="3">
        <f t="shared" si="117"/>
        <v>341</v>
      </c>
      <c r="B343" s="8">
        <f t="shared" si="111"/>
        <v>732</v>
      </c>
      <c r="C343" s="11">
        <f t="shared" si="112"/>
        <v>32010</v>
      </c>
      <c r="D343" s="8">
        <f t="shared" si="113"/>
        <v>491</v>
      </c>
      <c r="E343" s="11">
        <f t="shared" si="114"/>
        <v>27190</v>
      </c>
      <c r="F343" s="5">
        <f t="shared" si="115"/>
        <v>941</v>
      </c>
      <c r="G343" s="5">
        <f t="shared" si="116"/>
        <v>22370</v>
      </c>
      <c r="J343" s="8">
        <f t="shared" si="118"/>
        <v>4.6099999999999417</v>
      </c>
      <c r="K343" s="13">
        <f t="shared" si="119"/>
        <v>55090</v>
      </c>
      <c r="P343" s="2">
        <f t="shared" si="109"/>
        <v>55090</v>
      </c>
      <c r="Q343" s="2">
        <f t="shared" si="110"/>
        <v>8215058</v>
      </c>
    </row>
    <row r="344" spans="1:17" x14ac:dyDescent="0.3">
      <c r="A344" s="3">
        <f t="shared" si="117"/>
        <v>342</v>
      </c>
      <c r="B344" s="8">
        <f t="shared" si="111"/>
        <v>734</v>
      </c>
      <c r="C344" s="11">
        <f t="shared" si="112"/>
        <v>32120</v>
      </c>
      <c r="D344" s="8">
        <f t="shared" si="113"/>
        <v>492</v>
      </c>
      <c r="E344" s="11">
        <f t="shared" si="114"/>
        <v>27280</v>
      </c>
      <c r="F344" s="5">
        <f t="shared" si="115"/>
        <v>942</v>
      </c>
      <c r="G344" s="5">
        <f t="shared" si="116"/>
        <v>22440</v>
      </c>
      <c r="J344" s="8">
        <f t="shared" si="118"/>
        <v>4.6199999999999415</v>
      </c>
      <c r="K344" s="13">
        <f t="shared" si="119"/>
        <v>55280</v>
      </c>
      <c r="P344" s="2">
        <f t="shared" si="109"/>
        <v>55280</v>
      </c>
      <c r="Q344" s="2">
        <f t="shared" si="110"/>
        <v>8270338</v>
      </c>
    </row>
    <row r="345" spans="1:17" x14ac:dyDescent="0.3">
      <c r="A345" s="3">
        <f t="shared" si="117"/>
        <v>343</v>
      </c>
      <c r="B345" s="8">
        <f t="shared" si="111"/>
        <v>736</v>
      </c>
      <c r="C345" s="11">
        <f t="shared" si="112"/>
        <v>32230</v>
      </c>
      <c r="D345" s="8">
        <f t="shared" si="113"/>
        <v>493</v>
      </c>
      <c r="E345" s="11">
        <f t="shared" si="114"/>
        <v>27370</v>
      </c>
      <c r="F345" s="5">
        <f t="shared" si="115"/>
        <v>943</v>
      </c>
      <c r="G345" s="5">
        <f t="shared" si="116"/>
        <v>22510</v>
      </c>
      <c r="J345" s="8">
        <f t="shared" si="118"/>
        <v>4.6299999999999413</v>
      </c>
      <c r="K345" s="13">
        <f t="shared" si="119"/>
        <v>55470</v>
      </c>
      <c r="P345" s="2">
        <f t="shared" si="109"/>
        <v>55470</v>
      </c>
      <c r="Q345" s="2">
        <f t="shared" si="110"/>
        <v>8325808</v>
      </c>
    </row>
    <row r="346" spans="1:17" x14ac:dyDescent="0.3">
      <c r="A346" s="3">
        <f t="shared" si="117"/>
        <v>344</v>
      </c>
      <c r="B346" s="8">
        <f t="shared" si="111"/>
        <v>738</v>
      </c>
      <c r="C346" s="11">
        <f t="shared" si="112"/>
        <v>32340</v>
      </c>
      <c r="D346" s="8">
        <f t="shared" si="113"/>
        <v>494</v>
      </c>
      <c r="E346" s="11">
        <f t="shared" si="114"/>
        <v>27460</v>
      </c>
      <c r="F346" s="5">
        <f t="shared" si="115"/>
        <v>944</v>
      </c>
      <c r="G346" s="5">
        <f t="shared" si="116"/>
        <v>22580</v>
      </c>
      <c r="J346" s="8">
        <f t="shared" si="118"/>
        <v>4.6399999999999411</v>
      </c>
      <c r="K346" s="13">
        <f t="shared" si="119"/>
        <v>55660</v>
      </c>
      <c r="P346" s="2">
        <f t="shared" si="109"/>
        <v>55660</v>
      </c>
      <c r="Q346" s="2">
        <f t="shared" si="110"/>
        <v>8381468</v>
      </c>
    </row>
    <row r="347" spans="1:17" x14ac:dyDescent="0.3">
      <c r="A347" s="3">
        <f t="shared" si="117"/>
        <v>345</v>
      </c>
      <c r="B347" s="8">
        <f t="shared" si="111"/>
        <v>740</v>
      </c>
      <c r="C347" s="11">
        <f t="shared" si="112"/>
        <v>32450</v>
      </c>
      <c r="D347" s="8">
        <f t="shared" si="113"/>
        <v>495</v>
      </c>
      <c r="E347" s="11">
        <f t="shared" si="114"/>
        <v>27550</v>
      </c>
      <c r="F347" s="5">
        <f t="shared" si="115"/>
        <v>945</v>
      </c>
      <c r="G347" s="5">
        <f t="shared" si="116"/>
        <v>22650</v>
      </c>
      <c r="J347" s="8">
        <f t="shared" si="118"/>
        <v>4.6499999999999408</v>
      </c>
      <c r="K347" s="13">
        <f t="shared" si="119"/>
        <v>55850</v>
      </c>
      <c r="P347" s="2">
        <f t="shared" si="109"/>
        <v>55850</v>
      </c>
      <c r="Q347" s="2">
        <f t="shared" si="110"/>
        <v>8437318</v>
      </c>
    </row>
    <row r="348" spans="1:17" x14ac:dyDescent="0.3">
      <c r="A348" s="3">
        <f t="shared" si="117"/>
        <v>346</v>
      </c>
      <c r="B348" s="8">
        <f t="shared" si="111"/>
        <v>742</v>
      </c>
      <c r="C348" s="11">
        <f t="shared" si="112"/>
        <v>32560</v>
      </c>
      <c r="D348" s="8">
        <f t="shared" si="113"/>
        <v>496</v>
      </c>
      <c r="E348" s="11">
        <f t="shared" si="114"/>
        <v>27640</v>
      </c>
      <c r="F348" s="5">
        <f t="shared" si="115"/>
        <v>946</v>
      </c>
      <c r="G348" s="5">
        <f t="shared" si="116"/>
        <v>22720</v>
      </c>
      <c r="J348" s="8">
        <f t="shared" si="118"/>
        <v>4.6599999999999406</v>
      </c>
      <c r="K348" s="13">
        <f t="shared" si="119"/>
        <v>56040</v>
      </c>
      <c r="P348" s="2">
        <f t="shared" si="109"/>
        <v>56040</v>
      </c>
      <c r="Q348" s="2">
        <f t="shared" si="110"/>
        <v>8493358</v>
      </c>
    </row>
    <row r="349" spans="1:17" x14ac:dyDescent="0.3">
      <c r="A349" s="3">
        <f t="shared" si="117"/>
        <v>347</v>
      </c>
      <c r="B349" s="8">
        <f t="shared" si="111"/>
        <v>744</v>
      </c>
      <c r="C349" s="11">
        <f t="shared" si="112"/>
        <v>32670</v>
      </c>
      <c r="D349" s="8">
        <f t="shared" si="113"/>
        <v>497</v>
      </c>
      <c r="E349" s="11">
        <f t="shared" si="114"/>
        <v>27730</v>
      </c>
      <c r="F349" s="5">
        <f t="shared" si="115"/>
        <v>947</v>
      </c>
      <c r="G349" s="5">
        <f t="shared" si="116"/>
        <v>22790</v>
      </c>
      <c r="J349" s="8">
        <f t="shared" si="118"/>
        <v>4.6699999999999404</v>
      </c>
      <c r="K349" s="13">
        <f t="shared" si="119"/>
        <v>56230</v>
      </c>
      <c r="P349" s="2">
        <f t="shared" si="109"/>
        <v>56230</v>
      </c>
      <c r="Q349" s="2">
        <f t="shared" si="110"/>
        <v>8549588</v>
      </c>
    </row>
    <row r="350" spans="1:17" x14ac:dyDescent="0.3">
      <c r="A350" s="3">
        <f t="shared" si="117"/>
        <v>348</v>
      </c>
      <c r="B350" s="8">
        <f t="shared" si="111"/>
        <v>746</v>
      </c>
      <c r="C350" s="11">
        <f t="shared" si="112"/>
        <v>32780</v>
      </c>
      <c r="D350" s="8">
        <f t="shared" si="113"/>
        <v>498</v>
      </c>
      <c r="E350" s="11">
        <f t="shared" si="114"/>
        <v>27820</v>
      </c>
      <c r="F350" s="5">
        <f t="shared" si="115"/>
        <v>948</v>
      </c>
      <c r="G350" s="5">
        <f t="shared" si="116"/>
        <v>22860</v>
      </c>
      <c r="J350" s="8">
        <f t="shared" si="118"/>
        <v>4.6799999999999402</v>
      </c>
      <c r="K350" s="13">
        <f t="shared" si="119"/>
        <v>56420</v>
      </c>
      <c r="P350" s="2">
        <f t="shared" si="109"/>
        <v>56420</v>
      </c>
      <c r="Q350" s="2">
        <f t="shared" si="110"/>
        <v>8606008</v>
      </c>
    </row>
    <row r="351" spans="1:17" x14ac:dyDescent="0.3">
      <c r="A351" s="3">
        <f t="shared" si="117"/>
        <v>349</v>
      </c>
      <c r="B351" s="8">
        <f t="shared" si="111"/>
        <v>748</v>
      </c>
      <c r="C351" s="11">
        <f t="shared" si="112"/>
        <v>32890</v>
      </c>
      <c r="D351" s="8">
        <f t="shared" si="113"/>
        <v>499</v>
      </c>
      <c r="E351" s="11">
        <f t="shared" si="114"/>
        <v>27910</v>
      </c>
      <c r="F351" s="5">
        <f t="shared" si="115"/>
        <v>949</v>
      </c>
      <c r="G351" s="5">
        <f t="shared" si="116"/>
        <v>22930</v>
      </c>
      <c r="J351" s="8">
        <f t="shared" si="118"/>
        <v>4.68999999999994</v>
      </c>
      <c r="K351" s="13">
        <f t="shared" si="119"/>
        <v>56610</v>
      </c>
      <c r="P351" s="2">
        <f t="shared" si="109"/>
        <v>56610</v>
      </c>
      <c r="Q351" s="2">
        <f t="shared" si="110"/>
        <v>8662618</v>
      </c>
    </row>
    <row r="352" spans="1:17" x14ac:dyDescent="0.3">
      <c r="A352" s="3">
        <f t="shared" si="117"/>
        <v>350</v>
      </c>
      <c r="B352" s="8">
        <f t="shared" si="111"/>
        <v>750</v>
      </c>
      <c r="C352" s="11">
        <f t="shared" si="112"/>
        <v>33000</v>
      </c>
      <c r="D352" s="8">
        <f t="shared" si="113"/>
        <v>500</v>
      </c>
      <c r="E352" s="11">
        <f t="shared" si="114"/>
        <v>28000</v>
      </c>
      <c r="F352" s="5">
        <f t="shared" si="115"/>
        <v>950</v>
      </c>
      <c r="G352" s="5">
        <f t="shared" si="116"/>
        <v>23000</v>
      </c>
      <c r="J352" s="8">
        <f t="shared" si="118"/>
        <v>4.6999999999999398</v>
      </c>
      <c r="K352" s="13">
        <f t="shared" si="119"/>
        <v>56800</v>
      </c>
      <c r="P352" s="2">
        <f t="shared" si="109"/>
        <v>56800</v>
      </c>
      <c r="Q352" s="2">
        <f t="shared" si="110"/>
        <v>8719418</v>
      </c>
    </row>
    <row r="353" spans="1:17" x14ac:dyDescent="0.3">
      <c r="A353" s="3">
        <f t="shared" si="117"/>
        <v>351</v>
      </c>
      <c r="B353" s="8">
        <f t="shared" si="111"/>
        <v>752</v>
      </c>
      <c r="C353" s="11">
        <f t="shared" si="112"/>
        <v>33110</v>
      </c>
      <c r="D353" s="8">
        <f t="shared" si="113"/>
        <v>501</v>
      </c>
      <c r="E353" s="11">
        <f t="shared" si="114"/>
        <v>28090</v>
      </c>
      <c r="F353" s="5">
        <f t="shared" si="115"/>
        <v>951</v>
      </c>
      <c r="G353" s="5">
        <f t="shared" si="116"/>
        <v>23070</v>
      </c>
      <c r="J353" s="8">
        <f t="shared" si="118"/>
        <v>4.7099999999999396</v>
      </c>
      <c r="K353" s="13">
        <f t="shared" si="119"/>
        <v>56990</v>
      </c>
      <c r="P353" s="2">
        <f t="shared" si="109"/>
        <v>56990</v>
      </c>
      <c r="Q353" s="2">
        <f t="shared" si="110"/>
        <v>8776408</v>
      </c>
    </row>
    <row r="354" spans="1:17" x14ac:dyDescent="0.3">
      <c r="A354" s="3">
        <f t="shared" si="117"/>
        <v>352</v>
      </c>
      <c r="B354" s="8">
        <f t="shared" si="111"/>
        <v>754</v>
      </c>
      <c r="C354" s="11">
        <f t="shared" si="112"/>
        <v>33220</v>
      </c>
      <c r="D354" s="8">
        <f t="shared" si="113"/>
        <v>502</v>
      </c>
      <c r="E354" s="11">
        <f t="shared" si="114"/>
        <v>28180</v>
      </c>
      <c r="F354" s="5">
        <f t="shared" si="115"/>
        <v>952</v>
      </c>
      <c r="G354" s="5">
        <f t="shared" si="116"/>
        <v>23140</v>
      </c>
      <c r="J354" s="8">
        <f t="shared" si="118"/>
        <v>4.7199999999999394</v>
      </c>
      <c r="K354" s="13">
        <f t="shared" si="119"/>
        <v>57180</v>
      </c>
      <c r="P354" s="2">
        <f t="shared" si="109"/>
        <v>57180</v>
      </c>
      <c r="Q354" s="2">
        <f t="shared" si="110"/>
        <v>8833588</v>
      </c>
    </row>
    <row r="355" spans="1:17" x14ac:dyDescent="0.3">
      <c r="A355" s="3">
        <f t="shared" si="117"/>
        <v>353</v>
      </c>
      <c r="B355" s="8">
        <f t="shared" si="111"/>
        <v>756</v>
      </c>
      <c r="C355" s="11">
        <f t="shared" si="112"/>
        <v>33330</v>
      </c>
      <c r="D355" s="8">
        <f t="shared" si="113"/>
        <v>503</v>
      </c>
      <c r="E355" s="11">
        <f t="shared" si="114"/>
        <v>28270</v>
      </c>
      <c r="F355" s="5">
        <f t="shared" si="115"/>
        <v>953</v>
      </c>
      <c r="G355" s="5">
        <f t="shared" si="116"/>
        <v>23210</v>
      </c>
      <c r="J355" s="8">
        <f t="shared" si="118"/>
        <v>4.7299999999999391</v>
      </c>
      <c r="K355" s="13">
        <f t="shared" si="119"/>
        <v>57370</v>
      </c>
      <c r="P355" s="2">
        <f t="shared" si="109"/>
        <v>57370</v>
      </c>
      <c r="Q355" s="2">
        <f t="shared" si="110"/>
        <v>8890958</v>
      </c>
    </row>
    <row r="356" spans="1:17" x14ac:dyDescent="0.3">
      <c r="A356" s="3">
        <f t="shared" si="117"/>
        <v>354</v>
      </c>
      <c r="B356" s="8">
        <f t="shared" si="111"/>
        <v>758</v>
      </c>
      <c r="C356" s="11">
        <f t="shared" si="112"/>
        <v>33440</v>
      </c>
      <c r="D356" s="8">
        <f t="shared" si="113"/>
        <v>504</v>
      </c>
      <c r="E356" s="11">
        <f t="shared" si="114"/>
        <v>28360</v>
      </c>
      <c r="F356" s="5">
        <f t="shared" si="115"/>
        <v>954</v>
      </c>
      <c r="G356" s="5">
        <f t="shared" si="116"/>
        <v>23280</v>
      </c>
      <c r="J356" s="8">
        <f t="shared" si="118"/>
        <v>4.7399999999999389</v>
      </c>
      <c r="K356" s="13">
        <f t="shared" si="119"/>
        <v>57560</v>
      </c>
      <c r="P356" s="2">
        <f t="shared" si="109"/>
        <v>57560</v>
      </c>
      <c r="Q356" s="2">
        <f t="shared" si="110"/>
        <v>8948518</v>
      </c>
    </row>
    <row r="357" spans="1:17" x14ac:dyDescent="0.3">
      <c r="A357" s="3">
        <f t="shared" si="117"/>
        <v>355</v>
      </c>
      <c r="B357" s="8">
        <f t="shared" si="111"/>
        <v>760</v>
      </c>
      <c r="C357" s="11">
        <f t="shared" si="112"/>
        <v>33550</v>
      </c>
      <c r="D357" s="8">
        <f t="shared" si="113"/>
        <v>505</v>
      </c>
      <c r="E357" s="11">
        <f t="shared" si="114"/>
        <v>28450</v>
      </c>
      <c r="F357" s="5">
        <f t="shared" si="115"/>
        <v>955</v>
      </c>
      <c r="G357" s="5">
        <f t="shared" si="116"/>
        <v>23350</v>
      </c>
      <c r="J357" s="8">
        <f t="shared" si="118"/>
        <v>4.7499999999999387</v>
      </c>
      <c r="K357" s="13">
        <f t="shared" si="119"/>
        <v>57750</v>
      </c>
      <c r="P357" s="2">
        <f t="shared" si="109"/>
        <v>57750</v>
      </c>
      <c r="Q357" s="2">
        <f t="shared" si="110"/>
        <v>9006268</v>
      </c>
    </row>
    <row r="358" spans="1:17" x14ac:dyDescent="0.3">
      <c r="A358" s="3">
        <f t="shared" si="117"/>
        <v>356</v>
      </c>
      <c r="B358" s="8">
        <f t="shared" si="111"/>
        <v>762</v>
      </c>
      <c r="C358" s="11">
        <f t="shared" si="112"/>
        <v>33660</v>
      </c>
      <c r="D358" s="8">
        <f t="shared" si="113"/>
        <v>506</v>
      </c>
      <c r="E358" s="11">
        <f t="shared" si="114"/>
        <v>28540</v>
      </c>
      <c r="F358" s="5">
        <f t="shared" si="115"/>
        <v>956</v>
      </c>
      <c r="G358" s="5">
        <f t="shared" si="116"/>
        <v>23420</v>
      </c>
      <c r="J358" s="8">
        <f t="shared" si="118"/>
        <v>4.7599999999999385</v>
      </c>
      <c r="K358" s="13">
        <f t="shared" si="119"/>
        <v>57940</v>
      </c>
      <c r="P358" s="2">
        <f t="shared" ref="P358:P421" si="120">K358</f>
        <v>57940</v>
      </c>
      <c r="Q358" s="2">
        <f t="shared" ref="Q358:Q421" si="121">Q357+K358</f>
        <v>9064208</v>
      </c>
    </row>
    <row r="359" spans="1:17" x14ac:dyDescent="0.3">
      <c r="A359" s="3">
        <f t="shared" si="117"/>
        <v>357</v>
      </c>
      <c r="B359" s="8">
        <f t="shared" si="111"/>
        <v>764</v>
      </c>
      <c r="C359" s="11">
        <f t="shared" si="112"/>
        <v>33770</v>
      </c>
      <c r="D359" s="8">
        <f t="shared" si="113"/>
        <v>507</v>
      </c>
      <c r="E359" s="11">
        <f t="shared" si="114"/>
        <v>28630</v>
      </c>
      <c r="F359" s="5">
        <f t="shared" si="115"/>
        <v>957</v>
      </c>
      <c r="G359" s="5">
        <f t="shared" si="116"/>
        <v>23490</v>
      </c>
      <c r="J359" s="8">
        <f t="shared" si="118"/>
        <v>4.7699999999999383</v>
      </c>
      <c r="K359" s="13">
        <f t="shared" si="119"/>
        <v>58130</v>
      </c>
      <c r="P359" s="2">
        <f t="shared" si="120"/>
        <v>58130</v>
      </c>
      <c r="Q359" s="2">
        <f t="shared" si="121"/>
        <v>9122338</v>
      </c>
    </row>
    <row r="360" spans="1:17" x14ac:dyDescent="0.3">
      <c r="A360" s="3">
        <f t="shared" si="117"/>
        <v>358</v>
      </c>
      <c r="B360" s="8">
        <f t="shared" ref="B360:B423" si="122">B359+2</f>
        <v>766</v>
      </c>
      <c r="C360" s="11">
        <f t="shared" ref="C360:C423" si="123">C359+110</f>
        <v>33880</v>
      </c>
      <c r="D360" s="8">
        <f t="shared" ref="D360:D423" si="124">D359+1</f>
        <v>508</v>
      </c>
      <c r="E360" s="11">
        <f t="shared" ref="E360:E423" si="125">E359+90</f>
        <v>28720</v>
      </c>
      <c r="F360" s="5">
        <f t="shared" ref="F360:F423" si="126">F359+1</f>
        <v>958</v>
      </c>
      <c r="G360" s="5">
        <f t="shared" ref="G360:G423" si="127">G359+70</f>
        <v>23560</v>
      </c>
      <c r="J360" s="8">
        <f t="shared" si="118"/>
        <v>4.7799999999999381</v>
      </c>
      <c r="K360" s="13">
        <f t="shared" si="119"/>
        <v>58320</v>
      </c>
      <c r="P360" s="2">
        <f t="shared" si="120"/>
        <v>58320</v>
      </c>
      <c r="Q360" s="2">
        <f t="shared" si="121"/>
        <v>9180658</v>
      </c>
    </row>
    <row r="361" spans="1:17" x14ac:dyDescent="0.3">
      <c r="A361" s="3">
        <f t="shared" si="117"/>
        <v>359</v>
      </c>
      <c r="B361" s="8">
        <f t="shared" si="122"/>
        <v>768</v>
      </c>
      <c r="C361" s="11">
        <f t="shared" si="123"/>
        <v>33990</v>
      </c>
      <c r="D361" s="8">
        <f t="shared" si="124"/>
        <v>509</v>
      </c>
      <c r="E361" s="11">
        <f t="shared" si="125"/>
        <v>28810</v>
      </c>
      <c r="F361" s="5">
        <f t="shared" si="126"/>
        <v>959</v>
      </c>
      <c r="G361" s="5">
        <f t="shared" si="127"/>
        <v>23630</v>
      </c>
      <c r="J361" s="8">
        <f t="shared" si="118"/>
        <v>4.7899999999999379</v>
      </c>
      <c r="K361" s="13">
        <f t="shared" si="119"/>
        <v>58510</v>
      </c>
      <c r="P361" s="2">
        <f t="shared" si="120"/>
        <v>58510</v>
      </c>
      <c r="Q361" s="2">
        <f t="shared" si="121"/>
        <v>9239168</v>
      </c>
    </row>
    <row r="362" spans="1:17" x14ac:dyDescent="0.3">
      <c r="A362" s="3">
        <f t="shared" si="117"/>
        <v>360</v>
      </c>
      <c r="B362" s="8">
        <f t="shared" si="122"/>
        <v>770</v>
      </c>
      <c r="C362" s="11">
        <f t="shared" si="123"/>
        <v>34100</v>
      </c>
      <c r="D362" s="8">
        <f t="shared" si="124"/>
        <v>510</v>
      </c>
      <c r="E362" s="11">
        <f t="shared" si="125"/>
        <v>28900</v>
      </c>
      <c r="F362" s="5">
        <f t="shared" si="126"/>
        <v>960</v>
      </c>
      <c r="G362" s="5">
        <f t="shared" si="127"/>
        <v>23700</v>
      </c>
      <c r="J362" s="8">
        <f t="shared" si="118"/>
        <v>4.7999999999999376</v>
      </c>
      <c r="K362" s="13">
        <f t="shared" si="119"/>
        <v>58700</v>
      </c>
      <c r="P362" s="2">
        <f t="shared" si="120"/>
        <v>58700</v>
      </c>
      <c r="Q362" s="2">
        <f t="shared" si="121"/>
        <v>9297868</v>
      </c>
    </row>
    <row r="363" spans="1:17" x14ac:dyDescent="0.3">
      <c r="A363" s="3">
        <f t="shared" si="117"/>
        <v>361</v>
      </c>
      <c r="B363" s="8">
        <f t="shared" si="122"/>
        <v>772</v>
      </c>
      <c r="C363" s="11">
        <f t="shared" si="123"/>
        <v>34210</v>
      </c>
      <c r="D363" s="8">
        <f t="shared" si="124"/>
        <v>511</v>
      </c>
      <c r="E363" s="11">
        <f t="shared" si="125"/>
        <v>28990</v>
      </c>
      <c r="F363" s="5">
        <f t="shared" si="126"/>
        <v>961</v>
      </c>
      <c r="G363" s="5">
        <f t="shared" si="127"/>
        <v>23770</v>
      </c>
      <c r="J363" s="8">
        <f t="shared" si="118"/>
        <v>4.8099999999999374</v>
      </c>
      <c r="K363" s="13">
        <f t="shared" si="119"/>
        <v>58890</v>
      </c>
      <c r="P363" s="2">
        <f t="shared" si="120"/>
        <v>58890</v>
      </c>
      <c r="Q363" s="2">
        <f t="shared" si="121"/>
        <v>9356758</v>
      </c>
    </row>
    <row r="364" spans="1:17" x14ac:dyDescent="0.3">
      <c r="A364" s="3">
        <f t="shared" si="117"/>
        <v>362</v>
      </c>
      <c r="B364" s="8">
        <f t="shared" si="122"/>
        <v>774</v>
      </c>
      <c r="C364" s="11">
        <f t="shared" si="123"/>
        <v>34320</v>
      </c>
      <c r="D364" s="8">
        <f t="shared" si="124"/>
        <v>512</v>
      </c>
      <c r="E364" s="11">
        <f t="shared" si="125"/>
        <v>29080</v>
      </c>
      <c r="F364" s="5">
        <f t="shared" si="126"/>
        <v>962</v>
      </c>
      <c r="G364" s="5">
        <f t="shared" si="127"/>
        <v>23840</v>
      </c>
      <c r="J364" s="8">
        <f t="shared" si="118"/>
        <v>4.8199999999999372</v>
      </c>
      <c r="K364" s="13">
        <f t="shared" si="119"/>
        <v>59080</v>
      </c>
      <c r="P364" s="2">
        <f t="shared" si="120"/>
        <v>59080</v>
      </c>
      <c r="Q364" s="2">
        <f t="shared" si="121"/>
        <v>9415838</v>
      </c>
    </row>
    <row r="365" spans="1:17" x14ac:dyDescent="0.3">
      <c r="A365" s="3">
        <f t="shared" si="117"/>
        <v>363</v>
      </c>
      <c r="B365" s="8">
        <f t="shared" si="122"/>
        <v>776</v>
      </c>
      <c r="C365" s="11">
        <f t="shared" si="123"/>
        <v>34430</v>
      </c>
      <c r="D365" s="8">
        <f t="shared" si="124"/>
        <v>513</v>
      </c>
      <c r="E365" s="11">
        <f t="shared" si="125"/>
        <v>29170</v>
      </c>
      <c r="F365" s="5">
        <f t="shared" si="126"/>
        <v>963</v>
      </c>
      <c r="G365" s="5">
        <f t="shared" si="127"/>
        <v>23910</v>
      </c>
      <c r="J365" s="8">
        <f t="shared" si="118"/>
        <v>4.829999999999937</v>
      </c>
      <c r="K365" s="13">
        <f t="shared" si="119"/>
        <v>59270</v>
      </c>
      <c r="P365" s="2">
        <f t="shared" si="120"/>
        <v>59270</v>
      </c>
      <c r="Q365" s="2">
        <f t="shared" si="121"/>
        <v>9475108</v>
      </c>
    </row>
    <row r="366" spans="1:17" x14ac:dyDescent="0.3">
      <c r="A366" s="3">
        <f t="shared" si="117"/>
        <v>364</v>
      </c>
      <c r="B366" s="8">
        <f t="shared" si="122"/>
        <v>778</v>
      </c>
      <c r="C366" s="11">
        <f t="shared" si="123"/>
        <v>34540</v>
      </c>
      <c r="D366" s="8">
        <f t="shared" si="124"/>
        <v>514</v>
      </c>
      <c r="E366" s="11">
        <f t="shared" si="125"/>
        <v>29260</v>
      </c>
      <c r="F366" s="5">
        <f t="shared" si="126"/>
        <v>964</v>
      </c>
      <c r="G366" s="5">
        <f t="shared" si="127"/>
        <v>23980</v>
      </c>
      <c r="J366" s="8">
        <f t="shared" si="118"/>
        <v>4.8399999999999368</v>
      </c>
      <c r="K366" s="13">
        <f t="shared" si="119"/>
        <v>59460</v>
      </c>
      <c r="P366" s="2">
        <f t="shared" si="120"/>
        <v>59460</v>
      </c>
      <c r="Q366" s="2">
        <f t="shared" si="121"/>
        <v>9534568</v>
      </c>
    </row>
    <row r="367" spans="1:17" x14ac:dyDescent="0.3">
      <c r="A367" s="3">
        <f t="shared" si="117"/>
        <v>365</v>
      </c>
      <c r="B367" s="8">
        <f t="shared" si="122"/>
        <v>780</v>
      </c>
      <c r="C367" s="11">
        <f t="shared" si="123"/>
        <v>34650</v>
      </c>
      <c r="D367" s="8">
        <f t="shared" si="124"/>
        <v>515</v>
      </c>
      <c r="E367" s="11">
        <f t="shared" si="125"/>
        <v>29350</v>
      </c>
      <c r="F367" s="5">
        <f t="shared" si="126"/>
        <v>965</v>
      </c>
      <c r="G367" s="5">
        <f t="shared" si="127"/>
        <v>24050</v>
      </c>
      <c r="J367" s="8">
        <f t="shared" si="118"/>
        <v>4.8499999999999366</v>
      </c>
      <c r="K367" s="13">
        <f t="shared" si="119"/>
        <v>59650</v>
      </c>
      <c r="P367" s="2">
        <f t="shared" si="120"/>
        <v>59650</v>
      </c>
      <c r="Q367" s="2">
        <f t="shared" si="121"/>
        <v>9594218</v>
      </c>
    </row>
    <row r="368" spans="1:17" x14ac:dyDescent="0.3">
      <c r="A368" s="3">
        <f t="shared" si="117"/>
        <v>366</v>
      </c>
      <c r="B368" s="8">
        <f t="shared" si="122"/>
        <v>782</v>
      </c>
      <c r="C368" s="11">
        <f t="shared" si="123"/>
        <v>34760</v>
      </c>
      <c r="D368" s="8">
        <f t="shared" si="124"/>
        <v>516</v>
      </c>
      <c r="E368" s="11">
        <f t="shared" si="125"/>
        <v>29440</v>
      </c>
      <c r="F368" s="5">
        <f t="shared" si="126"/>
        <v>966</v>
      </c>
      <c r="G368" s="5">
        <f t="shared" si="127"/>
        <v>24120</v>
      </c>
      <c r="J368" s="8">
        <f t="shared" si="118"/>
        <v>4.8599999999999364</v>
      </c>
      <c r="K368" s="13">
        <f t="shared" si="119"/>
        <v>59840</v>
      </c>
      <c r="P368" s="2">
        <f t="shared" si="120"/>
        <v>59840</v>
      </c>
      <c r="Q368" s="2">
        <f t="shared" si="121"/>
        <v>9654058</v>
      </c>
    </row>
    <row r="369" spans="1:17" x14ac:dyDescent="0.3">
      <c r="A369" s="3">
        <f t="shared" si="117"/>
        <v>367</v>
      </c>
      <c r="B369" s="8">
        <f t="shared" si="122"/>
        <v>784</v>
      </c>
      <c r="C369" s="11">
        <f t="shared" si="123"/>
        <v>34870</v>
      </c>
      <c r="D369" s="8">
        <f t="shared" si="124"/>
        <v>517</v>
      </c>
      <c r="E369" s="11">
        <f t="shared" si="125"/>
        <v>29530</v>
      </c>
      <c r="F369" s="5">
        <f t="shared" si="126"/>
        <v>967</v>
      </c>
      <c r="G369" s="5">
        <f t="shared" si="127"/>
        <v>24190</v>
      </c>
      <c r="J369" s="8">
        <f t="shared" si="118"/>
        <v>4.8699999999999362</v>
      </c>
      <c r="K369" s="13">
        <f t="shared" si="119"/>
        <v>60030</v>
      </c>
      <c r="P369" s="2">
        <f t="shared" si="120"/>
        <v>60030</v>
      </c>
      <c r="Q369" s="2">
        <f t="shared" si="121"/>
        <v>9714088</v>
      </c>
    </row>
    <row r="370" spans="1:17" x14ac:dyDescent="0.3">
      <c r="A370" s="3">
        <f t="shared" si="117"/>
        <v>368</v>
      </c>
      <c r="B370" s="8">
        <f t="shared" si="122"/>
        <v>786</v>
      </c>
      <c r="C370" s="11">
        <f t="shared" si="123"/>
        <v>34980</v>
      </c>
      <c r="D370" s="8">
        <f t="shared" si="124"/>
        <v>518</v>
      </c>
      <c r="E370" s="11">
        <f t="shared" si="125"/>
        <v>29620</v>
      </c>
      <c r="F370" s="5">
        <f t="shared" si="126"/>
        <v>968</v>
      </c>
      <c r="G370" s="5">
        <f t="shared" si="127"/>
        <v>24260</v>
      </c>
      <c r="J370" s="8">
        <f t="shared" si="118"/>
        <v>4.8799999999999359</v>
      </c>
      <c r="K370" s="13">
        <f t="shared" si="119"/>
        <v>60220</v>
      </c>
      <c r="P370" s="2">
        <f t="shared" si="120"/>
        <v>60220</v>
      </c>
      <c r="Q370" s="2">
        <f t="shared" si="121"/>
        <v>9774308</v>
      </c>
    </row>
    <row r="371" spans="1:17" x14ac:dyDescent="0.3">
      <c r="A371" s="3">
        <f t="shared" si="117"/>
        <v>369</v>
      </c>
      <c r="B371" s="8">
        <f t="shared" si="122"/>
        <v>788</v>
      </c>
      <c r="C371" s="11">
        <f t="shared" si="123"/>
        <v>35090</v>
      </c>
      <c r="D371" s="8">
        <f t="shared" si="124"/>
        <v>519</v>
      </c>
      <c r="E371" s="11">
        <f t="shared" si="125"/>
        <v>29710</v>
      </c>
      <c r="F371" s="5">
        <f t="shared" si="126"/>
        <v>969</v>
      </c>
      <c r="G371" s="5">
        <f t="shared" si="127"/>
        <v>24330</v>
      </c>
      <c r="J371" s="8">
        <f t="shared" si="118"/>
        <v>4.8899999999999357</v>
      </c>
      <c r="K371" s="13">
        <f t="shared" si="119"/>
        <v>60410</v>
      </c>
      <c r="P371" s="2">
        <f t="shared" si="120"/>
        <v>60410</v>
      </c>
      <c r="Q371" s="2">
        <f t="shared" si="121"/>
        <v>9834718</v>
      </c>
    </row>
    <row r="372" spans="1:17" x14ac:dyDescent="0.3">
      <c r="A372" s="3">
        <f t="shared" si="117"/>
        <v>370</v>
      </c>
      <c r="B372" s="8">
        <f t="shared" si="122"/>
        <v>790</v>
      </c>
      <c r="C372" s="11">
        <f t="shared" si="123"/>
        <v>35200</v>
      </c>
      <c r="D372" s="8">
        <f t="shared" si="124"/>
        <v>520</v>
      </c>
      <c r="E372" s="11">
        <f t="shared" si="125"/>
        <v>29800</v>
      </c>
      <c r="F372" s="5">
        <f t="shared" si="126"/>
        <v>970</v>
      </c>
      <c r="G372" s="5">
        <f t="shared" si="127"/>
        <v>24400</v>
      </c>
      <c r="J372" s="8">
        <f t="shared" si="118"/>
        <v>4.8999999999999355</v>
      </c>
      <c r="K372" s="13">
        <f t="shared" si="119"/>
        <v>60600</v>
      </c>
      <c r="P372" s="2">
        <f t="shared" si="120"/>
        <v>60600</v>
      </c>
      <c r="Q372" s="2">
        <f t="shared" si="121"/>
        <v>9895318</v>
      </c>
    </row>
    <row r="373" spans="1:17" x14ac:dyDescent="0.3">
      <c r="A373" s="3">
        <f t="shared" si="117"/>
        <v>371</v>
      </c>
      <c r="B373" s="8">
        <f t="shared" si="122"/>
        <v>792</v>
      </c>
      <c r="C373" s="11">
        <f t="shared" si="123"/>
        <v>35310</v>
      </c>
      <c r="D373" s="8">
        <f t="shared" si="124"/>
        <v>521</v>
      </c>
      <c r="E373" s="11">
        <f t="shared" si="125"/>
        <v>29890</v>
      </c>
      <c r="F373" s="5">
        <f t="shared" si="126"/>
        <v>971</v>
      </c>
      <c r="G373" s="5">
        <f t="shared" si="127"/>
        <v>24470</v>
      </c>
      <c r="J373" s="8">
        <f t="shared" si="118"/>
        <v>4.9099999999999353</v>
      </c>
      <c r="K373" s="13">
        <f t="shared" si="119"/>
        <v>60790</v>
      </c>
      <c r="P373" s="2">
        <f t="shared" si="120"/>
        <v>60790</v>
      </c>
      <c r="Q373" s="2">
        <f t="shared" si="121"/>
        <v>9956108</v>
      </c>
    </row>
    <row r="374" spans="1:17" x14ac:dyDescent="0.3">
      <c r="A374" s="3">
        <f t="shared" si="117"/>
        <v>372</v>
      </c>
      <c r="B374" s="8">
        <f t="shared" si="122"/>
        <v>794</v>
      </c>
      <c r="C374" s="11">
        <f t="shared" si="123"/>
        <v>35420</v>
      </c>
      <c r="D374" s="8">
        <f t="shared" si="124"/>
        <v>522</v>
      </c>
      <c r="E374" s="11">
        <f t="shared" si="125"/>
        <v>29980</v>
      </c>
      <c r="F374" s="5">
        <f t="shared" si="126"/>
        <v>972</v>
      </c>
      <c r="G374" s="5">
        <f t="shared" si="127"/>
        <v>24540</v>
      </c>
      <c r="J374" s="8">
        <f t="shared" si="118"/>
        <v>4.9199999999999351</v>
      </c>
      <c r="K374" s="13">
        <f t="shared" si="119"/>
        <v>60980</v>
      </c>
      <c r="P374" s="2">
        <f t="shared" si="120"/>
        <v>60980</v>
      </c>
      <c r="Q374" s="2">
        <f t="shared" si="121"/>
        <v>10017088</v>
      </c>
    </row>
    <row r="375" spans="1:17" x14ac:dyDescent="0.3">
      <c r="A375" s="3">
        <f t="shared" si="117"/>
        <v>373</v>
      </c>
      <c r="B375" s="8">
        <f t="shared" si="122"/>
        <v>796</v>
      </c>
      <c r="C375" s="11">
        <f t="shared" si="123"/>
        <v>35530</v>
      </c>
      <c r="D375" s="8">
        <f t="shared" si="124"/>
        <v>523</v>
      </c>
      <c r="E375" s="11">
        <f t="shared" si="125"/>
        <v>30070</v>
      </c>
      <c r="F375" s="5">
        <f t="shared" si="126"/>
        <v>973</v>
      </c>
      <c r="G375" s="5">
        <f t="shared" si="127"/>
        <v>24610</v>
      </c>
      <c r="J375" s="8">
        <f t="shared" si="118"/>
        <v>4.9299999999999349</v>
      </c>
      <c r="K375" s="13">
        <f t="shared" si="119"/>
        <v>61170</v>
      </c>
      <c r="P375" s="2">
        <f t="shared" si="120"/>
        <v>61170</v>
      </c>
      <c r="Q375" s="2">
        <f t="shared" si="121"/>
        <v>10078258</v>
      </c>
    </row>
    <row r="376" spans="1:17" x14ac:dyDescent="0.3">
      <c r="A376" s="3">
        <f t="shared" si="117"/>
        <v>374</v>
      </c>
      <c r="B376" s="8">
        <f t="shared" si="122"/>
        <v>798</v>
      </c>
      <c r="C376" s="11">
        <f t="shared" si="123"/>
        <v>35640</v>
      </c>
      <c r="D376" s="8">
        <f t="shared" si="124"/>
        <v>524</v>
      </c>
      <c r="E376" s="11">
        <f t="shared" si="125"/>
        <v>30160</v>
      </c>
      <c r="F376" s="5">
        <f t="shared" si="126"/>
        <v>974</v>
      </c>
      <c r="G376" s="5">
        <f t="shared" si="127"/>
        <v>24680</v>
      </c>
      <c r="J376" s="8">
        <f t="shared" si="118"/>
        <v>4.9399999999999347</v>
      </c>
      <c r="K376" s="13">
        <f t="shared" si="119"/>
        <v>61360</v>
      </c>
      <c r="P376" s="2">
        <f t="shared" si="120"/>
        <v>61360</v>
      </c>
      <c r="Q376" s="2">
        <f t="shared" si="121"/>
        <v>10139618</v>
      </c>
    </row>
    <row r="377" spans="1:17" x14ac:dyDescent="0.3">
      <c r="A377" s="3">
        <f t="shared" si="117"/>
        <v>375</v>
      </c>
      <c r="B377" s="8">
        <f t="shared" si="122"/>
        <v>800</v>
      </c>
      <c r="C377" s="11">
        <f t="shared" si="123"/>
        <v>35750</v>
      </c>
      <c r="D377" s="8">
        <f t="shared" si="124"/>
        <v>525</v>
      </c>
      <c r="E377" s="11">
        <f t="shared" si="125"/>
        <v>30250</v>
      </c>
      <c r="F377" s="5">
        <f t="shared" si="126"/>
        <v>975</v>
      </c>
      <c r="G377" s="5">
        <f t="shared" si="127"/>
        <v>24750</v>
      </c>
      <c r="J377" s="8">
        <f t="shared" si="118"/>
        <v>4.9499999999999345</v>
      </c>
      <c r="K377" s="13">
        <f t="shared" si="119"/>
        <v>61550</v>
      </c>
      <c r="P377" s="2">
        <f t="shared" si="120"/>
        <v>61550</v>
      </c>
      <c r="Q377" s="2">
        <f t="shared" si="121"/>
        <v>10201168</v>
      </c>
    </row>
    <row r="378" spans="1:17" x14ac:dyDescent="0.3">
      <c r="A378" s="3">
        <f t="shared" si="117"/>
        <v>376</v>
      </c>
      <c r="B378" s="8">
        <f t="shared" si="122"/>
        <v>802</v>
      </c>
      <c r="C378" s="11">
        <f t="shared" si="123"/>
        <v>35860</v>
      </c>
      <c r="D378" s="8">
        <f t="shared" si="124"/>
        <v>526</v>
      </c>
      <c r="E378" s="11">
        <f t="shared" si="125"/>
        <v>30340</v>
      </c>
      <c r="F378" s="5">
        <f t="shared" si="126"/>
        <v>976</v>
      </c>
      <c r="G378" s="5">
        <f t="shared" si="127"/>
        <v>24820</v>
      </c>
      <c r="J378" s="8">
        <f t="shared" si="118"/>
        <v>4.9599999999999342</v>
      </c>
      <c r="K378" s="13">
        <f t="shared" si="119"/>
        <v>61740</v>
      </c>
      <c r="P378" s="2">
        <f t="shared" si="120"/>
        <v>61740</v>
      </c>
      <c r="Q378" s="2">
        <f t="shared" si="121"/>
        <v>10262908</v>
      </c>
    </row>
    <row r="379" spans="1:17" x14ac:dyDescent="0.3">
      <c r="A379" s="3">
        <f t="shared" si="117"/>
        <v>377</v>
      </c>
      <c r="B379" s="8">
        <f t="shared" si="122"/>
        <v>804</v>
      </c>
      <c r="C379" s="11">
        <f t="shared" si="123"/>
        <v>35970</v>
      </c>
      <c r="D379" s="8">
        <f t="shared" si="124"/>
        <v>527</v>
      </c>
      <c r="E379" s="11">
        <f t="shared" si="125"/>
        <v>30430</v>
      </c>
      <c r="F379" s="5">
        <f t="shared" si="126"/>
        <v>977</v>
      </c>
      <c r="G379" s="5">
        <f t="shared" si="127"/>
        <v>24890</v>
      </c>
      <c r="J379" s="8">
        <f t="shared" si="118"/>
        <v>4.969999999999934</v>
      </c>
      <c r="K379" s="13">
        <f t="shared" si="119"/>
        <v>61930</v>
      </c>
      <c r="P379" s="2">
        <f t="shared" si="120"/>
        <v>61930</v>
      </c>
      <c r="Q379" s="2">
        <f t="shared" si="121"/>
        <v>10324838</v>
      </c>
    </row>
    <row r="380" spans="1:17" x14ac:dyDescent="0.3">
      <c r="A380" s="3">
        <f t="shared" si="117"/>
        <v>378</v>
      </c>
      <c r="B380" s="8">
        <f t="shared" si="122"/>
        <v>806</v>
      </c>
      <c r="C380" s="11">
        <f t="shared" si="123"/>
        <v>36080</v>
      </c>
      <c r="D380" s="8">
        <f t="shared" si="124"/>
        <v>528</v>
      </c>
      <c r="E380" s="11">
        <f t="shared" si="125"/>
        <v>30520</v>
      </c>
      <c r="F380" s="5">
        <f t="shared" si="126"/>
        <v>978</v>
      </c>
      <c r="G380" s="5">
        <f t="shared" si="127"/>
        <v>24960</v>
      </c>
      <c r="J380" s="8">
        <f t="shared" si="118"/>
        <v>4.9799999999999338</v>
      </c>
      <c r="K380" s="13">
        <f t="shared" si="119"/>
        <v>62120</v>
      </c>
      <c r="P380" s="2">
        <f t="shared" si="120"/>
        <v>62120</v>
      </c>
      <c r="Q380" s="2">
        <f t="shared" si="121"/>
        <v>10386958</v>
      </c>
    </row>
    <row r="381" spans="1:17" x14ac:dyDescent="0.3">
      <c r="A381" s="3">
        <f t="shared" si="117"/>
        <v>379</v>
      </c>
      <c r="B381" s="8">
        <f t="shared" si="122"/>
        <v>808</v>
      </c>
      <c r="C381" s="11">
        <f t="shared" si="123"/>
        <v>36190</v>
      </c>
      <c r="D381" s="8">
        <f t="shared" si="124"/>
        <v>529</v>
      </c>
      <c r="E381" s="11">
        <f t="shared" si="125"/>
        <v>30610</v>
      </c>
      <c r="F381" s="5">
        <f t="shared" si="126"/>
        <v>979</v>
      </c>
      <c r="G381" s="5">
        <f t="shared" si="127"/>
        <v>25030</v>
      </c>
      <c r="J381" s="8">
        <f t="shared" si="118"/>
        <v>4.9899999999999336</v>
      </c>
      <c r="K381" s="13">
        <f t="shared" si="119"/>
        <v>62310</v>
      </c>
      <c r="P381" s="2">
        <f t="shared" si="120"/>
        <v>62310</v>
      </c>
      <c r="Q381" s="2">
        <f t="shared" si="121"/>
        <v>10449268</v>
      </c>
    </row>
    <row r="382" spans="1:17" x14ac:dyDescent="0.3">
      <c r="A382" s="3">
        <f t="shared" si="117"/>
        <v>380</v>
      </c>
      <c r="B382" s="8">
        <f t="shared" si="122"/>
        <v>810</v>
      </c>
      <c r="C382" s="11">
        <f t="shared" si="123"/>
        <v>36300</v>
      </c>
      <c r="D382" s="8">
        <f t="shared" si="124"/>
        <v>530</v>
      </c>
      <c r="E382" s="11">
        <f t="shared" si="125"/>
        <v>30700</v>
      </c>
      <c r="F382" s="5">
        <f t="shared" si="126"/>
        <v>980</v>
      </c>
      <c r="G382" s="5">
        <f t="shared" si="127"/>
        <v>25100</v>
      </c>
      <c r="J382" s="8">
        <f t="shared" si="118"/>
        <v>4.9999999999999334</v>
      </c>
      <c r="K382" s="13">
        <f t="shared" si="119"/>
        <v>62500</v>
      </c>
      <c r="P382" s="2">
        <f t="shared" si="120"/>
        <v>62500</v>
      </c>
      <c r="Q382" s="2">
        <f t="shared" si="121"/>
        <v>10511768</v>
      </c>
    </row>
    <row r="383" spans="1:17" x14ac:dyDescent="0.3">
      <c r="A383" s="3">
        <f t="shared" si="117"/>
        <v>381</v>
      </c>
      <c r="B383" s="8">
        <f t="shared" si="122"/>
        <v>812</v>
      </c>
      <c r="C383" s="11">
        <f t="shared" si="123"/>
        <v>36410</v>
      </c>
      <c r="D383" s="8">
        <f t="shared" si="124"/>
        <v>531</v>
      </c>
      <c r="E383" s="11">
        <f t="shared" si="125"/>
        <v>30790</v>
      </c>
      <c r="F383" s="5">
        <f t="shared" si="126"/>
        <v>981</v>
      </c>
      <c r="G383" s="5">
        <f t="shared" si="127"/>
        <v>25170</v>
      </c>
      <c r="J383" s="8">
        <f t="shared" si="118"/>
        <v>5.0099999999999332</v>
      </c>
      <c r="K383" s="13">
        <f t="shared" si="119"/>
        <v>62690</v>
      </c>
      <c r="P383" s="2">
        <f t="shared" si="120"/>
        <v>62690</v>
      </c>
      <c r="Q383" s="2">
        <f t="shared" si="121"/>
        <v>10574458</v>
      </c>
    </row>
    <row r="384" spans="1:17" x14ac:dyDescent="0.3">
      <c r="A384" s="3">
        <f t="shared" si="117"/>
        <v>382</v>
      </c>
      <c r="B384" s="8">
        <f t="shared" si="122"/>
        <v>814</v>
      </c>
      <c r="C384" s="11">
        <f t="shared" si="123"/>
        <v>36520</v>
      </c>
      <c r="D384" s="8">
        <f t="shared" si="124"/>
        <v>532</v>
      </c>
      <c r="E384" s="11">
        <f t="shared" si="125"/>
        <v>30880</v>
      </c>
      <c r="F384" s="5">
        <f t="shared" si="126"/>
        <v>982</v>
      </c>
      <c r="G384" s="5">
        <f t="shared" si="127"/>
        <v>25240</v>
      </c>
      <c r="J384" s="8">
        <f t="shared" si="118"/>
        <v>5.019999999999933</v>
      </c>
      <c r="K384" s="13">
        <f t="shared" si="119"/>
        <v>62880</v>
      </c>
      <c r="P384" s="2">
        <f t="shared" si="120"/>
        <v>62880</v>
      </c>
      <c r="Q384" s="2">
        <f t="shared" si="121"/>
        <v>10637338</v>
      </c>
    </row>
    <row r="385" spans="1:17" x14ac:dyDescent="0.3">
      <c r="A385" s="3">
        <f t="shared" si="117"/>
        <v>383</v>
      </c>
      <c r="B385" s="8">
        <f t="shared" si="122"/>
        <v>816</v>
      </c>
      <c r="C385" s="11">
        <f t="shared" si="123"/>
        <v>36630</v>
      </c>
      <c r="D385" s="8">
        <f t="shared" si="124"/>
        <v>533</v>
      </c>
      <c r="E385" s="11">
        <f t="shared" si="125"/>
        <v>30970</v>
      </c>
      <c r="F385" s="5">
        <f t="shared" si="126"/>
        <v>983</v>
      </c>
      <c r="G385" s="5">
        <f t="shared" si="127"/>
        <v>25310</v>
      </c>
      <c r="J385" s="8">
        <f t="shared" si="118"/>
        <v>5.0299999999999327</v>
      </c>
      <c r="K385" s="13">
        <f t="shared" si="119"/>
        <v>63070</v>
      </c>
      <c r="P385" s="2">
        <f t="shared" si="120"/>
        <v>63070</v>
      </c>
      <c r="Q385" s="2">
        <f t="shared" si="121"/>
        <v>10700408</v>
      </c>
    </row>
    <row r="386" spans="1:17" x14ac:dyDescent="0.3">
      <c r="A386" s="3">
        <f t="shared" si="117"/>
        <v>384</v>
      </c>
      <c r="B386" s="8">
        <f t="shared" si="122"/>
        <v>818</v>
      </c>
      <c r="C386" s="11">
        <f t="shared" si="123"/>
        <v>36740</v>
      </c>
      <c r="D386" s="8">
        <f t="shared" si="124"/>
        <v>534</v>
      </c>
      <c r="E386" s="11">
        <f t="shared" si="125"/>
        <v>31060</v>
      </c>
      <c r="F386" s="5">
        <f t="shared" si="126"/>
        <v>984</v>
      </c>
      <c r="G386" s="5">
        <f t="shared" si="127"/>
        <v>25380</v>
      </c>
      <c r="J386" s="8">
        <f t="shared" si="118"/>
        <v>5.0399999999999325</v>
      </c>
      <c r="K386" s="13">
        <f t="shared" si="119"/>
        <v>63260</v>
      </c>
      <c r="P386" s="2">
        <f t="shared" si="120"/>
        <v>63260</v>
      </c>
      <c r="Q386" s="2">
        <f t="shared" si="121"/>
        <v>10763668</v>
      </c>
    </row>
    <row r="387" spans="1:17" x14ac:dyDescent="0.3">
      <c r="A387" s="3">
        <f t="shared" si="117"/>
        <v>385</v>
      </c>
      <c r="B387" s="8">
        <f t="shared" si="122"/>
        <v>820</v>
      </c>
      <c r="C387" s="11">
        <f t="shared" si="123"/>
        <v>36850</v>
      </c>
      <c r="D387" s="8">
        <f t="shared" si="124"/>
        <v>535</v>
      </c>
      <c r="E387" s="11">
        <f t="shared" si="125"/>
        <v>31150</v>
      </c>
      <c r="F387" s="5">
        <f t="shared" si="126"/>
        <v>985</v>
      </c>
      <c r="G387" s="5">
        <f t="shared" si="127"/>
        <v>25450</v>
      </c>
      <c r="J387" s="8">
        <f t="shared" si="118"/>
        <v>5.0499999999999323</v>
      </c>
      <c r="K387" s="13">
        <f t="shared" si="119"/>
        <v>63450</v>
      </c>
      <c r="P387" s="2">
        <f t="shared" si="120"/>
        <v>63450</v>
      </c>
      <c r="Q387" s="2">
        <f t="shared" si="121"/>
        <v>10827118</v>
      </c>
    </row>
    <row r="388" spans="1:17" x14ac:dyDescent="0.3">
      <c r="A388" s="3">
        <f t="shared" si="117"/>
        <v>386</v>
      </c>
      <c r="B388" s="8">
        <f t="shared" si="122"/>
        <v>822</v>
      </c>
      <c r="C388" s="11">
        <f t="shared" si="123"/>
        <v>36960</v>
      </c>
      <c r="D388" s="8">
        <f t="shared" si="124"/>
        <v>536</v>
      </c>
      <c r="E388" s="11">
        <f t="shared" si="125"/>
        <v>31240</v>
      </c>
      <c r="F388" s="5">
        <f t="shared" si="126"/>
        <v>986</v>
      </c>
      <c r="G388" s="5">
        <f t="shared" si="127"/>
        <v>25520</v>
      </c>
      <c r="J388" s="8">
        <f t="shared" si="118"/>
        <v>5.0599999999999321</v>
      </c>
      <c r="K388" s="13">
        <f t="shared" si="119"/>
        <v>63640</v>
      </c>
      <c r="P388" s="2">
        <f t="shared" si="120"/>
        <v>63640</v>
      </c>
      <c r="Q388" s="2">
        <f t="shared" si="121"/>
        <v>10890758</v>
      </c>
    </row>
    <row r="389" spans="1:17" x14ac:dyDescent="0.3">
      <c r="A389" s="3">
        <f t="shared" ref="A389:A452" si="128">A388+1</f>
        <v>387</v>
      </c>
      <c r="B389" s="8">
        <f t="shared" si="122"/>
        <v>824</v>
      </c>
      <c r="C389" s="11">
        <f t="shared" si="123"/>
        <v>37070</v>
      </c>
      <c r="D389" s="8">
        <f t="shared" si="124"/>
        <v>537</v>
      </c>
      <c r="E389" s="11">
        <f t="shared" si="125"/>
        <v>31330</v>
      </c>
      <c r="F389" s="5">
        <f t="shared" si="126"/>
        <v>987</v>
      </c>
      <c r="G389" s="5">
        <f t="shared" si="127"/>
        <v>25590</v>
      </c>
      <c r="J389" s="8">
        <f t="shared" si="118"/>
        <v>5.0699999999999319</v>
      </c>
      <c r="K389" s="13">
        <f t="shared" si="119"/>
        <v>63830</v>
      </c>
      <c r="P389" s="2">
        <f t="shared" si="120"/>
        <v>63830</v>
      </c>
      <c r="Q389" s="2">
        <f t="shared" si="121"/>
        <v>10954588</v>
      </c>
    </row>
    <row r="390" spans="1:17" x14ac:dyDescent="0.3">
      <c r="A390" s="3">
        <f t="shared" si="128"/>
        <v>388</v>
      </c>
      <c r="B390" s="8">
        <f t="shared" si="122"/>
        <v>826</v>
      </c>
      <c r="C390" s="11">
        <f t="shared" si="123"/>
        <v>37180</v>
      </c>
      <c r="D390" s="8">
        <f t="shared" si="124"/>
        <v>538</v>
      </c>
      <c r="E390" s="11">
        <f t="shared" si="125"/>
        <v>31420</v>
      </c>
      <c r="F390" s="5">
        <f t="shared" si="126"/>
        <v>988</v>
      </c>
      <c r="G390" s="5">
        <f t="shared" si="127"/>
        <v>25660</v>
      </c>
      <c r="J390" s="8">
        <f t="shared" si="118"/>
        <v>5.0799999999999317</v>
      </c>
      <c r="K390" s="13">
        <f t="shared" si="119"/>
        <v>64020</v>
      </c>
      <c r="P390" s="2">
        <f t="shared" si="120"/>
        <v>64020</v>
      </c>
      <c r="Q390" s="2">
        <f t="shared" si="121"/>
        <v>11018608</v>
      </c>
    </row>
    <row r="391" spans="1:17" x14ac:dyDescent="0.3">
      <c r="A391" s="3">
        <f t="shared" si="128"/>
        <v>389</v>
      </c>
      <c r="B391" s="8">
        <f t="shared" si="122"/>
        <v>828</v>
      </c>
      <c r="C391" s="11">
        <f t="shared" si="123"/>
        <v>37290</v>
      </c>
      <c r="D391" s="8">
        <f t="shared" si="124"/>
        <v>539</v>
      </c>
      <c r="E391" s="11">
        <f t="shared" si="125"/>
        <v>31510</v>
      </c>
      <c r="F391" s="5">
        <f t="shared" si="126"/>
        <v>989</v>
      </c>
      <c r="G391" s="5">
        <f t="shared" si="127"/>
        <v>25730</v>
      </c>
      <c r="J391" s="8">
        <f t="shared" si="118"/>
        <v>5.0899999999999315</v>
      </c>
      <c r="K391" s="13">
        <f t="shared" si="119"/>
        <v>64210</v>
      </c>
      <c r="P391" s="2">
        <f t="shared" si="120"/>
        <v>64210</v>
      </c>
      <c r="Q391" s="2">
        <f t="shared" si="121"/>
        <v>11082818</v>
      </c>
    </row>
    <row r="392" spans="1:17" x14ac:dyDescent="0.3">
      <c r="A392" s="3">
        <f t="shared" si="128"/>
        <v>390</v>
      </c>
      <c r="B392" s="8">
        <f t="shared" si="122"/>
        <v>830</v>
      </c>
      <c r="C392" s="11">
        <f t="shared" si="123"/>
        <v>37400</v>
      </c>
      <c r="D392" s="8">
        <f t="shared" si="124"/>
        <v>540</v>
      </c>
      <c r="E392" s="11">
        <f t="shared" si="125"/>
        <v>31600</v>
      </c>
      <c r="F392" s="5">
        <f t="shared" si="126"/>
        <v>990</v>
      </c>
      <c r="G392" s="5">
        <f t="shared" si="127"/>
        <v>25800</v>
      </c>
      <c r="J392" s="8">
        <f t="shared" si="118"/>
        <v>5.0999999999999313</v>
      </c>
      <c r="K392" s="13">
        <f t="shared" si="119"/>
        <v>64400</v>
      </c>
      <c r="P392" s="2">
        <f t="shared" si="120"/>
        <v>64400</v>
      </c>
      <c r="Q392" s="2">
        <f t="shared" si="121"/>
        <v>11147218</v>
      </c>
    </row>
    <row r="393" spans="1:17" x14ac:dyDescent="0.3">
      <c r="A393" s="3">
        <f t="shared" si="128"/>
        <v>391</v>
      </c>
      <c r="B393" s="8">
        <f t="shared" si="122"/>
        <v>832</v>
      </c>
      <c r="C393" s="11">
        <f t="shared" si="123"/>
        <v>37510</v>
      </c>
      <c r="D393" s="8">
        <f t="shared" si="124"/>
        <v>541</v>
      </c>
      <c r="E393" s="11">
        <f t="shared" si="125"/>
        <v>31690</v>
      </c>
      <c r="F393" s="5">
        <f t="shared" si="126"/>
        <v>991</v>
      </c>
      <c r="G393" s="5">
        <f t="shared" si="127"/>
        <v>25870</v>
      </c>
      <c r="J393" s="8">
        <f t="shared" si="118"/>
        <v>5.109999999999931</v>
      </c>
      <c r="K393" s="13">
        <f t="shared" si="119"/>
        <v>64590</v>
      </c>
      <c r="P393" s="2">
        <f t="shared" si="120"/>
        <v>64590</v>
      </c>
      <c r="Q393" s="2">
        <f t="shared" si="121"/>
        <v>11211808</v>
      </c>
    </row>
    <row r="394" spans="1:17" x14ac:dyDescent="0.3">
      <c r="A394" s="3">
        <f t="shared" si="128"/>
        <v>392</v>
      </c>
      <c r="B394" s="8">
        <f t="shared" si="122"/>
        <v>834</v>
      </c>
      <c r="C394" s="11">
        <f t="shared" si="123"/>
        <v>37620</v>
      </c>
      <c r="D394" s="8">
        <f t="shared" si="124"/>
        <v>542</v>
      </c>
      <c r="E394" s="11">
        <f t="shared" si="125"/>
        <v>31780</v>
      </c>
      <c r="F394" s="5">
        <f t="shared" si="126"/>
        <v>992</v>
      </c>
      <c r="G394" s="5">
        <f t="shared" si="127"/>
        <v>25940</v>
      </c>
      <c r="J394" s="8">
        <f t="shared" si="118"/>
        <v>5.1199999999999308</v>
      </c>
      <c r="K394" s="13">
        <f t="shared" si="119"/>
        <v>64780</v>
      </c>
      <c r="P394" s="2">
        <f t="shared" si="120"/>
        <v>64780</v>
      </c>
      <c r="Q394" s="2">
        <f t="shared" si="121"/>
        <v>11276588</v>
      </c>
    </row>
    <row r="395" spans="1:17" x14ac:dyDescent="0.3">
      <c r="A395" s="3">
        <f t="shared" si="128"/>
        <v>393</v>
      </c>
      <c r="B395" s="8">
        <f t="shared" si="122"/>
        <v>836</v>
      </c>
      <c r="C395" s="11">
        <f t="shared" si="123"/>
        <v>37730</v>
      </c>
      <c r="D395" s="8">
        <f t="shared" si="124"/>
        <v>543</v>
      </c>
      <c r="E395" s="11">
        <f t="shared" si="125"/>
        <v>31870</v>
      </c>
      <c r="F395" s="5">
        <f t="shared" si="126"/>
        <v>993</v>
      </c>
      <c r="G395" s="5">
        <f t="shared" si="127"/>
        <v>26010</v>
      </c>
      <c r="J395" s="8">
        <f t="shared" si="118"/>
        <v>5.1299999999999306</v>
      </c>
      <c r="K395" s="13">
        <f t="shared" si="119"/>
        <v>64970</v>
      </c>
      <c r="P395" s="2">
        <f t="shared" si="120"/>
        <v>64970</v>
      </c>
      <c r="Q395" s="2">
        <f t="shared" si="121"/>
        <v>11341558</v>
      </c>
    </row>
    <row r="396" spans="1:17" x14ac:dyDescent="0.3">
      <c r="A396" s="3">
        <f t="shared" si="128"/>
        <v>394</v>
      </c>
      <c r="B396" s="8">
        <f t="shared" si="122"/>
        <v>838</v>
      </c>
      <c r="C396" s="11">
        <f t="shared" si="123"/>
        <v>37840</v>
      </c>
      <c r="D396" s="8">
        <f t="shared" si="124"/>
        <v>544</v>
      </c>
      <c r="E396" s="11">
        <f t="shared" si="125"/>
        <v>31960</v>
      </c>
      <c r="F396" s="5">
        <f t="shared" si="126"/>
        <v>994</v>
      </c>
      <c r="G396" s="5">
        <f t="shared" si="127"/>
        <v>26080</v>
      </c>
      <c r="J396" s="8">
        <f t="shared" si="118"/>
        <v>5.1399999999999304</v>
      </c>
      <c r="K396" s="13">
        <f t="shared" si="119"/>
        <v>65160</v>
      </c>
      <c r="P396" s="2">
        <f t="shared" si="120"/>
        <v>65160</v>
      </c>
      <c r="Q396" s="2">
        <f t="shared" si="121"/>
        <v>11406718</v>
      </c>
    </row>
    <row r="397" spans="1:17" x14ac:dyDescent="0.3">
      <c r="A397" s="3">
        <f t="shared" si="128"/>
        <v>395</v>
      </c>
      <c r="B397" s="8">
        <f t="shared" si="122"/>
        <v>840</v>
      </c>
      <c r="C397" s="11">
        <f t="shared" si="123"/>
        <v>37950</v>
      </c>
      <c r="D397" s="8">
        <f t="shared" si="124"/>
        <v>545</v>
      </c>
      <c r="E397" s="11">
        <f t="shared" si="125"/>
        <v>32050</v>
      </c>
      <c r="F397" s="5">
        <f t="shared" si="126"/>
        <v>995</v>
      </c>
      <c r="G397" s="5">
        <f t="shared" si="127"/>
        <v>26150</v>
      </c>
      <c r="J397" s="8">
        <f t="shared" si="118"/>
        <v>5.1499999999999302</v>
      </c>
      <c r="K397" s="13">
        <f t="shared" si="119"/>
        <v>65350</v>
      </c>
      <c r="P397" s="2">
        <f t="shared" si="120"/>
        <v>65350</v>
      </c>
      <c r="Q397" s="2">
        <f t="shared" si="121"/>
        <v>11472068</v>
      </c>
    </row>
    <row r="398" spans="1:17" x14ac:dyDescent="0.3">
      <c r="A398" s="3">
        <f t="shared" si="128"/>
        <v>396</v>
      </c>
      <c r="B398" s="8">
        <f t="shared" si="122"/>
        <v>842</v>
      </c>
      <c r="C398" s="11">
        <f t="shared" si="123"/>
        <v>38060</v>
      </c>
      <c r="D398" s="8">
        <f t="shared" si="124"/>
        <v>546</v>
      </c>
      <c r="E398" s="11">
        <f t="shared" si="125"/>
        <v>32140</v>
      </c>
      <c r="F398" s="5">
        <f t="shared" si="126"/>
        <v>996</v>
      </c>
      <c r="G398" s="5">
        <f t="shared" si="127"/>
        <v>26220</v>
      </c>
      <c r="J398" s="8">
        <f t="shared" si="118"/>
        <v>5.15999999999993</v>
      </c>
      <c r="K398" s="13">
        <f t="shared" si="119"/>
        <v>65540</v>
      </c>
      <c r="P398" s="2">
        <f t="shared" si="120"/>
        <v>65540</v>
      </c>
      <c r="Q398" s="2">
        <f t="shared" si="121"/>
        <v>11537608</v>
      </c>
    </row>
    <row r="399" spans="1:17" x14ac:dyDescent="0.3">
      <c r="A399" s="3">
        <f t="shared" si="128"/>
        <v>397</v>
      </c>
      <c r="B399" s="8">
        <f t="shared" si="122"/>
        <v>844</v>
      </c>
      <c r="C399" s="11">
        <f t="shared" si="123"/>
        <v>38170</v>
      </c>
      <c r="D399" s="8">
        <f t="shared" si="124"/>
        <v>547</v>
      </c>
      <c r="E399" s="11">
        <f t="shared" si="125"/>
        <v>32230</v>
      </c>
      <c r="F399" s="5">
        <f t="shared" si="126"/>
        <v>997</v>
      </c>
      <c r="G399" s="5">
        <f t="shared" si="127"/>
        <v>26290</v>
      </c>
      <c r="J399" s="8">
        <f t="shared" si="118"/>
        <v>5.1699999999999298</v>
      </c>
      <c r="K399" s="13">
        <f t="shared" si="119"/>
        <v>65730</v>
      </c>
      <c r="P399" s="2">
        <f t="shared" si="120"/>
        <v>65730</v>
      </c>
      <c r="Q399" s="2">
        <f t="shared" si="121"/>
        <v>11603338</v>
      </c>
    </row>
    <row r="400" spans="1:17" x14ac:dyDescent="0.3">
      <c r="A400" s="3">
        <f t="shared" si="128"/>
        <v>398</v>
      </c>
      <c r="B400" s="8">
        <f t="shared" si="122"/>
        <v>846</v>
      </c>
      <c r="C400" s="11">
        <f t="shared" si="123"/>
        <v>38280</v>
      </c>
      <c r="D400" s="8">
        <f t="shared" si="124"/>
        <v>548</v>
      </c>
      <c r="E400" s="11">
        <f t="shared" si="125"/>
        <v>32320</v>
      </c>
      <c r="F400" s="5">
        <f t="shared" si="126"/>
        <v>998</v>
      </c>
      <c r="G400" s="5">
        <f t="shared" si="127"/>
        <v>26360</v>
      </c>
      <c r="J400" s="8">
        <f t="shared" si="118"/>
        <v>5.1799999999999295</v>
      </c>
      <c r="K400" s="13">
        <f t="shared" si="119"/>
        <v>65920</v>
      </c>
      <c r="P400" s="2">
        <f t="shared" si="120"/>
        <v>65920</v>
      </c>
      <c r="Q400" s="2">
        <f t="shared" si="121"/>
        <v>11669258</v>
      </c>
    </row>
    <row r="401" spans="1:17" x14ac:dyDescent="0.3">
      <c r="A401" s="3">
        <f t="shared" si="128"/>
        <v>399</v>
      </c>
      <c r="B401" s="8">
        <f t="shared" si="122"/>
        <v>848</v>
      </c>
      <c r="C401" s="11">
        <f t="shared" si="123"/>
        <v>38390</v>
      </c>
      <c r="D401" s="8">
        <f t="shared" si="124"/>
        <v>549</v>
      </c>
      <c r="E401" s="11">
        <f t="shared" si="125"/>
        <v>32410</v>
      </c>
      <c r="F401" s="5">
        <f t="shared" si="126"/>
        <v>999</v>
      </c>
      <c r="G401" s="5">
        <f t="shared" si="127"/>
        <v>26430</v>
      </c>
      <c r="J401" s="8">
        <f t="shared" si="118"/>
        <v>5.1899999999999293</v>
      </c>
      <c r="K401" s="13">
        <f t="shared" si="119"/>
        <v>66110</v>
      </c>
      <c r="P401" s="2">
        <f t="shared" si="120"/>
        <v>66110</v>
      </c>
      <c r="Q401" s="2">
        <f t="shared" si="121"/>
        <v>11735368</v>
      </c>
    </row>
    <row r="402" spans="1:17" x14ac:dyDescent="0.3">
      <c r="A402" s="3">
        <f t="shared" si="128"/>
        <v>400</v>
      </c>
      <c r="B402" s="8">
        <f t="shared" si="122"/>
        <v>850</v>
      </c>
      <c r="C402" s="11">
        <f t="shared" si="123"/>
        <v>38500</v>
      </c>
      <c r="D402" s="8">
        <f t="shared" si="124"/>
        <v>550</v>
      </c>
      <c r="E402" s="11">
        <f t="shared" si="125"/>
        <v>32500</v>
      </c>
      <c r="F402" s="5">
        <f t="shared" si="126"/>
        <v>1000</v>
      </c>
      <c r="G402" s="5">
        <f t="shared" si="127"/>
        <v>26500</v>
      </c>
      <c r="J402" s="8">
        <f t="shared" si="118"/>
        <v>5.1999999999999291</v>
      </c>
      <c r="K402" s="13">
        <f t="shared" si="119"/>
        <v>66300</v>
      </c>
      <c r="P402" s="2">
        <f t="shared" si="120"/>
        <v>66300</v>
      </c>
      <c r="Q402" s="2">
        <f t="shared" si="121"/>
        <v>11801668</v>
      </c>
    </row>
    <row r="403" spans="1:17" x14ac:dyDescent="0.3">
      <c r="A403" s="3">
        <f t="shared" si="128"/>
        <v>401</v>
      </c>
      <c r="B403" s="8">
        <f t="shared" si="122"/>
        <v>852</v>
      </c>
      <c r="C403" s="11">
        <f t="shared" si="123"/>
        <v>38610</v>
      </c>
      <c r="D403" s="8">
        <f t="shared" si="124"/>
        <v>551</v>
      </c>
      <c r="E403" s="11">
        <f t="shared" si="125"/>
        <v>32590</v>
      </c>
      <c r="F403" s="5">
        <f t="shared" si="126"/>
        <v>1001</v>
      </c>
      <c r="G403" s="5">
        <f t="shared" si="127"/>
        <v>26570</v>
      </c>
      <c r="J403" s="8">
        <f t="shared" si="118"/>
        <v>5.2099999999999289</v>
      </c>
      <c r="K403" s="13">
        <f t="shared" si="119"/>
        <v>66490</v>
      </c>
      <c r="P403" s="2">
        <f t="shared" si="120"/>
        <v>66490</v>
      </c>
      <c r="Q403" s="2">
        <f t="shared" si="121"/>
        <v>11868158</v>
      </c>
    </row>
    <row r="404" spans="1:17" x14ac:dyDescent="0.3">
      <c r="A404" s="3">
        <f t="shared" si="128"/>
        <v>402</v>
      </c>
      <c r="B404" s="8">
        <f t="shared" si="122"/>
        <v>854</v>
      </c>
      <c r="C404" s="11">
        <f t="shared" si="123"/>
        <v>38720</v>
      </c>
      <c r="D404" s="8">
        <f t="shared" si="124"/>
        <v>552</v>
      </c>
      <c r="E404" s="11">
        <f t="shared" si="125"/>
        <v>32680</v>
      </c>
      <c r="F404" s="5">
        <f t="shared" si="126"/>
        <v>1002</v>
      </c>
      <c r="G404" s="5">
        <f t="shared" si="127"/>
        <v>26640</v>
      </c>
      <c r="J404" s="8">
        <f t="shared" ref="J404:J467" si="129">J403+0.01</f>
        <v>5.2199999999999287</v>
      </c>
      <c r="K404" s="13">
        <f t="shared" ref="K404:K467" si="130">K403+190</f>
        <v>66680</v>
      </c>
      <c r="P404" s="2">
        <f t="shared" si="120"/>
        <v>66680</v>
      </c>
      <c r="Q404" s="2">
        <f t="shared" si="121"/>
        <v>11934838</v>
      </c>
    </row>
    <row r="405" spans="1:17" x14ac:dyDescent="0.3">
      <c r="A405" s="3">
        <f t="shared" si="128"/>
        <v>403</v>
      </c>
      <c r="B405" s="8">
        <f t="shared" si="122"/>
        <v>856</v>
      </c>
      <c r="C405" s="11">
        <f t="shared" si="123"/>
        <v>38830</v>
      </c>
      <c r="D405" s="8">
        <f t="shared" si="124"/>
        <v>553</v>
      </c>
      <c r="E405" s="11">
        <f t="shared" si="125"/>
        <v>32770</v>
      </c>
      <c r="F405" s="5">
        <f t="shared" si="126"/>
        <v>1003</v>
      </c>
      <c r="G405" s="5">
        <f t="shared" si="127"/>
        <v>26710</v>
      </c>
      <c r="J405" s="8">
        <f t="shared" si="129"/>
        <v>5.2299999999999285</v>
      </c>
      <c r="K405" s="13">
        <f t="shared" si="130"/>
        <v>66870</v>
      </c>
      <c r="P405" s="2">
        <f t="shared" si="120"/>
        <v>66870</v>
      </c>
      <c r="Q405" s="2">
        <f t="shared" si="121"/>
        <v>12001708</v>
      </c>
    </row>
    <row r="406" spans="1:17" x14ac:dyDescent="0.3">
      <c r="A406" s="3">
        <f t="shared" si="128"/>
        <v>404</v>
      </c>
      <c r="B406" s="8">
        <f t="shared" si="122"/>
        <v>858</v>
      </c>
      <c r="C406" s="11">
        <f t="shared" si="123"/>
        <v>38940</v>
      </c>
      <c r="D406" s="8">
        <f t="shared" si="124"/>
        <v>554</v>
      </c>
      <c r="E406" s="11">
        <f t="shared" si="125"/>
        <v>32860</v>
      </c>
      <c r="F406" s="5">
        <f t="shared" si="126"/>
        <v>1004</v>
      </c>
      <c r="G406" s="5">
        <f t="shared" si="127"/>
        <v>26780</v>
      </c>
      <c r="J406" s="8">
        <f t="shared" si="129"/>
        <v>5.2399999999999283</v>
      </c>
      <c r="K406" s="13">
        <f t="shared" si="130"/>
        <v>67060</v>
      </c>
      <c r="P406" s="2">
        <f t="shared" si="120"/>
        <v>67060</v>
      </c>
      <c r="Q406" s="2">
        <f t="shared" si="121"/>
        <v>12068768</v>
      </c>
    </row>
    <row r="407" spans="1:17" x14ac:dyDescent="0.3">
      <c r="A407" s="3">
        <f t="shared" si="128"/>
        <v>405</v>
      </c>
      <c r="B407" s="8">
        <f t="shared" si="122"/>
        <v>860</v>
      </c>
      <c r="C407" s="11">
        <f t="shared" si="123"/>
        <v>39050</v>
      </c>
      <c r="D407" s="8">
        <f t="shared" si="124"/>
        <v>555</v>
      </c>
      <c r="E407" s="11">
        <f t="shared" si="125"/>
        <v>32950</v>
      </c>
      <c r="F407" s="5">
        <f t="shared" si="126"/>
        <v>1005</v>
      </c>
      <c r="G407" s="5">
        <f t="shared" si="127"/>
        <v>26850</v>
      </c>
      <c r="J407" s="8">
        <f t="shared" si="129"/>
        <v>5.2499999999999281</v>
      </c>
      <c r="K407" s="13">
        <f t="shared" si="130"/>
        <v>67250</v>
      </c>
      <c r="P407" s="2">
        <f t="shared" si="120"/>
        <v>67250</v>
      </c>
      <c r="Q407" s="2">
        <f t="shared" si="121"/>
        <v>12136018</v>
      </c>
    </row>
    <row r="408" spans="1:17" x14ac:dyDescent="0.3">
      <c r="A408" s="3">
        <f t="shared" si="128"/>
        <v>406</v>
      </c>
      <c r="B408" s="8">
        <f t="shared" si="122"/>
        <v>862</v>
      </c>
      <c r="C408" s="11">
        <f t="shared" si="123"/>
        <v>39160</v>
      </c>
      <c r="D408" s="8">
        <f t="shared" si="124"/>
        <v>556</v>
      </c>
      <c r="E408" s="11">
        <f t="shared" si="125"/>
        <v>33040</v>
      </c>
      <c r="F408" s="5">
        <f t="shared" si="126"/>
        <v>1006</v>
      </c>
      <c r="G408" s="5">
        <f t="shared" si="127"/>
        <v>26920</v>
      </c>
      <c r="J408" s="8">
        <f t="shared" si="129"/>
        <v>5.2599999999999278</v>
      </c>
      <c r="K408" s="13">
        <f t="shared" si="130"/>
        <v>67440</v>
      </c>
      <c r="P408" s="2">
        <f t="shared" si="120"/>
        <v>67440</v>
      </c>
      <c r="Q408" s="2">
        <f t="shared" si="121"/>
        <v>12203458</v>
      </c>
    </row>
    <row r="409" spans="1:17" x14ac:dyDescent="0.3">
      <c r="A409" s="3">
        <f t="shared" si="128"/>
        <v>407</v>
      </c>
      <c r="B409" s="8">
        <f t="shared" si="122"/>
        <v>864</v>
      </c>
      <c r="C409" s="11">
        <f t="shared" si="123"/>
        <v>39270</v>
      </c>
      <c r="D409" s="8">
        <f t="shared" si="124"/>
        <v>557</v>
      </c>
      <c r="E409" s="11">
        <f t="shared" si="125"/>
        <v>33130</v>
      </c>
      <c r="F409" s="5">
        <f t="shared" si="126"/>
        <v>1007</v>
      </c>
      <c r="G409" s="5">
        <f t="shared" si="127"/>
        <v>26990</v>
      </c>
      <c r="J409" s="8">
        <f t="shared" si="129"/>
        <v>5.2699999999999276</v>
      </c>
      <c r="K409" s="13">
        <f t="shared" si="130"/>
        <v>67630</v>
      </c>
      <c r="P409" s="2">
        <f t="shared" si="120"/>
        <v>67630</v>
      </c>
      <c r="Q409" s="2">
        <f t="shared" si="121"/>
        <v>12271088</v>
      </c>
    </row>
    <row r="410" spans="1:17" x14ac:dyDescent="0.3">
      <c r="A410" s="3">
        <f t="shared" si="128"/>
        <v>408</v>
      </c>
      <c r="B410" s="8">
        <f t="shared" si="122"/>
        <v>866</v>
      </c>
      <c r="C410" s="11">
        <f t="shared" si="123"/>
        <v>39380</v>
      </c>
      <c r="D410" s="8">
        <f t="shared" si="124"/>
        <v>558</v>
      </c>
      <c r="E410" s="11">
        <f t="shared" si="125"/>
        <v>33220</v>
      </c>
      <c r="F410" s="5">
        <f t="shared" si="126"/>
        <v>1008</v>
      </c>
      <c r="G410" s="5">
        <f t="shared" si="127"/>
        <v>27060</v>
      </c>
      <c r="J410" s="8">
        <f t="shared" si="129"/>
        <v>5.2799999999999274</v>
      </c>
      <c r="K410" s="13">
        <f t="shared" si="130"/>
        <v>67820</v>
      </c>
      <c r="P410" s="2">
        <f t="shared" si="120"/>
        <v>67820</v>
      </c>
      <c r="Q410" s="2">
        <f t="shared" si="121"/>
        <v>12338908</v>
      </c>
    </row>
    <row r="411" spans="1:17" x14ac:dyDescent="0.3">
      <c r="A411" s="3">
        <f t="shared" si="128"/>
        <v>409</v>
      </c>
      <c r="B411" s="8">
        <f t="shared" si="122"/>
        <v>868</v>
      </c>
      <c r="C411" s="11">
        <f t="shared" si="123"/>
        <v>39490</v>
      </c>
      <c r="D411" s="8">
        <f t="shared" si="124"/>
        <v>559</v>
      </c>
      <c r="E411" s="11">
        <f t="shared" si="125"/>
        <v>33310</v>
      </c>
      <c r="F411" s="5">
        <f t="shared" si="126"/>
        <v>1009</v>
      </c>
      <c r="G411" s="5">
        <f t="shared" si="127"/>
        <v>27130</v>
      </c>
      <c r="J411" s="8">
        <f t="shared" si="129"/>
        <v>5.2899999999999272</v>
      </c>
      <c r="K411" s="13">
        <f t="shared" si="130"/>
        <v>68010</v>
      </c>
      <c r="P411" s="2">
        <f t="shared" si="120"/>
        <v>68010</v>
      </c>
      <c r="Q411" s="2">
        <f t="shared" si="121"/>
        <v>12406918</v>
      </c>
    </row>
    <row r="412" spans="1:17" x14ac:dyDescent="0.3">
      <c r="A412" s="3">
        <f t="shared" si="128"/>
        <v>410</v>
      </c>
      <c r="B412" s="8">
        <f t="shared" si="122"/>
        <v>870</v>
      </c>
      <c r="C412" s="11">
        <f t="shared" si="123"/>
        <v>39600</v>
      </c>
      <c r="D412" s="8">
        <f t="shared" si="124"/>
        <v>560</v>
      </c>
      <c r="E412" s="11">
        <f t="shared" si="125"/>
        <v>33400</v>
      </c>
      <c r="F412" s="5">
        <f t="shared" si="126"/>
        <v>1010</v>
      </c>
      <c r="G412" s="5">
        <f t="shared" si="127"/>
        <v>27200</v>
      </c>
      <c r="J412" s="8">
        <f t="shared" si="129"/>
        <v>5.299999999999927</v>
      </c>
      <c r="K412" s="13">
        <f t="shared" si="130"/>
        <v>68200</v>
      </c>
      <c r="P412" s="2">
        <f t="shared" si="120"/>
        <v>68200</v>
      </c>
      <c r="Q412" s="2">
        <f t="shared" si="121"/>
        <v>12475118</v>
      </c>
    </row>
    <row r="413" spans="1:17" x14ac:dyDescent="0.3">
      <c r="A413" s="3">
        <f t="shared" si="128"/>
        <v>411</v>
      </c>
      <c r="B413" s="8">
        <f t="shared" si="122"/>
        <v>872</v>
      </c>
      <c r="C413" s="11">
        <f t="shared" si="123"/>
        <v>39710</v>
      </c>
      <c r="D413" s="8">
        <f t="shared" si="124"/>
        <v>561</v>
      </c>
      <c r="E413" s="11">
        <f t="shared" si="125"/>
        <v>33490</v>
      </c>
      <c r="F413" s="5">
        <f t="shared" si="126"/>
        <v>1011</v>
      </c>
      <c r="G413" s="5">
        <f t="shared" si="127"/>
        <v>27270</v>
      </c>
      <c r="J413" s="8">
        <f t="shared" si="129"/>
        <v>5.3099999999999268</v>
      </c>
      <c r="K413" s="13">
        <f t="shared" si="130"/>
        <v>68390</v>
      </c>
      <c r="P413" s="2">
        <f t="shared" si="120"/>
        <v>68390</v>
      </c>
      <c r="Q413" s="2">
        <f t="shared" si="121"/>
        <v>12543508</v>
      </c>
    </row>
    <row r="414" spans="1:17" x14ac:dyDescent="0.3">
      <c r="A414" s="3">
        <f t="shared" si="128"/>
        <v>412</v>
      </c>
      <c r="B414" s="8">
        <f t="shared" si="122"/>
        <v>874</v>
      </c>
      <c r="C414" s="11">
        <f t="shared" si="123"/>
        <v>39820</v>
      </c>
      <c r="D414" s="8">
        <f t="shared" si="124"/>
        <v>562</v>
      </c>
      <c r="E414" s="11">
        <f t="shared" si="125"/>
        <v>33580</v>
      </c>
      <c r="F414" s="5">
        <f t="shared" si="126"/>
        <v>1012</v>
      </c>
      <c r="G414" s="5">
        <f t="shared" si="127"/>
        <v>27340</v>
      </c>
      <c r="J414" s="8">
        <f t="shared" si="129"/>
        <v>5.3199999999999266</v>
      </c>
      <c r="K414" s="13">
        <f t="shared" si="130"/>
        <v>68580</v>
      </c>
      <c r="P414" s="2">
        <f t="shared" si="120"/>
        <v>68580</v>
      </c>
      <c r="Q414" s="2">
        <f t="shared" si="121"/>
        <v>12612088</v>
      </c>
    </row>
    <row r="415" spans="1:17" x14ac:dyDescent="0.3">
      <c r="A415" s="3">
        <f t="shared" si="128"/>
        <v>413</v>
      </c>
      <c r="B415" s="8">
        <f t="shared" si="122"/>
        <v>876</v>
      </c>
      <c r="C415" s="11">
        <f t="shared" si="123"/>
        <v>39930</v>
      </c>
      <c r="D415" s="8">
        <f t="shared" si="124"/>
        <v>563</v>
      </c>
      <c r="E415" s="11">
        <f t="shared" si="125"/>
        <v>33670</v>
      </c>
      <c r="F415" s="5">
        <f t="shared" si="126"/>
        <v>1013</v>
      </c>
      <c r="G415" s="5">
        <f t="shared" si="127"/>
        <v>27410</v>
      </c>
      <c r="J415" s="8">
        <f t="shared" si="129"/>
        <v>5.3299999999999264</v>
      </c>
      <c r="K415" s="13">
        <f t="shared" si="130"/>
        <v>68770</v>
      </c>
      <c r="P415" s="2">
        <f t="shared" si="120"/>
        <v>68770</v>
      </c>
      <c r="Q415" s="2">
        <f t="shared" si="121"/>
        <v>12680858</v>
      </c>
    </row>
    <row r="416" spans="1:17" x14ac:dyDescent="0.3">
      <c r="A416" s="3">
        <f t="shared" si="128"/>
        <v>414</v>
      </c>
      <c r="B416" s="8">
        <f t="shared" si="122"/>
        <v>878</v>
      </c>
      <c r="C416" s="11">
        <f t="shared" si="123"/>
        <v>40040</v>
      </c>
      <c r="D416" s="8">
        <f t="shared" si="124"/>
        <v>564</v>
      </c>
      <c r="E416" s="11">
        <f t="shared" si="125"/>
        <v>33760</v>
      </c>
      <c r="F416" s="5">
        <f t="shared" si="126"/>
        <v>1014</v>
      </c>
      <c r="G416" s="5">
        <f t="shared" si="127"/>
        <v>27480</v>
      </c>
      <c r="J416" s="8">
        <f t="shared" si="129"/>
        <v>5.3399999999999261</v>
      </c>
      <c r="K416" s="13">
        <f t="shared" si="130"/>
        <v>68960</v>
      </c>
      <c r="P416" s="2">
        <f t="shared" si="120"/>
        <v>68960</v>
      </c>
      <c r="Q416" s="2">
        <f t="shared" si="121"/>
        <v>12749818</v>
      </c>
    </row>
    <row r="417" spans="1:17" x14ac:dyDescent="0.3">
      <c r="A417" s="3">
        <f t="shared" si="128"/>
        <v>415</v>
      </c>
      <c r="B417" s="8">
        <f t="shared" si="122"/>
        <v>880</v>
      </c>
      <c r="C417" s="11">
        <f t="shared" si="123"/>
        <v>40150</v>
      </c>
      <c r="D417" s="8">
        <f t="shared" si="124"/>
        <v>565</v>
      </c>
      <c r="E417" s="11">
        <f t="shared" si="125"/>
        <v>33850</v>
      </c>
      <c r="F417" s="5">
        <f t="shared" si="126"/>
        <v>1015</v>
      </c>
      <c r="G417" s="5">
        <f t="shared" si="127"/>
        <v>27550</v>
      </c>
      <c r="J417" s="8">
        <f t="shared" si="129"/>
        <v>5.3499999999999259</v>
      </c>
      <c r="K417" s="13">
        <f t="shared" si="130"/>
        <v>69150</v>
      </c>
      <c r="P417" s="2">
        <f t="shared" si="120"/>
        <v>69150</v>
      </c>
      <c r="Q417" s="2">
        <f t="shared" si="121"/>
        <v>12818968</v>
      </c>
    </row>
    <row r="418" spans="1:17" x14ac:dyDescent="0.3">
      <c r="A418" s="3">
        <f t="shared" si="128"/>
        <v>416</v>
      </c>
      <c r="B418" s="8">
        <f t="shared" si="122"/>
        <v>882</v>
      </c>
      <c r="C418" s="11">
        <f t="shared" si="123"/>
        <v>40260</v>
      </c>
      <c r="D418" s="8">
        <f t="shared" si="124"/>
        <v>566</v>
      </c>
      <c r="E418" s="11">
        <f t="shared" si="125"/>
        <v>33940</v>
      </c>
      <c r="F418" s="5">
        <f t="shared" si="126"/>
        <v>1016</v>
      </c>
      <c r="G418" s="5">
        <f t="shared" si="127"/>
        <v>27620</v>
      </c>
      <c r="J418" s="8">
        <f t="shared" si="129"/>
        <v>5.3599999999999257</v>
      </c>
      <c r="K418" s="13">
        <f t="shared" si="130"/>
        <v>69340</v>
      </c>
      <c r="P418" s="2">
        <f t="shared" si="120"/>
        <v>69340</v>
      </c>
      <c r="Q418" s="2">
        <f t="shared" si="121"/>
        <v>12888308</v>
      </c>
    </row>
    <row r="419" spans="1:17" x14ac:dyDescent="0.3">
      <c r="A419" s="3">
        <f t="shared" si="128"/>
        <v>417</v>
      </c>
      <c r="B419" s="8">
        <f t="shared" si="122"/>
        <v>884</v>
      </c>
      <c r="C419" s="11">
        <f t="shared" si="123"/>
        <v>40370</v>
      </c>
      <c r="D419" s="8">
        <f t="shared" si="124"/>
        <v>567</v>
      </c>
      <c r="E419" s="11">
        <f t="shared" si="125"/>
        <v>34030</v>
      </c>
      <c r="F419" s="5">
        <f t="shared" si="126"/>
        <v>1017</v>
      </c>
      <c r="G419" s="5">
        <f t="shared" si="127"/>
        <v>27690</v>
      </c>
      <c r="J419" s="8">
        <f t="shared" si="129"/>
        <v>5.3699999999999255</v>
      </c>
      <c r="K419" s="13">
        <f t="shared" si="130"/>
        <v>69530</v>
      </c>
      <c r="P419" s="2">
        <f t="shared" si="120"/>
        <v>69530</v>
      </c>
      <c r="Q419" s="2">
        <f t="shared" si="121"/>
        <v>12957838</v>
      </c>
    </row>
    <row r="420" spans="1:17" x14ac:dyDescent="0.3">
      <c r="A420" s="3">
        <f t="shared" si="128"/>
        <v>418</v>
      </c>
      <c r="B420" s="8">
        <f t="shared" si="122"/>
        <v>886</v>
      </c>
      <c r="C420" s="11">
        <f t="shared" si="123"/>
        <v>40480</v>
      </c>
      <c r="D420" s="8">
        <f t="shared" si="124"/>
        <v>568</v>
      </c>
      <c r="E420" s="11">
        <f t="shared" si="125"/>
        <v>34120</v>
      </c>
      <c r="F420" s="5">
        <f t="shared" si="126"/>
        <v>1018</v>
      </c>
      <c r="G420" s="5">
        <f t="shared" si="127"/>
        <v>27760</v>
      </c>
      <c r="J420" s="8">
        <f t="shared" si="129"/>
        <v>5.3799999999999253</v>
      </c>
      <c r="K420" s="13">
        <f t="shared" si="130"/>
        <v>69720</v>
      </c>
      <c r="P420" s="2">
        <f t="shared" si="120"/>
        <v>69720</v>
      </c>
      <c r="Q420" s="2">
        <f t="shared" si="121"/>
        <v>13027558</v>
      </c>
    </row>
    <row r="421" spans="1:17" x14ac:dyDescent="0.3">
      <c r="A421" s="3">
        <f t="shared" si="128"/>
        <v>419</v>
      </c>
      <c r="B421" s="8">
        <f t="shared" si="122"/>
        <v>888</v>
      </c>
      <c r="C421" s="11">
        <f t="shared" si="123"/>
        <v>40590</v>
      </c>
      <c r="D421" s="8">
        <f t="shared" si="124"/>
        <v>569</v>
      </c>
      <c r="E421" s="11">
        <f t="shared" si="125"/>
        <v>34210</v>
      </c>
      <c r="F421" s="5">
        <f t="shared" si="126"/>
        <v>1019</v>
      </c>
      <c r="G421" s="5">
        <f t="shared" si="127"/>
        <v>27830</v>
      </c>
      <c r="J421" s="8">
        <f t="shared" si="129"/>
        <v>5.3899999999999251</v>
      </c>
      <c r="K421" s="13">
        <f t="shared" si="130"/>
        <v>69910</v>
      </c>
      <c r="P421" s="2">
        <f t="shared" si="120"/>
        <v>69910</v>
      </c>
      <c r="Q421" s="2">
        <f t="shared" si="121"/>
        <v>13097468</v>
      </c>
    </row>
    <row r="422" spans="1:17" x14ac:dyDescent="0.3">
      <c r="A422" s="3">
        <f t="shared" si="128"/>
        <v>420</v>
      </c>
      <c r="B422" s="8">
        <f t="shared" si="122"/>
        <v>890</v>
      </c>
      <c r="C422" s="11">
        <f t="shared" si="123"/>
        <v>40700</v>
      </c>
      <c r="D422" s="8">
        <f t="shared" si="124"/>
        <v>570</v>
      </c>
      <c r="E422" s="11">
        <f t="shared" si="125"/>
        <v>34300</v>
      </c>
      <c r="F422" s="5">
        <f t="shared" si="126"/>
        <v>1020</v>
      </c>
      <c r="G422" s="5">
        <f t="shared" si="127"/>
        <v>27900</v>
      </c>
      <c r="J422" s="8">
        <f t="shared" si="129"/>
        <v>5.3999999999999249</v>
      </c>
      <c r="K422" s="13">
        <f t="shared" si="130"/>
        <v>70100</v>
      </c>
      <c r="P422" s="2">
        <f t="shared" ref="P422:P485" si="131">K422</f>
        <v>70100</v>
      </c>
      <c r="Q422" s="2">
        <f t="shared" ref="Q422:Q485" si="132">Q421+K422</f>
        <v>13167568</v>
      </c>
    </row>
    <row r="423" spans="1:17" x14ac:dyDescent="0.3">
      <c r="A423" s="3">
        <f t="shared" si="128"/>
        <v>421</v>
      </c>
      <c r="B423" s="8">
        <f t="shared" si="122"/>
        <v>892</v>
      </c>
      <c r="C423" s="11">
        <f t="shared" si="123"/>
        <v>40810</v>
      </c>
      <c r="D423" s="8">
        <f t="shared" si="124"/>
        <v>571</v>
      </c>
      <c r="E423" s="11">
        <f t="shared" si="125"/>
        <v>34390</v>
      </c>
      <c r="F423" s="5">
        <f t="shared" si="126"/>
        <v>1021</v>
      </c>
      <c r="G423" s="5">
        <f t="shared" si="127"/>
        <v>27970</v>
      </c>
      <c r="J423" s="8">
        <f t="shared" si="129"/>
        <v>5.4099999999999246</v>
      </c>
      <c r="K423" s="13">
        <f t="shared" si="130"/>
        <v>70290</v>
      </c>
      <c r="P423" s="2">
        <f t="shared" si="131"/>
        <v>70290</v>
      </c>
      <c r="Q423" s="2">
        <f t="shared" si="132"/>
        <v>13237858</v>
      </c>
    </row>
    <row r="424" spans="1:17" x14ac:dyDescent="0.3">
      <c r="A424" s="3">
        <f t="shared" si="128"/>
        <v>422</v>
      </c>
      <c r="B424" s="8">
        <f t="shared" ref="B424:B487" si="133">B423+2</f>
        <v>894</v>
      </c>
      <c r="C424" s="11">
        <f t="shared" ref="C424:C487" si="134">C423+110</f>
        <v>40920</v>
      </c>
      <c r="D424" s="8">
        <f t="shared" ref="D424:D487" si="135">D423+1</f>
        <v>572</v>
      </c>
      <c r="E424" s="11">
        <f t="shared" ref="E424:E487" si="136">E423+90</f>
        <v>34480</v>
      </c>
      <c r="F424" s="5">
        <f t="shared" ref="F424:F487" si="137">F423+1</f>
        <v>1022</v>
      </c>
      <c r="G424" s="5">
        <f t="shared" ref="G424:G487" si="138">G423+70</f>
        <v>28040</v>
      </c>
      <c r="J424" s="8">
        <f t="shared" si="129"/>
        <v>5.4199999999999244</v>
      </c>
      <c r="K424" s="13">
        <f t="shared" si="130"/>
        <v>70480</v>
      </c>
      <c r="P424" s="2">
        <f t="shared" si="131"/>
        <v>70480</v>
      </c>
      <c r="Q424" s="2">
        <f t="shared" si="132"/>
        <v>13308338</v>
      </c>
    </row>
    <row r="425" spans="1:17" x14ac:dyDescent="0.3">
      <c r="A425" s="3">
        <f t="shared" si="128"/>
        <v>423</v>
      </c>
      <c r="B425" s="8">
        <f t="shared" si="133"/>
        <v>896</v>
      </c>
      <c r="C425" s="11">
        <f t="shared" si="134"/>
        <v>41030</v>
      </c>
      <c r="D425" s="8">
        <f t="shared" si="135"/>
        <v>573</v>
      </c>
      <c r="E425" s="11">
        <f t="shared" si="136"/>
        <v>34570</v>
      </c>
      <c r="F425" s="5">
        <f t="shared" si="137"/>
        <v>1023</v>
      </c>
      <c r="G425" s="5">
        <f t="shared" si="138"/>
        <v>28110</v>
      </c>
      <c r="J425" s="8">
        <f t="shared" si="129"/>
        <v>5.4299999999999242</v>
      </c>
      <c r="K425" s="13">
        <f t="shared" si="130"/>
        <v>70670</v>
      </c>
      <c r="P425" s="2">
        <f t="shared" si="131"/>
        <v>70670</v>
      </c>
      <c r="Q425" s="2">
        <f t="shared" si="132"/>
        <v>13379008</v>
      </c>
    </row>
    <row r="426" spans="1:17" x14ac:dyDescent="0.3">
      <c r="A426" s="3">
        <f t="shared" si="128"/>
        <v>424</v>
      </c>
      <c r="B426" s="8">
        <f t="shared" si="133"/>
        <v>898</v>
      </c>
      <c r="C426" s="11">
        <f t="shared" si="134"/>
        <v>41140</v>
      </c>
      <c r="D426" s="8">
        <f t="shared" si="135"/>
        <v>574</v>
      </c>
      <c r="E426" s="11">
        <f t="shared" si="136"/>
        <v>34660</v>
      </c>
      <c r="F426" s="5">
        <f t="shared" si="137"/>
        <v>1024</v>
      </c>
      <c r="G426" s="5">
        <f t="shared" si="138"/>
        <v>28180</v>
      </c>
      <c r="J426" s="8">
        <f t="shared" si="129"/>
        <v>5.439999999999924</v>
      </c>
      <c r="K426" s="13">
        <f t="shared" si="130"/>
        <v>70860</v>
      </c>
      <c r="P426" s="2">
        <f t="shared" si="131"/>
        <v>70860</v>
      </c>
      <c r="Q426" s="2">
        <f t="shared" si="132"/>
        <v>13449868</v>
      </c>
    </row>
    <row r="427" spans="1:17" x14ac:dyDescent="0.3">
      <c r="A427" s="3">
        <f t="shared" si="128"/>
        <v>425</v>
      </c>
      <c r="B427" s="8">
        <f t="shared" si="133"/>
        <v>900</v>
      </c>
      <c r="C427" s="11">
        <f t="shared" si="134"/>
        <v>41250</v>
      </c>
      <c r="D427" s="8">
        <f t="shared" si="135"/>
        <v>575</v>
      </c>
      <c r="E427" s="11">
        <f t="shared" si="136"/>
        <v>34750</v>
      </c>
      <c r="F427" s="5">
        <f t="shared" si="137"/>
        <v>1025</v>
      </c>
      <c r="G427" s="5">
        <f t="shared" si="138"/>
        <v>28250</v>
      </c>
      <c r="J427" s="8">
        <f t="shared" si="129"/>
        <v>5.4499999999999238</v>
      </c>
      <c r="K427" s="13">
        <f t="shared" si="130"/>
        <v>71050</v>
      </c>
      <c r="P427" s="2">
        <f t="shared" si="131"/>
        <v>71050</v>
      </c>
      <c r="Q427" s="2">
        <f t="shared" si="132"/>
        <v>13520918</v>
      </c>
    </row>
    <row r="428" spans="1:17" x14ac:dyDescent="0.3">
      <c r="A428" s="3">
        <f t="shared" si="128"/>
        <v>426</v>
      </c>
      <c r="B428" s="8">
        <f t="shared" si="133"/>
        <v>902</v>
      </c>
      <c r="C428" s="11">
        <f t="shared" si="134"/>
        <v>41360</v>
      </c>
      <c r="D428" s="8">
        <f t="shared" si="135"/>
        <v>576</v>
      </c>
      <c r="E428" s="11">
        <f t="shared" si="136"/>
        <v>34840</v>
      </c>
      <c r="F428" s="5">
        <f t="shared" si="137"/>
        <v>1026</v>
      </c>
      <c r="G428" s="5">
        <f t="shared" si="138"/>
        <v>28320</v>
      </c>
      <c r="J428" s="8">
        <f t="shared" si="129"/>
        <v>5.4599999999999236</v>
      </c>
      <c r="K428" s="13">
        <f t="shared" si="130"/>
        <v>71240</v>
      </c>
      <c r="P428" s="2">
        <f t="shared" si="131"/>
        <v>71240</v>
      </c>
      <c r="Q428" s="2">
        <f t="shared" si="132"/>
        <v>13592158</v>
      </c>
    </row>
    <row r="429" spans="1:17" x14ac:dyDescent="0.3">
      <c r="A429" s="3">
        <f t="shared" si="128"/>
        <v>427</v>
      </c>
      <c r="B429" s="8">
        <f t="shared" si="133"/>
        <v>904</v>
      </c>
      <c r="C429" s="11">
        <f t="shared" si="134"/>
        <v>41470</v>
      </c>
      <c r="D429" s="8">
        <f t="shared" si="135"/>
        <v>577</v>
      </c>
      <c r="E429" s="11">
        <f t="shared" si="136"/>
        <v>34930</v>
      </c>
      <c r="F429" s="5">
        <f t="shared" si="137"/>
        <v>1027</v>
      </c>
      <c r="G429" s="5">
        <f t="shared" si="138"/>
        <v>28390</v>
      </c>
      <c r="J429" s="8">
        <f t="shared" si="129"/>
        <v>5.4699999999999234</v>
      </c>
      <c r="K429" s="13">
        <f t="shared" si="130"/>
        <v>71430</v>
      </c>
      <c r="P429" s="2">
        <f t="shared" si="131"/>
        <v>71430</v>
      </c>
      <c r="Q429" s="2">
        <f t="shared" si="132"/>
        <v>13663588</v>
      </c>
    </row>
    <row r="430" spans="1:17" x14ac:dyDescent="0.3">
      <c r="A430" s="3">
        <f t="shared" si="128"/>
        <v>428</v>
      </c>
      <c r="B430" s="8">
        <f t="shared" si="133"/>
        <v>906</v>
      </c>
      <c r="C430" s="11">
        <f t="shared" si="134"/>
        <v>41580</v>
      </c>
      <c r="D430" s="8">
        <f t="shared" si="135"/>
        <v>578</v>
      </c>
      <c r="E430" s="11">
        <f t="shared" si="136"/>
        <v>35020</v>
      </c>
      <c r="F430" s="5">
        <f t="shared" si="137"/>
        <v>1028</v>
      </c>
      <c r="G430" s="5">
        <f t="shared" si="138"/>
        <v>28460</v>
      </c>
      <c r="J430" s="8">
        <f t="shared" si="129"/>
        <v>5.4799999999999232</v>
      </c>
      <c r="K430" s="13">
        <f t="shared" si="130"/>
        <v>71620</v>
      </c>
      <c r="P430" s="2">
        <f t="shared" si="131"/>
        <v>71620</v>
      </c>
      <c r="Q430" s="2">
        <f t="shared" si="132"/>
        <v>13735208</v>
      </c>
    </row>
    <row r="431" spans="1:17" x14ac:dyDescent="0.3">
      <c r="A431" s="3">
        <f t="shared" si="128"/>
        <v>429</v>
      </c>
      <c r="B431" s="8">
        <f t="shared" si="133"/>
        <v>908</v>
      </c>
      <c r="C431" s="11">
        <f t="shared" si="134"/>
        <v>41690</v>
      </c>
      <c r="D431" s="8">
        <f t="shared" si="135"/>
        <v>579</v>
      </c>
      <c r="E431" s="11">
        <f t="shared" si="136"/>
        <v>35110</v>
      </c>
      <c r="F431" s="5">
        <f t="shared" si="137"/>
        <v>1029</v>
      </c>
      <c r="G431" s="5">
        <f t="shared" si="138"/>
        <v>28530</v>
      </c>
      <c r="J431" s="8">
        <f t="shared" si="129"/>
        <v>5.4899999999999229</v>
      </c>
      <c r="K431" s="13">
        <f t="shared" si="130"/>
        <v>71810</v>
      </c>
      <c r="P431" s="2">
        <f t="shared" si="131"/>
        <v>71810</v>
      </c>
      <c r="Q431" s="2">
        <f t="shared" si="132"/>
        <v>13807018</v>
      </c>
    </row>
    <row r="432" spans="1:17" x14ac:dyDescent="0.3">
      <c r="A432" s="3">
        <f t="shared" si="128"/>
        <v>430</v>
      </c>
      <c r="B432" s="8">
        <f t="shared" si="133"/>
        <v>910</v>
      </c>
      <c r="C432" s="11">
        <f t="shared" si="134"/>
        <v>41800</v>
      </c>
      <c r="D432" s="8">
        <f t="shared" si="135"/>
        <v>580</v>
      </c>
      <c r="E432" s="11">
        <f t="shared" si="136"/>
        <v>35200</v>
      </c>
      <c r="F432" s="5">
        <f t="shared" si="137"/>
        <v>1030</v>
      </c>
      <c r="G432" s="5">
        <f t="shared" si="138"/>
        <v>28600</v>
      </c>
      <c r="J432" s="8">
        <f t="shared" si="129"/>
        <v>5.4999999999999227</v>
      </c>
      <c r="K432" s="13">
        <f t="shared" si="130"/>
        <v>72000</v>
      </c>
      <c r="P432" s="2">
        <f t="shared" si="131"/>
        <v>72000</v>
      </c>
      <c r="Q432" s="2">
        <f t="shared" si="132"/>
        <v>13879018</v>
      </c>
    </row>
    <row r="433" spans="1:17" x14ac:dyDescent="0.3">
      <c r="A433" s="3">
        <f t="shared" si="128"/>
        <v>431</v>
      </c>
      <c r="B433" s="8">
        <f t="shared" si="133"/>
        <v>912</v>
      </c>
      <c r="C433" s="11">
        <f t="shared" si="134"/>
        <v>41910</v>
      </c>
      <c r="D433" s="8">
        <f t="shared" si="135"/>
        <v>581</v>
      </c>
      <c r="E433" s="11">
        <f t="shared" si="136"/>
        <v>35290</v>
      </c>
      <c r="F433" s="5">
        <f t="shared" si="137"/>
        <v>1031</v>
      </c>
      <c r="G433" s="5">
        <f t="shared" si="138"/>
        <v>28670</v>
      </c>
      <c r="J433" s="8">
        <f t="shared" si="129"/>
        <v>5.5099999999999225</v>
      </c>
      <c r="K433" s="13">
        <f t="shared" si="130"/>
        <v>72190</v>
      </c>
      <c r="P433" s="2">
        <f t="shared" si="131"/>
        <v>72190</v>
      </c>
      <c r="Q433" s="2">
        <f t="shared" si="132"/>
        <v>13951208</v>
      </c>
    </row>
    <row r="434" spans="1:17" x14ac:dyDescent="0.3">
      <c r="A434" s="3">
        <f t="shared" si="128"/>
        <v>432</v>
      </c>
      <c r="B434" s="8">
        <f t="shared" si="133"/>
        <v>914</v>
      </c>
      <c r="C434" s="11">
        <f t="shared" si="134"/>
        <v>42020</v>
      </c>
      <c r="D434" s="8">
        <f t="shared" si="135"/>
        <v>582</v>
      </c>
      <c r="E434" s="11">
        <f t="shared" si="136"/>
        <v>35380</v>
      </c>
      <c r="F434" s="5">
        <f t="shared" si="137"/>
        <v>1032</v>
      </c>
      <c r="G434" s="5">
        <f t="shared" si="138"/>
        <v>28740</v>
      </c>
      <c r="J434" s="8">
        <f t="shared" si="129"/>
        <v>5.5199999999999223</v>
      </c>
      <c r="K434" s="13">
        <f t="shared" si="130"/>
        <v>72380</v>
      </c>
      <c r="P434" s="2">
        <f t="shared" si="131"/>
        <v>72380</v>
      </c>
      <c r="Q434" s="2">
        <f t="shared" si="132"/>
        <v>14023588</v>
      </c>
    </row>
    <row r="435" spans="1:17" x14ac:dyDescent="0.3">
      <c r="A435" s="3">
        <f t="shared" si="128"/>
        <v>433</v>
      </c>
      <c r="B435" s="8">
        <f t="shared" si="133"/>
        <v>916</v>
      </c>
      <c r="C435" s="11">
        <f t="shared" si="134"/>
        <v>42130</v>
      </c>
      <c r="D435" s="8">
        <f t="shared" si="135"/>
        <v>583</v>
      </c>
      <c r="E435" s="11">
        <f t="shared" si="136"/>
        <v>35470</v>
      </c>
      <c r="F435" s="5">
        <f t="shared" si="137"/>
        <v>1033</v>
      </c>
      <c r="G435" s="5">
        <f t="shared" si="138"/>
        <v>28810</v>
      </c>
      <c r="J435" s="8">
        <f t="shared" si="129"/>
        <v>5.5299999999999221</v>
      </c>
      <c r="K435" s="13">
        <f t="shared" si="130"/>
        <v>72570</v>
      </c>
      <c r="P435" s="2">
        <f t="shared" si="131"/>
        <v>72570</v>
      </c>
      <c r="Q435" s="2">
        <f t="shared" si="132"/>
        <v>14096158</v>
      </c>
    </row>
    <row r="436" spans="1:17" x14ac:dyDescent="0.3">
      <c r="A436" s="3">
        <f t="shared" si="128"/>
        <v>434</v>
      </c>
      <c r="B436" s="8">
        <f t="shared" si="133"/>
        <v>918</v>
      </c>
      <c r="C436" s="11">
        <f t="shared" si="134"/>
        <v>42240</v>
      </c>
      <c r="D436" s="8">
        <f t="shared" si="135"/>
        <v>584</v>
      </c>
      <c r="E436" s="11">
        <f t="shared" si="136"/>
        <v>35560</v>
      </c>
      <c r="F436" s="5">
        <f t="shared" si="137"/>
        <v>1034</v>
      </c>
      <c r="G436" s="5">
        <f t="shared" si="138"/>
        <v>28880</v>
      </c>
      <c r="J436" s="8">
        <f t="shared" si="129"/>
        <v>5.5399999999999219</v>
      </c>
      <c r="K436" s="13">
        <f t="shared" si="130"/>
        <v>72760</v>
      </c>
      <c r="P436" s="2">
        <f t="shared" si="131"/>
        <v>72760</v>
      </c>
      <c r="Q436" s="2">
        <f t="shared" si="132"/>
        <v>14168918</v>
      </c>
    </row>
    <row r="437" spans="1:17" x14ac:dyDescent="0.3">
      <c r="A437" s="3">
        <f t="shared" si="128"/>
        <v>435</v>
      </c>
      <c r="B437" s="8">
        <f t="shared" si="133"/>
        <v>920</v>
      </c>
      <c r="C437" s="11">
        <f t="shared" si="134"/>
        <v>42350</v>
      </c>
      <c r="D437" s="8">
        <f t="shared" si="135"/>
        <v>585</v>
      </c>
      <c r="E437" s="11">
        <f t="shared" si="136"/>
        <v>35650</v>
      </c>
      <c r="F437" s="5">
        <f t="shared" si="137"/>
        <v>1035</v>
      </c>
      <c r="G437" s="5">
        <f t="shared" si="138"/>
        <v>28950</v>
      </c>
      <c r="J437" s="8">
        <f t="shared" si="129"/>
        <v>5.5499999999999217</v>
      </c>
      <c r="K437" s="13">
        <f t="shared" si="130"/>
        <v>72950</v>
      </c>
      <c r="P437" s="2">
        <f t="shared" si="131"/>
        <v>72950</v>
      </c>
      <c r="Q437" s="2">
        <f t="shared" si="132"/>
        <v>14241868</v>
      </c>
    </row>
    <row r="438" spans="1:17" x14ac:dyDescent="0.3">
      <c r="A438" s="3">
        <f t="shared" si="128"/>
        <v>436</v>
      </c>
      <c r="B438" s="8">
        <f t="shared" si="133"/>
        <v>922</v>
      </c>
      <c r="C438" s="11">
        <f t="shared" si="134"/>
        <v>42460</v>
      </c>
      <c r="D438" s="8">
        <f t="shared" si="135"/>
        <v>586</v>
      </c>
      <c r="E438" s="11">
        <f t="shared" si="136"/>
        <v>35740</v>
      </c>
      <c r="F438" s="5">
        <f t="shared" si="137"/>
        <v>1036</v>
      </c>
      <c r="G438" s="5">
        <f t="shared" si="138"/>
        <v>29020</v>
      </c>
      <c r="J438" s="8">
        <f t="shared" si="129"/>
        <v>5.5599999999999214</v>
      </c>
      <c r="K438" s="13">
        <f t="shared" si="130"/>
        <v>73140</v>
      </c>
      <c r="P438" s="2">
        <f t="shared" si="131"/>
        <v>73140</v>
      </c>
      <c r="Q438" s="2">
        <f t="shared" si="132"/>
        <v>14315008</v>
      </c>
    </row>
    <row r="439" spans="1:17" x14ac:dyDescent="0.3">
      <c r="A439" s="3">
        <f t="shared" si="128"/>
        <v>437</v>
      </c>
      <c r="B439" s="8">
        <f t="shared" si="133"/>
        <v>924</v>
      </c>
      <c r="C439" s="11">
        <f t="shared" si="134"/>
        <v>42570</v>
      </c>
      <c r="D439" s="8">
        <f t="shared" si="135"/>
        <v>587</v>
      </c>
      <c r="E439" s="11">
        <f t="shared" si="136"/>
        <v>35830</v>
      </c>
      <c r="F439" s="5">
        <f t="shared" si="137"/>
        <v>1037</v>
      </c>
      <c r="G439" s="5">
        <f t="shared" si="138"/>
        <v>29090</v>
      </c>
      <c r="J439" s="8">
        <f t="shared" si="129"/>
        <v>5.5699999999999212</v>
      </c>
      <c r="K439" s="13">
        <f t="shared" si="130"/>
        <v>73330</v>
      </c>
      <c r="P439" s="2">
        <f t="shared" si="131"/>
        <v>73330</v>
      </c>
      <c r="Q439" s="2">
        <f t="shared" si="132"/>
        <v>14388338</v>
      </c>
    </row>
    <row r="440" spans="1:17" x14ac:dyDescent="0.3">
      <c r="A440" s="3">
        <f t="shared" si="128"/>
        <v>438</v>
      </c>
      <c r="B440" s="8">
        <f t="shared" si="133"/>
        <v>926</v>
      </c>
      <c r="C440" s="11">
        <f t="shared" si="134"/>
        <v>42680</v>
      </c>
      <c r="D440" s="8">
        <f t="shared" si="135"/>
        <v>588</v>
      </c>
      <c r="E440" s="11">
        <f t="shared" si="136"/>
        <v>35920</v>
      </c>
      <c r="F440" s="5">
        <f t="shared" si="137"/>
        <v>1038</v>
      </c>
      <c r="G440" s="5">
        <f t="shared" si="138"/>
        <v>29160</v>
      </c>
      <c r="J440" s="8">
        <f t="shared" si="129"/>
        <v>5.579999999999921</v>
      </c>
      <c r="K440" s="13">
        <f t="shared" si="130"/>
        <v>73520</v>
      </c>
      <c r="P440" s="2">
        <f t="shared" si="131"/>
        <v>73520</v>
      </c>
      <c r="Q440" s="2">
        <f t="shared" si="132"/>
        <v>14461858</v>
      </c>
    </row>
    <row r="441" spans="1:17" x14ac:dyDescent="0.3">
      <c r="A441" s="3">
        <f t="shared" si="128"/>
        <v>439</v>
      </c>
      <c r="B441" s="8">
        <f t="shared" si="133"/>
        <v>928</v>
      </c>
      <c r="C441" s="11">
        <f t="shared" si="134"/>
        <v>42790</v>
      </c>
      <c r="D441" s="8">
        <f t="shared" si="135"/>
        <v>589</v>
      </c>
      <c r="E441" s="11">
        <f t="shared" si="136"/>
        <v>36010</v>
      </c>
      <c r="F441" s="5">
        <f t="shared" si="137"/>
        <v>1039</v>
      </c>
      <c r="G441" s="5">
        <f t="shared" si="138"/>
        <v>29230</v>
      </c>
      <c r="J441" s="8">
        <f t="shared" si="129"/>
        <v>5.5899999999999208</v>
      </c>
      <c r="K441" s="13">
        <f t="shared" si="130"/>
        <v>73710</v>
      </c>
      <c r="P441" s="2">
        <f t="shared" si="131"/>
        <v>73710</v>
      </c>
      <c r="Q441" s="2">
        <f t="shared" si="132"/>
        <v>14535568</v>
      </c>
    </row>
    <row r="442" spans="1:17" x14ac:dyDescent="0.3">
      <c r="A442" s="3">
        <f t="shared" si="128"/>
        <v>440</v>
      </c>
      <c r="B442" s="8">
        <f t="shared" si="133"/>
        <v>930</v>
      </c>
      <c r="C442" s="11">
        <f t="shared" si="134"/>
        <v>42900</v>
      </c>
      <c r="D442" s="8">
        <f t="shared" si="135"/>
        <v>590</v>
      </c>
      <c r="E442" s="11">
        <f t="shared" si="136"/>
        <v>36100</v>
      </c>
      <c r="F442" s="5">
        <f t="shared" si="137"/>
        <v>1040</v>
      </c>
      <c r="G442" s="5">
        <f t="shared" si="138"/>
        <v>29300</v>
      </c>
      <c r="J442" s="8">
        <f t="shared" si="129"/>
        <v>5.5999999999999206</v>
      </c>
      <c r="K442" s="13">
        <f t="shared" si="130"/>
        <v>73900</v>
      </c>
      <c r="P442" s="2">
        <f t="shared" si="131"/>
        <v>73900</v>
      </c>
      <c r="Q442" s="2">
        <f t="shared" si="132"/>
        <v>14609468</v>
      </c>
    </row>
    <row r="443" spans="1:17" x14ac:dyDescent="0.3">
      <c r="A443" s="3">
        <f t="shared" si="128"/>
        <v>441</v>
      </c>
      <c r="B443" s="8">
        <f t="shared" si="133"/>
        <v>932</v>
      </c>
      <c r="C443" s="11">
        <f t="shared" si="134"/>
        <v>43010</v>
      </c>
      <c r="D443" s="8">
        <f t="shared" si="135"/>
        <v>591</v>
      </c>
      <c r="E443" s="11">
        <f t="shared" si="136"/>
        <v>36190</v>
      </c>
      <c r="F443" s="5">
        <f t="shared" si="137"/>
        <v>1041</v>
      </c>
      <c r="G443" s="5">
        <f t="shared" si="138"/>
        <v>29370</v>
      </c>
      <c r="J443" s="8">
        <f t="shared" si="129"/>
        <v>5.6099999999999204</v>
      </c>
      <c r="K443" s="13">
        <f t="shared" si="130"/>
        <v>74090</v>
      </c>
      <c r="P443" s="2">
        <f t="shared" si="131"/>
        <v>74090</v>
      </c>
      <c r="Q443" s="2">
        <f t="shared" si="132"/>
        <v>14683558</v>
      </c>
    </row>
    <row r="444" spans="1:17" x14ac:dyDescent="0.3">
      <c r="A444" s="3">
        <f t="shared" si="128"/>
        <v>442</v>
      </c>
      <c r="B444" s="8">
        <f t="shared" si="133"/>
        <v>934</v>
      </c>
      <c r="C444" s="11">
        <f t="shared" si="134"/>
        <v>43120</v>
      </c>
      <c r="D444" s="8">
        <f t="shared" si="135"/>
        <v>592</v>
      </c>
      <c r="E444" s="11">
        <f t="shared" si="136"/>
        <v>36280</v>
      </c>
      <c r="F444" s="5">
        <f t="shared" si="137"/>
        <v>1042</v>
      </c>
      <c r="G444" s="5">
        <f t="shared" si="138"/>
        <v>29440</v>
      </c>
      <c r="J444" s="8">
        <f t="shared" si="129"/>
        <v>5.6199999999999202</v>
      </c>
      <c r="K444" s="13">
        <f t="shared" si="130"/>
        <v>74280</v>
      </c>
      <c r="P444" s="2">
        <f t="shared" si="131"/>
        <v>74280</v>
      </c>
      <c r="Q444" s="2">
        <f t="shared" si="132"/>
        <v>14757838</v>
      </c>
    </row>
    <row r="445" spans="1:17" x14ac:dyDescent="0.3">
      <c r="A445" s="3">
        <f t="shared" si="128"/>
        <v>443</v>
      </c>
      <c r="B445" s="8">
        <f t="shared" si="133"/>
        <v>936</v>
      </c>
      <c r="C445" s="11">
        <f t="shared" si="134"/>
        <v>43230</v>
      </c>
      <c r="D445" s="8">
        <f t="shared" si="135"/>
        <v>593</v>
      </c>
      <c r="E445" s="11">
        <f t="shared" si="136"/>
        <v>36370</v>
      </c>
      <c r="F445" s="5">
        <f t="shared" si="137"/>
        <v>1043</v>
      </c>
      <c r="G445" s="5">
        <f t="shared" si="138"/>
        <v>29510</v>
      </c>
      <c r="J445" s="8">
        <f t="shared" si="129"/>
        <v>5.62999999999992</v>
      </c>
      <c r="K445" s="13">
        <f t="shared" si="130"/>
        <v>74470</v>
      </c>
      <c r="P445" s="2">
        <f t="shared" si="131"/>
        <v>74470</v>
      </c>
      <c r="Q445" s="2">
        <f t="shared" si="132"/>
        <v>14832308</v>
      </c>
    </row>
    <row r="446" spans="1:17" x14ac:dyDescent="0.3">
      <c r="A446" s="3">
        <f t="shared" si="128"/>
        <v>444</v>
      </c>
      <c r="B446" s="8">
        <f t="shared" si="133"/>
        <v>938</v>
      </c>
      <c r="C446" s="11">
        <f t="shared" si="134"/>
        <v>43340</v>
      </c>
      <c r="D446" s="8">
        <f t="shared" si="135"/>
        <v>594</v>
      </c>
      <c r="E446" s="11">
        <f t="shared" si="136"/>
        <v>36460</v>
      </c>
      <c r="F446" s="5">
        <f t="shared" si="137"/>
        <v>1044</v>
      </c>
      <c r="G446" s="5">
        <f t="shared" si="138"/>
        <v>29580</v>
      </c>
      <c r="J446" s="8">
        <f t="shared" si="129"/>
        <v>5.6399999999999197</v>
      </c>
      <c r="K446" s="13">
        <f t="shared" si="130"/>
        <v>74660</v>
      </c>
      <c r="P446" s="2">
        <f t="shared" si="131"/>
        <v>74660</v>
      </c>
      <c r="Q446" s="2">
        <f t="shared" si="132"/>
        <v>14906968</v>
      </c>
    </row>
    <row r="447" spans="1:17" x14ac:dyDescent="0.3">
      <c r="A447" s="3">
        <f t="shared" si="128"/>
        <v>445</v>
      </c>
      <c r="B447" s="8">
        <f t="shared" si="133"/>
        <v>940</v>
      </c>
      <c r="C447" s="11">
        <f t="shared" si="134"/>
        <v>43450</v>
      </c>
      <c r="D447" s="8">
        <f t="shared" si="135"/>
        <v>595</v>
      </c>
      <c r="E447" s="11">
        <f t="shared" si="136"/>
        <v>36550</v>
      </c>
      <c r="F447" s="5">
        <f t="shared" si="137"/>
        <v>1045</v>
      </c>
      <c r="G447" s="5">
        <f t="shared" si="138"/>
        <v>29650</v>
      </c>
      <c r="J447" s="8">
        <f t="shared" si="129"/>
        <v>5.6499999999999195</v>
      </c>
      <c r="K447" s="13">
        <f t="shared" si="130"/>
        <v>74850</v>
      </c>
      <c r="P447" s="2">
        <f t="shared" si="131"/>
        <v>74850</v>
      </c>
      <c r="Q447" s="2">
        <f t="shared" si="132"/>
        <v>14981818</v>
      </c>
    </row>
    <row r="448" spans="1:17" x14ac:dyDescent="0.3">
      <c r="A448" s="3">
        <f t="shared" si="128"/>
        <v>446</v>
      </c>
      <c r="B448" s="8">
        <f t="shared" si="133"/>
        <v>942</v>
      </c>
      <c r="C448" s="11">
        <f t="shared" si="134"/>
        <v>43560</v>
      </c>
      <c r="D448" s="8">
        <f t="shared" si="135"/>
        <v>596</v>
      </c>
      <c r="E448" s="11">
        <f t="shared" si="136"/>
        <v>36640</v>
      </c>
      <c r="F448" s="5">
        <f t="shared" si="137"/>
        <v>1046</v>
      </c>
      <c r="G448" s="5">
        <f t="shared" si="138"/>
        <v>29720</v>
      </c>
      <c r="J448" s="8">
        <f t="shared" si="129"/>
        <v>5.6599999999999193</v>
      </c>
      <c r="K448" s="13">
        <f t="shared" si="130"/>
        <v>75040</v>
      </c>
      <c r="P448" s="2">
        <f t="shared" si="131"/>
        <v>75040</v>
      </c>
      <c r="Q448" s="2">
        <f t="shared" si="132"/>
        <v>15056858</v>
      </c>
    </row>
    <row r="449" spans="1:17" x14ac:dyDescent="0.3">
      <c r="A449" s="3">
        <f t="shared" si="128"/>
        <v>447</v>
      </c>
      <c r="B449" s="8">
        <f t="shared" si="133"/>
        <v>944</v>
      </c>
      <c r="C449" s="11">
        <f t="shared" si="134"/>
        <v>43670</v>
      </c>
      <c r="D449" s="8">
        <f t="shared" si="135"/>
        <v>597</v>
      </c>
      <c r="E449" s="11">
        <f t="shared" si="136"/>
        <v>36730</v>
      </c>
      <c r="F449" s="5">
        <f t="shared" si="137"/>
        <v>1047</v>
      </c>
      <c r="G449" s="5">
        <f t="shared" si="138"/>
        <v>29790</v>
      </c>
      <c r="J449" s="8">
        <f t="shared" si="129"/>
        <v>5.6699999999999191</v>
      </c>
      <c r="K449" s="13">
        <f t="shared" si="130"/>
        <v>75230</v>
      </c>
      <c r="P449" s="2">
        <f t="shared" si="131"/>
        <v>75230</v>
      </c>
      <c r="Q449" s="2">
        <f t="shared" si="132"/>
        <v>15132088</v>
      </c>
    </row>
    <row r="450" spans="1:17" x14ac:dyDescent="0.3">
      <c r="A450" s="3">
        <f t="shared" si="128"/>
        <v>448</v>
      </c>
      <c r="B450" s="8">
        <f t="shared" si="133"/>
        <v>946</v>
      </c>
      <c r="C450" s="11">
        <f t="shared" si="134"/>
        <v>43780</v>
      </c>
      <c r="D450" s="8">
        <f t="shared" si="135"/>
        <v>598</v>
      </c>
      <c r="E450" s="11">
        <f t="shared" si="136"/>
        <v>36820</v>
      </c>
      <c r="F450" s="5">
        <f t="shared" si="137"/>
        <v>1048</v>
      </c>
      <c r="G450" s="5">
        <f t="shared" si="138"/>
        <v>29860</v>
      </c>
      <c r="J450" s="8">
        <f t="shared" si="129"/>
        <v>5.6799999999999189</v>
      </c>
      <c r="K450" s="13">
        <f t="shared" si="130"/>
        <v>75420</v>
      </c>
      <c r="P450" s="2">
        <f t="shared" si="131"/>
        <v>75420</v>
      </c>
      <c r="Q450" s="2">
        <f t="shared" si="132"/>
        <v>15207508</v>
      </c>
    </row>
    <row r="451" spans="1:17" x14ac:dyDescent="0.3">
      <c r="A451" s="3">
        <f t="shared" si="128"/>
        <v>449</v>
      </c>
      <c r="B451" s="8">
        <f t="shared" si="133"/>
        <v>948</v>
      </c>
      <c r="C451" s="11">
        <f t="shared" si="134"/>
        <v>43890</v>
      </c>
      <c r="D451" s="8">
        <f t="shared" si="135"/>
        <v>599</v>
      </c>
      <c r="E451" s="11">
        <f t="shared" si="136"/>
        <v>36910</v>
      </c>
      <c r="F451" s="5">
        <f t="shared" si="137"/>
        <v>1049</v>
      </c>
      <c r="G451" s="5">
        <f t="shared" si="138"/>
        <v>29930</v>
      </c>
      <c r="J451" s="8">
        <f t="shared" si="129"/>
        <v>5.6899999999999187</v>
      </c>
      <c r="K451" s="13">
        <f t="shared" si="130"/>
        <v>75610</v>
      </c>
      <c r="P451" s="2">
        <f t="shared" si="131"/>
        <v>75610</v>
      </c>
      <c r="Q451" s="2">
        <f t="shared" si="132"/>
        <v>15283118</v>
      </c>
    </row>
    <row r="452" spans="1:17" x14ac:dyDescent="0.3">
      <c r="A452" s="3">
        <f t="shared" si="128"/>
        <v>450</v>
      </c>
      <c r="B452" s="8">
        <f t="shared" si="133"/>
        <v>950</v>
      </c>
      <c r="C452" s="11">
        <f t="shared" si="134"/>
        <v>44000</v>
      </c>
      <c r="D452" s="8">
        <f t="shared" si="135"/>
        <v>600</v>
      </c>
      <c r="E452" s="11">
        <f t="shared" si="136"/>
        <v>37000</v>
      </c>
      <c r="F452" s="5">
        <f t="shared" si="137"/>
        <v>1050</v>
      </c>
      <c r="G452" s="5">
        <f t="shared" si="138"/>
        <v>30000</v>
      </c>
      <c r="J452" s="8">
        <f t="shared" si="129"/>
        <v>5.6999999999999185</v>
      </c>
      <c r="K452" s="13">
        <f t="shared" si="130"/>
        <v>75800</v>
      </c>
      <c r="P452" s="2">
        <f t="shared" si="131"/>
        <v>75800</v>
      </c>
      <c r="Q452" s="2">
        <f t="shared" si="132"/>
        <v>15358918</v>
      </c>
    </row>
    <row r="453" spans="1:17" x14ac:dyDescent="0.3">
      <c r="A453" s="3">
        <f t="shared" ref="A453:A502" si="139">A452+1</f>
        <v>451</v>
      </c>
      <c r="B453" s="8">
        <f t="shared" si="133"/>
        <v>952</v>
      </c>
      <c r="C453" s="11">
        <f t="shared" si="134"/>
        <v>44110</v>
      </c>
      <c r="D453" s="8">
        <f t="shared" si="135"/>
        <v>601</v>
      </c>
      <c r="E453" s="11">
        <f t="shared" si="136"/>
        <v>37090</v>
      </c>
      <c r="F453" s="5">
        <f t="shared" si="137"/>
        <v>1051</v>
      </c>
      <c r="G453" s="5">
        <f t="shared" si="138"/>
        <v>30070</v>
      </c>
      <c r="J453" s="8">
        <f t="shared" si="129"/>
        <v>5.7099999999999183</v>
      </c>
      <c r="K453" s="13">
        <f t="shared" si="130"/>
        <v>75990</v>
      </c>
      <c r="P453" s="2">
        <f t="shared" si="131"/>
        <v>75990</v>
      </c>
      <c r="Q453" s="2">
        <f t="shared" si="132"/>
        <v>15434908</v>
      </c>
    </row>
    <row r="454" spans="1:17" x14ac:dyDescent="0.3">
      <c r="A454" s="3">
        <f t="shared" si="139"/>
        <v>452</v>
      </c>
      <c r="B454" s="8">
        <f t="shared" si="133"/>
        <v>954</v>
      </c>
      <c r="C454" s="11">
        <f t="shared" si="134"/>
        <v>44220</v>
      </c>
      <c r="D454" s="8">
        <f t="shared" si="135"/>
        <v>602</v>
      </c>
      <c r="E454" s="11">
        <f t="shared" si="136"/>
        <v>37180</v>
      </c>
      <c r="F454" s="5">
        <f t="shared" si="137"/>
        <v>1052</v>
      </c>
      <c r="G454" s="5">
        <f t="shared" si="138"/>
        <v>30140</v>
      </c>
      <c r="J454" s="8">
        <f t="shared" si="129"/>
        <v>5.719999999999918</v>
      </c>
      <c r="K454" s="13">
        <f t="shared" si="130"/>
        <v>76180</v>
      </c>
      <c r="P454" s="2">
        <f t="shared" si="131"/>
        <v>76180</v>
      </c>
      <c r="Q454" s="2">
        <f t="shared" si="132"/>
        <v>15511088</v>
      </c>
    </row>
    <row r="455" spans="1:17" x14ac:dyDescent="0.3">
      <c r="A455" s="3">
        <f t="shared" si="139"/>
        <v>453</v>
      </c>
      <c r="B455" s="8">
        <f t="shared" si="133"/>
        <v>956</v>
      </c>
      <c r="C455" s="11">
        <f t="shared" si="134"/>
        <v>44330</v>
      </c>
      <c r="D455" s="8">
        <f t="shared" si="135"/>
        <v>603</v>
      </c>
      <c r="E455" s="11">
        <f t="shared" si="136"/>
        <v>37270</v>
      </c>
      <c r="F455" s="5">
        <f t="shared" si="137"/>
        <v>1053</v>
      </c>
      <c r="G455" s="5">
        <f t="shared" si="138"/>
        <v>30210</v>
      </c>
      <c r="J455" s="8">
        <f t="shared" si="129"/>
        <v>5.7299999999999178</v>
      </c>
      <c r="K455" s="13">
        <f t="shared" si="130"/>
        <v>76370</v>
      </c>
      <c r="P455" s="2">
        <f t="shared" si="131"/>
        <v>76370</v>
      </c>
      <c r="Q455" s="2">
        <f t="shared" si="132"/>
        <v>15587458</v>
      </c>
    </row>
    <row r="456" spans="1:17" x14ac:dyDescent="0.3">
      <c r="A456" s="3">
        <f t="shared" si="139"/>
        <v>454</v>
      </c>
      <c r="B456" s="8">
        <f t="shared" si="133"/>
        <v>958</v>
      </c>
      <c r="C456" s="11">
        <f t="shared" si="134"/>
        <v>44440</v>
      </c>
      <c r="D456" s="8">
        <f t="shared" si="135"/>
        <v>604</v>
      </c>
      <c r="E456" s="11">
        <f t="shared" si="136"/>
        <v>37360</v>
      </c>
      <c r="F456" s="5">
        <f t="shared" si="137"/>
        <v>1054</v>
      </c>
      <c r="G456" s="5">
        <f t="shared" si="138"/>
        <v>30280</v>
      </c>
      <c r="J456" s="8">
        <f t="shared" si="129"/>
        <v>5.7399999999999176</v>
      </c>
      <c r="K456" s="13">
        <f t="shared" si="130"/>
        <v>76560</v>
      </c>
      <c r="P456" s="2">
        <f t="shared" si="131"/>
        <v>76560</v>
      </c>
      <c r="Q456" s="2">
        <f t="shared" si="132"/>
        <v>15664018</v>
      </c>
    </row>
    <row r="457" spans="1:17" x14ac:dyDescent="0.3">
      <c r="A457" s="3">
        <f t="shared" si="139"/>
        <v>455</v>
      </c>
      <c r="B457" s="8">
        <f t="shared" si="133"/>
        <v>960</v>
      </c>
      <c r="C457" s="11">
        <f t="shared" si="134"/>
        <v>44550</v>
      </c>
      <c r="D457" s="8">
        <f t="shared" si="135"/>
        <v>605</v>
      </c>
      <c r="E457" s="11">
        <f t="shared" si="136"/>
        <v>37450</v>
      </c>
      <c r="F457" s="5">
        <f t="shared" si="137"/>
        <v>1055</v>
      </c>
      <c r="G457" s="5">
        <f t="shared" si="138"/>
        <v>30350</v>
      </c>
      <c r="J457" s="8">
        <f t="shared" si="129"/>
        <v>5.7499999999999174</v>
      </c>
      <c r="K457" s="13">
        <f t="shared" si="130"/>
        <v>76750</v>
      </c>
      <c r="P457" s="2">
        <f t="shared" si="131"/>
        <v>76750</v>
      </c>
      <c r="Q457" s="2">
        <f t="shared" si="132"/>
        <v>15740768</v>
      </c>
    </row>
    <row r="458" spans="1:17" x14ac:dyDescent="0.3">
      <c r="A458" s="3">
        <f t="shared" si="139"/>
        <v>456</v>
      </c>
      <c r="B458" s="8">
        <f t="shared" si="133"/>
        <v>962</v>
      </c>
      <c r="C458" s="11">
        <f t="shared" si="134"/>
        <v>44660</v>
      </c>
      <c r="D458" s="8">
        <f t="shared" si="135"/>
        <v>606</v>
      </c>
      <c r="E458" s="11">
        <f t="shared" si="136"/>
        <v>37540</v>
      </c>
      <c r="F458" s="5">
        <f t="shared" si="137"/>
        <v>1056</v>
      </c>
      <c r="G458" s="5">
        <f t="shared" si="138"/>
        <v>30420</v>
      </c>
      <c r="J458" s="8">
        <f t="shared" si="129"/>
        <v>5.7599999999999172</v>
      </c>
      <c r="K458" s="13">
        <f t="shared" si="130"/>
        <v>76940</v>
      </c>
      <c r="P458" s="2">
        <f t="shared" si="131"/>
        <v>76940</v>
      </c>
      <c r="Q458" s="2">
        <f t="shared" si="132"/>
        <v>15817708</v>
      </c>
    </row>
    <row r="459" spans="1:17" x14ac:dyDescent="0.3">
      <c r="A459" s="3">
        <f t="shared" si="139"/>
        <v>457</v>
      </c>
      <c r="B459" s="8">
        <f t="shared" si="133"/>
        <v>964</v>
      </c>
      <c r="C459" s="11">
        <f t="shared" si="134"/>
        <v>44770</v>
      </c>
      <c r="D459" s="8">
        <f t="shared" si="135"/>
        <v>607</v>
      </c>
      <c r="E459" s="11">
        <f t="shared" si="136"/>
        <v>37630</v>
      </c>
      <c r="F459" s="5">
        <f t="shared" si="137"/>
        <v>1057</v>
      </c>
      <c r="G459" s="5">
        <f t="shared" si="138"/>
        <v>30490</v>
      </c>
      <c r="J459" s="8">
        <f t="shared" si="129"/>
        <v>5.769999999999917</v>
      </c>
      <c r="K459" s="13">
        <f t="shared" si="130"/>
        <v>77130</v>
      </c>
      <c r="P459" s="2">
        <f t="shared" si="131"/>
        <v>77130</v>
      </c>
      <c r="Q459" s="2">
        <f t="shared" si="132"/>
        <v>15894838</v>
      </c>
    </row>
    <row r="460" spans="1:17" x14ac:dyDescent="0.3">
      <c r="A460" s="3">
        <f t="shared" si="139"/>
        <v>458</v>
      </c>
      <c r="B460" s="8">
        <f t="shared" si="133"/>
        <v>966</v>
      </c>
      <c r="C460" s="11">
        <f t="shared" si="134"/>
        <v>44880</v>
      </c>
      <c r="D460" s="8">
        <f t="shared" si="135"/>
        <v>608</v>
      </c>
      <c r="E460" s="11">
        <f t="shared" si="136"/>
        <v>37720</v>
      </c>
      <c r="F460" s="5">
        <f t="shared" si="137"/>
        <v>1058</v>
      </c>
      <c r="G460" s="5">
        <f t="shared" si="138"/>
        <v>30560</v>
      </c>
      <c r="J460" s="8">
        <f t="shared" si="129"/>
        <v>5.7799999999999168</v>
      </c>
      <c r="K460" s="13">
        <f t="shared" si="130"/>
        <v>77320</v>
      </c>
      <c r="P460" s="2">
        <f t="shared" si="131"/>
        <v>77320</v>
      </c>
      <c r="Q460" s="2">
        <f t="shared" si="132"/>
        <v>15972158</v>
      </c>
    </row>
    <row r="461" spans="1:17" x14ac:dyDescent="0.3">
      <c r="A461" s="3">
        <f t="shared" si="139"/>
        <v>459</v>
      </c>
      <c r="B461" s="8">
        <f t="shared" si="133"/>
        <v>968</v>
      </c>
      <c r="C461" s="11">
        <f t="shared" si="134"/>
        <v>44990</v>
      </c>
      <c r="D461" s="8">
        <f t="shared" si="135"/>
        <v>609</v>
      </c>
      <c r="E461" s="11">
        <f t="shared" si="136"/>
        <v>37810</v>
      </c>
      <c r="F461" s="5">
        <f t="shared" si="137"/>
        <v>1059</v>
      </c>
      <c r="G461" s="5">
        <f t="shared" si="138"/>
        <v>30630</v>
      </c>
      <c r="J461" s="8">
        <f t="shared" si="129"/>
        <v>5.7899999999999165</v>
      </c>
      <c r="K461" s="13">
        <f t="shared" si="130"/>
        <v>77510</v>
      </c>
      <c r="P461" s="2">
        <f t="shared" si="131"/>
        <v>77510</v>
      </c>
      <c r="Q461" s="2">
        <f t="shared" si="132"/>
        <v>16049668</v>
      </c>
    </row>
    <row r="462" spans="1:17" x14ac:dyDescent="0.3">
      <c r="A462" s="3">
        <f t="shared" si="139"/>
        <v>460</v>
      </c>
      <c r="B462" s="8">
        <f t="shared" si="133"/>
        <v>970</v>
      </c>
      <c r="C462" s="11">
        <f t="shared" si="134"/>
        <v>45100</v>
      </c>
      <c r="D462" s="8">
        <f t="shared" si="135"/>
        <v>610</v>
      </c>
      <c r="E462" s="11">
        <f t="shared" si="136"/>
        <v>37900</v>
      </c>
      <c r="F462" s="5">
        <f t="shared" si="137"/>
        <v>1060</v>
      </c>
      <c r="G462" s="5">
        <f t="shared" si="138"/>
        <v>30700</v>
      </c>
      <c r="J462" s="8">
        <f t="shared" si="129"/>
        <v>5.7999999999999163</v>
      </c>
      <c r="K462" s="13">
        <f t="shared" si="130"/>
        <v>77700</v>
      </c>
      <c r="P462" s="2">
        <f t="shared" si="131"/>
        <v>77700</v>
      </c>
      <c r="Q462" s="2">
        <f t="shared" si="132"/>
        <v>16127368</v>
      </c>
    </row>
    <row r="463" spans="1:17" x14ac:dyDescent="0.3">
      <c r="A463" s="3">
        <f t="shared" si="139"/>
        <v>461</v>
      </c>
      <c r="B463" s="8">
        <f t="shared" si="133"/>
        <v>972</v>
      </c>
      <c r="C463" s="11">
        <f t="shared" si="134"/>
        <v>45210</v>
      </c>
      <c r="D463" s="8">
        <f t="shared" si="135"/>
        <v>611</v>
      </c>
      <c r="E463" s="11">
        <f t="shared" si="136"/>
        <v>37990</v>
      </c>
      <c r="F463" s="5">
        <f t="shared" si="137"/>
        <v>1061</v>
      </c>
      <c r="G463" s="5">
        <f t="shared" si="138"/>
        <v>30770</v>
      </c>
      <c r="J463" s="8">
        <f t="shared" si="129"/>
        <v>5.8099999999999161</v>
      </c>
      <c r="K463" s="13">
        <f t="shared" si="130"/>
        <v>77890</v>
      </c>
      <c r="P463" s="2">
        <f t="shared" si="131"/>
        <v>77890</v>
      </c>
      <c r="Q463" s="2">
        <f t="shared" si="132"/>
        <v>16205258</v>
      </c>
    </row>
    <row r="464" spans="1:17" x14ac:dyDescent="0.3">
      <c r="A464" s="3">
        <f t="shared" si="139"/>
        <v>462</v>
      </c>
      <c r="B464" s="8">
        <f t="shared" si="133"/>
        <v>974</v>
      </c>
      <c r="C464" s="11">
        <f t="shared" si="134"/>
        <v>45320</v>
      </c>
      <c r="D464" s="8">
        <f t="shared" si="135"/>
        <v>612</v>
      </c>
      <c r="E464" s="11">
        <f t="shared" si="136"/>
        <v>38080</v>
      </c>
      <c r="F464" s="5">
        <f t="shared" si="137"/>
        <v>1062</v>
      </c>
      <c r="G464" s="5">
        <f t="shared" si="138"/>
        <v>30840</v>
      </c>
      <c r="J464" s="8">
        <f t="shared" si="129"/>
        <v>5.8199999999999159</v>
      </c>
      <c r="K464" s="13">
        <f t="shared" si="130"/>
        <v>78080</v>
      </c>
      <c r="P464" s="2">
        <f t="shared" si="131"/>
        <v>78080</v>
      </c>
      <c r="Q464" s="2">
        <f t="shared" si="132"/>
        <v>16283338</v>
      </c>
    </row>
    <row r="465" spans="1:17" x14ac:dyDescent="0.3">
      <c r="A465" s="3">
        <f t="shared" si="139"/>
        <v>463</v>
      </c>
      <c r="B465" s="8">
        <f t="shared" si="133"/>
        <v>976</v>
      </c>
      <c r="C465" s="11">
        <f t="shared" si="134"/>
        <v>45430</v>
      </c>
      <c r="D465" s="8">
        <f t="shared" si="135"/>
        <v>613</v>
      </c>
      <c r="E465" s="11">
        <f t="shared" si="136"/>
        <v>38170</v>
      </c>
      <c r="F465" s="5">
        <f t="shared" si="137"/>
        <v>1063</v>
      </c>
      <c r="G465" s="5">
        <f t="shared" si="138"/>
        <v>30910</v>
      </c>
      <c r="J465" s="8">
        <f t="shared" si="129"/>
        <v>5.8299999999999157</v>
      </c>
      <c r="K465" s="13">
        <f t="shared" si="130"/>
        <v>78270</v>
      </c>
      <c r="P465" s="2">
        <f t="shared" si="131"/>
        <v>78270</v>
      </c>
      <c r="Q465" s="2">
        <f t="shared" si="132"/>
        <v>16361608</v>
      </c>
    </row>
    <row r="466" spans="1:17" x14ac:dyDescent="0.3">
      <c r="A466" s="3">
        <f t="shared" si="139"/>
        <v>464</v>
      </c>
      <c r="B466" s="8">
        <f t="shared" si="133"/>
        <v>978</v>
      </c>
      <c r="C466" s="11">
        <f t="shared" si="134"/>
        <v>45540</v>
      </c>
      <c r="D466" s="8">
        <f t="shared" si="135"/>
        <v>614</v>
      </c>
      <c r="E466" s="11">
        <f t="shared" si="136"/>
        <v>38260</v>
      </c>
      <c r="F466" s="5">
        <f t="shared" si="137"/>
        <v>1064</v>
      </c>
      <c r="G466" s="5">
        <f t="shared" si="138"/>
        <v>30980</v>
      </c>
      <c r="J466" s="8">
        <f t="shared" si="129"/>
        <v>5.8399999999999155</v>
      </c>
      <c r="K466" s="13">
        <f t="shared" si="130"/>
        <v>78460</v>
      </c>
      <c r="P466" s="2">
        <f t="shared" si="131"/>
        <v>78460</v>
      </c>
      <c r="Q466" s="2">
        <f t="shared" si="132"/>
        <v>16440068</v>
      </c>
    </row>
    <row r="467" spans="1:17" x14ac:dyDescent="0.3">
      <c r="A467" s="3">
        <f t="shared" si="139"/>
        <v>465</v>
      </c>
      <c r="B467" s="8">
        <f t="shared" si="133"/>
        <v>980</v>
      </c>
      <c r="C467" s="11">
        <f t="shared" si="134"/>
        <v>45650</v>
      </c>
      <c r="D467" s="8">
        <f t="shared" si="135"/>
        <v>615</v>
      </c>
      <c r="E467" s="11">
        <f t="shared" si="136"/>
        <v>38350</v>
      </c>
      <c r="F467" s="5">
        <f t="shared" si="137"/>
        <v>1065</v>
      </c>
      <c r="G467" s="5">
        <f t="shared" si="138"/>
        <v>31050</v>
      </c>
      <c r="J467" s="8">
        <f t="shared" si="129"/>
        <v>5.8499999999999153</v>
      </c>
      <c r="K467" s="13">
        <f t="shared" si="130"/>
        <v>78650</v>
      </c>
      <c r="P467" s="2">
        <f t="shared" si="131"/>
        <v>78650</v>
      </c>
      <c r="Q467" s="2">
        <f t="shared" si="132"/>
        <v>16518718</v>
      </c>
    </row>
    <row r="468" spans="1:17" x14ac:dyDescent="0.3">
      <c r="A468" s="3">
        <f t="shared" si="139"/>
        <v>466</v>
      </c>
      <c r="B468" s="8">
        <f t="shared" si="133"/>
        <v>982</v>
      </c>
      <c r="C468" s="11">
        <f t="shared" si="134"/>
        <v>45760</v>
      </c>
      <c r="D468" s="8">
        <f t="shared" si="135"/>
        <v>616</v>
      </c>
      <c r="E468" s="11">
        <f t="shared" si="136"/>
        <v>38440</v>
      </c>
      <c r="F468" s="5">
        <f t="shared" si="137"/>
        <v>1066</v>
      </c>
      <c r="G468" s="5">
        <f t="shared" si="138"/>
        <v>31120</v>
      </c>
      <c r="J468" s="8">
        <f t="shared" ref="J468:J481" si="140">J467+0.01</f>
        <v>5.8599999999999151</v>
      </c>
      <c r="K468" s="13">
        <f t="shared" ref="K468:K501" si="141">K467+190</f>
        <v>78840</v>
      </c>
      <c r="P468" s="2">
        <f t="shared" si="131"/>
        <v>78840</v>
      </c>
      <c r="Q468" s="2">
        <f t="shared" si="132"/>
        <v>16597558</v>
      </c>
    </row>
    <row r="469" spans="1:17" x14ac:dyDescent="0.3">
      <c r="A469" s="3">
        <f t="shared" si="139"/>
        <v>467</v>
      </c>
      <c r="B469" s="8">
        <f t="shared" si="133"/>
        <v>984</v>
      </c>
      <c r="C469" s="11">
        <f t="shared" si="134"/>
        <v>45870</v>
      </c>
      <c r="D469" s="8">
        <f t="shared" si="135"/>
        <v>617</v>
      </c>
      <c r="E469" s="11">
        <f t="shared" si="136"/>
        <v>38530</v>
      </c>
      <c r="F469" s="5">
        <f t="shared" si="137"/>
        <v>1067</v>
      </c>
      <c r="G469" s="5">
        <f t="shared" si="138"/>
        <v>31190</v>
      </c>
      <c r="J469" s="8">
        <f t="shared" si="140"/>
        <v>5.8699999999999148</v>
      </c>
      <c r="K469" s="13">
        <f t="shared" si="141"/>
        <v>79030</v>
      </c>
      <c r="P469" s="2">
        <f t="shared" si="131"/>
        <v>79030</v>
      </c>
      <c r="Q469" s="2">
        <f t="shared" si="132"/>
        <v>16676588</v>
      </c>
    </row>
    <row r="470" spans="1:17" x14ac:dyDescent="0.3">
      <c r="A470" s="3">
        <f t="shared" si="139"/>
        <v>468</v>
      </c>
      <c r="B470" s="8">
        <f t="shared" si="133"/>
        <v>986</v>
      </c>
      <c r="C470" s="11">
        <f t="shared" si="134"/>
        <v>45980</v>
      </c>
      <c r="D470" s="8">
        <f t="shared" si="135"/>
        <v>618</v>
      </c>
      <c r="E470" s="11">
        <f t="shared" si="136"/>
        <v>38620</v>
      </c>
      <c r="F470" s="5">
        <f t="shared" si="137"/>
        <v>1068</v>
      </c>
      <c r="G470" s="5">
        <f t="shared" si="138"/>
        <v>31260</v>
      </c>
      <c r="J470" s="8">
        <f t="shared" si="140"/>
        <v>5.8799999999999146</v>
      </c>
      <c r="K470" s="13">
        <f t="shared" si="141"/>
        <v>79220</v>
      </c>
      <c r="P470" s="2">
        <f t="shared" si="131"/>
        <v>79220</v>
      </c>
      <c r="Q470" s="2">
        <f t="shared" si="132"/>
        <v>16755808</v>
      </c>
    </row>
    <row r="471" spans="1:17" x14ac:dyDescent="0.3">
      <c r="A471" s="3">
        <f t="shared" si="139"/>
        <v>469</v>
      </c>
      <c r="B471" s="8">
        <f t="shared" si="133"/>
        <v>988</v>
      </c>
      <c r="C471" s="11">
        <f t="shared" si="134"/>
        <v>46090</v>
      </c>
      <c r="D471" s="8">
        <f t="shared" si="135"/>
        <v>619</v>
      </c>
      <c r="E471" s="11">
        <f t="shared" si="136"/>
        <v>38710</v>
      </c>
      <c r="F471" s="5">
        <f t="shared" si="137"/>
        <v>1069</v>
      </c>
      <c r="G471" s="5">
        <f t="shared" si="138"/>
        <v>31330</v>
      </c>
      <c r="J471" s="8">
        <f t="shared" si="140"/>
        <v>5.8899999999999144</v>
      </c>
      <c r="K471" s="13">
        <f t="shared" si="141"/>
        <v>79410</v>
      </c>
      <c r="P471" s="2">
        <f t="shared" si="131"/>
        <v>79410</v>
      </c>
      <c r="Q471" s="2">
        <f t="shared" si="132"/>
        <v>16835218</v>
      </c>
    </row>
    <row r="472" spans="1:17" x14ac:dyDescent="0.3">
      <c r="A472" s="3">
        <f t="shared" si="139"/>
        <v>470</v>
      </c>
      <c r="B472" s="8">
        <f t="shared" si="133"/>
        <v>990</v>
      </c>
      <c r="C472" s="11">
        <f t="shared" si="134"/>
        <v>46200</v>
      </c>
      <c r="D472" s="8">
        <f t="shared" si="135"/>
        <v>620</v>
      </c>
      <c r="E472" s="11">
        <f t="shared" si="136"/>
        <v>38800</v>
      </c>
      <c r="F472" s="5">
        <f t="shared" si="137"/>
        <v>1070</v>
      </c>
      <c r="G472" s="5">
        <f t="shared" si="138"/>
        <v>31400</v>
      </c>
      <c r="J472" s="8">
        <f t="shared" si="140"/>
        <v>5.8999999999999142</v>
      </c>
      <c r="K472" s="13">
        <f t="shared" si="141"/>
        <v>79600</v>
      </c>
      <c r="P472" s="2">
        <f t="shared" si="131"/>
        <v>79600</v>
      </c>
      <c r="Q472" s="2">
        <f t="shared" si="132"/>
        <v>16914818</v>
      </c>
    </row>
    <row r="473" spans="1:17" x14ac:dyDescent="0.3">
      <c r="A473" s="3">
        <f t="shared" si="139"/>
        <v>471</v>
      </c>
      <c r="B473" s="8">
        <f t="shared" si="133"/>
        <v>992</v>
      </c>
      <c r="C473" s="11">
        <f t="shared" si="134"/>
        <v>46310</v>
      </c>
      <c r="D473" s="8">
        <f t="shared" si="135"/>
        <v>621</v>
      </c>
      <c r="E473" s="11">
        <f t="shared" si="136"/>
        <v>38890</v>
      </c>
      <c r="F473" s="5">
        <f t="shared" si="137"/>
        <v>1071</v>
      </c>
      <c r="G473" s="5">
        <f t="shared" si="138"/>
        <v>31470</v>
      </c>
      <c r="J473" s="8">
        <f t="shared" si="140"/>
        <v>5.909999999999914</v>
      </c>
      <c r="K473" s="13">
        <f t="shared" si="141"/>
        <v>79790</v>
      </c>
      <c r="P473" s="2">
        <f t="shared" si="131"/>
        <v>79790</v>
      </c>
      <c r="Q473" s="2">
        <f t="shared" si="132"/>
        <v>16994608</v>
      </c>
    </row>
    <row r="474" spans="1:17" x14ac:dyDescent="0.3">
      <c r="A474" s="3">
        <f t="shared" si="139"/>
        <v>472</v>
      </c>
      <c r="B474" s="8">
        <f t="shared" si="133"/>
        <v>994</v>
      </c>
      <c r="C474" s="11">
        <f t="shared" si="134"/>
        <v>46420</v>
      </c>
      <c r="D474" s="8">
        <f t="shared" si="135"/>
        <v>622</v>
      </c>
      <c r="E474" s="11">
        <f t="shared" si="136"/>
        <v>38980</v>
      </c>
      <c r="F474" s="5">
        <f t="shared" si="137"/>
        <v>1072</v>
      </c>
      <c r="G474" s="5">
        <f t="shared" si="138"/>
        <v>31540</v>
      </c>
      <c r="J474" s="8">
        <f t="shared" si="140"/>
        <v>5.9199999999999138</v>
      </c>
      <c r="K474" s="13">
        <f t="shared" si="141"/>
        <v>79980</v>
      </c>
      <c r="P474" s="2">
        <f t="shared" si="131"/>
        <v>79980</v>
      </c>
      <c r="Q474" s="2">
        <f t="shared" si="132"/>
        <v>17074588</v>
      </c>
    </row>
    <row r="475" spans="1:17" x14ac:dyDescent="0.3">
      <c r="A475" s="3">
        <f t="shared" si="139"/>
        <v>473</v>
      </c>
      <c r="B475" s="8">
        <f t="shared" si="133"/>
        <v>996</v>
      </c>
      <c r="C475" s="11">
        <f t="shared" si="134"/>
        <v>46530</v>
      </c>
      <c r="D475" s="8">
        <f t="shared" si="135"/>
        <v>623</v>
      </c>
      <c r="E475" s="11">
        <f t="shared" si="136"/>
        <v>39070</v>
      </c>
      <c r="F475" s="5">
        <f t="shared" si="137"/>
        <v>1073</v>
      </c>
      <c r="G475" s="5">
        <f t="shared" si="138"/>
        <v>31610</v>
      </c>
      <c r="J475" s="8">
        <f t="shared" si="140"/>
        <v>5.9299999999999136</v>
      </c>
      <c r="K475" s="13">
        <f t="shared" si="141"/>
        <v>80170</v>
      </c>
      <c r="P475" s="2">
        <f t="shared" si="131"/>
        <v>80170</v>
      </c>
      <c r="Q475" s="2">
        <f t="shared" si="132"/>
        <v>17154758</v>
      </c>
    </row>
    <row r="476" spans="1:17" x14ac:dyDescent="0.3">
      <c r="A476" s="3">
        <f t="shared" si="139"/>
        <v>474</v>
      </c>
      <c r="B476" s="8">
        <f t="shared" si="133"/>
        <v>998</v>
      </c>
      <c r="C476" s="11">
        <f t="shared" si="134"/>
        <v>46640</v>
      </c>
      <c r="D476" s="8">
        <f t="shared" si="135"/>
        <v>624</v>
      </c>
      <c r="E476" s="11">
        <f t="shared" si="136"/>
        <v>39160</v>
      </c>
      <c r="F476" s="5">
        <f t="shared" si="137"/>
        <v>1074</v>
      </c>
      <c r="G476" s="5">
        <f t="shared" si="138"/>
        <v>31680</v>
      </c>
      <c r="J476" s="8">
        <f t="shared" si="140"/>
        <v>5.9399999999999133</v>
      </c>
      <c r="K476" s="13">
        <f t="shared" si="141"/>
        <v>80360</v>
      </c>
      <c r="P476" s="2">
        <f t="shared" si="131"/>
        <v>80360</v>
      </c>
      <c r="Q476" s="2">
        <f t="shared" si="132"/>
        <v>17235118</v>
      </c>
    </row>
    <row r="477" spans="1:17" x14ac:dyDescent="0.3">
      <c r="A477" s="3">
        <f t="shared" si="139"/>
        <v>475</v>
      </c>
      <c r="B477" s="8">
        <f t="shared" si="133"/>
        <v>1000</v>
      </c>
      <c r="C477" s="11">
        <f t="shared" si="134"/>
        <v>46750</v>
      </c>
      <c r="D477" s="8">
        <f t="shared" si="135"/>
        <v>625</v>
      </c>
      <c r="E477" s="11">
        <f t="shared" si="136"/>
        <v>39250</v>
      </c>
      <c r="F477" s="5">
        <f t="shared" si="137"/>
        <v>1075</v>
      </c>
      <c r="G477" s="5">
        <f t="shared" si="138"/>
        <v>31750</v>
      </c>
      <c r="J477" s="8">
        <f t="shared" si="140"/>
        <v>5.9499999999999131</v>
      </c>
      <c r="K477" s="13">
        <f t="shared" si="141"/>
        <v>80550</v>
      </c>
      <c r="P477" s="2">
        <f t="shared" si="131"/>
        <v>80550</v>
      </c>
      <c r="Q477" s="2">
        <f t="shared" si="132"/>
        <v>17315668</v>
      </c>
    </row>
    <row r="478" spans="1:17" x14ac:dyDescent="0.3">
      <c r="A478" s="3">
        <f t="shared" si="139"/>
        <v>476</v>
      </c>
      <c r="B478" s="8">
        <f t="shared" si="133"/>
        <v>1002</v>
      </c>
      <c r="C478" s="11">
        <f t="shared" si="134"/>
        <v>46860</v>
      </c>
      <c r="D478" s="8">
        <f t="shared" si="135"/>
        <v>626</v>
      </c>
      <c r="E478" s="11">
        <f t="shared" si="136"/>
        <v>39340</v>
      </c>
      <c r="F478" s="5">
        <f t="shared" si="137"/>
        <v>1076</v>
      </c>
      <c r="G478" s="5">
        <f t="shared" si="138"/>
        <v>31820</v>
      </c>
      <c r="J478" s="8">
        <f t="shared" si="140"/>
        <v>5.9599999999999129</v>
      </c>
      <c r="K478" s="13">
        <f t="shared" si="141"/>
        <v>80740</v>
      </c>
      <c r="P478" s="2">
        <f t="shared" si="131"/>
        <v>80740</v>
      </c>
      <c r="Q478" s="2">
        <f t="shared" si="132"/>
        <v>17396408</v>
      </c>
    </row>
    <row r="479" spans="1:17" x14ac:dyDescent="0.3">
      <c r="A479" s="3">
        <f t="shared" si="139"/>
        <v>477</v>
      </c>
      <c r="B479" s="8">
        <f t="shared" si="133"/>
        <v>1004</v>
      </c>
      <c r="C479" s="11">
        <f t="shared" si="134"/>
        <v>46970</v>
      </c>
      <c r="D479" s="8">
        <f t="shared" si="135"/>
        <v>627</v>
      </c>
      <c r="E479" s="11">
        <f t="shared" si="136"/>
        <v>39430</v>
      </c>
      <c r="F479" s="5">
        <f t="shared" si="137"/>
        <v>1077</v>
      </c>
      <c r="G479" s="5">
        <f t="shared" si="138"/>
        <v>31890</v>
      </c>
      <c r="J479" s="8">
        <f t="shared" si="140"/>
        <v>5.9699999999999127</v>
      </c>
      <c r="K479" s="13">
        <f t="shared" si="141"/>
        <v>80930</v>
      </c>
      <c r="P479" s="2">
        <f t="shared" si="131"/>
        <v>80930</v>
      </c>
      <c r="Q479" s="2">
        <f t="shared" si="132"/>
        <v>17477338</v>
      </c>
    </row>
    <row r="480" spans="1:17" x14ac:dyDescent="0.3">
      <c r="A480" s="3">
        <f t="shared" si="139"/>
        <v>478</v>
      </c>
      <c r="B480" s="8">
        <f t="shared" si="133"/>
        <v>1006</v>
      </c>
      <c r="C480" s="11">
        <f t="shared" si="134"/>
        <v>47080</v>
      </c>
      <c r="D480" s="8">
        <f t="shared" si="135"/>
        <v>628</v>
      </c>
      <c r="E480" s="11">
        <f t="shared" si="136"/>
        <v>39520</v>
      </c>
      <c r="F480" s="5">
        <f t="shared" si="137"/>
        <v>1078</v>
      </c>
      <c r="G480" s="5">
        <f t="shared" si="138"/>
        <v>31960</v>
      </c>
      <c r="J480" s="8">
        <f t="shared" si="140"/>
        <v>5.9799999999999125</v>
      </c>
      <c r="K480" s="13">
        <f t="shared" si="141"/>
        <v>81120</v>
      </c>
      <c r="P480" s="2">
        <f t="shared" si="131"/>
        <v>81120</v>
      </c>
      <c r="Q480" s="2">
        <f t="shared" si="132"/>
        <v>17558458</v>
      </c>
    </row>
    <row r="481" spans="1:17" x14ac:dyDescent="0.3">
      <c r="A481" s="3">
        <f t="shared" si="139"/>
        <v>479</v>
      </c>
      <c r="B481" s="8">
        <f t="shared" si="133"/>
        <v>1008</v>
      </c>
      <c r="C481" s="11">
        <f t="shared" si="134"/>
        <v>47190</v>
      </c>
      <c r="D481" s="8">
        <f t="shared" si="135"/>
        <v>629</v>
      </c>
      <c r="E481" s="11">
        <f t="shared" si="136"/>
        <v>39610</v>
      </c>
      <c r="F481" s="5">
        <f t="shared" si="137"/>
        <v>1079</v>
      </c>
      <c r="G481" s="5">
        <f t="shared" si="138"/>
        <v>32030</v>
      </c>
      <c r="J481" s="8">
        <f t="shared" si="140"/>
        <v>5.9899999999999123</v>
      </c>
      <c r="K481" s="13">
        <f t="shared" si="141"/>
        <v>81310</v>
      </c>
      <c r="P481" s="2">
        <f t="shared" si="131"/>
        <v>81310</v>
      </c>
      <c r="Q481" s="2">
        <f t="shared" si="132"/>
        <v>17639768</v>
      </c>
    </row>
    <row r="482" spans="1:17" x14ac:dyDescent="0.3">
      <c r="A482" s="3">
        <f t="shared" si="139"/>
        <v>480</v>
      </c>
      <c r="B482" s="8">
        <f t="shared" si="133"/>
        <v>1010</v>
      </c>
      <c r="C482" s="11">
        <f t="shared" si="134"/>
        <v>47300</v>
      </c>
      <c r="D482" s="8">
        <f t="shared" si="135"/>
        <v>630</v>
      </c>
      <c r="E482" s="11">
        <f t="shared" si="136"/>
        <v>39700</v>
      </c>
      <c r="F482" s="5">
        <f t="shared" si="137"/>
        <v>1080</v>
      </c>
      <c r="G482" s="5">
        <f t="shared" si="138"/>
        <v>32100</v>
      </c>
      <c r="J482" s="8">
        <f t="shared" ref="J482:J487" si="142">J481+0.01</f>
        <v>5.9999999999999121</v>
      </c>
      <c r="K482" s="13">
        <f t="shared" si="141"/>
        <v>81500</v>
      </c>
      <c r="P482" s="2">
        <f t="shared" si="131"/>
        <v>81500</v>
      </c>
      <c r="Q482" s="2">
        <f t="shared" si="132"/>
        <v>17721268</v>
      </c>
    </row>
    <row r="483" spans="1:17" x14ac:dyDescent="0.3">
      <c r="A483" s="3">
        <f t="shared" si="139"/>
        <v>481</v>
      </c>
      <c r="B483" s="8">
        <f t="shared" si="133"/>
        <v>1012</v>
      </c>
      <c r="C483" s="11">
        <f t="shared" si="134"/>
        <v>47410</v>
      </c>
      <c r="D483" s="8">
        <f t="shared" si="135"/>
        <v>631</v>
      </c>
      <c r="E483" s="11">
        <f t="shared" si="136"/>
        <v>39790</v>
      </c>
      <c r="F483" s="5">
        <f t="shared" si="137"/>
        <v>1081</v>
      </c>
      <c r="G483" s="5">
        <f t="shared" si="138"/>
        <v>32170</v>
      </c>
      <c r="J483" s="8">
        <f t="shared" si="142"/>
        <v>6.0099999999999119</v>
      </c>
      <c r="K483" s="13">
        <f t="shared" si="141"/>
        <v>81690</v>
      </c>
      <c r="P483" s="2">
        <f t="shared" si="131"/>
        <v>81690</v>
      </c>
      <c r="Q483" s="2">
        <f t="shared" si="132"/>
        <v>17802958</v>
      </c>
    </row>
    <row r="484" spans="1:17" x14ac:dyDescent="0.3">
      <c r="A484" s="3">
        <f t="shared" si="139"/>
        <v>482</v>
      </c>
      <c r="B484" s="8">
        <f t="shared" si="133"/>
        <v>1014</v>
      </c>
      <c r="C484" s="11">
        <f t="shared" si="134"/>
        <v>47520</v>
      </c>
      <c r="D484" s="8">
        <f t="shared" si="135"/>
        <v>632</v>
      </c>
      <c r="E484" s="11">
        <f t="shared" si="136"/>
        <v>39880</v>
      </c>
      <c r="F484" s="5">
        <f t="shared" si="137"/>
        <v>1082</v>
      </c>
      <c r="G484" s="5">
        <f t="shared" si="138"/>
        <v>32240</v>
      </c>
      <c r="J484" s="8">
        <f t="shared" si="142"/>
        <v>6.0199999999999116</v>
      </c>
      <c r="K484" s="13">
        <f t="shared" si="141"/>
        <v>81880</v>
      </c>
      <c r="P484" s="2">
        <f t="shared" si="131"/>
        <v>81880</v>
      </c>
      <c r="Q484" s="2">
        <f t="shared" si="132"/>
        <v>17884838</v>
      </c>
    </row>
    <row r="485" spans="1:17" x14ac:dyDescent="0.3">
      <c r="A485" s="3">
        <f t="shared" si="139"/>
        <v>483</v>
      </c>
      <c r="B485" s="8">
        <f t="shared" si="133"/>
        <v>1016</v>
      </c>
      <c r="C485" s="11">
        <f t="shared" si="134"/>
        <v>47630</v>
      </c>
      <c r="D485" s="8">
        <f t="shared" si="135"/>
        <v>633</v>
      </c>
      <c r="E485" s="11">
        <f t="shared" si="136"/>
        <v>39970</v>
      </c>
      <c r="F485" s="5">
        <f t="shared" si="137"/>
        <v>1083</v>
      </c>
      <c r="G485" s="5">
        <f t="shared" si="138"/>
        <v>32310</v>
      </c>
      <c r="J485" s="8">
        <f t="shared" si="142"/>
        <v>6.0299999999999114</v>
      </c>
      <c r="K485" s="13">
        <f t="shared" si="141"/>
        <v>82070</v>
      </c>
      <c r="P485" s="2">
        <f t="shared" si="131"/>
        <v>82070</v>
      </c>
      <c r="Q485" s="2">
        <f t="shared" si="132"/>
        <v>17966908</v>
      </c>
    </row>
    <row r="486" spans="1:17" x14ac:dyDescent="0.3">
      <c r="A486" s="3">
        <f t="shared" si="139"/>
        <v>484</v>
      </c>
      <c r="B486" s="8">
        <f t="shared" si="133"/>
        <v>1018</v>
      </c>
      <c r="C486" s="11">
        <f t="shared" si="134"/>
        <v>47740</v>
      </c>
      <c r="D486" s="8">
        <f t="shared" si="135"/>
        <v>634</v>
      </c>
      <c r="E486" s="11">
        <f t="shared" si="136"/>
        <v>40060</v>
      </c>
      <c r="F486" s="5">
        <f t="shared" si="137"/>
        <v>1084</v>
      </c>
      <c r="G486" s="5">
        <f t="shared" si="138"/>
        <v>32380</v>
      </c>
      <c r="J486" s="8">
        <f t="shared" si="142"/>
        <v>6.0399999999999112</v>
      </c>
      <c r="K486" s="13">
        <f t="shared" si="141"/>
        <v>82260</v>
      </c>
      <c r="P486" s="2">
        <f t="shared" ref="P486:P502" si="143">K486</f>
        <v>82260</v>
      </c>
      <c r="Q486" s="2">
        <f t="shared" ref="Q486:Q502" si="144">Q485+K486</f>
        <v>18049168</v>
      </c>
    </row>
    <row r="487" spans="1:17" x14ac:dyDescent="0.3">
      <c r="A487" s="3">
        <f t="shared" si="139"/>
        <v>485</v>
      </c>
      <c r="B487" s="8">
        <f t="shared" si="133"/>
        <v>1020</v>
      </c>
      <c r="C487" s="11">
        <f t="shared" si="134"/>
        <v>47850</v>
      </c>
      <c r="D487" s="8">
        <f t="shared" si="135"/>
        <v>635</v>
      </c>
      <c r="E487" s="11">
        <f t="shared" si="136"/>
        <v>40150</v>
      </c>
      <c r="F487" s="5">
        <f t="shared" si="137"/>
        <v>1085</v>
      </c>
      <c r="G487" s="5">
        <f t="shared" si="138"/>
        <v>32450</v>
      </c>
      <c r="J487" s="8">
        <f t="shared" si="142"/>
        <v>6.049999999999911</v>
      </c>
      <c r="K487" s="13">
        <f t="shared" si="141"/>
        <v>82450</v>
      </c>
      <c r="P487" s="2">
        <f t="shared" si="143"/>
        <v>82450</v>
      </c>
      <c r="Q487" s="2">
        <f t="shared" si="144"/>
        <v>18131618</v>
      </c>
    </row>
    <row r="488" spans="1:17" x14ac:dyDescent="0.3">
      <c r="A488" s="3">
        <f t="shared" si="139"/>
        <v>486</v>
      </c>
      <c r="B488" s="8">
        <f t="shared" ref="B488:B502" si="145">B487+2</f>
        <v>1022</v>
      </c>
      <c r="C488" s="11">
        <f t="shared" ref="C488:C501" si="146">C487+110</f>
        <v>47960</v>
      </c>
      <c r="D488" s="8">
        <f t="shared" ref="D488:D502" si="147">D487+1</f>
        <v>636</v>
      </c>
      <c r="E488" s="11">
        <f t="shared" ref="E488:E501" si="148">E487+90</f>
        <v>40240</v>
      </c>
      <c r="F488" s="5">
        <f t="shared" ref="F488:F502" si="149">F487+1</f>
        <v>1086</v>
      </c>
      <c r="G488" s="5">
        <f t="shared" ref="G488:G501" si="150">G487+70</f>
        <v>32520</v>
      </c>
      <c r="J488" s="8">
        <f t="shared" ref="J488:J502" si="151">J487+0.01</f>
        <v>6.0599999999999108</v>
      </c>
      <c r="K488" s="13">
        <f t="shared" si="141"/>
        <v>82640</v>
      </c>
      <c r="P488" s="2">
        <f t="shared" si="143"/>
        <v>82640</v>
      </c>
      <c r="Q488" s="2">
        <f t="shared" si="144"/>
        <v>18214258</v>
      </c>
    </row>
    <row r="489" spans="1:17" x14ac:dyDescent="0.3">
      <c r="A489" s="3">
        <f t="shared" si="139"/>
        <v>487</v>
      </c>
      <c r="B489" s="8">
        <f t="shared" si="145"/>
        <v>1024</v>
      </c>
      <c r="C489" s="11">
        <f t="shared" si="146"/>
        <v>48070</v>
      </c>
      <c r="D489" s="8">
        <f t="shared" si="147"/>
        <v>637</v>
      </c>
      <c r="E489" s="11">
        <f t="shared" si="148"/>
        <v>40330</v>
      </c>
      <c r="F489" s="5">
        <f t="shared" si="149"/>
        <v>1087</v>
      </c>
      <c r="G489" s="5">
        <f t="shared" si="150"/>
        <v>32590</v>
      </c>
      <c r="J489" s="8">
        <f t="shared" si="151"/>
        <v>6.0699999999999106</v>
      </c>
      <c r="K489" s="13">
        <f t="shared" si="141"/>
        <v>82830</v>
      </c>
      <c r="P489" s="2">
        <f t="shared" si="143"/>
        <v>82830</v>
      </c>
      <c r="Q489" s="2">
        <f t="shared" si="144"/>
        <v>18297088</v>
      </c>
    </row>
    <row r="490" spans="1:17" x14ac:dyDescent="0.3">
      <c r="A490" s="3">
        <f t="shared" si="139"/>
        <v>488</v>
      </c>
      <c r="B490" s="8">
        <f t="shared" si="145"/>
        <v>1026</v>
      </c>
      <c r="C490" s="11">
        <f t="shared" si="146"/>
        <v>48180</v>
      </c>
      <c r="D490" s="8">
        <f t="shared" si="147"/>
        <v>638</v>
      </c>
      <c r="E490" s="11">
        <f t="shared" si="148"/>
        <v>40420</v>
      </c>
      <c r="F490" s="5">
        <f t="shared" si="149"/>
        <v>1088</v>
      </c>
      <c r="G490" s="5">
        <f t="shared" si="150"/>
        <v>32660</v>
      </c>
      <c r="J490" s="8">
        <f t="shared" si="151"/>
        <v>6.0799999999999104</v>
      </c>
      <c r="K490" s="13">
        <f t="shared" si="141"/>
        <v>83020</v>
      </c>
      <c r="P490" s="2">
        <f t="shared" si="143"/>
        <v>83020</v>
      </c>
      <c r="Q490" s="2">
        <f t="shared" si="144"/>
        <v>18380108</v>
      </c>
    </row>
    <row r="491" spans="1:17" x14ac:dyDescent="0.3">
      <c r="A491" s="3">
        <f t="shared" si="139"/>
        <v>489</v>
      </c>
      <c r="B491" s="8">
        <f t="shared" si="145"/>
        <v>1028</v>
      </c>
      <c r="C491" s="11">
        <f t="shared" si="146"/>
        <v>48290</v>
      </c>
      <c r="D491" s="8">
        <f t="shared" si="147"/>
        <v>639</v>
      </c>
      <c r="E491" s="11">
        <f t="shared" si="148"/>
        <v>40510</v>
      </c>
      <c r="F491" s="5">
        <f t="shared" si="149"/>
        <v>1089</v>
      </c>
      <c r="G491" s="5">
        <f t="shared" si="150"/>
        <v>32730</v>
      </c>
      <c r="J491" s="8">
        <f t="shared" si="151"/>
        <v>6.0899999999999102</v>
      </c>
      <c r="K491" s="13">
        <f t="shared" si="141"/>
        <v>83210</v>
      </c>
      <c r="P491" s="2">
        <f t="shared" si="143"/>
        <v>83210</v>
      </c>
      <c r="Q491" s="2">
        <f t="shared" si="144"/>
        <v>18463318</v>
      </c>
    </row>
    <row r="492" spans="1:17" x14ac:dyDescent="0.3">
      <c r="A492" s="3">
        <f t="shared" si="139"/>
        <v>490</v>
      </c>
      <c r="B492" s="8">
        <f t="shared" si="145"/>
        <v>1030</v>
      </c>
      <c r="C492" s="11">
        <f t="shared" si="146"/>
        <v>48400</v>
      </c>
      <c r="D492" s="8">
        <f t="shared" si="147"/>
        <v>640</v>
      </c>
      <c r="E492" s="11">
        <f t="shared" si="148"/>
        <v>40600</v>
      </c>
      <c r="F492" s="5">
        <f t="shared" si="149"/>
        <v>1090</v>
      </c>
      <c r="G492" s="5">
        <f t="shared" si="150"/>
        <v>32800</v>
      </c>
      <c r="J492" s="8">
        <f t="shared" si="151"/>
        <v>6.0999999999999099</v>
      </c>
      <c r="K492" s="13">
        <f t="shared" si="141"/>
        <v>83400</v>
      </c>
      <c r="P492" s="2">
        <f t="shared" si="143"/>
        <v>83400</v>
      </c>
      <c r="Q492" s="2">
        <f t="shared" si="144"/>
        <v>18546718</v>
      </c>
    </row>
    <row r="493" spans="1:17" x14ac:dyDescent="0.3">
      <c r="A493" s="3">
        <f t="shared" si="139"/>
        <v>491</v>
      </c>
      <c r="B493" s="8">
        <f t="shared" si="145"/>
        <v>1032</v>
      </c>
      <c r="C493" s="11">
        <f t="shared" si="146"/>
        <v>48510</v>
      </c>
      <c r="D493" s="8">
        <f t="shared" si="147"/>
        <v>641</v>
      </c>
      <c r="E493" s="11">
        <f t="shared" si="148"/>
        <v>40690</v>
      </c>
      <c r="F493" s="5">
        <f t="shared" si="149"/>
        <v>1091</v>
      </c>
      <c r="G493" s="5">
        <f t="shared" si="150"/>
        <v>32870</v>
      </c>
      <c r="J493" s="8">
        <f t="shared" si="151"/>
        <v>6.1099999999999097</v>
      </c>
      <c r="K493" s="13">
        <f t="shared" si="141"/>
        <v>83590</v>
      </c>
      <c r="P493" s="2">
        <f t="shared" si="143"/>
        <v>83590</v>
      </c>
      <c r="Q493" s="2">
        <f t="shared" si="144"/>
        <v>18630308</v>
      </c>
    </row>
    <row r="494" spans="1:17" x14ac:dyDescent="0.3">
      <c r="A494" s="3">
        <f t="shared" si="139"/>
        <v>492</v>
      </c>
      <c r="B494" s="8">
        <f t="shared" si="145"/>
        <v>1034</v>
      </c>
      <c r="C494" s="11">
        <f t="shared" si="146"/>
        <v>48620</v>
      </c>
      <c r="D494" s="8">
        <f t="shared" si="147"/>
        <v>642</v>
      </c>
      <c r="E494" s="11">
        <f t="shared" si="148"/>
        <v>40780</v>
      </c>
      <c r="F494" s="5">
        <f t="shared" si="149"/>
        <v>1092</v>
      </c>
      <c r="G494" s="5">
        <f t="shared" si="150"/>
        <v>32940</v>
      </c>
      <c r="J494" s="8">
        <f t="shared" si="151"/>
        <v>6.1199999999999095</v>
      </c>
      <c r="K494" s="13">
        <f t="shared" si="141"/>
        <v>83780</v>
      </c>
      <c r="P494" s="2">
        <f t="shared" si="143"/>
        <v>83780</v>
      </c>
      <c r="Q494" s="2">
        <f t="shared" si="144"/>
        <v>18714088</v>
      </c>
    </row>
    <row r="495" spans="1:17" x14ac:dyDescent="0.3">
      <c r="A495" s="3">
        <f t="shared" si="139"/>
        <v>493</v>
      </c>
      <c r="B495" s="8">
        <f t="shared" si="145"/>
        <v>1036</v>
      </c>
      <c r="C495" s="11">
        <f t="shared" si="146"/>
        <v>48730</v>
      </c>
      <c r="D495" s="8">
        <f t="shared" si="147"/>
        <v>643</v>
      </c>
      <c r="E495" s="11">
        <f t="shared" si="148"/>
        <v>40870</v>
      </c>
      <c r="F495" s="5">
        <f t="shared" si="149"/>
        <v>1093</v>
      </c>
      <c r="G495" s="5">
        <f t="shared" si="150"/>
        <v>33010</v>
      </c>
      <c r="J495" s="8">
        <f t="shared" si="151"/>
        <v>6.1299999999999093</v>
      </c>
      <c r="K495" s="13">
        <f t="shared" si="141"/>
        <v>83970</v>
      </c>
      <c r="P495" s="2">
        <f t="shared" si="143"/>
        <v>83970</v>
      </c>
      <c r="Q495" s="2">
        <f t="shared" si="144"/>
        <v>18798058</v>
      </c>
    </row>
    <row r="496" spans="1:17" x14ac:dyDescent="0.3">
      <c r="A496" s="3">
        <f t="shared" si="139"/>
        <v>494</v>
      </c>
      <c r="B496" s="8">
        <f t="shared" si="145"/>
        <v>1038</v>
      </c>
      <c r="C496" s="11">
        <f t="shared" si="146"/>
        <v>48840</v>
      </c>
      <c r="D496" s="8">
        <f t="shared" si="147"/>
        <v>644</v>
      </c>
      <c r="E496" s="11">
        <f t="shared" si="148"/>
        <v>40960</v>
      </c>
      <c r="F496" s="5">
        <f t="shared" si="149"/>
        <v>1094</v>
      </c>
      <c r="G496" s="5">
        <f t="shared" si="150"/>
        <v>33080</v>
      </c>
      <c r="J496" s="8">
        <f t="shared" si="151"/>
        <v>6.1399999999999091</v>
      </c>
      <c r="K496" s="13">
        <f t="shared" si="141"/>
        <v>84160</v>
      </c>
      <c r="P496" s="2">
        <f t="shared" si="143"/>
        <v>84160</v>
      </c>
      <c r="Q496" s="2">
        <f t="shared" si="144"/>
        <v>18882218</v>
      </c>
    </row>
    <row r="497" spans="1:17" x14ac:dyDescent="0.3">
      <c r="A497" s="3">
        <f t="shared" si="139"/>
        <v>495</v>
      </c>
      <c r="B497" s="8">
        <f t="shared" si="145"/>
        <v>1040</v>
      </c>
      <c r="C497" s="11">
        <f t="shared" si="146"/>
        <v>48950</v>
      </c>
      <c r="D497" s="8">
        <f t="shared" si="147"/>
        <v>645</v>
      </c>
      <c r="E497" s="11">
        <f t="shared" si="148"/>
        <v>41050</v>
      </c>
      <c r="F497" s="5">
        <f t="shared" si="149"/>
        <v>1095</v>
      </c>
      <c r="G497" s="5">
        <f t="shared" si="150"/>
        <v>33150</v>
      </c>
      <c r="J497" s="8">
        <f t="shared" si="151"/>
        <v>6.1499999999999089</v>
      </c>
      <c r="K497" s="13">
        <f t="shared" si="141"/>
        <v>84350</v>
      </c>
      <c r="P497" s="2">
        <f t="shared" si="143"/>
        <v>84350</v>
      </c>
      <c r="Q497" s="2">
        <f t="shared" si="144"/>
        <v>18966568</v>
      </c>
    </row>
    <row r="498" spans="1:17" x14ac:dyDescent="0.3">
      <c r="A498" s="3">
        <f t="shared" si="139"/>
        <v>496</v>
      </c>
      <c r="B498" s="8">
        <f t="shared" si="145"/>
        <v>1042</v>
      </c>
      <c r="C498" s="11">
        <f t="shared" si="146"/>
        <v>49060</v>
      </c>
      <c r="D498" s="8">
        <f t="shared" si="147"/>
        <v>646</v>
      </c>
      <c r="E498" s="11">
        <f t="shared" si="148"/>
        <v>41140</v>
      </c>
      <c r="F498" s="5">
        <f t="shared" si="149"/>
        <v>1096</v>
      </c>
      <c r="G498" s="5">
        <f t="shared" si="150"/>
        <v>33220</v>
      </c>
      <c r="J498" s="8">
        <f t="shared" si="151"/>
        <v>6.1599999999999087</v>
      </c>
      <c r="K498" s="13">
        <f t="shared" si="141"/>
        <v>84540</v>
      </c>
      <c r="P498" s="2">
        <f t="shared" si="143"/>
        <v>84540</v>
      </c>
      <c r="Q498" s="2">
        <f t="shared" si="144"/>
        <v>19051108</v>
      </c>
    </row>
    <row r="499" spans="1:17" x14ac:dyDescent="0.3">
      <c r="A499" s="3">
        <f t="shared" si="139"/>
        <v>497</v>
      </c>
      <c r="B499" s="8">
        <f t="shared" si="145"/>
        <v>1044</v>
      </c>
      <c r="C499" s="11">
        <f t="shared" si="146"/>
        <v>49170</v>
      </c>
      <c r="D499" s="8">
        <f t="shared" si="147"/>
        <v>647</v>
      </c>
      <c r="E499" s="11">
        <f t="shared" si="148"/>
        <v>41230</v>
      </c>
      <c r="F499" s="5">
        <f t="shared" si="149"/>
        <v>1097</v>
      </c>
      <c r="G499" s="5">
        <f t="shared" si="150"/>
        <v>33290</v>
      </c>
      <c r="J499" s="8">
        <f t="shared" si="151"/>
        <v>6.1699999999999084</v>
      </c>
      <c r="K499" s="13">
        <f t="shared" si="141"/>
        <v>84730</v>
      </c>
      <c r="P499" s="2">
        <f t="shared" si="143"/>
        <v>84730</v>
      </c>
      <c r="Q499" s="2">
        <f t="shared" si="144"/>
        <v>19135838</v>
      </c>
    </row>
    <row r="500" spans="1:17" x14ac:dyDescent="0.3">
      <c r="A500" s="3">
        <f t="shared" si="139"/>
        <v>498</v>
      </c>
      <c r="B500" s="8">
        <f t="shared" si="145"/>
        <v>1046</v>
      </c>
      <c r="C500" s="11">
        <f t="shared" si="146"/>
        <v>49280</v>
      </c>
      <c r="D500" s="8">
        <f t="shared" si="147"/>
        <v>648</v>
      </c>
      <c r="E500" s="11">
        <f t="shared" si="148"/>
        <v>41320</v>
      </c>
      <c r="F500" s="5">
        <f t="shared" si="149"/>
        <v>1098</v>
      </c>
      <c r="G500" s="5">
        <f t="shared" si="150"/>
        <v>33360</v>
      </c>
      <c r="J500" s="8">
        <f t="shared" si="151"/>
        <v>6.1799999999999082</v>
      </c>
      <c r="K500" s="13">
        <f t="shared" si="141"/>
        <v>84920</v>
      </c>
      <c r="P500" s="2">
        <f t="shared" si="143"/>
        <v>84920</v>
      </c>
      <c r="Q500" s="2">
        <f t="shared" si="144"/>
        <v>19220758</v>
      </c>
    </row>
    <row r="501" spans="1:17" x14ac:dyDescent="0.3">
      <c r="A501" s="3">
        <f t="shared" si="139"/>
        <v>499</v>
      </c>
      <c r="B501" s="8">
        <f t="shared" si="145"/>
        <v>1048</v>
      </c>
      <c r="C501" s="11">
        <f t="shared" si="146"/>
        <v>49390</v>
      </c>
      <c r="D501" s="8">
        <f t="shared" si="147"/>
        <v>649</v>
      </c>
      <c r="E501" s="11">
        <f t="shared" si="148"/>
        <v>41410</v>
      </c>
      <c r="F501" s="5">
        <f t="shared" si="149"/>
        <v>1099</v>
      </c>
      <c r="G501" s="5">
        <f t="shared" si="150"/>
        <v>33430</v>
      </c>
      <c r="J501" s="8">
        <f t="shared" si="151"/>
        <v>6.189999999999908</v>
      </c>
      <c r="K501" s="13">
        <f t="shared" si="141"/>
        <v>85110</v>
      </c>
      <c r="P501" s="2">
        <f t="shared" si="143"/>
        <v>85110</v>
      </c>
      <c r="Q501" s="2">
        <f t="shared" si="144"/>
        <v>19305868</v>
      </c>
    </row>
    <row r="502" spans="1:17" x14ac:dyDescent="0.3">
      <c r="A502" s="3">
        <f t="shared" si="139"/>
        <v>500</v>
      </c>
      <c r="B502" s="8">
        <f t="shared" si="145"/>
        <v>1050</v>
      </c>
      <c r="C502" s="11">
        <v>-1</v>
      </c>
      <c r="D502" s="8">
        <f t="shared" si="147"/>
        <v>650</v>
      </c>
      <c r="E502" s="11">
        <v>-1</v>
      </c>
      <c r="F502" s="5">
        <f t="shared" si="149"/>
        <v>1100</v>
      </c>
      <c r="G502" s="5">
        <v>-1</v>
      </c>
      <c r="J502" s="8">
        <f t="shared" si="151"/>
        <v>6.1999999999999078</v>
      </c>
      <c r="K502" s="13">
        <v>-1</v>
      </c>
      <c r="P502" s="2">
        <f t="shared" si="143"/>
        <v>-1</v>
      </c>
      <c r="Q502" s="2">
        <f t="shared" si="144"/>
        <v>19305867</v>
      </c>
    </row>
    <row r="503" spans="1:17" x14ac:dyDescent="0.3">
      <c r="A503" s="3"/>
      <c r="P503" s="2"/>
    </row>
    <row r="504" spans="1:17" x14ac:dyDescent="0.3">
      <c r="A504" s="3"/>
    </row>
    <row r="505" spans="1:17" x14ac:dyDescent="0.3">
      <c r="A505" s="3"/>
    </row>
    <row r="506" spans="1:17" x14ac:dyDescent="0.3">
      <c r="A506" s="3"/>
    </row>
    <row r="507" spans="1:17" x14ac:dyDescent="0.3">
      <c r="A507" s="3"/>
    </row>
    <row r="508" spans="1:17" x14ac:dyDescent="0.3">
      <c r="A508" s="3"/>
    </row>
    <row r="509" spans="1:17" x14ac:dyDescent="0.3">
      <c r="A509" s="3"/>
    </row>
    <row r="510" spans="1:17" x14ac:dyDescent="0.3">
      <c r="A510" s="3"/>
    </row>
    <row r="511" spans="1:17" x14ac:dyDescent="0.3">
      <c r="A511" s="3"/>
    </row>
    <row r="512" spans="1:17" x14ac:dyDescent="0.3">
      <c r="A512" s="3"/>
    </row>
    <row r="513" spans="1:1" x14ac:dyDescent="0.3">
      <c r="A513" s="3"/>
    </row>
    <row r="514" spans="1:1" x14ac:dyDescent="0.3">
      <c r="A514" s="3"/>
    </row>
    <row r="515" spans="1:1" x14ac:dyDescent="0.3">
      <c r="A515" s="3"/>
    </row>
    <row r="516" spans="1:1" x14ac:dyDescent="0.3">
      <c r="A516" s="3"/>
    </row>
    <row r="517" spans="1:1" x14ac:dyDescent="0.3">
      <c r="A517" s="3"/>
    </row>
    <row r="518" spans="1:1" x14ac:dyDescent="0.3">
      <c r="A518" s="3"/>
    </row>
    <row r="519" spans="1:1" x14ac:dyDescent="0.3">
      <c r="A519" s="3"/>
    </row>
    <row r="520" spans="1:1" x14ac:dyDescent="0.3">
      <c r="A520" s="3"/>
    </row>
    <row r="521" spans="1:1" x14ac:dyDescent="0.3">
      <c r="A521" s="3"/>
    </row>
    <row r="522" spans="1:1" x14ac:dyDescent="0.3">
      <c r="A522" s="3"/>
    </row>
    <row r="523" spans="1:1" x14ac:dyDescent="0.3">
      <c r="A523" s="3"/>
    </row>
    <row r="524" spans="1:1" x14ac:dyDescent="0.3">
      <c r="A524" s="3"/>
    </row>
    <row r="525" spans="1:1" x14ac:dyDescent="0.3">
      <c r="A525" s="3"/>
    </row>
    <row r="526" spans="1:1" x14ac:dyDescent="0.3">
      <c r="A526" s="3"/>
    </row>
    <row r="527" spans="1:1" x14ac:dyDescent="0.3">
      <c r="A527" s="3"/>
    </row>
    <row r="528" spans="1:1" x14ac:dyDescent="0.3">
      <c r="A528" s="3"/>
    </row>
    <row r="529" spans="1:1" x14ac:dyDescent="0.3">
      <c r="A529" s="3"/>
    </row>
    <row r="530" spans="1:1" x14ac:dyDescent="0.3">
      <c r="A530" s="3"/>
    </row>
    <row r="531" spans="1:1" x14ac:dyDescent="0.3">
      <c r="A531" s="3"/>
    </row>
    <row r="532" spans="1:1" x14ac:dyDescent="0.3">
      <c r="A532" s="3"/>
    </row>
    <row r="533" spans="1:1" x14ac:dyDescent="0.3">
      <c r="A533" s="3"/>
    </row>
    <row r="534" spans="1:1" x14ac:dyDescent="0.3">
      <c r="A534" s="3"/>
    </row>
    <row r="535" spans="1:1" x14ac:dyDescent="0.3">
      <c r="A535" s="3"/>
    </row>
    <row r="536" spans="1:1" x14ac:dyDescent="0.3">
      <c r="A536" s="3"/>
    </row>
    <row r="537" spans="1:1" x14ac:dyDescent="0.3">
      <c r="A537" s="3"/>
    </row>
    <row r="538" spans="1:1" x14ac:dyDescent="0.3">
      <c r="A538" s="3"/>
    </row>
    <row r="539" spans="1:1" x14ac:dyDescent="0.3">
      <c r="A539" s="3"/>
    </row>
    <row r="540" spans="1:1" x14ac:dyDescent="0.3">
      <c r="A540" s="3"/>
    </row>
    <row r="541" spans="1:1" x14ac:dyDescent="0.3">
      <c r="A541" s="3"/>
    </row>
    <row r="542" spans="1:1" x14ac:dyDescent="0.3">
      <c r="A542" s="3"/>
    </row>
    <row r="543" spans="1:1" x14ac:dyDescent="0.3">
      <c r="A543" s="3"/>
    </row>
    <row r="544" spans="1:1" x14ac:dyDescent="0.3">
      <c r="A544" s="3"/>
    </row>
    <row r="545" spans="1:1" x14ac:dyDescent="0.3">
      <c r="A545" s="3"/>
    </row>
    <row r="546" spans="1:1" x14ac:dyDescent="0.3">
      <c r="A546" s="3"/>
    </row>
    <row r="547" spans="1:1" x14ac:dyDescent="0.3">
      <c r="A547" s="3"/>
    </row>
    <row r="548" spans="1:1" x14ac:dyDescent="0.3">
      <c r="A548" s="3"/>
    </row>
    <row r="549" spans="1:1" x14ac:dyDescent="0.3">
      <c r="A549" s="3"/>
    </row>
    <row r="550" spans="1:1" x14ac:dyDescent="0.3">
      <c r="A550" s="3"/>
    </row>
    <row r="551" spans="1:1" x14ac:dyDescent="0.3">
      <c r="A551" s="3"/>
    </row>
    <row r="552" spans="1:1" x14ac:dyDescent="0.3">
      <c r="A552" s="3"/>
    </row>
    <row r="553" spans="1:1" x14ac:dyDescent="0.3">
      <c r="A553" s="3"/>
    </row>
    <row r="554" spans="1:1" x14ac:dyDescent="0.3">
      <c r="A554" s="3"/>
    </row>
    <row r="555" spans="1:1" x14ac:dyDescent="0.3">
      <c r="A555" s="3"/>
    </row>
    <row r="556" spans="1:1" x14ac:dyDescent="0.3">
      <c r="A556" s="3"/>
    </row>
    <row r="557" spans="1:1" x14ac:dyDescent="0.3">
      <c r="A557" s="3"/>
    </row>
    <row r="558" spans="1:1" x14ac:dyDescent="0.3">
      <c r="A558" s="3"/>
    </row>
    <row r="559" spans="1:1" x14ac:dyDescent="0.3">
      <c r="A559" s="3"/>
    </row>
    <row r="560" spans="1:1" x14ac:dyDescent="0.3">
      <c r="A560" s="3"/>
    </row>
    <row r="561" spans="1:1" x14ac:dyDescent="0.3">
      <c r="A561" s="3"/>
    </row>
    <row r="562" spans="1:1" x14ac:dyDescent="0.3">
      <c r="A562" s="3"/>
    </row>
    <row r="563" spans="1:1" x14ac:dyDescent="0.3">
      <c r="A563" s="3"/>
    </row>
    <row r="564" spans="1:1" x14ac:dyDescent="0.3">
      <c r="A564" s="3"/>
    </row>
    <row r="565" spans="1:1" x14ac:dyDescent="0.3">
      <c r="A565" s="3"/>
    </row>
    <row r="566" spans="1:1" x14ac:dyDescent="0.3">
      <c r="A566" s="3"/>
    </row>
    <row r="567" spans="1:1" x14ac:dyDescent="0.3">
      <c r="A567" s="3"/>
    </row>
    <row r="568" spans="1:1" x14ac:dyDescent="0.3">
      <c r="A568" s="3"/>
    </row>
    <row r="569" spans="1:1" x14ac:dyDescent="0.3">
      <c r="A569" s="3"/>
    </row>
    <row r="570" spans="1:1" x14ac:dyDescent="0.3">
      <c r="A570" s="3"/>
    </row>
    <row r="571" spans="1:1" x14ac:dyDescent="0.3">
      <c r="A571" s="3"/>
    </row>
    <row r="572" spans="1:1" x14ac:dyDescent="0.3">
      <c r="A572" s="3"/>
    </row>
    <row r="573" spans="1:1" x14ac:dyDescent="0.3">
      <c r="A573" s="3"/>
    </row>
    <row r="574" spans="1:1" x14ac:dyDescent="0.3">
      <c r="A574" s="3"/>
    </row>
    <row r="575" spans="1:1" x14ac:dyDescent="0.3">
      <c r="A575" s="3"/>
    </row>
    <row r="576" spans="1:1" x14ac:dyDescent="0.3">
      <c r="A576" s="3"/>
    </row>
    <row r="577" spans="1:1" x14ac:dyDescent="0.3">
      <c r="A577" s="3"/>
    </row>
    <row r="578" spans="1:1" x14ac:dyDescent="0.3">
      <c r="A578" s="3"/>
    </row>
    <row r="579" spans="1:1" x14ac:dyDescent="0.3">
      <c r="A579" s="3"/>
    </row>
    <row r="580" spans="1:1" x14ac:dyDescent="0.3">
      <c r="A580" s="3"/>
    </row>
    <row r="581" spans="1:1" x14ac:dyDescent="0.3">
      <c r="A581" s="3"/>
    </row>
    <row r="582" spans="1:1" x14ac:dyDescent="0.3">
      <c r="A582" s="3"/>
    </row>
    <row r="583" spans="1:1" x14ac:dyDescent="0.3">
      <c r="A583" s="3"/>
    </row>
    <row r="584" spans="1:1" x14ac:dyDescent="0.3">
      <c r="A584" s="3"/>
    </row>
    <row r="585" spans="1:1" x14ac:dyDescent="0.3">
      <c r="A585" s="3"/>
    </row>
    <row r="586" spans="1:1" x14ac:dyDescent="0.3">
      <c r="A586" s="3"/>
    </row>
    <row r="587" spans="1:1" x14ac:dyDescent="0.3">
      <c r="A587" s="3"/>
    </row>
  </sheetData>
  <phoneticPr fontId="1" type="noConversion"/>
  <conditionalFormatting sqref="P3:P50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{0D1B5A25-A905-425F-A066-A8E7ED9D9002}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1B5A25-A905-425F-A066-A8E7ED9D9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P3:P503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2025-11-05T18:41:52Z</dcterms:modified>
</cp:coreProperties>
</file>