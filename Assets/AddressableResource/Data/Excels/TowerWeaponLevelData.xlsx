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231"/>
  <workbookPr/>
  <mc:AlternateContent xmlns:mc="http://schemas.openxmlformats.org/markup-compatibility/2006">
    <mc:Choice Requires="x15">
      <x15ac:absPath xmlns:x15ac="http://schemas.microsoft.com/office/spreadsheetml/2010/11/ac" url="D:\workspace\YMAMiniGames\YMAMinigame\Assets\AddressableResource\Data\Excels\"/>
    </mc:Choice>
  </mc:AlternateContent>
  <xr:revisionPtr revIDLastSave="0" documentId="13_ncr:1_{5EA609FF-0F4C-4EE1-B1D4-430980316F32}" xr6:coauthVersionLast="47" xr6:coauthVersionMax="47" xr10:uidLastSave="{00000000-0000-0000-0000-000000000000}"/>
  <bookViews>
    <workbookView xWindow="38280" yWindow="1155" windowWidth="38640" windowHeight="21120" xr2:uid="{00000000-000D-0000-FFFF-FFFF00000000}"/>
  </bookViews>
  <sheets>
    <sheet name="Data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867" i="1" l="1"/>
  <c r="C868" i="1"/>
  <c r="C869" i="1"/>
  <c r="C870" i="1"/>
  <c r="C871" i="1"/>
  <c r="C872" i="1"/>
  <c r="C873" i="1"/>
  <c r="C874" i="1"/>
  <c r="C875" i="1"/>
  <c r="C876" i="1"/>
  <c r="C877" i="1"/>
  <c r="C878" i="1"/>
  <c r="C879" i="1"/>
  <c r="C880" i="1"/>
  <c r="C881" i="1"/>
  <c r="C882" i="1"/>
  <c r="C883" i="1"/>
  <c r="C884" i="1"/>
  <c r="C885" i="1"/>
  <c r="C886" i="1"/>
  <c r="C887" i="1"/>
  <c r="C888" i="1"/>
  <c r="C889" i="1"/>
  <c r="C890" i="1"/>
  <c r="C891" i="1"/>
  <c r="C892" i="1"/>
  <c r="B977" i="1"/>
  <c r="B967" i="1" s="1"/>
  <c r="D977" i="1"/>
  <c r="D967" i="1" s="1"/>
  <c r="D957" i="1" s="1"/>
  <c r="D947" i="1" s="1"/>
  <c r="D937" i="1" s="1"/>
  <c r="D927" i="1" s="1"/>
  <c r="D917" i="1" s="1"/>
  <c r="D907" i="1" s="1"/>
  <c r="D897" i="1" s="1"/>
  <c r="B978" i="1"/>
  <c r="B968" i="1" s="1"/>
  <c r="D978" i="1"/>
  <c r="D968" i="1" s="1"/>
  <c r="D958" i="1" s="1"/>
  <c r="D948" i="1" s="1"/>
  <c r="D938" i="1" s="1"/>
  <c r="D928" i="1" s="1"/>
  <c r="D918" i="1" s="1"/>
  <c r="D908" i="1" s="1"/>
  <c r="D898" i="1" s="1"/>
  <c r="B981" i="1"/>
  <c r="B971" i="1" s="1"/>
  <c r="D981" i="1"/>
  <c r="D971" i="1" s="1"/>
  <c r="D961" i="1" s="1"/>
  <c r="D951" i="1" s="1"/>
  <c r="D941" i="1" s="1"/>
  <c r="D931" i="1" s="1"/>
  <c r="D921" i="1" s="1"/>
  <c r="D911" i="1" s="1"/>
  <c r="D901" i="1" s="1"/>
  <c r="B982" i="1"/>
  <c r="B972" i="1" s="1"/>
  <c r="D982" i="1"/>
  <c r="D972" i="1" s="1"/>
  <c r="D962" i="1" s="1"/>
  <c r="D952" i="1" s="1"/>
  <c r="D942" i="1" s="1"/>
  <c r="D932" i="1" s="1"/>
  <c r="D922" i="1" s="1"/>
  <c r="D912" i="1" s="1"/>
  <c r="D902" i="1" s="1"/>
  <c r="B983" i="1"/>
  <c r="B973" i="1" s="1"/>
  <c r="D983" i="1"/>
  <c r="D973" i="1" s="1"/>
  <c r="D963" i="1" s="1"/>
  <c r="D953" i="1" s="1"/>
  <c r="D943" i="1" s="1"/>
  <c r="D933" i="1" s="1"/>
  <c r="D923" i="1" s="1"/>
  <c r="D913" i="1" s="1"/>
  <c r="D903" i="1" s="1"/>
  <c r="D893" i="1" s="1"/>
  <c r="B984" i="1"/>
  <c r="B974" i="1" s="1"/>
  <c r="D984" i="1"/>
  <c r="D974" i="1" s="1"/>
  <c r="D964" i="1" s="1"/>
  <c r="D954" i="1" s="1"/>
  <c r="D944" i="1" s="1"/>
  <c r="D934" i="1" s="1"/>
  <c r="D924" i="1" s="1"/>
  <c r="D914" i="1" s="1"/>
  <c r="D904" i="1" s="1"/>
  <c r="D894" i="1" s="1"/>
  <c r="B985" i="1"/>
  <c r="B975" i="1" s="1"/>
  <c r="D985" i="1"/>
  <c r="D975" i="1" s="1"/>
  <c r="D965" i="1" s="1"/>
  <c r="D955" i="1" s="1"/>
  <c r="D945" i="1" s="1"/>
  <c r="D935" i="1" s="1"/>
  <c r="D925" i="1" s="1"/>
  <c r="D915" i="1" s="1"/>
  <c r="D905" i="1" s="1"/>
  <c r="D895" i="1" s="1"/>
  <c r="B986" i="1"/>
  <c r="B976" i="1" s="1"/>
  <c r="D986" i="1"/>
  <c r="D976" i="1" s="1"/>
  <c r="D966" i="1" s="1"/>
  <c r="D956" i="1" s="1"/>
  <c r="D946" i="1" s="1"/>
  <c r="D936" i="1" s="1"/>
  <c r="D926" i="1" s="1"/>
  <c r="D916" i="1" s="1"/>
  <c r="D906" i="1" s="1"/>
  <c r="D896" i="1" s="1"/>
  <c r="B987" i="1"/>
  <c r="C987" i="1" s="1"/>
  <c r="D987" i="1"/>
  <c r="B988" i="1"/>
  <c r="D988" i="1"/>
  <c r="C988" i="1" s="1"/>
  <c r="B989" i="1"/>
  <c r="B979" i="1" s="1"/>
  <c r="D989" i="1"/>
  <c r="D979" i="1" s="1"/>
  <c r="D969" i="1" s="1"/>
  <c r="D959" i="1" s="1"/>
  <c r="D949" i="1" s="1"/>
  <c r="D939" i="1" s="1"/>
  <c r="D929" i="1" s="1"/>
  <c r="D919" i="1" s="1"/>
  <c r="D909" i="1" s="1"/>
  <c r="D899" i="1" s="1"/>
  <c r="B990" i="1"/>
  <c r="B980" i="1" s="1"/>
  <c r="D990" i="1"/>
  <c r="D980" i="1" s="1"/>
  <c r="D970" i="1" s="1"/>
  <c r="D960" i="1" s="1"/>
  <c r="D950" i="1" s="1"/>
  <c r="D940" i="1" s="1"/>
  <c r="D930" i="1" s="1"/>
  <c r="D920" i="1" s="1"/>
  <c r="D910" i="1" s="1"/>
  <c r="D900" i="1" s="1"/>
  <c r="D991" i="1"/>
  <c r="B991" i="1"/>
  <c r="D999" i="1"/>
  <c r="D998" i="1" s="1"/>
  <c r="D997" i="1" s="1"/>
  <c r="D996" i="1" s="1"/>
  <c r="D995" i="1" s="1"/>
  <c r="D994" i="1" s="1"/>
  <c r="D993" i="1" s="1"/>
  <c r="D992" i="1" s="1"/>
  <c r="D1000" i="1"/>
  <c r="D607" i="1"/>
  <c r="D605" i="1"/>
  <c r="D606" i="1"/>
  <c r="D604" i="1"/>
  <c r="D504" i="1"/>
  <c r="D505" i="1"/>
  <c r="D506" i="1"/>
  <c r="D507" i="1" s="1"/>
  <c r="D508" i="1" s="1"/>
  <c r="D509" i="1" s="1"/>
  <c r="D510" i="1" s="1"/>
  <c r="D511" i="1" s="1"/>
  <c r="D404" i="1"/>
  <c r="D405" i="1"/>
  <c r="D406" i="1" s="1"/>
  <c r="D407" i="1" s="1"/>
  <c r="D408" i="1" s="1"/>
  <c r="D409" i="1" s="1"/>
  <c r="D410" i="1" s="1"/>
  <c r="D411" i="1" s="1"/>
  <c r="D412" i="1" s="1"/>
  <c r="D320" i="1"/>
  <c r="D321" i="1" s="1"/>
  <c r="D322" i="1" s="1"/>
  <c r="D323" i="1" s="1"/>
  <c r="D324" i="1" s="1"/>
  <c r="D325" i="1" s="1"/>
  <c r="D326" i="1" s="1"/>
  <c r="D327" i="1" s="1"/>
  <c r="D328" i="1" s="1"/>
  <c r="D329" i="1" s="1"/>
  <c r="D330" i="1" s="1"/>
  <c r="D331" i="1" s="1"/>
  <c r="D332" i="1" s="1"/>
  <c r="D333" i="1" s="1"/>
  <c r="D334" i="1" s="1"/>
  <c r="D335" i="1" s="1"/>
  <c r="D336" i="1" s="1"/>
  <c r="D337" i="1" s="1"/>
  <c r="D303" i="1"/>
  <c r="D304" i="1"/>
  <c r="D305" i="1"/>
  <c r="D306" i="1"/>
  <c r="D307" i="1" s="1"/>
  <c r="D308" i="1" s="1"/>
  <c r="D309" i="1" s="1"/>
  <c r="D310" i="1" s="1"/>
  <c r="D311" i="1" s="1"/>
  <c r="D312" i="1" s="1"/>
  <c r="D313" i="1" s="1"/>
  <c r="D314" i="1" s="1"/>
  <c r="D315" i="1" s="1"/>
  <c r="D316" i="1" s="1"/>
  <c r="D317" i="1" s="1"/>
  <c r="D318" i="1" s="1"/>
  <c r="D319" i="1" s="1"/>
  <c r="B104" i="1"/>
  <c r="B105" i="1"/>
  <c r="B106" i="1"/>
  <c r="B107" i="1"/>
  <c r="B108" i="1"/>
  <c r="B109" i="1"/>
  <c r="B110" i="1"/>
  <c r="B111" i="1"/>
  <c r="B112" i="1"/>
  <c r="B113" i="1"/>
  <c r="B114" i="1"/>
  <c r="B115" i="1"/>
  <c r="B116" i="1"/>
  <c r="B117" i="1"/>
  <c r="B118" i="1"/>
  <c r="B128" i="1" s="1"/>
  <c r="B119" i="1"/>
  <c r="B129" i="1" s="1"/>
  <c r="B120" i="1"/>
  <c r="B130" i="1" s="1"/>
  <c r="B121" i="1"/>
  <c r="B131" i="1" s="1"/>
  <c r="B122" i="1"/>
  <c r="B132" i="1" s="1"/>
  <c r="B123" i="1"/>
  <c r="B124" i="1"/>
  <c r="B125" i="1"/>
  <c r="B126" i="1"/>
  <c r="B127" i="1"/>
  <c r="B103" i="1"/>
  <c r="C980" i="1" l="1"/>
  <c r="B970" i="1"/>
  <c r="B966" i="1"/>
  <c r="C976" i="1"/>
  <c r="C979" i="1"/>
  <c r="B969" i="1"/>
  <c r="B965" i="1"/>
  <c r="C975" i="1"/>
  <c r="B964" i="1"/>
  <c r="C974" i="1"/>
  <c r="B963" i="1"/>
  <c r="C973" i="1"/>
  <c r="C972" i="1"/>
  <c r="B962" i="1"/>
  <c r="C971" i="1"/>
  <c r="B961" i="1"/>
  <c r="B958" i="1"/>
  <c r="C968" i="1"/>
  <c r="B957" i="1"/>
  <c r="C967" i="1"/>
  <c r="C986" i="1"/>
  <c r="C978" i="1"/>
  <c r="C985" i="1"/>
  <c r="C977" i="1"/>
  <c r="C984" i="1"/>
  <c r="C983" i="1"/>
  <c r="C990" i="1"/>
  <c r="C982" i="1"/>
  <c r="C989" i="1"/>
  <c r="C981" i="1"/>
  <c r="B948" i="1" l="1"/>
  <c r="C958" i="1"/>
  <c r="B947" i="1"/>
  <c r="C957" i="1"/>
  <c r="B959" i="1"/>
  <c r="C969" i="1"/>
  <c r="B956" i="1"/>
  <c r="C966" i="1"/>
  <c r="B960" i="1"/>
  <c r="C970" i="1"/>
  <c r="B951" i="1"/>
  <c r="C961" i="1"/>
  <c r="B952" i="1"/>
  <c r="C962" i="1"/>
  <c r="C963" i="1"/>
  <c r="B953" i="1"/>
  <c r="C964" i="1"/>
  <c r="B954" i="1"/>
  <c r="B955" i="1"/>
  <c r="C965" i="1"/>
  <c r="B944" i="1" l="1"/>
  <c r="C954" i="1"/>
  <c r="B941" i="1"/>
  <c r="C951" i="1"/>
  <c r="B950" i="1"/>
  <c r="C960" i="1"/>
  <c r="C956" i="1"/>
  <c r="B946" i="1"/>
  <c r="C955" i="1"/>
  <c r="B945" i="1"/>
  <c r="B943" i="1"/>
  <c r="C953" i="1"/>
  <c r="B942" i="1"/>
  <c r="C952" i="1"/>
  <c r="B949" i="1"/>
  <c r="C959" i="1"/>
  <c r="C947" i="1"/>
  <c r="B937" i="1"/>
  <c r="C948" i="1"/>
  <c r="B938" i="1"/>
  <c r="B928" i="1" l="1"/>
  <c r="C938" i="1"/>
  <c r="B934" i="1"/>
  <c r="C944" i="1"/>
  <c r="B927" i="1"/>
  <c r="C937" i="1"/>
  <c r="B939" i="1"/>
  <c r="C949" i="1"/>
  <c r="B932" i="1"/>
  <c r="C942" i="1"/>
  <c r="B933" i="1"/>
  <c r="C943" i="1"/>
  <c r="B935" i="1"/>
  <c r="C945" i="1"/>
  <c r="B936" i="1"/>
  <c r="C946" i="1"/>
  <c r="B940" i="1"/>
  <c r="C950" i="1"/>
  <c r="B931" i="1"/>
  <c r="C941" i="1"/>
  <c r="C931" i="1" l="1"/>
  <c r="B921" i="1"/>
  <c r="B925" i="1"/>
  <c r="C935" i="1"/>
  <c r="B923" i="1"/>
  <c r="C933" i="1"/>
  <c r="C940" i="1"/>
  <c r="B930" i="1"/>
  <c r="B926" i="1"/>
  <c r="C936" i="1"/>
  <c r="C932" i="1"/>
  <c r="B922" i="1"/>
  <c r="C939" i="1"/>
  <c r="B929" i="1"/>
  <c r="B917" i="1"/>
  <c r="C927" i="1"/>
  <c r="B924" i="1"/>
  <c r="C934" i="1"/>
  <c r="B918" i="1"/>
  <c r="C928" i="1"/>
  <c r="C924" i="1" l="1"/>
  <c r="B914" i="1"/>
  <c r="B907" i="1"/>
  <c r="C917" i="1"/>
  <c r="B919" i="1"/>
  <c r="C929" i="1"/>
  <c r="B912" i="1"/>
  <c r="C922" i="1"/>
  <c r="B920" i="1"/>
  <c r="C930" i="1"/>
  <c r="B908" i="1"/>
  <c r="C918" i="1"/>
  <c r="B916" i="1"/>
  <c r="C926" i="1"/>
  <c r="C923" i="1"/>
  <c r="B913" i="1"/>
  <c r="B915" i="1"/>
  <c r="C925" i="1"/>
  <c r="B911" i="1"/>
  <c r="C921" i="1"/>
  <c r="C908" i="1" l="1"/>
  <c r="B898" i="1"/>
  <c r="C915" i="1"/>
  <c r="B905" i="1"/>
  <c r="B903" i="1"/>
  <c r="C913" i="1"/>
  <c r="C916" i="1"/>
  <c r="B906" i="1"/>
  <c r="B910" i="1"/>
  <c r="C920" i="1"/>
  <c r="B909" i="1"/>
  <c r="C919" i="1"/>
  <c r="C907" i="1"/>
  <c r="B897" i="1"/>
  <c r="B904" i="1"/>
  <c r="C914" i="1"/>
  <c r="B901" i="1"/>
  <c r="C911" i="1"/>
  <c r="B902" i="1"/>
  <c r="C912" i="1"/>
  <c r="C902" i="1" l="1"/>
  <c r="C901" i="1"/>
  <c r="B894" i="1"/>
  <c r="C904" i="1"/>
  <c r="C897" i="1"/>
  <c r="B899" i="1"/>
  <c r="C909" i="1"/>
  <c r="B900" i="1"/>
  <c r="C910" i="1"/>
  <c r="B896" i="1"/>
  <c r="C906" i="1"/>
  <c r="B893" i="1"/>
  <c r="C903" i="1"/>
  <c r="B895" i="1"/>
  <c r="C905" i="1"/>
  <c r="C898" i="1"/>
  <c r="C896" i="1" l="1"/>
  <c r="C899" i="1"/>
  <c r="C895" i="1"/>
  <c r="C893" i="1"/>
  <c r="C900" i="1"/>
  <c r="C894" i="1"/>
  <c r="A992" i="1" l="1"/>
  <c r="C992" i="1"/>
  <c r="E992" i="1"/>
  <c r="F992" i="1"/>
  <c r="G992" i="1"/>
  <c r="I992" i="1"/>
  <c r="J992" i="1"/>
  <c r="K992" i="1"/>
  <c r="L992" i="1"/>
  <c r="M992" i="1"/>
  <c r="A993" i="1"/>
  <c r="C993" i="1"/>
  <c r="E993" i="1"/>
  <c r="F993" i="1"/>
  <c r="G993" i="1"/>
  <c r="G994" i="1" s="1"/>
  <c r="I993" i="1"/>
  <c r="J993" i="1"/>
  <c r="K993" i="1"/>
  <c r="L993" i="1"/>
  <c r="M993" i="1"/>
  <c r="A994" i="1"/>
  <c r="A995" i="1" s="1"/>
  <c r="A996" i="1" s="1"/>
  <c r="A997" i="1" s="1"/>
  <c r="A998" i="1" s="1"/>
  <c r="A999" i="1" s="1"/>
  <c r="A1000" i="1" s="1"/>
  <c r="A1001" i="1" s="1"/>
  <c r="A1002" i="1" s="1"/>
  <c r="C994" i="1"/>
  <c r="I994" i="1" s="1"/>
  <c r="E994" i="1"/>
  <c r="E995" i="1" s="1"/>
  <c r="E996" i="1" s="1"/>
  <c r="E997" i="1" s="1"/>
  <c r="E998" i="1" s="1"/>
  <c r="E999" i="1" s="1"/>
  <c r="E1000" i="1" s="1"/>
  <c r="E1001" i="1" s="1"/>
  <c r="E1002" i="1" s="1"/>
  <c r="F994" i="1"/>
  <c r="F995" i="1" s="1"/>
  <c r="F996" i="1" s="1"/>
  <c r="F997" i="1" s="1"/>
  <c r="F998" i="1" s="1"/>
  <c r="F999" i="1" s="1"/>
  <c r="F1000" i="1" s="1"/>
  <c r="F1001" i="1" s="1"/>
  <c r="F1002" i="1" s="1"/>
  <c r="J994" i="1"/>
  <c r="L994" i="1"/>
  <c r="C995" i="1"/>
  <c r="I995" i="1"/>
  <c r="J995" i="1"/>
  <c r="K995" i="1"/>
  <c r="L995" i="1"/>
  <c r="C996" i="1"/>
  <c r="I996" i="1"/>
  <c r="J996" i="1"/>
  <c r="K996" i="1"/>
  <c r="L996" i="1"/>
  <c r="C997" i="1"/>
  <c r="I997" i="1"/>
  <c r="J997" i="1"/>
  <c r="K997" i="1"/>
  <c r="L997" i="1"/>
  <c r="C998" i="1"/>
  <c r="K998" i="1" s="1"/>
  <c r="I998" i="1"/>
  <c r="J998" i="1"/>
  <c r="L998" i="1"/>
  <c r="C999" i="1"/>
  <c r="I999" i="1" s="1"/>
  <c r="J999" i="1"/>
  <c r="L999" i="1"/>
  <c r="C1000" i="1"/>
  <c r="I1000" i="1" s="1"/>
  <c r="J1000" i="1"/>
  <c r="K1000" i="1"/>
  <c r="L1000" i="1"/>
  <c r="C1001" i="1"/>
  <c r="K1001" i="1" s="1"/>
  <c r="J1001" i="1"/>
  <c r="L1001" i="1"/>
  <c r="A937" i="1"/>
  <c r="E937" i="1"/>
  <c r="F937" i="1"/>
  <c r="G937" i="1"/>
  <c r="I937" i="1"/>
  <c r="J937" i="1"/>
  <c r="K937" i="1"/>
  <c r="L937" i="1"/>
  <c r="M937" i="1"/>
  <c r="A938" i="1"/>
  <c r="E938" i="1"/>
  <c r="F938" i="1"/>
  <c r="G938" i="1"/>
  <c r="G939" i="1" s="1"/>
  <c r="I938" i="1"/>
  <c r="J938" i="1"/>
  <c r="K938" i="1"/>
  <c r="L938" i="1"/>
  <c r="M938" i="1"/>
  <c r="A939" i="1"/>
  <c r="A940" i="1" s="1"/>
  <c r="A941" i="1" s="1"/>
  <c r="A942" i="1" s="1"/>
  <c r="A943" i="1" s="1"/>
  <c r="A944" i="1" s="1"/>
  <c r="A945" i="1" s="1"/>
  <c r="A946" i="1" s="1"/>
  <c r="A947" i="1" s="1"/>
  <c r="A948" i="1" s="1"/>
  <c r="A949" i="1" s="1"/>
  <c r="A950" i="1" s="1"/>
  <c r="A951" i="1" s="1"/>
  <c r="A952" i="1" s="1"/>
  <c r="A953" i="1" s="1"/>
  <c r="A954" i="1" s="1"/>
  <c r="A955" i="1" s="1"/>
  <c r="A956" i="1" s="1"/>
  <c r="A957" i="1" s="1"/>
  <c r="A958" i="1" s="1"/>
  <c r="A959" i="1" s="1"/>
  <c r="A960" i="1" s="1"/>
  <c r="A961" i="1" s="1"/>
  <c r="A962" i="1" s="1"/>
  <c r="A963" i="1" s="1"/>
  <c r="A964" i="1" s="1"/>
  <c r="A965" i="1" s="1"/>
  <c r="A966" i="1" s="1"/>
  <c r="A967" i="1" s="1"/>
  <c r="A968" i="1" s="1"/>
  <c r="A969" i="1" s="1"/>
  <c r="A970" i="1" s="1"/>
  <c r="A971" i="1" s="1"/>
  <c r="A972" i="1" s="1"/>
  <c r="A973" i="1" s="1"/>
  <c r="A974" i="1" s="1"/>
  <c r="A975" i="1" s="1"/>
  <c r="A976" i="1" s="1"/>
  <c r="A977" i="1" s="1"/>
  <c r="A978" i="1" s="1"/>
  <c r="A979" i="1" s="1"/>
  <c r="A980" i="1" s="1"/>
  <c r="A981" i="1" s="1"/>
  <c r="A982" i="1" s="1"/>
  <c r="A983" i="1" s="1"/>
  <c r="A984" i="1" s="1"/>
  <c r="A985" i="1" s="1"/>
  <c r="A986" i="1" s="1"/>
  <c r="A987" i="1" s="1"/>
  <c r="A988" i="1" s="1"/>
  <c r="A989" i="1" s="1"/>
  <c r="A990" i="1" s="1"/>
  <c r="A991" i="1" s="1"/>
  <c r="I939" i="1"/>
  <c r="E939" i="1"/>
  <c r="E940" i="1" s="1"/>
  <c r="E941" i="1" s="1"/>
  <c r="E942" i="1" s="1"/>
  <c r="E943" i="1" s="1"/>
  <c r="E944" i="1" s="1"/>
  <c r="E945" i="1" s="1"/>
  <c r="E946" i="1" s="1"/>
  <c r="E947" i="1" s="1"/>
  <c r="E948" i="1" s="1"/>
  <c r="E949" i="1" s="1"/>
  <c r="E950" i="1" s="1"/>
  <c r="E951" i="1" s="1"/>
  <c r="E952" i="1" s="1"/>
  <c r="E953" i="1" s="1"/>
  <c r="E954" i="1" s="1"/>
  <c r="E955" i="1" s="1"/>
  <c r="E956" i="1" s="1"/>
  <c r="E957" i="1" s="1"/>
  <c r="E958" i="1" s="1"/>
  <c r="E959" i="1" s="1"/>
  <c r="E960" i="1" s="1"/>
  <c r="E961" i="1" s="1"/>
  <c r="E962" i="1" s="1"/>
  <c r="E963" i="1" s="1"/>
  <c r="E964" i="1" s="1"/>
  <c r="E965" i="1" s="1"/>
  <c r="E966" i="1" s="1"/>
  <c r="E967" i="1" s="1"/>
  <c r="E968" i="1" s="1"/>
  <c r="E969" i="1" s="1"/>
  <c r="E970" i="1" s="1"/>
  <c r="E971" i="1" s="1"/>
  <c r="E972" i="1" s="1"/>
  <c r="E973" i="1" s="1"/>
  <c r="E974" i="1" s="1"/>
  <c r="E975" i="1" s="1"/>
  <c r="E976" i="1" s="1"/>
  <c r="E977" i="1" s="1"/>
  <c r="E978" i="1" s="1"/>
  <c r="E979" i="1" s="1"/>
  <c r="E980" i="1" s="1"/>
  <c r="E981" i="1" s="1"/>
  <c r="E982" i="1" s="1"/>
  <c r="E983" i="1" s="1"/>
  <c r="E984" i="1" s="1"/>
  <c r="E985" i="1" s="1"/>
  <c r="E986" i="1" s="1"/>
  <c r="E987" i="1" s="1"/>
  <c r="E988" i="1" s="1"/>
  <c r="E989" i="1" s="1"/>
  <c r="E990" i="1" s="1"/>
  <c r="E991" i="1" s="1"/>
  <c r="F939" i="1"/>
  <c r="F940" i="1" s="1"/>
  <c r="F941" i="1" s="1"/>
  <c r="F942" i="1" s="1"/>
  <c r="F943" i="1" s="1"/>
  <c r="F944" i="1" s="1"/>
  <c r="F945" i="1" s="1"/>
  <c r="F946" i="1" s="1"/>
  <c r="F947" i="1" s="1"/>
  <c r="F948" i="1" s="1"/>
  <c r="F949" i="1" s="1"/>
  <c r="F950" i="1" s="1"/>
  <c r="F951" i="1" s="1"/>
  <c r="F952" i="1" s="1"/>
  <c r="F953" i="1" s="1"/>
  <c r="F954" i="1" s="1"/>
  <c r="F955" i="1" s="1"/>
  <c r="F956" i="1" s="1"/>
  <c r="F957" i="1" s="1"/>
  <c r="F958" i="1" s="1"/>
  <c r="F959" i="1" s="1"/>
  <c r="F960" i="1" s="1"/>
  <c r="F961" i="1" s="1"/>
  <c r="F962" i="1" s="1"/>
  <c r="F963" i="1" s="1"/>
  <c r="F964" i="1" s="1"/>
  <c r="F965" i="1" s="1"/>
  <c r="F966" i="1" s="1"/>
  <c r="F967" i="1" s="1"/>
  <c r="F968" i="1" s="1"/>
  <c r="F969" i="1" s="1"/>
  <c r="F970" i="1" s="1"/>
  <c r="F971" i="1" s="1"/>
  <c r="F972" i="1" s="1"/>
  <c r="F973" i="1" s="1"/>
  <c r="F974" i="1" s="1"/>
  <c r="F975" i="1" s="1"/>
  <c r="F976" i="1" s="1"/>
  <c r="F977" i="1" s="1"/>
  <c r="F978" i="1" s="1"/>
  <c r="F979" i="1" s="1"/>
  <c r="F980" i="1" s="1"/>
  <c r="F981" i="1" s="1"/>
  <c r="F982" i="1" s="1"/>
  <c r="F983" i="1" s="1"/>
  <c r="F984" i="1" s="1"/>
  <c r="F985" i="1" s="1"/>
  <c r="F986" i="1" s="1"/>
  <c r="F987" i="1" s="1"/>
  <c r="F988" i="1" s="1"/>
  <c r="F989" i="1" s="1"/>
  <c r="F990" i="1" s="1"/>
  <c r="F991" i="1" s="1"/>
  <c r="J939" i="1"/>
  <c r="L939" i="1"/>
  <c r="I940" i="1"/>
  <c r="J940" i="1"/>
  <c r="K940" i="1"/>
  <c r="L940" i="1"/>
  <c r="I941" i="1"/>
  <c r="J941" i="1"/>
  <c r="K941" i="1"/>
  <c r="L941" i="1"/>
  <c r="I942" i="1"/>
  <c r="J942" i="1"/>
  <c r="K942" i="1"/>
  <c r="L942" i="1"/>
  <c r="I943" i="1"/>
  <c r="J943" i="1"/>
  <c r="K943" i="1"/>
  <c r="L943" i="1"/>
  <c r="I944" i="1"/>
  <c r="J944" i="1"/>
  <c r="L944" i="1"/>
  <c r="I945" i="1"/>
  <c r="J945" i="1"/>
  <c r="K945" i="1"/>
  <c r="L945" i="1"/>
  <c r="K946" i="1"/>
  <c r="I946" i="1"/>
  <c r="J946" i="1"/>
  <c r="L946" i="1"/>
  <c r="I947" i="1"/>
  <c r="J947" i="1"/>
  <c r="K947" i="1"/>
  <c r="L947" i="1"/>
  <c r="I948" i="1"/>
  <c r="J948" i="1"/>
  <c r="K948" i="1"/>
  <c r="L948" i="1"/>
  <c r="I949" i="1"/>
  <c r="J949" i="1"/>
  <c r="K949" i="1"/>
  <c r="L949" i="1"/>
  <c r="I950" i="1"/>
  <c r="J950" i="1"/>
  <c r="K950" i="1"/>
  <c r="L950" i="1"/>
  <c r="I951" i="1"/>
  <c r="J951" i="1"/>
  <c r="L951" i="1"/>
  <c r="I952" i="1"/>
  <c r="J952" i="1"/>
  <c r="K952" i="1"/>
  <c r="L952" i="1"/>
  <c r="I953" i="1"/>
  <c r="J953" i="1"/>
  <c r="K953" i="1"/>
  <c r="L953" i="1"/>
  <c r="I954" i="1"/>
  <c r="J954" i="1"/>
  <c r="K954" i="1"/>
  <c r="L954" i="1"/>
  <c r="I955" i="1"/>
  <c r="J955" i="1"/>
  <c r="K955" i="1"/>
  <c r="L955" i="1"/>
  <c r="I956" i="1"/>
  <c r="J956" i="1"/>
  <c r="L956" i="1"/>
  <c r="I957" i="1"/>
  <c r="J957" i="1"/>
  <c r="K957" i="1"/>
  <c r="L957" i="1"/>
  <c r="K958" i="1"/>
  <c r="I958" i="1"/>
  <c r="J958" i="1"/>
  <c r="L958" i="1"/>
  <c r="I959" i="1"/>
  <c r="J959" i="1"/>
  <c r="K959" i="1"/>
  <c r="L959" i="1"/>
  <c r="I960" i="1"/>
  <c r="J960" i="1"/>
  <c r="K960" i="1"/>
  <c r="L960" i="1"/>
  <c r="I961" i="1"/>
  <c r="J961" i="1"/>
  <c r="K961" i="1"/>
  <c r="L961" i="1"/>
  <c r="I962" i="1"/>
  <c r="J962" i="1"/>
  <c r="K962" i="1"/>
  <c r="L962" i="1"/>
  <c r="I963" i="1"/>
  <c r="J963" i="1"/>
  <c r="L963" i="1"/>
  <c r="I964" i="1"/>
  <c r="J964" i="1"/>
  <c r="K964" i="1"/>
  <c r="L964" i="1"/>
  <c r="I965" i="1"/>
  <c r="J965" i="1"/>
  <c r="K965" i="1"/>
  <c r="L965" i="1"/>
  <c r="I966" i="1"/>
  <c r="J966" i="1"/>
  <c r="K966" i="1"/>
  <c r="L966" i="1"/>
  <c r="I967" i="1"/>
  <c r="J967" i="1"/>
  <c r="K967" i="1"/>
  <c r="L967" i="1"/>
  <c r="I968" i="1"/>
  <c r="J968" i="1"/>
  <c r="L968" i="1"/>
  <c r="I969" i="1"/>
  <c r="J969" i="1"/>
  <c r="K969" i="1"/>
  <c r="L969" i="1"/>
  <c r="K970" i="1"/>
  <c r="I970" i="1"/>
  <c r="J970" i="1"/>
  <c r="L970" i="1"/>
  <c r="I971" i="1"/>
  <c r="J971" i="1"/>
  <c r="K971" i="1"/>
  <c r="L971" i="1"/>
  <c r="I972" i="1"/>
  <c r="J972" i="1"/>
  <c r="K972" i="1"/>
  <c r="L972" i="1"/>
  <c r="I973" i="1"/>
  <c r="J973" i="1"/>
  <c r="K973" i="1"/>
  <c r="L973" i="1"/>
  <c r="I974" i="1"/>
  <c r="J974" i="1"/>
  <c r="K974" i="1"/>
  <c r="L974" i="1"/>
  <c r="I975" i="1"/>
  <c r="J975" i="1"/>
  <c r="L975" i="1"/>
  <c r="I976" i="1"/>
  <c r="J976" i="1"/>
  <c r="K976" i="1"/>
  <c r="L976" i="1"/>
  <c r="I977" i="1"/>
  <c r="J977" i="1"/>
  <c r="K977" i="1"/>
  <c r="L977" i="1"/>
  <c r="I978" i="1"/>
  <c r="J978" i="1"/>
  <c r="K978" i="1"/>
  <c r="L978" i="1"/>
  <c r="I979" i="1"/>
  <c r="J979" i="1"/>
  <c r="K979" i="1"/>
  <c r="L979" i="1"/>
  <c r="I980" i="1"/>
  <c r="J980" i="1"/>
  <c r="L980" i="1"/>
  <c r="I981" i="1"/>
  <c r="J981" i="1"/>
  <c r="K981" i="1"/>
  <c r="L981" i="1"/>
  <c r="K982" i="1"/>
  <c r="J982" i="1"/>
  <c r="L982" i="1"/>
  <c r="I983" i="1"/>
  <c r="J983" i="1"/>
  <c r="K983" i="1"/>
  <c r="L983" i="1"/>
  <c r="K984" i="1"/>
  <c r="J984" i="1"/>
  <c r="L984" i="1"/>
  <c r="I985" i="1"/>
  <c r="J985" i="1"/>
  <c r="K985" i="1"/>
  <c r="L985" i="1"/>
  <c r="I986" i="1"/>
  <c r="J986" i="1"/>
  <c r="K986" i="1"/>
  <c r="L986" i="1"/>
  <c r="I987" i="1"/>
  <c r="J987" i="1"/>
  <c r="L987" i="1"/>
  <c r="I988" i="1"/>
  <c r="J988" i="1"/>
  <c r="K988" i="1"/>
  <c r="L988" i="1"/>
  <c r="I989" i="1"/>
  <c r="J989" i="1"/>
  <c r="K989" i="1"/>
  <c r="L989" i="1"/>
  <c r="I990" i="1"/>
  <c r="J990" i="1"/>
  <c r="K990" i="1"/>
  <c r="L990" i="1"/>
  <c r="C991" i="1"/>
  <c r="I991" i="1"/>
  <c r="J991" i="1"/>
  <c r="K991" i="1"/>
  <c r="L991" i="1"/>
  <c r="A741" i="1"/>
  <c r="C741" i="1"/>
  <c r="E741" i="1"/>
  <c r="F741" i="1"/>
  <c r="G741" i="1"/>
  <c r="I741" i="1"/>
  <c r="J741" i="1"/>
  <c r="K741" i="1"/>
  <c r="L741" i="1"/>
  <c r="M741" i="1"/>
  <c r="A742" i="1"/>
  <c r="C742" i="1"/>
  <c r="E742" i="1"/>
  <c r="F742" i="1"/>
  <c r="G742" i="1"/>
  <c r="G743" i="1" s="1"/>
  <c r="I742" i="1"/>
  <c r="J742" i="1"/>
  <c r="K742" i="1"/>
  <c r="L742" i="1"/>
  <c r="M742" i="1"/>
  <c r="A743" i="1"/>
  <c r="A744" i="1" s="1"/>
  <c r="A745" i="1" s="1"/>
  <c r="A746" i="1" s="1"/>
  <c r="A747" i="1" s="1"/>
  <c r="A748" i="1" s="1"/>
  <c r="A749" i="1" s="1"/>
  <c r="A750" i="1" s="1"/>
  <c r="A751" i="1" s="1"/>
  <c r="A752" i="1" s="1"/>
  <c r="A753" i="1" s="1"/>
  <c r="A754" i="1" s="1"/>
  <c r="A755" i="1" s="1"/>
  <c r="A756" i="1" s="1"/>
  <c r="A757" i="1" s="1"/>
  <c r="A758" i="1" s="1"/>
  <c r="A759" i="1" s="1"/>
  <c r="A760" i="1" s="1"/>
  <c r="A761" i="1" s="1"/>
  <c r="A762" i="1" s="1"/>
  <c r="A763" i="1" s="1"/>
  <c r="A764" i="1" s="1"/>
  <c r="A765" i="1" s="1"/>
  <c r="A766" i="1" s="1"/>
  <c r="A767" i="1" s="1"/>
  <c r="A768" i="1" s="1"/>
  <c r="A769" i="1" s="1"/>
  <c r="A770" i="1" s="1"/>
  <c r="A771" i="1" s="1"/>
  <c r="A772" i="1" s="1"/>
  <c r="A773" i="1" s="1"/>
  <c r="A774" i="1" s="1"/>
  <c r="A775" i="1" s="1"/>
  <c r="A776" i="1" s="1"/>
  <c r="A777" i="1" s="1"/>
  <c r="A778" i="1" s="1"/>
  <c r="A779" i="1" s="1"/>
  <c r="A780" i="1" s="1"/>
  <c r="A781" i="1" s="1"/>
  <c r="A782" i="1" s="1"/>
  <c r="A783" i="1" s="1"/>
  <c r="A784" i="1" s="1"/>
  <c r="A785" i="1" s="1"/>
  <c r="A786" i="1" s="1"/>
  <c r="A787" i="1" s="1"/>
  <c r="A788" i="1" s="1"/>
  <c r="A789" i="1" s="1"/>
  <c r="A790" i="1" s="1"/>
  <c r="A791" i="1" s="1"/>
  <c r="A792" i="1" s="1"/>
  <c r="A793" i="1" s="1"/>
  <c r="A794" i="1" s="1"/>
  <c r="A795" i="1" s="1"/>
  <c r="A796" i="1" s="1"/>
  <c r="A797" i="1" s="1"/>
  <c r="A798" i="1" s="1"/>
  <c r="A799" i="1" s="1"/>
  <c r="A800" i="1" s="1"/>
  <c r="A801" i="1" s="1"/>
  <c r="A802" i="1" s="1"/>
  <c r="A803" i="1" s="1"/>
  <c r="A804" i="1" s="1"/>
  <c r="A805" i="1" s="1"/>
  <c r="A806" i="1" s="1"/>
  <c r="A807" i="1" s="1"/>
  <c r="A808" i="1" s="1"/>
  <c r="A809" i="1" s="1"/>
  <c r="A810" i="1" s="1"/>
  <c r="A811" i="1" s="1"/>
  <c r="A812" i="1" s="1"/>
  <c r="A813" i="1" s="1"/>
  <c r="A814" i="1" s="1"/>
  <c r="A815" i="1" s="1"/>
  <c r="A816" i="1" s="1"/>
  <c r="A817" i="1" s="1"/>
  <c r="A818" i="1" s="1"/>
  <c r="A819" i="1" s="1"/>
  <c r="A820" i="1" s="1"/>
  <c r="A821" i="1" s="1"/>
  <c r="A822" i="1" s="1"/>
  <c r="A823" i="1" s="1"/>
  <c r="A824" i="1" s="1"/>
  <c r="A825" i="1" s="1"/>
  <c r="A826" i="1" s="1"/>
  <c r="A827" i="1" s="1"/>
  <c r="A828" i="1" s="1"/>
  <c r="A829" i="1" s="1"/>
  <c r="A830" i="1" s="1"/>
  <c r="A831" i="1" s="1"/>
  <c r="A832" i="1" s="1"/>
  <c r="A833" i="1" s="1"/>
  <c r="A834" i="1" s="1"/>
  <c r="A835" i="1" s="1"/>
  <c r="A836" i="1" s="1"/>
  <c r="A837" i="1" s="1"/>
  <c r="A838" i="1" s="1"/>
  <c r="A839" i="1" s="1"/>
  <c r="A840" i="1" s="1"/>
  <c r="A841" i="1" s="1"/>
  <c r="A842" i="1" s="1"/>
  <c r="A843" i="1" s="1"/>
  <c r="A844" i="1" s="1"/>
  <c r="A845" i="1" s="1"/>
  <c r="A846" i="1" s="1"/>
  <c r="A847" i="1" s="1"/>
  <c r="A848" i="1" s="1"/>
  <c r="A849" i="1" s="1"/>
  <c r="A850" i="1" s="1"/>
  <c r="A851" i="1" s="1"/>
  <c r="A852" i="1" s="1"/>
  <c r="A853" i="1" s="1"/>
  <c r="A854" i="1" s="1"/>
  <c r="A855" i="1" s="1"/>
  <c r="A856" i="1" s="1"/>
  <c r="A857" i="1" s="1"/>
  <c r="A858" i="1" s="1"/>
  <c r="A859" i="1" s="1"/>
  <c r="A860" i="1" s="1"/>
  <c r="A861" i="1" s="1"/>
  <c r="A862" i="1" s="1"/>
  <c r="A863" i="1" s="1"/>
  <c r="A864" i="1" s="1"/>
  <c r="A865" i="1" s="1"/>
  <c r="A866" i="1" s="1"/>
  <c r="A867" i="1" s="1"/>
  <c r="A868" i="1" s="1"/>
  <c r="A869" i="1" s="1"/>
  <c r="A870" i="1" s="1"/>
  <c r="A871" i="1" s="1"/>
  <c r="A872" i="1" s="1"/>
  <c r="A873" i="1" s="1"/>
  <c r="A874" i="1" s="1"/>
  <c r="A875" i="1" s="1"/>
  <c r="A876" i="1" s="1"/>
  <c r="A877" i="1" s="1"/>
  <c r="A878" i="1" s="1"/>
  <c r="A879" i="1" s="1"/>
  <c r="A880" i="1" s="1"/>
  <c r="A881" i="1" s="1"/>
  <c r="A882" i="1" s="1"/>
  <c r="A883" i="1" s="1"/>
  <c r="A884" i="1" s="1"/>
  <c r="A885" i="1" s="1"/>
  <c r="A886" i="1" s="1"/>
  <c r="A887" i="1" s="1"/>
  <c r="A888" i="1" s="1"/>
  <c r="A889" i="1" s="1"/>
  <c r="A890" i="1" s="1"/>
  <c r="A891" i="1" s="1"/>
  <c r="A892" i="1" s="1"/>
  <c r="A893" i="1" s="1"/>
  <c r="A894" i="1" s="1"/>
  <c r="A895" i="1" s="1"/>
  <c r="A896" i="1" s="1"/>
  <c r="A897" i="1" s="1"/>
  <c r="A898" i="1" s="1"/>
  <c r="A899" i="1" s="1"/>
  <c r="A900" i="1" s="1"/>
  <c r="A901" i="1" s="1"/>
  <c r="A902" i="1" s="1"/>
  <c r="A903" i="1" s="1"/>
  <c r="A904" i="1" s="1"/>
  <c r="A905" i="1" s="1"/>
  <c r="A906" i="1" s="1"/>
  <c r="A907" i="1" s="1"/>
  <c r="A908" i="1" s="1"/>
  <c r="A909" i="1" s="1"/>
  <c r="A910" i="1" s="1"/>
  <c r="A911" i="1" s="1"/>
  <c r="A912" i="1" s="1"/>
  <c r="A913" i="1" s="1"/>
  <c r="A914" i="1" s="1"/>
  <c r="A915" i="1" s="1"/>
  <c r="A916" i="1" s="1"/>
  <c r="A917" i="1" s="1"/>
  <c r="A918" i="1" s="1"/>
  <c r="A919" i="1" s="1"/>
  <c r="A920" i="1" s="1"/>
  <c r="A921" i="1" s="1"/>
  <c r="A922" i="1" s="1"/>
  <c r="A923" i="1" s="1"/>
  <c r="A924" i="1" s="1"/>
  <c r="A925" i="1" s="1"/>
  <c r="A926" i="1" s="1"/>
  <c r="A927" i="1" s="1"/>
  <c r="A928" i="1" s="1"/>
  <c r="A929" i="1" s="1"/>
  <c r="A930" i="1" s="1"/>
  <c r="A931" i="1" s="1"/>
  <c r="A932" i="1" s="1"/>
  <c r="A933" i="1" s="1"/>
  <c r="A934" i="1" s="1"/>
  <c r="A935" i="1" s="1"/>
  <c r="A936" i="1" s="1"/>
  <c r="C743" i="1"/>
  <c r="I743" i="1" s="1"/>
  <c r="E743" i="1"/>
  <c r="E744" i="1" s="1"/>
  <c r="E745" i="1" s="1"/>
  <c r="E746" i="1" s="1"/>
  <c r="E747" i="1" s="1"/>
  <c r="E748" i="1" s="1"/>
  <c r="E749" i="1" s="1"/>
  <c r="E750" i="1" s="1"/>
  <c r="E751" i="1" s="1"/>
  <c r="E752" i="1" s="1"/>
  <c r="E753" i="1" s="1"/>
  <c r="E754" i="1" s="1"/>
  <c r="E755" i="1" s="1"/>
  <c r="E756" i="1" s="1"/>
  <c r="E757" i="1" s="1"/>
  <c r="E758" i="1" s="1"/>
  <c r="E759" i="1" s="1"/>
  <c r="E760" i="1" s="1"/>
  <c r="E761" i="1" s="1"/>
  <c r="E762" i="1" s="1"/>
  <c r="E763" i="1" s="1"/>
  <c r="E764" i="1" s="1"/>
  <c r="E765" i="1" s="1"/>
  <c r="E766" i="1" s="1"/>
  <c r="E767" i="1" s="1"/>
  <c r="E768" i="1" s="1"/>
  <c r="E769" i="1" s="1"/>
  <c r="E770" i="1" s="1"/>
  <c r="E771" i="1" s="1"/>
  <c r="E772" i="1" s="1"/>
  <c r="E773" i="1" s="1"/>
  <c r="E774" i="1" s="1"/>
  <c r="E775" i="1" s="1"/>
  <c r="E776" i="1" s="1"/>
  <c r="E777" i="1" s="1"/>
  <c r="E778" i="1" s="1"/>
  <c r="E779" i="1" s="1"/>
  <c r="E780" i="1" s="1"/>
  <c r="E781" i="1" s="1"/>
  <c r="E782" i="1" s="1"/>
  <c r="E783" i="1" s="1"/>
  <c r="E784" i="1" s="1"/>
  <c r="E785" i="1" s="1"/>
  <c r="E786" i="1" s="1"/>
  <c r="E787" i="1" s="1"/>
  <c r="E788" i="1" s="1"/>
  <c r="E789" i="1" s="1"/>
  <c r="E790" i="1" s="1"/>
  <c r="E791" i="1" s="1"/>
  <c r="E792" i="1" s="1"/>
  <c r="E793" i="1" s="1"/>
  <c r="E794" i="1" s="1"/>
  <c r="E795" i="1" s="1"/>
  <c r="E796" i="1" s="1"/>
  <c r="E797" i="1" s="1"/>
  <c r="E798" i="1" s="1"/>
  <c r="E799" i="1" s="1"/>
  <c r="E800" i="1" s="1"/>
  <c r="E801" i="1" s="1"/>
  <c r="E802" i="1" s="1"/>
  <c r="E803" i="1" s="1"/>
  <c r="E804" i="1" s="1"/>
  <c r="E805" i="1" s="1"/>
  <c r="E806" i="1" s="1"/>
  <c r="E807" i="1" s="1"/>
  <c r="E808" i="1" s="1"/>
  <c r="E809" i="1" s="1"/>
  <c r="E810" i="1" s="1"/>
  <c r="E811" i="1" s="1"/>
  <c r="E812" i="1" s="1"/>
  <c r="E813" i="1" s="1"/>
  <c r="E814" i="1" s="1"/>
  <c r="E815" i="1" s="1"/>
  <c r="E816" i="1" s="1"/>
  <c r="E817" i="1" s="1"/>
  <c r="E818" i="1" s="1"/>
  <c r="E819" i="1" s="1"/>
  <c r="E820" i="1" s="1"/>
  <c r="E821" i="1" s="1"/>
  <c r="E822" i="1" s="1"/>
  <c r="E823" i="1" s="1"/>
  <c r="E824" i="1" s="1"/>
  <c r="E825" i="1" s="1"/>
  <c r="E826" i="1" s="1"/>
  <c r="E827" i="1" s="1"/>
  <c r="E828" i="1" s="1"/>
  <c r="E829" i="1" s="1"/>
  <c r="E830" i="1" s="1"/>
  <c r="E831" i="1" s="1"/>
  <c r="E832" i="1" s="1"/>
  <c r="E833" i="1" s="1"/>
  <c r="E834" i="1" s="1"/>
  <c r="E835" i="1" s="1"/>
  <c r="E836" i="1" s="1"/>
  <c r="E837" i="1" s="1"/>
  <c r="E838" i="1" s="1"/>
  <c r="E839" i="1" s="1"/>
  <c r="E840" i="1" s="1"/>
  <c r="E841" i="1" s="1"/>
  <c r="E842" i="1" s="1"/>
  <c r="E843" i="1" s="1"/>
  <c r="E844" i="1" s="1"/>
  <c r="E845" i="1" s="1"/>
  <c r="E846" i="1" s="1"/>
  <c r="E847" i="1" s="1"/>
  <c r="E848" i="1" s="1"/>
  <c r="E849" i="1" s="1"/>
  <c r="E850" i="1" s="1"/>
  <c r="E851" i="1" s="1"/>
  <c r="E852" i="1" s="1"/>
  <c r="E853" i="1" s="1"/>
  <c r="E854" i="1" s="1"/>
  <c r="E855" i="1" s="1"/>
  <c r="E856" i="1" s="1"/>
  <c r="E857" i="1" s="1"/>
  <c r="E858" i="1" s="1"/>
  <c r="E859" i="1" s="1"/>
  <c r="E860" i="1" s="1"/>
  <c r="E861" i="1" s="1"/>
  <c r="E862" i="1" s="1"/>
  <c r="E863" i="1" s="1"/>
  <c r="E864" i="1" s="1"/>
  <c r="E865" i="1" s="1"/>
  <c r="E866" i="1" s="1"/>
  <c r="E867" i="1" s="1"/>
  <c r="E868" i="1" s="1"/>
  <c r="E869" i="1" s="1"/>
  <c r="E870" i="1" s="1"/>
  <c r="E871" i="1" s="1"/>
  <c r="E872" i="1" s="1"/>
  <c r="E873" i="1" s="1"/>
  <c r="E874" i="1" s="1"/>
  <c r="E875" i="1" s="1"/>
  <c r="E876" i="1" s="1"/>
  <c r="E877" i="1" s="1"/>
  <c r="E878" i="1" s="1"/>
  <c r="E879" i="1" s="1"/>
  <c r="E880" i="1" s="1"/>
  <c r="E881" i="1" s="1"/>
  <c r="E882" i="1" s="1"/>
  <c r="E883" i="1" s="1"/>
  <c r="E884" i="1" s="1"/>
  <c r="E885" i="1" s="1"/>
  <c r="E886" i="1" s="1"/>
  <c r="E887" i="1" s="1"/>
  <c r="E888" i="1" s="1"/>
  <c r="E889" i="1" s="1"/>
  <c r="E890" i="1" s="1"/>
  <c r="E891" i="1" s="1"/>
  <c r="E892" i="1" s="1"/>
  <c r="E893" i="1" s="1"/>
  <c r="E894" i="1" s="1"/>
  <c r="E895" i="1" s="1"/>
  <c r="E896" i="1" s="1"/>
  <c r="E897" i="1" s="1"/>
  <c r="E898" i="1" s="1"/>
  <c r="E899" i="1" s="1"/>
  <c r="E900" i="1" s="1"/>
  <c r="E901" i="1" s="1"/>
  <c r="E902" i="1" s="1"/>
  <c r="E903" i="1" s="1"/>
  <c r="E904" i="1" s="1"/>
  <c r="E905" i="1" s="1"/>
  <c r="E906" i="1" s="1"/>
  <c r="E907" i="1" s="1"/>
  <c r="E908" i="1" s="1"/>
  <c r="E909" i="1" s="1"/>
  <c r="E910" i="1" s="1"/>
  <c r="E911" i="1" s="1"/>
  <c r="E912" i="1" s="1"/>
  <c r="E913" i="1" s="1"/>
  <c r="E914" i="1" s="1"/>
  <c r="E915" i="1" s="1"/>
  <c r="E916" i="1" s="1"/>
  <c r="E917" i="1" s="1"/>
  <c r="E918" i="1" s="1"/>
  <c r="E919" i="1" s="1"/>
  <c r="E920" i="1" s="1"/>
  <c r="E921" i="1" s="1"/>
  <c r="E922" i="1" s="1"/>
  <c r="E923" i="1" s="1"/>
  <c r="E924" i="1" s="1"/>
  <c r="E925" i="1" s="1"/>
  <c r="E926" i="1" s="1"/>
  <c r="E927" i="1" s="1"/>
  <c r="E928" i="1" s="1"/>
  <c r="E929" i="1" s="1"/>
  <c r="E930" i="1" s="1"/>
  <c r="E931" i="1" s="1"/>
  <c r="E932" i="1" s="1"/>
  <c r="E933" i="1" s="1"/>
  <c r="E934" i="1" s="1"/>
  <c r="E935" i="1" s="1"/>
  <c r="E936" i="1" s="1"/>
  <c r="F743" i="1"/>
  <c r="F744" i="1" s="1"/>
  <c r="F745" i="1" s="1"/>
  <c r="F746" i="1" s="1"/>
  <c r="F747" i="1" s="1"/>
  <c r="F748" i="1" s="1"/>
  <c r="F749" i="1" s="1"/>
  <c r="F750" i="1" s="1"/>
  <c r="F751" i="1" s="1"/>
  <c r="F752" i="1" s="1"/>
  <c r="F753" i="1" s="1"/>
  <c r="F754" i="1" s="1"/>
  <c r="F755" i="1" s="1"/>
  <c r="F756" i="1" s="1"/>
  <c r="F757" i="1" s="1"/>
  <c r="F758" i="1" s="1"/>
  <c r="F759" i="1" s="1"/>
  <c r="F760" i="1" s="1"/>
  <c r="F761" i="1" s="1"/>
  <c r="F762" i="1" s="1"/>
  <c r="F763" i="1" s="1"/>
  <c r="F764" i="1" s="1"/>
  <c r="F765" i="1" s="1"/>
  <c r="F766" i="1" s="1"/>
  <c r="F767" i="1" s="1"/>
  <c r="F768" i="1" s="1"/>
  <c r="F769" i="1" s="1"/>
  <c r="F770" i="1" s="1"/>
  <c r="F771" i="1" s="1"/>
  <c r="F772" i="1" s="1"/>
  <c r="F773" i="1" s="1"/>
  <c r="F774" i="1" s="1"/>
  <c r="F775" i="1" s="1"/>
  <c r="F776" i="1" s="1"/>
  <c r="F777" i="1" s="1"/>
  <c r="F778" i="1" s="1"/>
  <c r="F779" i="1" s="1"/>
  <c r="F780" i="1" s="1"/>
  <c r="F781" i="1" s="1"/>
  <c r="F782" i="1" s="1"/>
  <c r="F783" i="1" s="1"/>
  <c r="F784" i="1" s="1"/>
  <c r="F785" i="1" s="1"/>
  <c r="F786" i="1" s="1"/>
  <c r="F787" i="1" s="1"/>
  <c r="F788" i="1" s="1"/>
  <c r="F789" i="1" s="1"/>
  <c r="F790" i="1" s="1"/>
  <c r="F791" i="1" s="1"/>
  <c r="F792" i="1" s="1"/>
  <c r="F793" i="1" s="1"/>
  <c r="F794" i="1" s="1"/>
  <c r="F795" i="1" s="1"/>
  <c r="F796" i="1" s="1"/>
  <c r="F797" i="1" s="1"/>
  <c r="F798" i="1" s="1"/>
  <c r="F799" i="1" s="1"/>
  <c r="F800" i="1" s="1"/>
  <c r="F801" i="1" s="1"/>
  <c r="F802" i="1" s="1"/>
  <c r="F803" i="1" s="1"/>
  <c r="F804" i="1" s="1"/>
  <c r="F805" i="1" s="1"/>
  <c r="F806" i="1" s="1"/>
  <c r="F807" i="1" s="1"/>
  <c r="F808" i="1" s="1"/>
  <c r="F809" i="1" s="1"/>
  <c r="F810" i="1" s="1"/>
  <c r="F811" i="1" s="1"/>
  <c r="F812" i="1" s="1"/>
  <c r="F813" i="1" s="1"/>
  <c r="F814" i="1" s="1"/>
  <c r="F815" i="1" s="1"/>
  <c r="F816" i="1" s="1"/>
  <c r="F817" i="1" s="1"/>
  <c r="F818" i="1" s="1"/>
  <c r="F819" i="1" s="1"/>
  <c r="F820" i="1" s="1"/>
  <c r="F821" i="1" s="1"/>
  <c r="F822" i="1" s="1"/>
  <c r="F823" i="1" s="1"/>
  <c r="F824" i="1" s="1"/>
  <c r="F825" i="1" s="1"/>
  <c r="F826" i="1" s="1"/>
  <c r="F827" i="1" s="1"/>
  <c r="F828" i="1" s="1"/>
  <c r="F829" i="1" s="1"/>
  <c r="F830" i="1" s="1"/>
  <c r="F831" i="1" s="1"/>
  <c r="F832" i="1" s="1"/>
  <c r="F833" i="1" s="1"/>
  <c r="F834" i="1" s="1"/>
  <c r="F835" i="1" s="1"/>
  <c r="F836" i="1" s="1"/>
  <c r="F837" i="1" s="1"/>
  <c r="F838" i="1" s="1"/>
  <c r="F839" i="1" s="1"/>
  <c r="F840" i="1" s="1"/>
  <c r="F841" i="1" s="1"/>
  <c r="F842" i="1" s="1"/>
  <c r="F843" i="1" s="1"/>
  <c r="F844" i="1" s="1"/>
  <c r="F845" i="1" s="1"/>
  <c r="F846" i="1" s="1"/>
  <c r="F847" i="1" s="1"/>
  <c r="F848" i="1" s="1"/>
  <c r="F849" i="1" s="1"/>
  <c r="F850" i="1" s="1"/>
  <c r="F851" i="1" s="1"/>
  <c r="F852" i="1" s="1"/>
  <c r="F853" i="1" s="1"/>
  <c r="F854" i="1" s="1"/>
  <c r="F855" i="1" s="1"/>
  <c r="F856" i="1" s="1"/>
  <c r="F857" i="1" s="1"/>
  <c r="F858" i="1" s="1"/>
  <c r="F859" i="1" s="1"/>
  <c r="F860" i="1" s="1"/>
  <c r="F861" i="1" s="1"/>
  <c r="F862" i="1" s="1"/>
  <c r="F863" i="1" s="1"/>
  <c r="F864" i="1" s="1"/>
  <c r="F865" i="1" s="1"/>
  <c r="F866" i="1" s="1"/>
  <c r="F867" i="1" s="1"/>
  <c r="F868" i="1" s="1"/>
  <c r="F869" i="1" s="1"/>
  <c r="F870" i="1" s="1"/>
  <c r="F871" i="1" s="1"/>
  <c r="F872" i="1" s="1"/>
  <c r="F873" i="1" s="1"/>
  <c r="F874" i="1" s="1"/>
  <c r="F875" i="1" s="1"/>
  <c r="F876" i="1" s="1"/>
  <c r="F877" i="1" s="1"/>
  <c r="F878" i="1" s="1"/>
  <c r="F879" i="1" s="1"/>
  <c r="F880" i="1" s="1"/>
  <c r="F881" i="1" s="1"/>
  <c r="F882" i="1" s="1"/>
  <c r="F883" i="1" s="1"/>
  <c r="F884" i="1" s="1"/>
  <c r="F885" i="1" s="1"/>
  <c r="F886" i="1" s="1"/>
  <c r="F887" i="1" s="1"/>
  <c r="F888" i="1" s="1"/>
  <c r="F889" i="1" s="1"/>
  <c r="F890" i="1" s="1"/>
  <c r="F891" i="1" s="1"/>
  <c r="F892" i="1" s="1"/>
  <c r="F893" i="1" s="1"/>
  <c r="F894" i="1" s="1"/>
  <c r="F895" i="1" s="1"/>
  <c r="F896" i="1" s="1"/>
  <c r="F897" i="1" s="1"/>
  <c r="F898" i="1" s="1"/>
  <c r="F899" i="1" s="1"/>
  <c r="F900" i="1" s="1"/>
  <c r="F901" i="1" s="1"/>
  <c r="F902" i="1" s="1"/>
  <c r="F903" i="1" s="1"/>
  <c r="F904" i="1" s="1"/>
  <c r="F905" i="1" s="1"/>
  <c r="F906" i="1" s="1"/>
  <c r="F907" i="1" s="1"/>
  <c r="F908" i="1" s="1"/>
  <c r="F909" i="1" s="1"/>
  <c r="F910" i="1" s="1"/>
  <c r="F911" i="1" s="1"/>
  <c r="F912" i="1" s="1"/>
  <c r="F913" i="1" s="1"/>
  <c r="F914" i="1" s="1"/>
  <c r="F915" i="1" s="1"/>
  <c r="F916" i="1" s="1"/>
  <c r="F917" i="1" s="1"/>
  <c r="F918" i="1" s="1"/>
  <c r="F919" i="1" s="1"/>
  <c r="F920" i="1" s="1"/>
  <c r="F921" i="1" s="1"/>
  <c r="F922" i="1" s="1"/>
  <c r="F923" i="1" s="1"/>
  <c r="F924" i="1" s="1"/>
  <c r="F925" i="1" s="1"/>
  <c r="F926" i="1" s="1"/>
  <c r="F927" i="1" s="1"/>
  <c r="F928" i="1" s="1"/>
  <c r="F929" i="1" s="1"/>
  <c r="F930" i="1" s="1"/>
  <c r="F931" i="1" s="1"/>
  <c r="F932" i="1" s="1"/>
  <c r="F933" i="1" s="1"/>
  <c r="F934" i="1" s="1"/>
  <c r="F935" i="1" s="1"/>
  <c r="F936" i="1" s="1"/>
  <c r="J743" i="1"/>
  <c r="L743" i="1"/>
  <c r="C744" i="1"/>
  <c r="I744" i="1"/>
  <c r="J744" i="1"/>
  <c r="K744" i="1"/>
  <c r="L744" i="1"/>
  <c r="C745" i="1"/>
  <c r="I745" i="1"/>
  <c r="J745" i="1"/>
  <c r="K745" i="1"/>
  <c r="L745" i="1"/>
  <c r="C746" i="1"/>
  <c r="I746" i="1"/>
  <c r="J746" i="1"/>
  <c r="K746" i="1"/>
  <c r="L746" i="1"/>
  <c r="C747" i="1"/>
  <c r="I747" i="1"/>
  <c r="J747" i="1"/>
  <c r="K747" i="1"/>
  <c r="L747" i="1"/>
  <c r="C748" i="1"/>
  <c r="I748" i="1" s="1"/>
  <c r="J748" i="1"/>
  <c r="L748" i="1"/>
  <c r="C749" i="1"/>
  <c r="I749" i="1"/>
  <c r="J749" i="1"/>
  <c r="K749" i="1"/>
  <c r="L749" i="1"/>
  <c r="C750" i="1"/>
  <c r="K750" i="1" s="1"/>
  <c r="J750" i="1"/>
  <c r="L750" i="1"/>
  <c r="C751" i="1"/>
  <c r="I751" i="1"/>
  <c r="J751" i="1"/>
  <c r="K751" i="1"/>
  <c r="L751" i="1"/>
  <c r="C752" i="1"/>
  <c r="I752" i="1"/>
  <c r="J752" i="1"/>
  <c r="K752" i="1"/>
  <c r="L752" i="1"/>
  <c r="C753" i="1"/>
  <c r="I753" i="1"/>
  <c r="J753" i="1"/>
  <c r="K753" i="1"/>
  <c r="L753" i="1"/>
  <c r="C754" i="1"/>
  <c r="I754" i="1"/>
  <c r="J754" i="1"/>
  <c r="K754" i="1"/>
  <c r="L754" i="1"/>
  <c r="C755" i="1"/>
  <c r="I755" i="1" s="1"/>
  <c r="J755" i="1"/>
  <c r="L755" i="1"/>
  <c r="C756" i="1"/>
  <c r="I756" i="1"/>
  <c r="J756" i="1"/>
  <c r="K756" i="1"/>
  <c r="L756" i="1"/>
  <c r="C757" i="1"/>
  <c r="I757" i="1"/>
  <c r="J757" i="1"/>
  <c r="K757" i="1"/>
  <c r="L757" i="1"/>
  <c r="C758" i="1"/>
  <c r="I758" i="1"/>
  <c r="J758" i="1"/>
  <c r="K758" i="1"/>
  <c r="L758" i="1"/>
  <c r="C759" i="1"/>
  <c r="I759" i="1"/>
  <c r="J759" i="1"/>
  <c r="K759" i="1"/>
  <c r="L759" i="1"/>
  <c r="C760" i="1"/>
  <c r="I760" i="1" s="1"/>
  <c r="J760" i="1"/>
  <c r="L760" i="1"/>
  <c r="C761" i="1"/>
  <c r="I761" i="1"/>
  <c r="J761" i="1"/>
  <c r="K761" i="1"/>
  <c r="L761" i="1"/>
  <c r="C762" i="1"/>
  <c r="K762" i="1" s="1"/>
  <c r="J762" i="1"/>
  <c r="L762" i="1"/>
  <c r="C763" i="1"/>
  <c r="I763" i="1"/>
  <c r="J763" i="1"/>
  <c r="K763" i="1"/>
  <c r="L763" i="1"/>
  <c r="C764" i="1"/>
  <c r="I764" i="1"/>
  <c r="J764" i="1"/>
  <c r="K764" i="1"/>
  <c r="L764" i="1"/>
  <c r="C765" i="1"/>
  <c r="I765" i="1"/>
  <c r="J765" i="1"/>
  <c r="K765" i="1"/>
  <c r="L765" i="1"/>
  <c r="C766" i="1"/>
  <c r="I766" i="1"/>
  <c r="J766" i="1"/>
  <c r="K766" i="1"/>
  <c r="L766" i="1"/>
  <c r="C767" i="1"/>
  <c r="I767" i="1" s="1"/>
  <c r="J767" i="1"/>
  <c r="L767" i="1"/>
  <c r="C768" i="1"/>
  <c r="I768" i="1"/>
  <c r="J768" i="1"/>
  <c r="K768" i="1"/>
  <c r="L768" i="1"/>
  <c r="C769" i="1"/>
  <c r="I769" i="1"/>
  <c r="J769" i="1"/>
  <c r="K769" i="1"/>
  <c r="L769" i="1"/>
  <c r="C770" i="1"/>
  <c r="I770" i="1"/>
  <c r="J770" i="1"/>
  <c r="K770" i="1"/>
  <c r="L770" i="1"/>
  <c r="C771" i="1"/>
  <c r="I771" i="1"/>
  <c r="J771" i="1"/>
  <c r="K771" i="1"/>
  <c r="L771" i="1"/>
  <c r="C772" i="1"/>
  <c r="I772" i="1" s="1"/>
  <c r="J772" i="1"/>
  <c r="L772" i="1"/>
  <c r="C773" i="1"/>
  <c r="I773" i="1"/>
  <c r="J773" i="1"/>
  <c r="K773" i="1"/>
  <c r="L773" i="1"/>
  <c r="C774" i="1"/>
  <c r="K774" i="1" s="1"/>
  <c r="J774" i="1"/>
  <c r="L774" i="1"/>
  <c r="C775" i="1"/>
  <c r="I775" i="1"/>
  <c r="J775" i="1"/>
  <c r="K775" i="1"/>
  <c r="L775" i="1"/>
  <c r="C776" i="1"/>
  <c r="I776" i="1"/>
  <c r="J776" i="1"/>
  <c r="K776" i="1"/>
  <c r="L776" i="1"/>
  <c r="C777" i="1"/>
  <c r="I777" i="1"/>
  <c r="J777" i="1"/>
  <c r="K777" i="1"/>
  <c r="L777" i="1"/>
  <c r="C778" i="1"/>
  <c r="I778" i="1"/>
  <c r="J778" i="1"/>
  <c r="K778" i="1"/>
  <c r="L778" i="1"/>
  <c r="C779" i="1"/>
  <c r="I779" i="1" s="1"/>
  <c r="J779" i="1"/>
  <c r="L779" i="1"/>
  <c r="C780" i="1"/>
  <c r="I780" i="1"/>
  <c r="J780" i="1"/>
  <c r="K780" i="1"/>
  <c r="L780" i="1"/>
  <c r="C781" i="1"/>
  <c r="I781" i="1"/>
  <c r="J781" i="1"/>
  <c r="K781" i="1"/>
  <c r="L781" i="1"/>
  <c r="C782" i="1"/>
  <c r="I782" i="1"/>
  <c r="J782" i="1"/>
  <c r="K782" i="1"/>
  <c r="L782" i="1"/>
  <c r="C783" i="1"/>
  <c r="I783" i="1"/>
  <c r="J783" i="1"/>
  <c r="K783" i="1"/>
  <c r="L783" i="1"/>
  <c r="C784" i="1"/>
  <c r="I784" i="1" s="1"/>
  <c r="J784" i="1"/>
  <c r="L784" i="1"/>
  <c r="C785" i="1"/>
  <c r="I785" i="1"/>
  <c r="J785" i="1"/>
  <c r="K785" i="1"/>
  <c r="L785" i="1"/>
  <c r="C786" i="1"/>
  <c r="K786" i="1" s="1"/>
  <c r="J786" i="1"/>
  <c r="L786" i="1"/>
  <c r="C787" i="1"/>
  <c r="I787" i="1"/>
  <c r="J787" i="1"/>
  <c r="K787" i="1"/>
  <c r="L787" i="1"/>
  <c r="C788" i="1"/>
  <c r="I788" i="1"/>
  <c r="J788" i="1"/>
  <c r="K788" i="1"/>
  <c r="L788" i="1"/>
  <c r="C789" i="1"/>
  <c r="I789" i="1"/>
  <c r="J789" i="1"/>
  <c r="K789" i="1"/>
  <c r="L789" i="1"/>
  <c r="C790" i="1"/>
  <c r="I790" i="1"/>
  <c r="J790" i="1"/>
  <c r="K790" i="1"/>
  <c r="L790" i="1"/>
  <c r="C791" i="1"/>
  <c r="I791" i="1" s="1"/>
  <c r="J791" i="1"/>
  <c r="L791" i="1"/>
  <c r="C792" i="1"/>
  <c r="I792" i="1"/>
  <c r="J792" i="1"/>
  <c r="K792" i="1"/>
  <c r="L792" i="1"/>
  <c r="C793" i="1"/>
  <c r="I793" i="1"/>
  <c r="J793" i="1"/>
  <c r="K793" i="1"/>
  <c r="L793" i="1"/>
  <c r="C794" i="1"/>
  <c r="I794" i="1"/>
  <c r="J794" i="1"/>
  <c r="K794" i="1"/>
  <c r="L794" i="1"/>
  <c r="C795" i="1"/>
  <c r="I795" i="1"/>
  <c r="J795" i="1"/>
  <c r="K795" i="1"/>
  <c r="L795" i="1"/>
  <c r="C796" i="1"/>
  <c r="I796" i="1" s="1"/>
  <c r="J796" i="1"/>
  <c r="L796" i="1"/>
  <c r="C797" i="1"/>
  <c r="I797" i="1"/>
  <c r="J797" i="1"/>
  <c r="K797" i="1"/>
  <c r="L797" i="1"/>
  <c r="C798" i="1"/>
  <c r="K798" i="1" s="1"/>
  <c r="J798" i="1"/>
  <c r="L798" i="1"/>
  <c r="C799" i="1"/>
  <c r="I799" i="1"/>
  <c r="J799" i="1"/>
  <c r="K799" i="1"/>
  <c r="L799" i="1"/>
  <c r="C800" i="1"/>
  <c r="I800" i="1"/>
  <c r="J800" i="1"/>
  <c r="K800" i="1"/>
  <c r="L800" i="1"/>
  <c r="C801" i="1"/>
  <c r="I801" i="1"/>
  <c r="J801" i="1"/>
  <c r="K801" i="1"/>
  <c r="L801" i="1"/>
  <c r="C802" i="1"/>
  <c r="I802" i="1"/>
  <c r="J802" i="1"/>
  <c r="K802" i="1"/>
  <c r="L802" i="1"/>
  <c r="C803" i="1"/>
  <c r="I803" i="1" s="1"/>
  <c r="J803" i="1"/>
  <c r="L803" i="1"/>
  <c r="C804" i="1"/>
  <c r="I804" i="1"/>
  <c r="J804" i="1"/>
  <c r="K804" i="1"/>
  <c r="L804" i="1"/>
  <c r="C805" i="1"/>
  <c r="I805" i="1"/>
  <c r="J805" i="1"/>
  <c r="K805" i="1"/>
  <c r="L805" i="1"/>
  <c r="C806" i="1"/>
  <c r="I806" i="1"/>
  <c r="J806" i="1"/>
  <c r="K806" i="1"/>
  <c r="L806" i="1"/>
  <c r="C807" i="1"/>
  <c r="I807" i="1"/>
  <c r="J807" i="1"/>
  <c r="K807" i="1"/>
  <c r="L807" i="1"/>
  <c r="C808" i="1"/>
  <c r="I808" i="1" s="1"/>
  <c r="J808" i="1"/>
  <c r="L808" i="1"/>
  <c r="C809" i="1"/>
  <c r="I809" i="1"/>
  <c r="J809" i="1"/>
  <c r="K809" i="1"/>
  <c r="L809" i="1"/>
  <c r="C810" i="1"/>
  <c r="K810" i="1" s="1"/>
  <c r="J810" i="1"/>
  <c r="L810" i="1"/>
  <c r="C811" i="1"/>
  <c r="I811" i="1"/>
  <c r="J811" i="1"/>
  <c r="K811" i="1"/>
  <c r="L811" i="1"/>
  <c r="C812" i="1"/>
  <c r="I812" i="1"/>
  <c r="J812" i="1"/>
  <c r="K812" i="1"/>
  <c r="L812" i="1"/>
  <c r="C813" i="1"/>
  <c r="I813" i="1"/>
  <c r="J813" i="1"/>
  <c r="K813" i="1"/>
  <c r="L813" i="1"/>
  <c r="C814" i="1"/>
  <c r="I814" i="1"/>
  <c r="J814" i="1"/>
  <c r="K814" i="1"/>
  <c r="L814" i="1"/>
  <c r="C815" i="1"/>
  <c r="I815" i="1" s="1"/>
  <c r="J815" i="1"/>
  <c r="L815" i="1"/>
  <c r="C816" i="1"/>
  <c r="I816" i="1"/>
  <c r="J816" i="1"/>
  <c r="K816" i="1"/>
  <c r="L816" i="1"/>
  <c r="C817" i="1"/>
  <c r="I817" i="1"/>
  <c r="J817" i="1"/>
  <c r="K817" i="1"/>
  <c r="L817" i="1"/>
  <c r="C818" i="1"/>
  <c r="I818" i="1"/>
  <c r="J818" i="1"/>
  <c r="K818" i="1"/>
  <c r="L818" i="1"/>
  <c r="C819" i="1"/>
  <c r="I819" i="1"/>
  <c r="J819" i="1"/>
  <c r="K819" i="1"/>
  <c r="L819" i="1"/>
  <c r="C820" i="1"/>
  <c r="I820" i="1" s="1"/>
  <c r="J820" i="1"/>
  <c r="L820" i="1"/>
  <c r="C821" i="1"/>
  <c r="I821" i="1"/>
  <c r="J821" i="1"/>
  <c r="K821" i="1"/>
  <c r="L821" i="1"/>
  <c r="C822" i="1"/>
  <c r="K822" i="1" s="1"/>
  <c r="J822" i="1"/>
  <c r="L822" i="1"/>
  <c r="C823" i="1"/>
  <c r="I823" i="1"/>
  <c r="J823" i="1"/>
  <c r="K823" i="1"/>
  <c r="L823" i="1"/>
  <c r="C824" i="1"/>
  <c r="I824" i="1"/>
  <c r="J824" i="1"/>
  <c r="K824" i="1"/>
  <c r="L824" i="1"/>
  <c r="C825" i="1"/>
  <c r="I825" i="1"/>
  <c r="J825" i="1"/>
  <c r="K825" i="1"/>
  <c r="L825" i="1"/>
  <c r="C826" i="1"/>
  <c r="I826" i="1"/>
  <c r="J826" i="1"/>
  <c r="K826" i="1"/>
  <c r="L826" i="1"/>
  <c r="C827" i="1"/>
  <c r="I827" i="1" s="1"/>
  <c r="J827" i="1"/>
  <c r="L827" i="1"/>
  <c r="C828" i="1"/>
  <c r="I828" i="1"/>
  <c r="J828" i="1"/>
  <c r="K828" i="1"/>
  <c r="L828" i="1"/>
  <c r="C829" i="1"/>
  <c r="I829" i="1"/>
  <c r="J829" i="1"/>
  <c r="K829" i="1"/>
  <c r="L829" i="1"/>
  <c r="C830" i="1"/>
  <c r="I830" i="1"/>
  <c r="J830" i="1"/>
  <c r="K830" i="1"/>
  <c r="L830" i="1"/>
  <c r="C831" i="1"/>
  <c r="I831" i="1"/>
  <c r="J831" i="1"/>
  <c r="K831" i="1"/>
  <c r="L831" i="1"/>
  <c r="C832" i="1"/>
  <c r="I832" i="1" s="1"/>
  <c r="J832" i="1"/>
  <c r="L832" i="1"/>
  <c r="C833" i="1"/>
  <c r="I833" i="1"/>
  <c r="J833" i="1"/>
  <c r="K833" i="1"/>
  <c r="L833" i="1"/>
  <c r="C834" i="1"/>
  <c r="K834" i="1" s="1"/>
  <c r="J834" i="1"/>
  <c r="L834" i="1"/>
  <c r="C835" i="1"/>
  <c r="I835" i="1"/>
  <c r="J835" i="1"/>
  <c r="K835" i="1"/>
  <c r="L835" i="1"/>
  <c r="C836" i="1"/>
  <c r="I836" i="1"/>
  <c r="J836" i="1"/>
  <c r="K836" i="1"/>
  <c r="L836" i="1"/>
  <c r="C837" i="1"/>
  <c r="I837" i="1"/>
  <c r="J837" i="1"/>
  <c r="K837" i="1"/>
  <c r="L837" i="1"/>
  <c r="C838" i="1"/>
  <c r="I838" i="1"/>
  <c r="J838" i="1"/>
  <c r="K838" i="1"/>
  <c r="L838" i="1"/>
  <c r="C839" i="1"/>
  <c r="I839" i="1" s="1"/>
  <c r="J839" i="1"/>
  <c r="L839" i="1"/>
  <c r="C840" i="1"/>
  <c r="I840" i="1"/>
  <c r="J840" i="1"/>
  <c r="K840" i="1"/>
  <c r="L840" i="1"/>
  <c r="C841" i="1"/>
  <c r="I841" i="1"/>
  <c r="J841" i="1"/>
  <c r="K841" i="1"/>
  <c r="L841" i="1"/>
  <c r="C842" i="1"/>
  <c r="I842" i="1"/>
  <c r="J842" i="1"/>
  <c r="K842" i="1"/>
  <c r="L842" i="1"/>
  <c r="C843" i="1"/>
  <c r="I843" i="1"/>
  <c r="J843" i="1"/>
  <c r="K843" i="1"/>
  <c r="L843" i="1"/>
  <c r="C844" i="1"/>
  <c r="I844" i="1" s="1"/>
  <c r="J844" i="1"/>
  <c r="L844" i="1"/>
  <c r="C845" i="1"/>
  <c r="I845" i="1"/>
  <c r="J845" i="1"/>
  <c r="K845" i="1"/>
  <c r="L845" i="1"/>
  <c r="C846" i="1"/>
  <c r="K846" i="1" s="1"/>
  <c r="J846" i="1"/>
  <c r="L846" i="1"/>
  <c r="C847" i="1"/>
  <c r="I847" i="1"/>
  <c r="J847" i="1"/>
  <c r="K847" i="1"/>
  <c r="L847" i="1"/>
  <c r="C848" i="1"/>
  <c r="I848" i="1"/>
  <c r="J848" i="1"/>
  <c r="K848" i="1"/>
  <c r="L848" i="1"/>
  <c r="C849" i="1"/>
  <c r="I849" i="1"/>
  <c r="J849" i="1"/>
  <c r="K849" i="1"/>
  <c r="L849" i="1"/>
  <c r="C850" i="1"/>
  <c r="I850" i="1"/>
  <c r="J850" i="1"/>
  <c r="K850" i="1"/>
  <c r="L850" i="1"/>
  <c r="C851" i="1"/>
  <c r="I851" i="1" s="1"/>
  <c r="J851" i="1"/>
  <c r="L851" i="1"/>
  <c r="C852" i="1"/>
  <c r="I852" i="1"/>
  <c r="J852" i="1"/>
  <c r="K852" i="1"/>
  <c r="L852" i="1"/>
  <c r="C853" i="1"/>
  <c r="I853" i="1"/>
  <c r="J853" i="1"/>
  <c r="K853" i="1"/>
  <c r="L853" i="1"/>
  <c r="C854" i="1"/>
  <c r="I854" i="1"/>
  <c r="J854" i="1"/>
  <c r="K854" i="1"/>
  <c r="L854" i="1"/>
  <c r="C855" i="1"/>
  <c r="I855" i="1"/>
  <c r="J855" i="1"/>
  <c r="K855" i="1"/>
  <c r="L855" i="1"/>
  <c r="C856" i="1"/>
  <c r="I856" i="1" s="1"/>
  <c r="J856" i="1"/>
  <c r="L856" i="1"/>
  <c r="C857" i="1"/>
  <c r="I857" i="1"/>
  <c r="J857" i="1"/>
  <c r="K857" i="1"/>
  <c r="L857" i="1"/>
  <c r="C858" i="1"/>
  <c r="K858" i="1" s="1"/>
  <c r="J858" i="1"/>
  <c r="L858" i="1"/>
  <c r="C859" i="1"/>
  <c r="I859" i="1"/>
  <c r="J859" i="1"/>
  <c r="K859" i="1"/>
  <c r="L859" i="1"/>
  <c r="C860" i="1"/>
  <c r="I860" i="1"/>
  <c r="J860" i="1"/>
  <c r="K860" i="1"/>
  <c r="L860" i="1"/>
  <c r="C861" i="1"/>
  <c r="I861" i="1"/>
  <c r="J861" i="1"/>
  <c r="K861" i="1"/>
  <c r="L861" i="1"/>
  <c r="C862" i="1"/>
  <c r="I862" i="1"/>
  <c r="J862" i="1"/>
  <c r="K862" i="1"/>
  <c r="L862" i="1"/>
  <c r="C863" i="1"/>
  <c r="I863" i="1" s="1"/>
  <c r="J863" i="1"/>
  <c r="L863" i="1"/>
  <c r="C864" i="1"/>
  <c r="I864" i="1"/>
  <c r="J864" i="1"/>
  <c r="K864" i="1"/>
  <c r="L864" i="1"/>
  <c r="C865" i="1"/>
  <c r="I865" i="1"/>
  <c r="J865" i="1"/>
  <c r="K865" i="1"/>
  <c r="L865" i="1"/>
  <c r="C866" i="1"/>
  <c r="I866" i="1"/>
  <c r="J866" i="1"/>
  <c r="K866" i="1"/>
  <c r="L866" i="1"/>
  <c r="I867" i="1"/>
  <c r="J867" i="1"/>
  <c r="K867" i="1"/>
  <c r="L867" i="1"/>
  <c r="I868" i="1"/>
  <c r="J868" i="1"/>
  <c r="L868" i="1"/>
  <c r="I869" i="1"/>
  <c r="J869" i="1"/>
  <c r="K869" i="1"/>
  <c r="L869" i="1"/>
  <c r="K870" i="1"/>
  <c r="J870" i="1"/>
  <c r="L870" i="1"/>
  <c r="I871" i="1"/>
  <c r="J871" i="1"/>
  <c r="K871" i="1"/>
  <c r="L871" i="1"/>
  <c r="I872" i="1"/>
  <c r="J872" i="1"/>
  <c r="K872" i="1"/>
  <c r="L872" i="1"/>
  <c r="I873" i="1"/>
  <c r="J873" i="1"/>
  <c r="K873" i="1"/>
  <c r="L873" i="1"/>
  <c r="I874" i="1"/>
  <c r="J874" i="1"/>
  <c r="K874" i="1"/>
  <c r="L874" i="1"/>
  <c r="I875" i="1"/>
  <c r="J875" i="1"/>
  <c r="L875" i="1"/>
  <c r="K876" i="1"/>
  <c r="I876" i="1"/>
  <c r="J876" i="1"/>
  <c r="L876" i="1"/>
  <c r="I877" i="1"/>
  <c r="J877" i="1"/>
  <c r="K877" i="1"/>
  <c r="L877" i="1"/>
  <c r="I878" i="1"/>
  <c r="J878" i="1"/>
  <c r="K878" i="1"/>
  <c r="L878" i="1"/>
  <c r="I879" i="1"/>
  <c r="J879" i="1"/>
  <c r="K879" i="1"/>
  <c r="L879" i="1"/>
  <c r="I880" i="1"/>
  <c r="J880" i="1"/>
  <c r="L880" i="1"/>
  <c r="I881" i="1"/>
  <c r="J881" i="1"/>
  <c r="K881" i="1"/>
  <c r="L881" i="1"/>
  <c r="K882" i="1"/>
  <c r="J882" i="1"/>
  <c r="L882" i="1"/>
  <c r="I883" i="1"/>
  <c r="J883" i="1"/>
  <c r="K883" i="1"/>
  <c r="L883" i="1"/>
  <c r="I884" i="1"/>
  <c r="J884" i="1"/>
  <c r="K884" i="1"/>
  <c r="L884" i="1"/>
  <c r="I885" i="1"/>
  <c r="J885" i="1"/>
  <c r="K885" i="1"/>
  <c r="L885" i="1"/>
  <c r="I886" i="1"/>
  <c r="J886" i="1"/>
  <c r="K886" i="1"/>
  <c r="L886" i="1"/>
  <c r="I887" i="1"/>
  <c r="J887" i="1"/>
  <c r="L887" i="1"/>
  <c r="I888" i="1"/>
  <c r="J888" i="1"/>
  <c r="K888" i="1"/>
  <c r="L888" i="1"/>
  <c r="I889" i="1"/>
  <c r="J889" i="1"/>
  <c r="K889" i="1"/>
  <c r="L889" i="1"/>
  <c r="I890" i="1"/>
  <c r="J890" i="1"/>
  <c r="K890" i="1"/>
  <c r="L890" i="1"/>
  <c r="I891" i="1"/>
  <c r="J891" i="1"/>
  <c r="K891" i="1"/>
  <c r="L891" i="1"/>
  <c r="I892" i="1"/>
  <c r="J892" i="1"/>
  <c r="L892" i="1"/>
  <c r="I893" i="1"/>
  <c r="J893" i="1"/>
  <c r="K893" i="1"/>
  <c r="L893" i="1"/>
  <c r="K894" i="1"/>
  <c r="J894" i="1"/>
  <c r="L894" i="1"/>
  <c r="I895" i="1"/>
  <c r="J895" i="1"/>
  <c r="K895" i="1"/>
  <c r="L895" i="1"/>
  <c r="I896" i="1"/>
  <c r="J896" i="1"/>
  <c r="K896" i="1"/>
  <c r="L896" i="1"/>
  <c r="I897" i="1"/>
  <c r="J897" i="1"/>
  <c r="K897" i="1"/>
  <c r="L897" i="1"/>
  <c r="I898" i="1"/>
  <c r="J898" i="1"/>
  <c r="K898" i="1"/>
  <c r="L898" i="1"/>
  <c r="I899" i="1"/>
  <c r="J899" i="1"/>
  <c r="L899" i="1"/>
  <c r="I900" i="1"/>
  <c r="J900" i="1"/>
  <c r="K900" i="1"/>
  <c r="L900" i="1"/>
  <c r="I901" i="1"/>
  <c r="J901" i="1"/>
  <c r="K901" i="1"/>
  <c r="L901" i="1"/>
  <c r="I902" i="1"/>
  <c r="J902" i="1"/>
  <c r="K902" i="1"/>
  <c r="L902" i="1"/>
  <c r="I903" i="1"/>
  <c r="J903" i="1"/>
  <c r="K903" i="1"/>
  <c r="L903" i="1"/>
  <c r="I904" i="1"/>
  <c r="J904" i="1"/>
  <c r="L904" i="1"/>
  <c r="I905" i="1"/>
  <c r="J905" i="1"/>
  <c r="K905" i="1"/>
  <c r="L905" i="1"/>
  <c r="K906" i="1"/>
  <c r="J906" i="1"/>
  <c r="L906" i="1"/>
  <c r="I907" i="1"/>
  <c r="J907" i="1"/>
  <c r="K907" i="1"/>
  <c r="L907" i="1"/>
  <c r="I908" i="1"/>
  <c r="J908" i="1"/>
  <c r="K908" i="1"/>
  <c r="L908" i="1"/>
  <c r="I909" i="1"/>
  <c r="J909" i="1"/>
  <c r="K909" i="1"/>
  <c r="L909" i="1"/>
  <c r="I910" i="1"/>
  <c r="J910" i="1"/>
  <c r="K910" i="1"/>
  <c r="L910" i="1"/>
  <c r="I911" i="1"/>
  <c r="J911" i="1"/>
  <c r="L911" i="1"/>
  <c r="I912" i="1"/>
  <c r="J912" i="1"/>
  <c r="K912" i="1"/>
  <c r="L912" i="1"/>
  <c r="I913" i="1"/>
  <c r="J913" i="1"/>
  <c r="K913" i="1"/>
  <c r="L913" i="1"/>
  <c r="I914" i="1"/>
  <c r="J914" i="1"/>
  <c r="K914" i="1"/>
  <c r="L914" i="1"/>
  <c r="I915" i="1"/>
  <c r="J915" i="1"/>
  <c r="K915" i="1"/>
  <c r="L915" i="1"/>
  <c r="I916" i="1"/>
  <c r="J916" i="1"/>
  <c r="L916" i="1"/>
  <c r="I917" i="1"/>
  <c r="J917" i="1"/>
  <c r="K917" i="1"/>
  <c r="L917" i="1"/>
  <c r="K918" i="1"/>
  <c r="J918" i="1"/>
  <c r="L918" i="1"/>
  <c r="I919" i="1"/>
  <c r="J919" i="1"/>
  <c r="K919" i="1"/>
  <c r="L919" i="1"/>
  <c r="I920" i="1"/>
  <c r="J920" i="1"/>
  <c r="K920" i="1"/>
  <c r="L920" i="1"/>
  <c r="I921" i="1"/>
  <c r="J921" i="1"/>
  <c r="K921" i="1"/>
  <c r="L921" i="1"/>
  <c r="I922" i="1"/>
  <c r="J922" i="1"/>
  <c r="K922" i="1"/>
  <c r="L922" i="1"/>
  <c r="I923" i="1"/>
  <c r="J923" i="1"/>
  <c r="L923" i="1"/>
  <c r="I924" i="1"/>
  <c r="J924" i="1"/>
  <c r="K924" i="1"/>
  <c r="L924" i="1"/>
  <c r="I925" i="1"/>
  <c r="J925" i="1"/>
  <c r="K925" i="1"/>
  <c r="L925" i="1"/>
  <c r="I926" i="1"/>
  <c r="J926" i="1"/>
  <c r="K926" i="1"/>
  <c r="L926" i="1"/>
  <c r="I927" i="1"/>
  <c r="J927" i="1"/>
  <c r="K927" i="1"/>
  <c r="L927" i="1"/>
  <c r="I928" i="1"/>
  <c r="J928" i="1"/>
  <c r="L928" i="1"/>
  <c r="I929" i="1"/>
  <c r="J929" i="1"/>
  <c r="K929" i="1"/>
  <c r="L929" i="1"/>
  <c r="K930" i="1"/>
  <c r="J930" i="1"/>
  <c r="L930" i="1"/>
  <c r="I931" i="1"/>
  <c r="J931" i="1"/>
  <c r="K931" i="1"/>
  <c r="L931" i="1"/>
  <c r="I932" i="1"/>
  <c r="J932" i="1"/>
  <c r="K932" i="1"/>
  <c r="L932" i="1"/>
  <c r="I933" i="1"/>
  <c r="J933" i="1"/>
  <c r="K933" i="1"/>
  <c r="L933" i="1"/>
  <c r="I934" i="1"/>
  <c r="J934" i="1"/>
  <c r="K934" i="1"/>
  <c r="L934" i="1"/>
  <c r="I935" i="1"/>
  <c r="J935" i="1"/>
  <c r="L935" i="1"/>
  <c r="I936" i="1"/>
  <c r="J936" i="1"/>
  <c r="K936" i="1"/>
  <c r="L936" i="1"/>
  <c r="A577" i="1"/>
  <c r="C577" i="1"/>
  <c r="I577" i="1" s="1"/>
  <c r="E577" i="1"/>
  <c r="F577" i="1"/>
  <c r="G577" i="1"/>
  <c r="J577" i="1"/>
  <c r="L577" i="1"/>
  <c r="M577" i="1"/>
  <c r="A578" i="1"/>
  <c r="C578" i="1"/>
  <c r="I578" i="1" s="1"/>
  <c r="E578" i="1"/>
  <c r="F578" i="1"/>
  <c r="G578" i="1"/>
  <c r="G579" i="1" s="1"/>
  <c r="J578" i="1"/>
  <c r="L578" i="1"/>
  <c r="M578" i="1"/>
  <c r="A579" i="1"/>
  <c r="A580" i="1" s="1"/>
  <c r="A581" i="1" s="1"/>
  <c r="A582" i="1" s="1"/>
  <c r="A583" i="1" s="1"/>
  <c r="A584" i="1" s="1"/>
  <c r="A585" i="1" s="1"/>
  <c r="A586" i="1" s="1"/>
  <c r="A587" i="1" s="1"/>
  <c r="A588" i="1" s="1"/>
  <c r="A589" i="1" s="1"/>
  <c r="A590" i="1" s="1"/>
  <c r="A591" i="1" s="1"/>
  <c r="A592" i="1" s="1"/>
  <c r="A593" i="1" s="1"/>
  <c r="A594" i="1" s="1"/>
  <c r="A595" i="1" s="1"/>
  <c r="A596" i="1" s="1"/>
  <c r="A597" i="1" s="1"/>
  <c r="A598" i="1" s="1"/>
  <c r="A599" i="1" s="1"/>
  <c r="A600" i="1" s="1"/>
  <c r="A601" i="1" s="1"/>
  <c r="A602" i="1" s="1"/>
  <c r="A603" i="1" s="1"/>
  <c r="A604" i="1" s="1"/>
  <c r="A605" i="1" s="1"/>
  <c r="A606" i="1" s="1"/>
  <c r="A607" i="1" s="1"/>
  <c r="A608" i="1" s="1"/>
  <c r="A609" i="1" s="1"/>
  <c r="A610" i="1" s="1"/>
  <c r="A611" i="1" s="1"/>
  <c r="A612" i="1" s="1"/>
  <c r="A613" i="1" s="1"/>
  <c r="A614" i="1" s="1"/>
  <c r="A615" i="1" s="1"/>
  <c r="A616" i="1" s="1"/>
  <c r="A617" i="1" s="1"/>
  <c r="A618" i="1" s="1"/>
  <c r="A619" i="1" s="1"/>
  <c r="A620" i="1" s="1"/>
  <c r="A621" i="1" s="1"/>
  <c r="A622" i="1" s="1"/>
  <c r="A623" i="1" s="1"/>
  <c r="A624" i="1" s="1"/>
  <c r="A625" i="1" s="1"/>
  <c r="A626" i="1" s="1"/>
  <c r="A627" i="1" s="1"/>
  <c r="A628" i="1" s="1"/>
  <c r="A629" i="1" s="1"/>
  <c r="A630" i="1" s="1"/>
  <c r="A631" i="1" s="1"/>
  <c r="A632" i="1" s="1"/>
  <c r="A633" i="1" s="1"/>
  <c r="A634" i="1" s="1"/>
  <c r="A635" i="1" s="1"/>
  <c r="A636" i="1" s="1"/>
  <c r="A637" i="1" s="1"/>
  <c r="A638" i="1" s="1"/>
  <c r="A639" i="1" s="1"/>
  <c r="A640" i="1" s="1"/>
  <c r="A641" i="1" s="1"/>
  <c r="A642" i="1" s="1"/>
  <c r="A643" i="1" s="1"/>
  <c r="A644" i="1" s="1"/>
  <c r="A645" i="1" s="1"/>
  <c r="A646" i="1" s="1"/>
  <c r="A647" i="1" s="1"/>
  <c r="A648" i="1" s="1"/>
  <c r="A649" i="1" s="1"/>
  <c r="A650" i="1" s="1"/>
  <c r="A651" i="1" s="1"/>
  <c r="A652" i="1" s="1"/>
  <c r="A653" i="1" s="1"/>
  <c r="A654" i="1" s="1"/>
  <c r="A655" i="1" s="1"/>
  <c r="A656" i="1" s="1"/>
  <c r="A657" i="1" s="1"/>
  <c r="A658" i="1" s="1"/>
  <c r="A659" i="1" s="1"/>
  <c r="A660" i="1" s="1"/>
  <c r="A661" i="1" s="1"/>
  <c r="A662" i="1" s="1"/>
  <c r="A663" i="1" s="1"/>
  <c r="A664" i="1" s="1"/>
  <c r="A665" i="1" s="1"/>
  <c r="A666" i="1" s="1"/>
  <c r="A667" i="1" s="1"/>
  <c r="A668" i="1" s="1"/>
  <c r="A669" i="1" s="1"/>
  <c r="A670" i="1" s="1"/>
  <c r="A671" i="1" s="1"/>
  <c r="A672" i="1" s="1"/>
  <c r="A673" i="1" s="1"/>
  <c r="A674" i="1" s="1"/>
  <c r="A675" i="1" s="1"/>
  <c r="A676" i="1" s="1"/>
  <c r="A677" i="1" s="1"/>
  <c r="A678" i="1" s="1"/>
  <c r="A679" i="1" s="1"/>
  <c r="A680" i="1" s="1"/>
  <c r="A681" i="1" s="1"/>
  <c r="A682" i="1" s="1"/>
  <c r="A683" i="1" s="1"/>
  <c r="A684" i="1" s="1"/>
  <c r="A685" i="1" s="1"/>
  <c r="A686" i="1" s="1"/>
  <c r="A687" i="1" s="1"/>
  <c r="A688" i="1" s="1"/>
  <c r="A689" i="1" s="1"/>
  <c r="A690" i="1" s="1"/>
  <c r="A691" i="1" s="1"/>
  <c r="A692" i="1" s="1"/>
  <c r="A693" i="1" s="1"/>
  <c r="A694" i="1" s="1"/>
  <c r="A695" i="1" s="1"/>
  <c r="A696" i="1" s="1"/>
  <c r="A697" i="1" s="1"/>
  <c r="A698" i="1" s="1"/>
  <c r="A699" i="1" s="1"/>
  <c r="A700" i="1" s="1"/>
  <c r="A701" i="1" s="1"/>
  <c r="A702" i="1" s="1"/>
  <c r="A703" i="1" s="1"/>
  <c r="A704" i="1" s="1"/>
  <c r="A705" i="1" s="1"/>
  <c r="A706" i="1" s="1"/>
  <c r="A707" i="1" s="1"/>
  <c r="A708" i="1" s="1"/>
  <c r="A709" i="1" s="1"/>
  <c r="A710" i="1" s="1"/>
  <c r="A711" i="1" s="1"/>
  <c r="A712" i="1" s="1"/>
  <c r="A713" i="1" s="1"/>
  <c r="A714" i="1" s="1"/>
  <c r="A715" i="1" s="1"/>
  <c r="A716" i="1" s="1"/>
  <c r="A717" i="1" s="1"/>
  <c r="A718" i="1" s="1"/>
  <c r="A719" i="1" s="1"/>
  <c r="A720" i="1" s="1"/>
  <c r="A721" i="1" s="1"/>
  <c r="A722" i="1" s="1"/>
  <c r="A723" i="1" s="1"/>
  <c r="A724" i="1" s="1"/>
  <c r="A725" i="1" s="1"/>
  <c r="A726" i="1" s="1"/>
  <c r="A727" i="1" s="1"/>
  <c r="A728" i="1" s="1"/>
  <c r="A729" i="1" s="1"/>
  <c r="A730" i="1" s="1"/>
  <c r="A731" i="1" s="1"/>
  <c r="A732" i="1" s="1"/>
  <c r="A733" i="1" s="1"/>
  <c r="A734" i="1" s="1"/>
  <c r="A735" i="1" s="1"/>
  <c r="A736" i="1" s="1"/>
  <c r="A737" i="1" s="1"/>
  <c r="A738" i="1" s="1"/>
  <c r="A739" i="1" s="1"/>
  <c r="A740" i="1" s="1"/>
  <c r="C579" i="1"/>
  <c r="I579" i="1" s="1"/>
  <c r="E579" i="1"/>
  <c r="E580" i="1" s="1"/>
  <c r="E581" i="1" s="1"/>
  <c r="E582" i="1" s="1"/>
  <c r="E583" i="1" s="1"/>
  <c r="E584" i="1" s="1"/>
  <c r="E585" i="1" s="1"/>
  <c r="E586" i="1" s="1"/>
  <c r="E587" i="1" s="1"/>
  <c r="E588" i="1" s="1"/>
  <c r="E589" i="1" s="1"/>
  <c r="E590" i="1" s="1"/>
  <c r="E591" i="1" s="1"/>
  <c r="E592" i="1" s="1"/>
  <c r="E593" i="1" s="1"/>
  <c r="E594" i="1" s="1"/>
  <c r="E595" i="1" s="1"/>
  <c r="E596" i="1" s="1"/>
  <c r="E597" i="1" s="1"/>
  <c r="E598" i="1" s="1"/>
  <c r="E599" i="1" s="1"/>
  <c r="E600" i="1" s="1"/>
  <c r="E601" i="1" s="1"/>
  <c r="E602" i="1" s="1"/>
  <c r="E603" i="1" s="1"/>
  <c r="E604" i="1" s="1"/>
  <c r="E605" i="1" s="1"/>
  <c r="E606" i="1" s="1"/>
  <c r="E607" i="1" s="1"/>
  <c r="E608" i="1" s="1"/>
  <c r="E609" i="1" s="1"/>
  <c r="E610" i="1" s="1"/>
  <c r="E611" i="1" s="1"/>
  <c r="E612" i="1" s="1"/>
  <c r="E613" i="1" s="1"/>
  <c r="E614" i="1" s="1"/>
  <c r="E615" i="1" s="1"/>
  <c r="E616" i="1" s="1"/>
  <c r="E617" i="1" s="1"/>
  <c r="E618" i="1" s="1"/>
  <c r="E619" i="1" s="1"/>
  <c r="E620" i="1" s="1"/>
  <c r="E621" i="1" s="1"/>
  <c r="E622" i="1" s="1"/>
  <c r="E623" i="1" s="1"/>
  <c r="E624" i="1" s="1"/>
  <c r="E625" i="1" s="1"/>
  <c r="E626" i="1" s="1"/>
  <c r="E627" i="1" s="1"/>
  <c r="E628" i="1" s="1"/>
  <c r="E629" i="1" s="1"/>
  <c r="E630" i="1" s="1"/>
  <c r="E631" i="1" s="1"/>
  <c r="E632" i="1" s="1"/>
  <c r="E633" i="1" s="1"/>
  <c r="E634" i="1" s="1"/>
  <c r="E635" i="1" s="1"/>
  <c r="E636" i="1" s="1"/>
  <c r="E637" i="1" s="1"/>
  <c r="E638" i="1" s="1"/>
  <c r="E639" i="1" s="1"/>
  <c r="E640" i="1" s="1"/>
  <c r="E641" i="1" s="1"/>
  <c r="E642" i="1" s="1"/>
  <c r="E643" i="1" s="1"/>
  <c r="E644" i="1" s="1"/>
  <c r="E645" i="1" s="1"/>
  <c r="E646" i="1" s="1"/>
  <c r="E647" i="1" s="1"/>
  <c r="E648" i="1" s="1"/>
  <c r="E649" i="1" s="1"/>
  <c r="E650" i="1" s="1"/>
  <c r="E651" i="1" s="1"/>
  <c r="E652" i="1" s="1"/>
  <c r="E653" i="1" s="1"/>
  <c r="E654" i="1" s="1"/>
  <c r="E655" i="1" s="1"/>
  <c r="E656" i="1" s="1"/>
  <c r="E657" i="1" s="1"/>
  <c r="E658" i="1" s="1"/>
  <c r="E659" i="1" s="1"/>
  <c r="E660" i="1" s="1"/>
  <c r="E661" i="1" s="1"/>
  <c r="E662" i="1" s="1"/>
  <c r="E663" i="1" s="1"/>
  <c r="E664" i="1" s="1"/>
  <c r="E665" i="1" s="1"/>
  <c r="E666" i="1" s="1"/>
  <c r="E667" i="1" s="1"/>
  <c r="E668" i="1" s="1"/>
  <c r="E669" i="1" s="1"/>
  <c r="E670" i="1" s="1"/>
  <c r="E671" i="1" s="1"/>
  <c r="E672" i="1" s="1"/>
  <c r="E673" i="1" s="1"/>
  <c r="E674" i="1" s="1"/>
  <c r="E675" i="1" s="1"/>
  <c r="E676" i="1" s="1"/>
  <c r="E677" i="1" s="1"/>
  <c r="E678" i="1" s="1"/>
  <c r="E679" i="1" s="1"/>
  <c r="E680" i="1" s="1"/>
  <c r="E681" i="1" s="1"/>
  <c r="E682" i="1" s="1"/>
  <c r="E683" i="1" s="1"/>
  <c r="E684" i="1" s="1"/>
  <c r="E685" i="1" s="1"/>
  <c r="E686" i="1" s="1"/>
  <c r="E687" i="1" s="1"/>
  <c r="E688" i="1" s="1"/>
  <c r="E689" i="1" s="1"/>
  <c r="E690" i="1" s="1"/>
  <c r="E691" i="1" s="1"/>
  <c r="E692" i="1" s="1"/>
  <c r="E693" i="1" s="1"/>
  <c r="E694" i="1" s="1"/>
  <c r="E695" i="1" s="1"/>
  <c r="E696" i="1" s="1"/>
  <c r="E697" i="1" s="1"/>
  <c r="E698" i="1" s="1"/>
  <c r="E699" i="1" s="1"/>
  <c r="E700" i="1" s="1"/>
  <c r="E701" i="1" s="1"/>
  <c r="E702" i="1" s="1"/>
  <c r="E703" i="1" s="1"/>
  <c r="E704" i="1" s="1"/>
  <c r="E705" i="1" s="1"/>
  <c r="E706" i="1" s="1"/>
  <c r="E707" i="1" s="1"/>
  <c r="E708" i="1" s="1"/>
  <c r="E709" i="1" s="1"/>
  <c r="E710" i="1" s="1"/>
  <c r="E711" i="1" s="1"/>
  <c r="E712" i="1" s="1"/>
  <c r="E713" i="1" s="1"/>
  <c r="E714" i="1" s="1"/>
  <c r="E715" i="1" s="1"/>
  <c r="E716" i="1" s="1"/>
  <c r="E717" i="1" s="1"/>
  <c r="E718" i="1" s="1"/>
  <c r="E719" i="1" s="1"/>
  <c r="E720" i="1" s="1"/>
  <c r="E721" i="1" s="1"/>
  <c r="E722" i="1" s="1"/>
  <c r="E723" i="1" s="1"/>
  <c r="E724" i="1" s="1"/>
  <c r="E725" i="1" s="1"/>
  <c r="E726" i="1" s="1"/>
  <c r="E727" i="1" s="1"/>
  <c r="E728" i="1" s="1"/>
  <c r="E729" i="1" s="1"/>
  <c r="E730" i="1" s="1"/>
  <c r="E731" i="1" s="1"/>
  <c r="E732" i="1" s="1"/>
  <c r="E733" i="1" s="1"/>
  <c r="E734" i="1" s="1"/>
  <c r="E735" i="1" s="1"/>
  <c r="E736" i="1" s="1"/>
  <c r="E737" i="1" s="1"/>
  <c r="E738" i="1" s="1"/>
  <c r="E739" i="1" s="1"/>
  <c r="E740" i="1" s="1"/>
  <c r="F579" i="1"/>
  <c r="F580" i="1" s="1"/>
  <c r="F581" i="1" s="1"/>
  <c r="F582" i="1" s="1"/>
  <c r="F583" i="1" s="1"/>
  <c r="F584" i="1" s="1"/>
  <c r="F585" i="1" s="1"/>
  <c r="F586" i="1" s="1"/>
  <c r="F587" i="1" s="1"/>
  <c r="F588" i="1" s="1"/>
  <c r="F589" i="1" s="1"/>
  <c r="F590" i="1" s="1"/>
  <c r="F591" i="1" s="1"/>
  <c r="F592" i="1" s="1"/>
  <c r="F593" i="1" s="1"/>
  <c r="F594" i="1" s="1"/>
  <c r="F595" i="1" s="1"/>
  <c r="F596" i="1" s="1"/>
  <c r="F597" i="1" s="1"/>
  <c r="F598" i="1" s="1"/>
  <c r="F599" i="1" s="1"/>
  <c r="F600" i="1" s="1"/>
  <c r="F601" i="1" s="1"/>
  <c r="F602" i="1" s="1"/>
  <c r="F603" i="1" s="1"/>
  <c r="F604" i="1" s="1"/>
  <c r="F605" i="1" s="1"/>
  <c r="F606" i="1" s="1"/>
  <c r="F607" i="1" s="1"/>
  <c r="F608" i="1" s="1"/>
  <c r="F609" i="1" s="1"/>
  <c r="F610" i="1" s="1"/>
  <c r="F611" i="1" s="1"/>
  <c r="F612" i="1" s="1"/>
  <c r="F613" i="1" s="1"/>
  <c r="F614" i="1" s="1"/>
  <c r="F615" i="1" s="1"/>
  <c r="F616" i="1" s="1"/>
  <c r="F617" i="1" s="1"/>
  <c r="F618" i="1" s="1"/>
  <c r="F619" i="1" s="1"/>
  <c r="F620" i="1" s="1"/>
  <c r="F621" i="1" s="1"/>
  <c r="F622" i="1" s="1"/>
  <c r="F623" i="1" s="1"/>
  <c r="F624" i="1" s="1"/>
  <c r="F625" i="1" s="1"/>
  <c r="F626" i="1" s="1"/>
  <c r="F627" i="1" s="1"/>
  <c r="F628" i="1" s="1"/>
  <c r="F629" i="1" s="1"/>
  <c r="F630" i="1" s="1"/>
  <c r="F631" i="1" s="1"/>
  <c r="F632" i="1" s="1"/>
  <c r="F633" i="1" s="1"/>
  <c r="F634" i="1" s="1"/>
  <c r="F635" i="1" s="1"/>
  <c r="F636" i="1" s="1"/>
  <c r="F637" i="1" s="1"/>
  <c r="F638" i="1" s="1"/>
  <c r="F639" i="1" s="1"/>
  <c r="F640" i="1" s="1"/>
  <c r="F641" i="1" s="1"/>
  <c r="F642" i="1" s="1"/>
  <c r="F643" i="1" s="1"/>
  <c r="F644" i="1" s="1"/>
  <c r="F645" i="1" s="1"/>
  <c r="F646" i="1" s="1"/>
  <c r="F647" i="1" s="1"/>
  <c r="F648" i="1" s="1"/>
  <c r="F649" i="1" s="1"/>
  <c r="F650" i="1" s="1"/>
  <c r="F651" i="1" s="1"/>
  <c r="F652" i="1" s="1"/>
  <c r="F653" i="1" s="1"/>
  <c r="F654" i="1" s="1"/>
  <c r="F655" i="1" s="1"/>
  <c r="F656" i="1" s="1"/>
  <c r="F657" i="1" s="1"/>
  <c r="F658" i="1" s="1"/>
  <c r="F659" i="1" s="1"/>
  <c r="F660" i="1" s="1"/>
  <c r="F661" i="1" s="1"/>
  <c r="F662" i="1" s="1"/>
  <c r="F663" i="1" s="1"/>
  <c r="F664" i="1" s="1"/>
  <c r="F665" i="1" s="1"/>
  <c r="F666" i="1" s="1"/>
  <c r="F667" i="1" s="1"/>
  <c r="F668" i="1" s="1"/>
  <c r="F669" i="1" s="1"/>
  <c r="F670" i="1" s="1"/>
  <c r="F671" i="1" s="1"/>
  <c r="F672" i="1" s="1"/>
  <c r="F673" i="1" s="1"/>
  <c r="F674" i="1" s="1"/>
  <c r="F675" i="1" s="1"/>
  <c r="F676" i="1" s="1"/>
  <c r="F677" i="1" s="1"/>
  <c r="F678" i="1" s="1"/>
  <c r="F679" i="1" s="1"/>
  <c r="F680" i="1" s="1"/>
  <c r="F681" i="1" s="1"/>
  <c r="F682" i="1" s="1"/>
  <c r="F683" i="1" s="1"/>
  <c r="F684" i="1" s="1"/>
  <c r="F685" i="1" s="1"/>
  <c r="F686" i="1" s="1"/>
  <c r="F687" i="1" s="1"/>
  <c r="F688" i="1" s="1"/>
  <c r="F689" i="1" s="1"/>
  <c r="F690" i="1" s="1"/>
  <c r="F691" i="1" s="1"/>
  <c r="F692" i="1" s="1"/>
  <c r="F693" i="1" s="1"/>
  <c r="F694" i="1" s="1"/>
  <c r="F695" i="1" s="1"/>
  <c r="F696" i="1" s="1"/>
  <c r="F697" i="1" s="1"/>
  <c r="F698" i="1" s="1"/>
  <c r="F699" i="1" s="1"/>
  <c r="F700" i="1" s="1"/>
  <c r="F701" i="1" s="1"/>
  <c r="F702" i="1" s="1"/>
  <c r="F703" i="1" s="1"/>
  <c r="F704" i="1" s="1"/>
  <c r="F705" i="1" s="1"/>
  <c r="F706" i="1" s="1"/>
  <c r="F707" i="1" s="1"/>
  <c r="F708" i="1" s="1"/>
  <c r="F709" i="1" s="1"/>
  <c r="F710" i="1" s="1"/>
  <c r="F711" i="1" s="1"/>
  <c r="F712" i="1" s="1"/>
  <c r="F713" i="1" s="1"/>
  <c r="F714" i="1" s="1"/>
  <c r="F715" i="1" s="1"/>
  <c r="F716" i="1" s="1"/>
  <c r="F717" i="1" s="1"/>
  <c r="F718" i="1" s="1"/>
  <c r="F719" i="1" s="1"/>
  <c r="F720" i="1" s="1"/>
  <c r="F721" i="1" s="1"/>
  <c r="F722" i="1" s="1"/>
  <c r="F723" i="1" s="1"/>
  <c r="F724" i="1" s="1"/>
  <c r="F725" i="1" s="1"/>
  <c r="F726" i="1" s="1"/>
  <c r="F727" i="1" s="1"/>
  <c r="F728" i="1" s="1"/>
  <c r="F729" i="1" s="1"/>
  <c r="F730" i="1" s="1"/>
  <c r="F731" i="1" s="1"/>
  <c r="F732" i="1" s="1"/>
  <c r="F733" i="1" s="1"/>
  <c r="F734" i="1" s="1"/>
  <c r="F735" i="1" s="1"/>
  <c r="F736" i="1" s="1"/>
  <c r="F737" i="1" s="1"/>
  <c r="F738" i="1" s="1"/>
  <c r="F739" i="1" s="1"/>
  <c r="F740" i="1" s="1"/>
  <c r="J579" i="1"/>
  <c r="L579" i="1"/>
  <c r="C580" i="1"/>
  <c r="K580" i="1" s="1"/>
  <c r="I580" i="1"/>
  <c r="J580" i="1"/>
  <c r="L580" i="1"/>
  <c r="C581" i="1"/>
  <c r="I581" i="1" s="1"/>
  <c r="J581" i="1"/>
  <c r="L581" i="1"/>
  <c r="C582" i="1"/>
  <c r="I582" i="1" s="1"/>
  <c r="J582" i="1"/>
  <c r="L582" i="1"/>
  <c r="C583" i="1"/>
  <c r="I583" i="1" s="1"/>
  <c r="J583" i="1"/>
  <c r="L583" i="1"/>
  <c r="C584" i="1"/>
  <c r="I584" i="1" s="1"/>
  <c r="J584" i="1"/>
  <c r="L584" i="1"/>
  <c r="C585" i="1"/>
  <c r="K585" i="1" s="1"/>
  <c r="J585" i="1"/>
  <c r="L585" i="1"/>
  <c r="C586" i="1"/>
  <c r="K586" i="1" s="1"/>
  <c r="I586" i="1"/>
  <c r="J586" i="1"/>
  <c r="L586" i="1"/>
  <c r="C587" i="1"/>
  <c r="K587" i="1" s="1"/>
  <c r="J587" i="1"/>
  <c r="L587" i="1"/>
  <c r="C588" i="1"/>
  <c r="I588" i="1" s="1"/>
  <c r="J588" i="1"/>
  <c r="K588" i="1"/>
  <c r="L588" i="1"/>
  <c r="C589" i="1"/>
  <c r="I589" i="1" s="1"/>
  <c r="J589" i="1"/>
  <c r="L589" i="1"/>
  <c r="C590" i="1"/>
  <c r="K590" i="1" s="1"/>
  <c r="J590" i="1"/>
  <c r="L590" i="1"/>
  <c r="C591" i="1"/>
  <c r="I591" i="1" s="1"/>
  <c r="J591" i="1"/>
  <c r="L591" i="1"/>
  <c r="C592" i="1"/>
  <c r="I592" i="1"/>
  <c r="J592" i="1"/>
  <c r="K592" i="1"/>
  <c r="L592" i="1"/>
  <c r="C593" i="1"/>
  <c r="I593" i="1" s="1"/>
  <c r="J593" i="1"/>
  <c r="L593" i="1"/>
  <c r="C594" i="1"/>
  <c r="I594" i="1"/>
  <c r="J594" i="1"/>
  <c r="K594" i="1"/>
  <c r="L594" i="1"/>
  <c r="C595" i="1"/>
  <c r="I595" i="1" s="1"/>
  <c r="J595" i="1"/>
  <c r="L595" i="1"/>
  <c r="C596" i="1"/>
  <c r="I596" i="1" s="1"/>
  <c r="J596" i="1"/>
  <c r="L596" i="1"/>
  <c r="C597" i="1"/>
  <c r="I597" i="1" s="1"/>
  <c r="J597" i="1"/>
  <c r="K597" i="1"/>
  <c r="L597" i="1"/>
  <c r="C598" i="1"/>
  <c r="K598" i="1" s="1"/>
  <c r="J598" i="1"/>
  <c r="L598" i="1"/>
  <c r="C599" i="1"/>
  <c r="I599" i="1" s="1"/>
  <c r="J599" i="1"/>
  <c r="L599" i="1"/>
  <c r="C600" i="1"/>
  <c r="I600" i="1"/>
  <c r="J600" i="1"/>
  <c r="K600" i="1"/>
  <c r="L600" i="1"/>
  <c r="C601" i="1"/>
  <c r="I601" i="1" s="1"/>
  <c r="J601" i="1"/>
  <c r="L601" i="1"/>
  <c r="C602" i="1"/>
  <c r="K602" i="1" s="1"/>
  <c r="I602" i="1"/>
  <c r="J602" i="1"/>
  <c r="L602" i="1"/>
  <c r="C603" i="1"/>
  <c r="I603" i="1" s="1"/>
  <c r="J603" i="1"/>
  <c r="L603" i="1"/>
  <c r="C604" i="1"/>
  <c r="I604" i="1"/>
  <c r="J604" i="1"/>
  <c r="K604" i="1"/>
  <c r="L604" i="1"/>
  <c r="C605" i="1"/>
  <c r="K605" i="1" s="1"/>
  <c r="J605" i="1"/>
  <c r="L605" i="1"/>
  <c r="C606" i="1"/>
  <c r="I606" i="1" s="1"/>
  <c r="J606" i="1"/>
  <c r="L606" i="1"/>
  <c r="C607" i="1"/>
  <c r="I607" i="1"/>
  <c r="J607" i="1"/>
  <c r="K607" i="1"/>
  <c r="L607" i="1"/>
  <c r="C608" i="1"/>
  <c r="I608" i="1" s="1"/>
  <c r="J608" i="1"/>
  <c r="L608" i="1"/>
  <c r="C609" i="1"/>
  <c r="I609" i="1"/>
  <c r="J609" i="1"/>
  <c r="K609" i="1"/>
  <c r="L609" i="1"/>
  <c r="C610" i="1"/>
  <c r="K610" i="1" s="1"/>
  <c r="J610" i="1"/>
  <c r="L610" i="1"/>
  <c r="C611" i="1"/>
  <c r="K611" i="1" s="1"/>
  <c r="I611" i="1"/>
  <c r="J611" i="1"/>
  <c r="L611" i="1"/>
  <c r="C612" i="1"/>
  <c r="I612" i="1" s="1"/>
  <c r="J612" i="1"/>
  <c r="L612" i="1"/>
  <c r="C613" i="1"/>
  <c r="I613" i="1" s="1"/>
  <c r="J613" i="1"/>
  <c r="L613" i="1"/>
  <c r="C614" i="1"/>
  <c r="I614" i="1"/>
  <c r="J614" i="1"/>
  <c r="K614" i="1"/>
  <c r="L614" i="1"/>
  <c r="C615" i="1"/>
  <c r="I615" i="1" s="1"/>
  <c r="J615" i="1"/>
  <c r="L615" i="1"/>
  <c r="C616" i="1"/>
  <c r="I616" i="1"/>
  <c r="J616" i="1"/>
  <c r="K616" i="1"/>
  <c r="L616" i="1"/>
  <c r="C617" i="1"/>
  <c r="K617" i="1" s="1"/>
  <c r="J617" i="1"/>
  <c r="L617" i="1"/>
  <c r="C618" i="1"/>
  <c r="I618" i="1"/>
  <c r="J618" i="1"/>
  <c r="K618" i="1"/>
  <c r="L618" i="1"/>
  <c r="C619" i="1"/>
  <c r="I619" i="1"/>
  <c r="J619" i="1"/>
  <c r="K619" i="1"/>
  <c r="L619" i="1"/>
  <c r="C620" i="1"/>
  <c r="I620" i="1" s="1"/>
  <c r="J620" i="1"/>
  <c r="L620" i="1"/>
  <c r="C621" i="1"/>
  <c r="I621" i="1"/>
  <c r="J621" i="1"/>
  <c r="K621" i="1"/>
  <c r="L621" i="1"/>
  <c r="C622" i="1"/>
  <c r="K622" i="1" s="1"/>
  <c r="J622" i="1"/>
  <c r="L622" i="1"/>
  <c r="C623" i="1"/>
  <c r="I623" i="1" s="1"/>
  <c r="J623" i="1"/>
  <c r="K623" i="1"/>
  <c r="L623" i="1"/>
  <c r="C624" i="1"/>
  <c r="I624" i="1"/>
  <c r="J624" i="1"/>
  <c r="K624" i="1"/>
  <c r="L624" i="1"/>
  <c r="C625" i="1"/>
  <c r="I625" i="1" s="1"/>
  <c r="J625" i="1"/>
  <c r="K625" i="1"/>
  <c r="L625" i="1"/>
  <c r="C626" i="1"/>
  <c r="I626" i="1" s="1"/>
  <c r="J626" i="1"/>
  <c r="K626" i="1"/>
  <c r="L626" i="1"/>
  <c r="C627" i="1"/>
  <c r="I627" i="1" s="1"/>
  <c r="J627" i="1"/>
  <c r="L627" i="1"/>
  <c r="C628" i="1"/>
  <c r="I628" i="1" s="1"/>
  <c r="J628" i="1"/>
  <c r="L628" i="1"/>
  <c r="C629" i="1"/>
  <c r="I629" i="1" s="1"/>
  <c r="J629" i="1"/>
  <c r="K629" i="1"/>
  <c r="L629" i="1"/>
  <c r="C630" i="1"/>
  <c r="I630" i="1" s="1"/>
  <c r="J630" i="1"/>
  <c r="K630" i="1"/>
  <c r="L630" i="1"/>
  <c r="C631" i="1"/>
  <c r="I631" i="1" s="1"/>
  <c r="J631" i="1"/>
  <c r="K631" i="1"/>
  <c r="L631" i="1"/>
  <c r="C632" i="1"/>
  <c r="I632" i="1" s="1"/>
  <c r="J632" i="1"/>
  <c r="L632" i="1"/>
  <c r="C633" i="1"/>
  <c r="I633" i="1" s="1"/>
  <c r="J633" i="1"/>
  <c r="L633" i="1"/>
  <c r="C634" i="1"/>
  <c r="K634" i="1" s="1"/>
  <c r="J634" i="1"/>
  <c r="L634" i="1"/>
  <c r="C635" i="1"/>
  <c r="I635" i="1"/>
  <c r="J635" i="1"/>
  <c r="K635" i="1"/>
  <c r="L635" i="1"/>
  <c r="C636" i="1"/>
  <c r="K636" i="1" s="1"/>
  <c r="I636" i="1"/>
  <c r="J636" i="1"/>
  <c r="L636" i="1"/>
  <c r="C637" i="1"/>
  <c r="I637" i="1"/>
  <c r="J637" i="1"/>
  <c r="K637" i="1"/>
  <c r="L637" i="1"/>
  <c r="C638" i="1"/>
  <c r="I638" i="1" s="1"/>
  <c r="J638" i="1"/>
  <c r="L638" i="1"/>
  <c r="C639" i="1"/>
  <c r="I639" i="1" s="1"/>
  <c r="J639" i="1"/>
  <c r="L639" i="1"/>
  <c r="C640" i="1"/>
  <c r="K640" i="1" s="1"/>
  <c r="J640" i="1"/>
  <c r="L640" i="1"/>
  <c r="C641" i="1"/>
  <c r="K641" i="1" s="1"/>
  <c r="J641" i="1"/>
  <c r="L641" i="1"/>
  <c r="C642" i="1"/>
  <c r="I642" i="1"/>
  <c r="J642" i="1"/>
  <c r="K642" i="1"/>
  <c r="L642" i="1"/>
  <c r="C643" i="1"/>
  <c r="I643" i="1" s="1"/>
  <c r="J643" i="1"/>
  <c r="L643" i="1"/>
  <c r="C644" i="1"/>
  <c r="I644" i="1" s="1"/>
  <c r="J644" i="1"/>
  <c r="L644" i="1"/>
  <c r="C645" i="1"/>
  <c r="I645" i="1"/>
  <c r="J645" i="1"/>
  <c r="K645" i="1"/>
  <c r="L645" i="1"/>
  <c r="C646" i="1"/>
  <c r="K646" i="1" s="1"/>
  <c r="J646" i="1"/>
  <c r="L646" i="1"/>
  <c r="C647" i="1"/>
  <c r="I647" i="1" s="1"/>
  <c r="J647" i="1"/>
  <c r="K647" i="1"/>
  <c r="L647" i="1"/>
  <c r="C648" i="1"/>
  <c r="I648" i="1"/>
  <c r="J648" i="1"/>
  <c r="K648" i="1"/>
  <c r="L648" i="1"/>
  <c r="C649" i="1"/>
  <c r="I649" i="1"/>
  <c r="J649" i="1"/>
  <c r="K649" i="1"/>
  <c r="L649" i="1"/>
  <c r="C650" i="1"/>
  <c r="I650" i="1"/>
  <c r="J650" i="1"/>
  <c r="K650" i="1"/>
  <c r="L650" i="1"/>
  <c r="C651" i="1"/>
  <c r="I651" i="1" s="1"/>
  <c r="J651" i="1"/>
  <c r="L651" i="1"/>
  <c r="C652" i="1"/>
  <c r="I652" i="1" s="1"/>
  <c r="J652" i="1"/>
  <c r="L652" i="1"/>
  <c r="C653" i="1"/>
  <c r="I653" i="1" s="1"/>
  <c r="J653" i="1"/>
  <c r="K653" i="1"/>
  <c r="L653" i="1"/>
  <c r="C654" i="1"/>
  <c r="I654" i="1" s="1"/>
  <c r="J654" i="1"/>
  <c r="L654" i="1"/>
  <c r="C655" i="1"/>
  <c r="I655" i="1"/>
  <c r="J655" i="1"/>
  <c r="K655" i="1"/>
  <c r="L655" i="1"/>
  <c r="C656" i="1"/>
  <c r="I656" i="1" s="1"/>
  <c r="J656" i="1"/>
  <c r="L656" i="1"/>
  <c r="C657" i="1"/>
  <c r="K657" i="1" s="1"/>
  <c r="I657" i="1"/>
  <c r="J657" i="1"/>
  <c r="L657" i="1"/>
  <c r="C658" i="1"/>
  <c r="K658" i="1" s="1"/>
  <c r="I658" i="1"/>
  <c r="J658" i="1"/>
  <c r="L658" i="1"/>
  <c r="C659" i="1"/>
  <c r="I659" i="1" s="1"/>
  <c r="J659" i="1"/>
  <c r="L659" i="1"/>
  <c r="C660" i="1"/>
  <c r="K660" i="1" s="1"/>
  <c r="I660" i="1"/>
  <c r="J660" i="1"/>
  <c r="L660" i="1"/>
  <c r="C661" i="1"/>
  <c r="I661" i="1"/>
  <c r="J661" i="1"/>
  <c r="K661" i="1"/>
  <c r="L661" i="1"/>
  <c r="C662" i="1"/>
  <c r="K662" i="1" s="1"/>
  <c r="I662" i="1"/>
  <c r="J662" i="1"/>
  <c r="L662" i="1"/>
  <c r="C663" i="1"/>
  <c r="I663" i="1" s="1"/>
  <c r="J663" i="1"/>
  <c r="L663" i="1"/>
  <c r="C664" i="1"/>
  <c r="K664" i="1" s="1"/>
  <c r="I664" i="1"/>
  <c r="J664" i="1"/>
  <c r="L664" i="1"/>
  <c r="C665" i="1"/>
  <c r="I665" i="1" s="1"/>
  <c r="J665" i="1"/>
  <c r="K665" i="1"/>
  <c r="L665" i="1"/>
  <c r="C666" i="1"/>
  <c r="I666" i="1" s="1"/>
  <c r="J666" i="1"/>
  <c r="K666" i="1"/>
  <c r="L666" i="1"/>
  <c r="C667" i="1"/>
  <c r="K667" i="1" s="1"/>
  <c r="J667" i="1"/>
  <c r="L667" i="1"/>
  <c r="C668" i="1"/>
  <c r="I668" i="1" s="1"/>
  <c r="J668" i="1"/>
  <c r="L668" i="1"/>
  <c r="C669" i="1"/>
  <c r="I669" i="1"/>
  <c r="J669" i="1"/>
  <c r="K669" i="1"/>
  <c r="L669" i="1"/>
  <c r="C670" i="1"/>
  <c r="K670" i="1" s="1"/>
  <c r="J670" i="1"/>
  <c r="L670" i="1"/>
  <c r="C671" i="1"/>
  <c r="I671" i="1"/>
  <c r="J671" i="1"/>
  <c r="K671" i="1"/>
  <c r="L671" i="1"/>
  <c r="C672" i="1"/>
  <c r="I672" i="1"/>
  <c r="J672" i="1"/>
  <c r="K672" i="1"/>
  <c r="L672" i="1"/>
  <c r="C673" i="1"/>
  <c r="I673" i="1" s="1"/>
  <c r="J673" i="1"/>
  <c r="L673" i="1"/>
  <c r="C674" i="1"/>
  <c r="I674" i="1" s="1"/>
  <c r="J674" i="1"/>
  <c r="K674" i="1"/>
  <c r="L674" i="1"/>
  <c r="C675" i="1"/>
  <c r="I675" i="1" s="1"/>
  <c r="J675" i="1"/>
  <c r="L675" i="1"/>
  <c r="C676" i="1"/>
  <c r="I676" i="1" s="1"/>
  <c r="J676" i="1"/>
  <c r="L676" i="1"/>
  <c r="C677" i="1"/>
  <c r="I677" i="1"/>
  <c r="J677" i="1"/>
  <c r="K677" i="1"/>
  <c r="L677" i="1"/>
  <c r="C678" i="1"/>
  <c r="I678" i="1" s="1"/>
  <c r="J678" i="1"/>
  <c r="L678" i="1"/>
  <c r="C679" i="1"/>
  <c r="I679" i="1" s="1"/>
  <c r="J679" i="1"/>
  <c r="K679" i="1"/>
  <c r="L679" i="1"/>
  <c r="C680" i="1"/>
  <c r="I680" i="1" s="1"/>
  <c r="J680" i="1"/>
  <c r="L680" i="1"/>
  <c r="C681" i="1"/>
  <c r="I681" i="1"/>
  <c r="J681" i="1"/>
  <c r="K681" i="1"/>
  <c r="L681" i="1"/>
  <c r="C682" i="1"/>
  <c r="K682" i="1" s="1"/>
  <c r="I682" i="1"/>
  <c r="J682" i="1"/>
  <c r="L682" i="1"/>
  <c r="C683" i="1"/>
  <c r="K683" i="1" s="1"/>
  <c r="J683" i="1"/>
  <c r="L683" i="1"/>
  <c r="C684" i="1"/>
  <c r="I684" i="1" s="1"/>
  <c r="J684" i="1"/>
  <c r="K684" i="1"/>
  <c r="L684" i="1"/>
  <c r="C685" i="1"/>
  <c r="I685" i="1" s="1"/>
  <c r="J685" i="1"/>
  <c r="L685" i="1"/>
  <c r="C686" i="1"/>
  <c r="I686" i="1"/>
  <c r="J686" i="1"/>
  <c r="K686" i="1"/>
  <c r="L686" i="1"/>
  <c r="C687" i="1"/>
  <c r="I687" i="1" s="1"/>
  <c r="J687" i="1"/>
  <c r="L687" i="1"/>
  <c r="C688" i="1"/>
  <c r="K688" i="1" s="1"/>
  <c r="I688" i="1"/>
  <c r="J688" i="1"/>
  <c r="L688" i="1"/>
  <c r="C689" i="1"/>
  <c r="I689" i="1" s="1"/>
  <c r="J689" i="1"/>
  <c r="K689" i="1"/>
  <c r="L689" i="1"/>
  <c r="C690" i="1"/>
  <c r="K690" i="1" s="1"/>
  <c r="J690" i="1"/>
  <c r="L690" i="1"/>
  <c r="C691" i="1"/>
  <c r="I691" i="1" s="1"/>
  <c r="J691" i="1"/>
  <c r="K691" i="1"/>
  <c r="L691" i="1"/>
  <c r="C692" i="1"/>
  <c r="I692" i="1" s="1"/>
  <c r="J692" i="1"/>
  <c r="L692" i="1"/>
  <c r="C693" i="1"/>
  <c r="I693" i="1"/>
  <c r="J693" i="1"/>
  <c r="K693" i="1"/>
  <c r="L693" i="1"/>
  <c r="C694" i="1"/>
  <c r="K694" i="1" s="1"/>
  <c r="I694" i="1"/>
  <c r="J694" i="1"/>
  <c r="L694" i="1"/>
  <c r="C695" i="1"/>
  <c r="I695" i="1"/>
  <c r="J695" i="1"/>
  <c r="K695" i="1"/>
  <c r="L695" i="1"/>
  <c r="C696" i="1"/>
  <c r="I696" i="1" s="1"/>
  <c r="J696" i="1"/>
  <c r="L696" i="1"/>
  <c r="C697" i="1"/>
  <c r="I697" i="1" s="1"/>
  <c r="J697" i="1"/>
  <c r="K697" i="1"/>
  <c r="L697" i="1"/>
  <c r="C698" i="1"/>
  <c r="I698" i="1"/>
  <c r="J698" i="1"/>
  <c r="K698" i="1"/>
  <c r="L698" i="1"/>
  <c r="C699" i="1"/>
  <c r="I699" i="1" s="1"/>
  <c r="J699" i="1"/>
  <c r="L699" i="1"/>
  <c r="C700" i="1"/>
  <c r="I700" i="1" s="1"/>
  <c r="J700" i="1"/>
  <c r="K700" i="1"/>
  <c r="L700" i="1"/>
  <c r="C701" i="1"/>
  <c r="I701" i="1" s="1"/>
  <c r="J701" i="1"/>
  <c r="L701" i="1"/>
  <c r="C702" i="1"/>
  <c r="I702" i="1" s="1"/>
  <c r="J702" i="1"/>
  <c r="L702" i="1"/>
  <c r="C703" i="1"/>
  <c r="I703" i="1"/>
  <c r="J703" i="1"/>
  <c r="K703" i="1"/>
  <c r="L703" i="1"/>
  <c r="C704" i="1"/>
  <c r="I704" i="1" s="1"/>
  <c r="J704" i="1"/>
  <c r="L704" i="1"/>
  <c r="C705" i="1"/>
  <c r="I705" i="1"/>
  <c r="J705" i="1"/>
  <c r="K705" i="1"/>
  <c r="L705" i="1"/>
  <c r="C706" i="1"/>
  <c r="K706" i="1" s="1"/>
  <c r="I706" i="1"/>
  <c r="J706" i="1"/>
  <c r="L706" i="1"/>
  <c r="C707" i="1"/>
  <c r="I707" i="1"/>
  <c r="J707" i="1"/>
  <c r="K707" i="1"/>
  <c r="L707" i="1"/>
  <c r="C708" i="1"/>
  <c r="I708" i="1"/>
  <c r="J708" i="1"/>
  <c r="K708" i="1"/>
  <c r="L708" i="1"/>
  <c r="C709" i="1"/>
  <c r="I709" i="1"/>
  <c r="J709" i="1"/>
  <c r="K709" i="1"/>
  <c r="L709" i="1"/>
  <c r="C710" i="1"/>
  <c r="I710" i="1"/>
  <c r="J710" i="1"/>
  <c r="K710" i="1"/>
  <c r="L710" i="1"/>
  <c r="C711" i="1"/>
  <c r="I711" i="1" s="1"/>
  <c r="J711" i="1"/>
  <c r="L711" i="1"/>
  <c r="C712" i="1"/>
  <c r="I712" i="1"/>
  <c r="J712" i="1"/>
  <c r="K712" i="1"/>
  <c r="L712" i="1"/>
  <c r="C713" i="1"/>
  <c r="I713" i="1"/>
  <c r="J713" i="1"/>
  <c r="K713" i="1"/>
  <c r="L713" i="1"/>
  <c r="C714" i="1"/>
  <c r="I714" i="1"/>
  <c r="J714" i="1"/>
  <c r="K714" i="1"/>
  <c r="L714" i="1"/>
  <c r="C715" i="1"/>
  <c r="I715" i="1"/>
  <c r="J715" i="1"/>
  <c r="K715" i="1"/>
  <c r="L715" i="1"/>
  <c r="C716" i="1"/>
  <c r="I716" i="1" s="1"/>
  <c r="J716" i="1"/>
  <c r="L716" i="1"/>
  <c r="C717" i="1"/>
  <c r="I717" i="1"/>
  <c r="J717" i="1"/>
  <c r="K717" i="1"/>
  <c r="L717" i="1"/>
  <c r="C718" i="1"/>
  <c r="K718" i="1" s="1"/>
  <c r="I718" i="1"/>
  <c r="J718" i="1"/>
  <c r="L718" i="1"/>
  <c r="C719" i="1"/>
  <c r="I719" i="1"/>
  <c r="J719" i="1"/>
  <c r="K719" i="1"/>
  <c r="L719" i="1"/>
  <c r="C720" i="1"/>
  <c r="I720" i="1"/>
  <c r="J720" i="1"/>
  <c r="K720" i="1"/>
  <c r="L720" i="1"/>
  <c r="C721" i="1"/>
  <c r="I721" i="1"/>
  <c r="J721" i="1"/>
  <c r="K721" i="1"/>
  <c r="L721" i="1"/>
  <c r="C722" i="1"/>
  <c r="I722" i="1"/>
  <c r="J722" i="1"/>
  <c r="K722" i="1"/>
  <c r="L722" i="1"/>
  <c r="C723" i="1"/>
  <c r="I723" i="1" s="1"/>
  <c r="J723" i="1"/>
  <c r="L723" i="1"/>
  <c r="C724" i="1"/>
  <c r="I724" i="1"/>
  <c r="J724" i="1"/>
  <c r="K724" i="1"/>
  <c r="L724" i="1"/>
  <c r="C725" i="1"/>
  <c r="I725" i="1"/>
  <c r="J725" i="1"/>
  <c r="K725" i="1"/>
  <c r="L725" i="1"/>
  <c r="C726" i="1"/>
  <c r="I726" i="1"/>
  <c r="J726" i="1"/>
  <c r="K726" i="1"/>
  <c r="L726" i="1"/>
  <c r="C727" i="1"/>
  <c r="I727" i="1"/>
  <c r="J727" i="1"/>
  <c r="K727" i="1"/>
  <c r="L727" i="1"/>
  <c r="C728" i="1"/>
  <c r="I728" i="1" s="1"/>
  <c r="J728" i="1"/>
  <c r="L728" i="1"/>
  <c r="C729" i="1"/>
  <c r="I729" i="1"/>
  <c r="J729" i="1"/>
  <c r="K729" i="1"/>
  <c r="L729" i="1"/>
  <c r="C730" i="1"/>
  <c r="K730" i="1" s="1"/>
  <c r="I730" i="1"/>
  <c r="J730" i="1"/>
  <c r="L730" i="1"/>
  <c r="C731" i="1"/>
  <c r="I731" i="1"/>
  <c r="J731" i="1"/>
  <c r="K731" i="1"/>
  <c r="L731" i="1"/>
  <c r="C732" i="1"/>
  <c r="I732" i="1"/>
  <c r="J732" i="1"/>
  <c r="K732" i="1"/>
  <c r="L732" i="1"/>
  <c r="C733" i="1"/>
  <c r="I733" i="1"/>
  <c r="J733" i="1"/>
  <c r="K733" i="1"/>
  <c r="L733" i="1"/>
  <c r="C734" i="1"/>
  <c r="I734" i="1"/>
  <c r="J734" i="1"/>
  <c r="K734" i="1"/>
  <c r="L734" i="1"/>
  <c r="C735" i="1"/>
  <c r="I735" i="1" s="1"/>
  <c r="J735" i="1"/>
  <c r="L735" i="1"/>
  <c r="C736" i="1"/>
  <c r="I736" i="1"/>
  <c r="J736" i="1"/>
  <c r="K736" i="1"/>
  <c r="L736" i="1"/>
  <c r="C737" i="1"/>
  <c r="I737" i="1"/>
  <c r="J737" i="1"/>
  <c r="K737" i="1"/>
  <c r="L737" i="1"/>
  <c r="C738" i="1"/>
  <c r="I738" i="1"/>
  <c r="J738" i="1"/>
  <c r="K738" i="1"/>
  <c r="L738" i="1"/>
  <c r="C739" i="1"/>
  <c r="I739" i="1"/>
  <c r="J739" i="1"/>
  <c r="K739" i="1"/>
  <c r="L739" i="1"/>
  <c r="C740" i="1"/>
  <c r="I740" i="1" s="1"/>
  <c r="J740" i="1"/>
  <c r="L740" i="1"/>
  <c r="A571" i="1"/>
  <c r="C571" i="1"/>
  <c r="K571" i="1" s="1"/>
  <c r="E571" i="1"/>
  <c r="F571" i="1"/>
  <c r="G571" i="1"/>
  <c r="I571" i="1"/>
  <c r="J571" i="1"/>
  <c r="L571" i="1"/>
  <c r="M571" i="1"/>
  <c r="A572" i="1"/>
  <c r="C572" i="1"/>
  <c r="I572" i="1" s="1"/>
  <c r="E572" i="1"/>
  <c r="F572" i="1"/>
  <c r="G572" i="1"/>
  <c r="G573" i="1" s="1"/>
  <c r="J572" i="1"/>
  <c r="L572" i="1"/>
  <c r="M572" i="1"/>
  <c r="A573" i="1"/>
  <c r="A574" i="1" s="1"/>
  <c r="A575" i="1" s="1"/>
  <c r="A576" i="1" s="1"/>
  <c r="C573" i="1"/>
  <c r="I573" i="1" s="1"/>
  <c r="E573" i="1"/>
  <c r="E574" i="1" s="1"/>
  <c r="E575" i="1" s="1"/>
  <c r="E576" i="1" s="1"/>
  <c r="F573" i="1"/>
  <c r="F574" i="1" s="1"/>
  <c r="F575" i="1" s="1"/>
  <c r="F576" i="1" s="1"/>
  <c r="J573" i="1"/>
  <c r="L573" i="1"/>
  <c r="C574" i="1"/>
  <c r="I574" i="1"/>
  <c r="J574" i="1"/>
  <c r="K574" i="1"/>
  <c r="L574" i="1"/>
  <c r="C575" i="1"/>
  <c r="I575" i="1" s="1"/>
  <c r="J575" i="1"/>
  <c r="L575" i="1"/>
  <c r="C576" i="1"/>
  <c r="I576" i="1" s="1"/>
  <c r="J576" i="1"/>
  <c r="L576" i="1"/>
  <c r="D104" i="1"/>
  <c r="D105" i="1"/>
  <c r="D106" i="1"/>
  <c r="D107" i="1"/>
  <c r="D108" i="1" s="1"/>
  <c r="D109" i="1" s="1"/>
  <c r="D110" i="1" s="1"/>
  <c r="D111" i="1" s="1"/>
  <c r="D112" i="1" s="1"/>
  <c r="D113" i="1" s="1"/>
  <c r="D114" i="1" s="1"/>
  <c r="D115" i="1" s="1"/>
  <c r="D116" i="1" s="1"/>
  <c r="D117" i="1" s="1"/>
  <c r="D118" i="1" s="1"/>
  <c r="D119" i="1" s="1"/>
  <c r="D120" i="1" s="1"/>
  <c r="D121" i="1" s="1"/>
  <c r="D122" i="1" s="1"/>
  <c r="D123" i="1" s="1"/>
  <c r="D124" i="1" s="1"/>
  <c r="D125" i="1" s="1"/>
  <c r="D126" i="1" s="1"/>
  <c r="D127" i="1" s="1"/>
  <c r="D128" i="1" s="1"/>
  <c r="D129" i="1" s="1"/>
  <c r="D130" i="1" s="1"/>
  <c r="D131" i="1" s="1"/>
  <c r="D132" i="1" s="1"/>
  <c r="D133" i="1" s="1"/>
  <c r="D134" i="1" s="1"/>
  <c r="D135" i="1" s="1"/>
  <c r="D136" i="1" s="1"/>
  <c r="D137" i="1" s="1"/>
  <c r="D138" i="1" s="1"/>
  <c r="D139" i="1" s="1"/>
  <c r="D140" i="1" s="1"/>
  <c r="D141" i="1" s="1"/>
  <c r="D142" i="1" s="1"/>
  <c r="D143" i="1" s="1"/>
  <c r="D144" i="1" s="1"/>
  <c r="D145" i="1" s="1"/>
  <c r="D146" i="1" s="1"/>
  <c r="D147" i="1" s="1"/>
  <c r="D148" i="1" s="1"/>
  <c r="D149" i="1" s="1"/>
  <c r="D150" i="1" s="1"/>
  <c r="D151" i="1" s="1"/>
  <c r="D152" i="1" s="1"/>
  <c r="D153" i="1" s="1"/>
  <c r="D154" i="1" s="1"/>
  <c r="D155" i="1" s="1"/>
  <c r="D156" i="1" s="1"/>
  <c r="D157" i="1" s="1"/>
  <c r="D158" i="1" s="1"/>
  <c r="D159" i="1" s="1"/>
  <c r="D160" i="1" s="1"/>
  <c r="D161" i="1" s="1"/>
  <c r="D162" i="1" s="1"/>
  <c r="D163" i="1" s="1"/>
  <c r="D164" i="1" s="1"/>
  <c r="D165" i="1" s="1"/>
  <c r="D166" i="1" s="1"/>
  <c r="D167" i="1" s="1"/>
  <c r="D168" i="1" s="1"/>
  <c r="D169" i="1" s="1"/>
  <c r="D170" i="1" s="1"/>
  <c r="D171" i="1" s="1"/>
  <c r="D172" i="1" s="1"/>
  <c r="D173" i="1" s="1"/>
  <c r="D174" i="1" s="1"/>
  <c r="D175" i="1" s="1"/>
  <c r="D176" i="1" s="1"/>
  <c r="D177" i="1" s="1"/>
  <c r="D178" i="1" s="1"/>
  <c r="D179" i="1" s="1"/>
  <c r="D180" i="1" s="1"/>
  <c r="D181" i="1" s="1"/>
  <c r="D182" i="1" s="1"/>
  <c r="D183" i="1" s="1"/>
  <c r="D184" i="1" s="1"/>
  <c r="D185" i="1" s="1"/>
  <c r="D186" i="1" s="1"/>
  <c r="D187" i="1" s="1"/>
  <c r="D188" i="1" s="1"/>
  <c r="D189" i="1" s="1"/>
  <c r="D190" i="1" s="1"/>
  <c r="D191" i="1" s="1"/>
  <c r="D192" i="1" s="1"/>
  <c r="D193" i="1" s="1"/>
  <c r="D194" i="1" s="1"/>
  <c r="D195" i="1" s="1"/>
  <c r="D196" i="1" s="1"/>
  <c r="D197" i="1" s="1"/>
  <c r="D198" i="1" s="1"/>
  <c r="D199" i="1" s="1"/>
  <c r="D200" i="1" s="1"/>
  <c r="D201" i="1" s="1"/>
  <c r="D202" i="1" s="1"/>
  <c r="D203" i="1" s="1"/>
  <c r="D204" i="1" s="1"/>
  <c r="D205" i="1" s="1"/>
  <c r="D206" i="1" s="1"/>
  <c r="D207" i="1" s="1"/>
  <c r="D208" i="1" s="1"/>
  <c r="D209" i="1" s="1"/>
  <c r="D210" i="1" s="1"/>
  <c r="D211" i="1" s="1"/>
  <c r="D212" i="1" s="1"/>
  <c r="D213" i="1" s="1"/>
  <c r="D214" i="1" s="1"/>
  <c r="D215" i="1" s="1"/>
  <c r="D216" i="1" s="1"/>
  <c r="D217" i="1" s="1"/>
  <c r="D218" i="1" s="1"/>
  <c r="D219" i="1" s="1"/>
  <c r="D220" i="1" s="1"/>
  <c r="D221" i="1" s="1"/>
  <c r="D222" i="1" s="1"/>
  <c r="D223" i="1" s="1"/>
  <c r="D224" i="1" s="1"/>
  <c r="D225" i="1" s="1"/>
  <c r="D226" i="1" s="1"/>
  <c r="D227" i="1" s="1"/>
  <c r="D228" i="1" s="1"/>
  <c r="D229" i="1" s="1"/>
  <c r="D230" i="1" s="1"/>
  <c r="D231" i="1" s="1"/>
  <c r="D232" i="1" s="1"/>
  <c r="D233" i="1" s="1"/>
  <c r="D234" i="1" s="1"/>
  <c r="D235" i="1" s="1"/>
  <c r="D236" i="1" s="1"/>
  <c r="D237" i="1" s="1"/>
  <c r="D238" i="1" s="1"/>
  <c r="D239" i="1" s="1"/>
  <c r="D240" i="1" s="1"/>
  <c r="D241" i="1" s="1"/>
  <c r="D242" i="1" s="1"/>
  <c r="D243" i="1" s="1"/>
  <c r="D244" i="1" s="1"/>
  <c r="D245" i="1" s="1"/>
  <c r="D246" i="1" s="1"/>
  <c r="D247" i="1" s="1"/>
  <c r="D248" i="1" s="1"/>
  <c r="D249" i="1" s="1"/>
  <c r="D250" i="1" s="1"/>
  <c r="D251" i="1" s="1"/>
  <c r="D252" i="1" s="1"/>
  <c r="D253" i="1" s="1"/>
  <c r="D254" i="1" s="1"/>
  <c r="D255" i="1" s="1"/>
  <c r="D256" i="1" s="1"/>
  <c r="D257" i="1" s="1"/>
  <c r="D258" i="1" s="1"/>
  <c r="D259" i="1" s="1"/>
  <c r="D260" i="1" s="1"/>
  <c r="D261" i="1" s="1"/>
  <c r="D262" i="1" s="1"/>
  <c r="D263" i="1" s="1"/>
  <c r="D264" i="1" s="1"/>
  <c r="D265" i="1" s="1"/>
  <c r="D266" i="1" s="1"/>
  <c r="D267" i="1" s="1"/>
  <c r="D268" i="1" s="1"/>
  <c r="D269" i="1" s="1"/>
  <c r="D270" i="1" s="1"/>
  <c r="D271" i="1" s="1"/>
  <c r="D272" i="1" s="1"/>
  <c r="D273" i="1" s="1"/>
  <c r="D274" i="1" s="1"/>
  <c r="D275" i="1" s="1"/>
  <c r="D276" i="1" s="1"/>
  <c r="D277" i="1" s="1"/>
  <c r="D278" i="1" s="1"/>
  <c r="D279" i="1" s="1"/>
  <c r="D280" i="1" s="1"/>
  <c r="D281" i="1" s="1"/>
  <c r="D282" i="1" s="1"/>
  <c r="D283" i="1" s="1"/>
  <c r="D284" i="1" s="1"/>
  <c r="D285" i="1" s="1"/>
  <c r="D286" i="1" s="1"/>
  <c r="D287" i="1" s="1"/>
  <c r="D288" i="1" s="1"/>
  <c r="D289" i="1" s="1"/>
  <c r="D290" i="1" s="1"/>
  <c r="D291" i="1" s="1"/>
  <c r="D292" i="1" s="1"/>
  <c r="D293" i="1" s="1"/>
  <c r="D294" i="1" s="1"/>
  <c r="D295" i="1" s="1"/>
  <c r="D296" i="1" s="1"/>
  <c r="D297" i="1" s="1"/>
  <c r="D298" i="1" s="1"/>
  <c r="D299" i="1" s="1"/>
  <c r="D300" i="1" s="1"/>
  <c r="D301" i="1" s="1"/>
  <c r="D302" i="1" s="1"/>
  <c r="D103" i="1"/>
  <c r="G3" i="1"/>
  <c r="G4" i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29" i="1"/>
  <c r="G30" i="1"/>
  <c r="G31" i="1"/>
  <c r="G32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7" i="1"/>
  <c r="G48" i="1"/>
  <c r="G49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3" i="1"/>
  <c r="G64" i="1"/>
  <c r="G65" i="1"/>
  <c r="G66" i="1"/>
  <c r="G67" i="1"/>
  <c r="G68" i="1"/>
  <c r="G69" i="1"/>
  <c r="G70" i="1"/>
  <c r="G71" i="1"/>
  <c r="G72" i="1"/>
  <c r="G73" i="1"/>
  <c r="G74" i="1"/>
  <c r="G75" i="1"/>
  <c r="G76" i="1"/>
  <c r="G77" i="1"/>
  <c r="G78" i="1"/>
  <c r="G79" i="1"/>
  <c r="G80" i="1"/>
  <c r="G81" i="1"/>
  <c r="G82" i="1"/>
  <c r="G83" i="1"/>
  <c r="G84" i="1"/>
  <c r="G85" i="1"/>
  <c r="G86" i="1"/>
  <c r="G87" i="1"/>
  <c r="G88" i="1"/>
  <c r="G89" i="1"/>
  <c r="G90" i="1"/>
  <c r="G91" i="1"/>
  <c r="G92" i="1"/>
  <c r="G93" i="1"/>
  <c r="G94" i="1"/>
  <c r="G95" i="1"/>
  <c r="G96" i="1"/>
  <c r="G97" i="1"/>
  <c r="G98" i="1"/>
  <c r="G99" i="1"/>
  <c r="G100" i="1"/>
  <c r="G101" i="1"/>
  <c r="G102" i="1"/>
  <c r="D94" i="1"/>
  <c r="D95" i="1"/>
  <c r="D96" i="1" s="1"/>
  <c r="D97" i="1" s="1"/>
  <c r="D98" i="1" s="1"/>
  <c r="D99" i="1" s="1"/>
  <c r="D100" i="1" s="1"/>
  <c r="D101" i="1" s="1"/>
  <c r="D102" i="1" s="1"/>
  <c r="D93" i="1"/>
  <c r="J116" i="1"/>
  <c r="A346" i="1"/>
  <c r="E346" i="1"/>
  <c r="F346" i="1"/>
  <c r="A347" i="1"/>
  <c r="E347" i="1"/>
  <c r="E348" i="1" s="1"/>
  <c r="E349" i="1" s="1"/>
  <c r="E350" i="1" s="1"/>
  <c r="E351" i="1" s="1"/>
  <c r="E352" i="1" s="1"/>
  <c r="E353" i="1" s="1"/>
  <c r="E354" i="1" s="1"/>
  <c r="E355" i="1" s="1"/>
  <c r="E356" i="1" s="1"/>
  <c r="E357" i="1" s="1"/>
  <c r="E358" i="1" s="1"/>
  <c r="E359" i="1" s="1"/>
  <c r="E360" i="1" s="1"/>
  <c r="E361" i="1" s="1"/>
  <c r="E362" i="1" s="1"/>
  <c r="E363" i="1" s="1"/>
  <c r="E364" i="1" s="1"/>
  <c r="E365" i="1" s="1"/>
  <c r="E366" i="1" s="1"/>
  <c r="E367" i="1" s="1"/>
  <c r="E368" i="1" s="1"/>
  <c r="E369" i="1" s="1"/>
  <c r="E370" i="1" s="1"/>
  <c r="E371" i="1" s="1"/>
  <c r="E372" i="1" s="1"/>
  <c r="E373" i="1" s="1"/>
  <c r="E374" i="1" s="1"/>
  <c r="E375" i="1" s="1"/>
  <c r="E376" i="1" s="1"/>
  <c r="E377" i="1" s="1"/>
  <c r="E378" i="1" s="1"/>
  <c r="E379" i="1" s="1"/>
  <c r="E380" i="1" s="1"/>
  <c r="E381" i="1" s="1"/>
  <c r="E382" i="1" s="1"/>
  <c r="E383" i="1" s="1"/>
  <c r="E384" i="1" s="1"/>
  <c r="E385" i="1" s="1"/>
  <c r="E386" i="1" s="1"/>
  <c r="E387" i="1" s="1"/>
  <c r="E388" i="1" s="1"/>
  <c r="E389" i="1" s="1"/>
  <c r="E390" i="1" s="1"/>
  <c r="E391" i="1" s="1"/>
  <c r="E392" i="1" s="1"/>
  <c r="E393" i="1" s="1"/>
  <c r="E394" i="1" s="1"/>
  <c r="E395" i="1" s="1"/>
  <c r="E396" i="1" s="1"/>
  <c r="E397" i="1" s="1"/>
  <c r="E398" i="1" s="1"/>
  <c r="E399" i="1" s="1"/>
  <c r="E400" i="1" s="1"/>
  <c r="E401" i="1" s="1"/>
  <c r="E402" i="1" s="1"/>
  <c r="E403" i="1" s="1"/>
  <c r="E404" i="1" s="1"/>
  <c r="E405" i="1" s="1"/>
  <c r="E406" i="1" s="1"/>
  <c r="E407" i="1" s="1"/>
  <c r="E408" i="1" s="1"/>
  <c r="E409" i="1" s="1"/>
  <c r="E410" i="1" s="1"/>
  <c r="E411" i="1" s="1"/>
  <c r="E412" i="1" s="1"/>
  <c r="E413" i="1" s="1"/>
  <c r="E414" i="1" s="1"/>
  <c r="E415" i="1" s="1"/>
  <c r="E416" i="1" s="1"/>
  <c r="E417" i="1" s="1"/>
  <c r="E418" i="1" s="1"/>
  <c r="E419" i="1" s="1"/>
  <c r="E420" i="1" s="1"/>
  <c r="E421" i="1" s="1"/>
  <c r="E422" i="1" s="1"/>
  <c r="E423" i="1" s="1"/>
  <c r="E424" i="1" s="1"/>
  <c r="E425" i="1" s="1"/>
  <c r="E426" i="1" s="1"/>
  <c r="E427" i="1" s="1"/>
  <c r="E428" i="1" s="1"/>
  <c r="E429" i="1" s="1"/>
  <c r="E430" i="1" s="1"/>
  <c r="E431" i="1" s="1"/>
  <c r="E432" i="1" s="1"/>
  <c r="E433" i="1" s="1"/>
  <c r="E434" i="1" s="1"/>
  <c r="E435" i="1" s="1"/>
  <c r="E436" i="1" s="1"/>
  <c r="E437" i="1" s="1"/>
  <c r="E438" i="1" s="1"/>
  <c r="E439" i="1" s="1"/>
  <c r="E440" i="1" s="1"/>
  <c r="E441" i="1" s="1"/>
  <c r="E442" i="1" s="1"/>
  <c r="E443" i="1" s="1"/>
  <c r="E444" i="1" s="1"/>
  <c r="E445" i="1" s="1"/>
  <c r="E446" i="1" s="1"/>
  <c r="E447" i="1" s="1"/>
  <c r="E448" i="1" s="1"/>
  <c r="E449" i="1" s="1"/>
  <c r="E450" i="1" s="1"/>
  <c r="E451" i="1" s="1"/>
  <c r="E452" i="1" s="1"/>
  <c r="E453" i="1" s="1"/>
  <c r="E454" i="1" s="1"/>
  <c r="E455" i="1" s="1"/>
  <c r="E456" i="1" s="1"/>
  <c r="E457" i="1" s="1"/>
  <c r="E458" i="1" s="1"/>
  <c r="E459" i="1" s="1"/>
  <c r="E460" i="1" s="1"/>
  <c r="E461" i="1" s="1"/>
  <c r="E462" i="1" s="1"/>
  <c r="E463" i="1" s="1"/>
  <c r="E464" i="1" s="1"/>
  <c r="E465" i="1" s="1"/>
  <c r="E466" i="1" s="1"/>
  <c r="E467" i="1" s="1"/>
  <c r="E468" i="1" s="1"/>
  <c r="E469" i="1" s="1"/>
  <c r="E470" i="1" s="1"/>
  <c r="E471" i="1" s="1"/>
  <c r="E472" i="1" s="1"/>
  <c r="E473" i="1" s="1"/>
  <c r="E474" i="1" s="1"/>
  <c r="E475" i="1" s="1"/>
  <c r="E476" i="1" s="1"/>
  <c r="E477" i="1" s="1"/>
  <c r="E478" i="1" s="1"/>
  <c r="E479" i="1" s="1"/>
  <c r="E480" i="1" s="1"/>
  <c r="E481" i="1" s="1"/>
  <c r="E482" i="1" s="1"/>
  <c r="E483" i="1" s="1"/>
  <c r="E484" i="1" s="1"/>
  <c r="E485" i="1" s="1"/>
  <c r="E486" i="1" s="1"/>
  <c r="E487" i="1" s="1"/>
  <c r="E488" i="1" s="1"/>
  <c r="E489" i="1" s="1"/>
  <c r="E490" i="1" s="1"/>
  <c r="E491" i="1" s="1"/>
  <c r="E492" i="1" s="1"/>
  <c r="E493" i="1" s="1"/>
  <c r="E494" i="1" s="1"/>
  <c r="E495" i="1" s="1"/>
  <c r="E496" i="1" s="1"/>
  <c r="E497" i="1" s="1"/>
  <c r="E498" i="1" s="1"/>
  <c r="E499" i="1" s="1"/>
  <c r="E500" i="1" s="1"/>
  <c r="E501" i="1" s="1"/>
  <c r="E502" i="1" s="1"/>
  <c r="E503" i="1" s="1"/>
  <c r="E504" i="1" s="1"/>
  <c r="E505" i="1" s="1"/>
  <c r="E506" i="1" s="1"/>
  <c r="E507" i="1" s="1"/>
  <c r="E508" i="1" s="1"/>
  <c r="E509" i="1" s="1"/>
  <c r="E510" i="1" s="1"/>
  <c r="E511" i="1" s="1"/>
  <c r="E512" i="1" s="1"/>
  <c r="E513" i="1" s="1"/>
  <c r="E514" i="1" s="1"/>
  <c r="E515" i="1" s="1"/>
  <c r="E516" i="1" s="1"/>
  <c r="E517" i="1" s="1"/>
  <c r="E518" i="1" s="1"/>
  <c r="E519" i="1" s="1"/>
  <c r="E520" i="1" s="1"/>
  <c r="E521" i="1" s="1"/>
  <c r="E522" i="1" s="1"/>
  <c r="E523" i="1" s="1"/>
  <c r="E524" i="1" s="1"/>
  <c r="E525" i="1" s="1"/>
  <c r="E526" i="1" s="1"/>
  <c r="E527" i="1" s="1"/>
  <c r="E528" i="1" s="1"/>
  <c r="E529" i="1" s="1"/>
  <c r="E530" i="1" s="1"/>
  <c r="E531" i="1" s="1"/>
  <c r="E532" i="1" s="1"/>
  <c r="E533" i="1" s="1"/>
  <c r="E534" i="1" s="1"/>
  <c r="E535" i="1" s="1"/>
  <c r="E536" i="1" s="1"/>
  <c r="E537" i="1" s="1"/>
  <c r="E538" i="1" s="1"/>
  <c r="E539" i="1" s="1"/>
  <c r="E540" i="1" s="1"/>
  <c r="E541" i="1" s="1"/>
  <c r="E542" i="1" s="1"/>
  <c r="E543" i="1" s="1"/>
  <c r="E544" i="1" s="1"/>
  <c r="E545" i="1" s="1"/>
  <c r="E546" i="1" s="1"/>
  <c r="E547" i="1" s="1"/>
  <c r="E548" i="1" s="1"/>
  <c r="E549" i="1" s="1"/>
  <c r="E550" i="1" s="1"/>
  <c r="E551" i="1" s="1"/>
  <c r="E552" i="1" s="1"/>
  <c r="E553" i="1" s="1"/>
  <c r="E554" i="1" s="1"/>
  <c r="E555" i="1" s="1"/>
  <c r="E556" i="1" s="1"/>
  <c r="E557" i="1" s="1"/>
  <c r="E558" i="1" s="1"/>
  <c r="E559" i="1" s="1"/>
  <c r="E560" i="1" s="1"/>
  <c r="E561" i="1" s="1"/>
  <c r="E562" i="1" s="1"/>
  <c r="E563" i="1" s="1"/>
  <c r="E564" i="1" s="1"/>
  <c r="E565" i="1" s="1"/>
  <c r="E566" i="1" s="1"/>
  <c r="E567" i="1" s="1"/>
  <c r="E568" i="1" s="1"/>
  <c r="E569" i="1" s="1"/>
  <c r="E570" i="1" s="1"/>
  <c r="F347" i="1"/>
  <c r="F348" i="1" s="1"/>
  <c r="F349" i="1" s="1"/>
  <c r="F350" i="1" s="1"/>
  <c r="F351" i="1" s="1"/>
  <c r="A348" i="1"/>
  <c r="A349" i="1" s="1"/>
  <c r="A350" i="1" s="1"/>
  <c r="A351" i="1" s="1"/>
  <c r="A352" i="1" s="1"/>
  <c r="A353" i="1" s="1"/>
  <c r="A354" i="1" s="1"/>
  <c r="A355" i="1" s="1"/>
  <c r="A356" i="1" s="1"/>
  <c r="A357" i="1" s="1"/>
  <c r="A358" i="1" s="1"/>
  <c r="A359" i="1" s="1"/>
  <c r="A360" i="1" s="1"/>
  <c r="A361" i="1" s="1"/>
  <c r="A362" i="1" s="1"/>
  <c r="A363" i="1" s="1"/>
  <c r="A364" i="1" s="1"/>
  <c r="A365" i="1" s="1"/>
  <c r="A366" i="1" s="1"/>
  <c r="A367" i="1" s="1"/>
  <c r="A368" i="1" s="1"/>
  <c r="A369" i="1" s="1"/>
  <c r="A370" i="1" s="1"/>
  <c r="A371" i="1" s="1"/>
  <c r="A372" i="1" s="1"/>
  <c r="A373" i="1" s="1"/>
  <c r="A374" i="1" s="1"/>
  <c r="A375" i="1" s="1"/>
  <c r="A376" i="1" s="1"/>
  <c r="A377" i="1" s="1"/>
  <c r="A378" i="1" s="1"/>
  <c r="A379" i="1" s="1"/>
  <c r="A380" i="1" s="1"/>
  <c r="A381" i="1" s="1"/>
  <c r="A382" i="1" s="1"/>
  <c r="A383" i="1" s="1"/>
  <c r="A384" i="1" s="1"/>
  <c r="A385" i="1" s="1"/>
  <c r="A386" i="1" s="1"/>
  <c r="A387" i="1" s="1"/>
  <c r="A388" i="1" s="1"/>
  <c r="A389" i="1" s="1"/>
  <c r="A390" i="1" s="1"/>
  <c r="A391" i="1" s="1"/>
  <c r="A392" i="1" s="1"/>
  <c r="A393" i="1" s="1"/>
  <c r="A394" i="1" s="1"/>
  <c r="A395" i="1" s="1"/>
  <c r="A396" i="1" s="1"/>
  <c r="A397" i="1" s="1"/>
  <c r="A398" i="1" s="1"/>
  <c r="A399" i="1" s="1"/>
  <c r="A400" i="1" s="1"/>
  <c r="A401" i="1" s="1"/>
  <c r="A402" i="1" s="1"/>
  <c r="A403" i="1" s="1"/>
  <c r="A404" i="1" s="1"/>
  <c r="A405" i="1" s="1"/>
  <c r="A406" i="1" s="1"/>
  <c r="A407" i="1" s="1"/>
  <c r="A408" i="1" s="1"/>
  <c r="A409" i="1" s="1"/>
  <c r="A410" i="1" s="1"/>
  <c r="A411" i="1" s="1"/>
  <c r="A412" i="1" s="1"/>
  <c r="A413" i="1" s="1"/>
  <c r="A414" i="1" s="1"/>
  <c r="A415" i="1" s="1"/>
  <c r="A416" i="1" s="1"/>
  <c r="A417" i="1" s="1"/>
  <c r="A418" i="1" s="1"/>
  <c r="A419" i="1" s="1"/>
  <c r="A420" i="1" s="1"/>
  <c r="A421" i="1" s="1"/>
  <c r="A422" i="1" s="1"/>
  <c r="A423" i="1" s="1"/>
  <c r="A424" i="1" s="1"/>
  <c r="A425" i="1" s="1"/>
  <c r="A426" i="1" s="1"/>
  <c r="A427" i="1" s="1"/>
  <c r="A428" i="1" s="1"/>
  <c r="A429" i="1" s="1"/>
  <c r="A430" i="1" s="1"/>
  <c r="A431" i="1" s="1"/>
  <c r="A432" i="1" s="1"/>
  <c r="A433" i="1" s="1"/>
  <c r="A434" i="1" s="1"/>
  <c r="A435" i="1" s="1"/>
  <c r="A436" i="1" s="1"/>
  <c r="A437" i="1" s="1"/>
  <c r="A438" i="1" s="1"/>
  <c r="A439" i="1" s="1"/>
  <c r="A440" i="1" s="1"/>
  <c r="A441" i="1" s="1"/>
  <c r="A442" i="1" s="1"/>
  <c r="A443" i="1" s="1"/>
  <c r="A444" i="1" s="1"/>
  <c r="A445" i="1" s="1"/>
  <c r="A446" i="1" s="1"/>
  <c r="A447" i="1" s="1"/>
  <c r="A448" i="1" s="1"/>
  <c r="A449" i="1" s="1"/>
  <c r="A450" i="1" s="1"/>
  <c r="A451" i="1" s="1"/>
  <c r="A452" i="1" s="1"/>
  <c r="A453" i="1" s="1"/>
  <c r="A454" i="1" s="1"/>
  <c r="A455" i="1" s="1"/>
  <c r="A456" i="1" s="1"/>
  <c r="A457" i="1" s="1"/>
  <c r="A458" i="1" s="1"/>
  <c r="A459" i="1" s="1"/>
  <c r="A460" i="1" s="1"/>
  <c r="A461" i="1" s="1"/>
  <c r="A462" i="1" s="1"/>
  <c r="A463" i="1" s="1"/>
  <c r="A464" i="1" s="1"/>
  <c r="A465" i="1" s="1"/>
  <c r="A466" i="1" s="1"/>
  <c r="A467" i="1" s="1"/>
  <c r="A468" i="1" s="1"/>
  <c r="A469" i="1" s="1"/>
  <c r="A470" i="1" s="1"/>
  <c r="A471" i="1" s="1"/>
  <c r="A472" i="1" s="1"/>
  <c r="A473" i="1" s="1"/>
  <c r="A474" i="1" s="1"/>
  <c r="A475" i="1" s="1"/>
  <c r="A476" i="1" s="1"/>
  <c r="A477" i="1" s="1"/>
  <c r="A478" i="1" s="1"/>
  <c r="A479" i="1" s="1"/>
  <c r="A480" i="1" s="1"/>
  <c r="A481" i="1" s="1"/>
  <c r="A482" i="1" s="1"/>
  <c r="A483" i="1" s="1"/>
  <c r="A484" i="1" s="1"/>
  <c r="A485" i="1" s="1"/>
  <c r="A486" i="1" s="1"/>
  <c r="A487" i="1" s="1"/>
  <c r="A488" i="1" s="1"/>
  <c r="A489" i="1" s="1"/>
  <c r="A490" i="1" s="1"/>
  <c r="A491" i="1" s="1"/>
  <c r="A492" i="1" s="1"/>
  <c r="A493" i="1" s="1"/>
  <c r="A494" i="1" s="1"/>
  <c r="A495" i="1" s="1"/>
  <c r="A496" i="1" s="1"/>
  <c r="A497" i="1" s="1"/>
  <c r="A498" i="1" s="1"/>
  <c r="A499" i="1" s="1"/>
  <c r="A500" i="1" s="1"/>
  <c r="A501" i="1" s="1"/>
  <c r="A502" i="1" s="1"/>
  <c r="A503" i="1" s="1"/>
  <c r="A504" i="1" s="1"/>
  <c r="A505" i="1" s="1"/>
  <c r="A506" i="1" s="1"/>
  <c r="A507" i="1" s="1"/>
  <c r="A508" i="1" s="1"/>
  <c r="A509" i="1" s="1"/>
  <c r="A510" i="1" s="1"/>
  <c r="A511" i="1" s="1"/>
  <c r="A512" i="1" s="1"/>
  <c r="A513" i="1" s="1"/>
  <c r="A514" i="1" s="1"/>
  <c r="A515" i="1" s="1"/>
  <c r="A516" i="1" s="1"/>
  <c r="A517" i="1" s="1"/>
  <c r="A518" i="1" s="1"/>
  <c r="A519" i="1" s="1"/>
  <c r="A520" i="1" s="1"/>
  <c r="A521" i="1" s="1"/>
  <c r="A522" i="1" s="1"/>
  <c r="A523" i="1" s="1"/>
  <c r="A524" i="1" s="1"/>
  <c r="A525" i="1" s="1"/>
  <c r="A526" i="1" s="1"/>
  <c r="A527" i="1" s="1"/>
  <c r="A528" i="1" s="1"/>
  <c r="A529" i="1" s="1"/>
  <c r="A530" i="1" s="1"/>
  <c r="A531" i="1" s="1"/>
  <c r="A532" i="1" s="1"/>
  <c r="A533" i="1" s="1"/>
  <c r="A534" i="1" s="1"/>
  <c r="A535" i="1" s="1"/>
  <c r="A536" i="1" s="1"/>
  <c r="A537" i="1" s="1"/>
  <c r="A538" i="1" s="1"/>
  <c r="A539" i="1" s="1"/>
  <c r="A540" i="1" s="1"/>
  <c r="A541" i="1" s="1"/>
  <c r="A542" i="1" s="1"/>
  <c r="A543" i="1" s="1"/>
  <c r="A544" i="1" s="1"/>
  <c r="A545" i="1" s="1"/>
  <c r="A546" i="1" s="1"/>
  <c r="A547" i="1" s="1"/>
  <c r="A548" i="1" s="1"/>
  <c r="A549" i="1" s="1"/>
  <c r="A550" i="1" s="1"/>
  <c r="A551" i="1" s="1"/>
  <c r="A552" i="1" s="1"/>
  <c r="A553" i="1" s="1"/>
  <c r="A554" i="1" s="1"/>
  <c r="A555" i="1" s="1"/>
  <c r="A556" i="1" s="1"/>
  <c r="A557" i="1" s="1"/>
  <c r="A558" i="1" s="1"/>
  <c r="A559" i="1" s="1"/>
  <c r="A560" i="1" s="1"/>
  <c r="A561" i="1" s="1"/>
  <c r="A562" i="1" s="1"/>
  <c r="A563" i="1" s="1"/>
  <c r="A564" i="1" s="1"/>
  <c r="A565" i="1" s="1"/>
  <c r="A566" i="1" s="1"/>
  <c r="A567" i="1" s="1"/>
  <c r="A568" i="1" s="1"/>
  <c r="A569" i="1" s="1"/>
  <c r="A570" i="1" s="1"/>
  <c r="F352" i="1"/>
  <c r="F353" i="1" s="1"/>
  <c r="F354" i="1" s="1"/>
  <c r="F355" i="1" s="1"/>
  <c r="F356" i="1" s="1"/>
  <c r="F357" i="1" s="1"/>
  <c r="F358" i="1" s="1"/>
  <c r="F359" i="1" s="1"/>
  <c r="F360" i="1" s="1"/>
  <c r="F361" i="1" s="1"/>
  <c r="F362" i="1" s="1"/>
  <c r="F363" i="1" s="1"/>
  <c r="F364" i="1" s="1"/>
  <c r="F365" i="1" s="1"/>
  <c r="F366" i="1" s="1"/>
  <c r="F367" i="1" s="1"/>
  <c r="F368" i="1" s="1"/>
  <c r="F369" i="1" s="1"/>
  <c r="F370" i="1" s="1"/>
  <c r="F371" i="1" s="1"/>
  <c r="F372" i="1" s="1"/>
  <c r="F373" i="1" s="1"/>
  <c r="F374" i="1" s="1"/>
  <c r="F375" i="1" s="1"/>
  <c r="F376" i="1" s="1"/>
  <c r="F377" i="1" s="1"/>
  <c r="F378" i="1" s="1"/>
  <c r="F379" i="1" s="1"/>
  <c r="F380" i="1" s="1"/>
  <c r="F381" i="1" s="1"/>
  <c r="F382" i="1" s="1"/>
  <c r="F383" i="1" s="1"/>
  <c r="F384" i="1" s="1"/>
  <c r="F385" i="1" s="1"/>
  <c r="F386" i="1" s="1"/>
  <c r="F387" i="1" s="1"/>
  <c r="F388" i="1" s="1"/>
  <c r="F389" i="1" s="1"/>
  <c r="F390" i="1" s="1"/>
  <c r="F391" i="1" s="1"/>
  <c r="F392" i="1" s="1"/>
  <c r="F393" i="1" s="1"/>
  <c r="F394" i="1" s="1"/>
  <c r="F395" i="1" s="1"/>
  <c r="F396" i="1" s="1"/>
  <c r="F397" i="1" s="1"/>
  <c r="F398" i="1" s="1"/>
  <c r="F399" i="1" s="1"/>
  <c r="F400" i="1" s="1"/>
  <c r="F401" i="1" s="1"/>
  <c r="F402" i="1" s="1"/>
  <c r="F403" i="1" s="1"/>
  <c r="F404" i="1" s="1"/>
  <c r="F405" i="1" s="1"/>
  <c r="F406" i="1" s="1"/>
  <c r="F407" i="1" s="1"/>
  <c r="F408" i="1" s="1"/>
  <c r="F409" i="1" s="1"/>
  <c r="F410" i="1" s="1"/>
  <c r="F411" i="1" s="1"/>
  <c r="F412" i="1" s="1"/>
  <c r="F413" i="1" s="1"/>
  <c r="F414" i="1" s="1"/>
  <c r="F415" i="1" s="1"/>
  <c r="F416" i="1" s="1"/>
  <c r="F417" i="1" s="1"/>
  <c r="F418" i="1" s="1"/>
  <c r="F419" i="1" s="1"/>
  <c r="F420" i="1" s="1"/>
  <c r="F421" i="1" s="1"/>
  <c r="F422" i="1" s="1"/>
  <c r="F423" i="1" s="1"/>
  <c r="F424" i="1" s="1"/>
  <c r="F425" i="1" s="1"/>
  <c r="F426" i="1" s="1"/>
  <c r="F427" i="1" s="1"/>
  <c r="F428" i="1" s="1"/>
  <c r="F429" i="1" s="1"/>
  <c r="F430" i="1" s="1"/>
  <c r="F431" i="1" s="1"/>
  <c r="F432" i="1" s="1"/>
  <c r="F433" i="1" s="1"/>
  <c r="F434" i="1" s="1"/>
  <c r="F435" i="1" s="1"/>
  <c r="F436" i="1" s="1"/>
  <c r="F437" i="1" s="1"/>
  <c r="F438" i="1" s="1"/>
  <c r="F439" i="1" s="1"/>
  <c r="F440" i="1" s="1"/>
  <c r="F441" i="1" s="1"/>
  <c r="F442" i="1" s="1"/>
  <c r="F443" i="1" s="1"/>
  <c r="F444" i="1" s="1"/>
  <c r="F445" i="1" s="1"/>
  <c r="F446" i="1" s="1"/>
  <c r="F447" i="1" s="1"/>
  <c r="F448" i="1" s="1"/>
  <c r="F449" i="1" s="1"/>
  <c r="F450" i="1" s="1"/>
  <c r="F451" i="1" s="1"/>
  <c r="F452" i="1" s="1"/>
  <c r="F453" i="1" s="1"/>
  <c r="F454" i="1" s="1"/>
  <c r="F455" i="1" s="1"/>
  <c r="F456" i="1" s="1"/>
  <c r="F457" i="1" s="1"/>
  <c r="F458" i="1" s="1"/>
  <c r="F459" i="1" s="1"/>
  <c r="F460" i="1" s="1"/>
  <c r="F461" i="1" s="1"/>
  <c r="F462" i="1" s="1"/>
  <c r="F463" i="1" s="1"/>
  <c r="F464" i="1" s="1"/>
  <c r="F465" i="1" s="1"/>
  <c r="F466" i="1" s="1"/>
  <c r="F467" i="1" s="1"/>
  <c r="F468" i="1" s="1"/>
  <c r="F469" i="1" s="1"/>
  <c r="F470" i="1" s="1"/>
  <c r="F471" i="1" s="1"/>
  <c r="F472" i="1" s="1"/>
  <c r="F473" i="1" s="1"/>
  <c r="F474" i="1" s="1"/>
  <c r="F475" i="1" s="1"/>
  <c r="F476" i="1" s="1"/>
  <c r="F477" i="1" s="1"/>
  <c r="F478" i="1" s="1"/>
  <c r="F479" i="1" s="1"/>
  <c r="F480" i="1" s="1"/>
  <c r="F481" i="1" s="1"/>
  <c r="F482" i="1" s="1"/>
  <c r="F483" i="1" s="1"/>
  <c r="F484" i="1" s="1"/>
  <c r="F485" i="1" s="1"/>
  <c r="F486" i="1" s="1"/>
  <c r="F487" i="1" s="1"/>
  <c r="F488" i="1" s="1"/>
  <c r="F489" i="1" s="1"/>
  <c r="F490" i="1" s="1"/>
  <c r="F491" i="1" s="1"/>
  <c r="F492" i="1" s="1"/>
  <c r="F493" i="1" s="1"/>
  <c r="F494" i="1" s="1"/>
  <c r="F495" i="1" s="1"/>
  <c r="F496" i="1" s="1"/>
  <c r="F497" i="1" s="1"/>
  <c r="F498" i="1" s="1"/>
  <c r="F499" i="1" s="1"/>
  <c r="F500" i="1" s="1"/>
  <c r="F501" i="1" s="1"/>
  <c r="F502" i="1" s="1"/>
  <c r="F503" i="1" s="1"/>
  <c r="F504" i="1" s="1"/>
  <c r="F505" i="1" s="1"/>
  <c r="F506" i="1" s="1"/>
  <c r="F507" i="1" s="1"/>
  <c r="F508" i="1" s="1"/>
  <c r="F509" i="1" s="1"/>
  <c r="F510" i="1" s="1"/>
  <c r="F511" i="1" s="1"/>
  <c r="F512" i="1" s="1"/>
  <c r="F513" i="1" s="1"/>
  <c r="F514" i="1" s="1"/>
  <c r="F515" i="1" s="1"/>
  <c r="F516" i="1" s="1"/>
  <c r="F517" i="1" s="1"/>
  <c r="F518" i="1" s="1"/>
  <c r="F519" i="1" s="1"/>
  <c r="F520" i="1" s="1"/>
  <c r="F521" i="1" s="1"/>
  <c r="F522" i="1" s="1"/>
  <c r="F523" i="1" s="1"/>
  <c r="F524" i="1" s="1"/>
  <c r="F525" i="1" s="1"/>
  <c r="F526" i="1" s="1"/>
  <c r="F527" i="1" s="1"/>
  <c r="F528" i="1" s="1"/>
  <c r="F529" i="1" s="1"/>
  <c r="F530" i="1" s="1"/>
  <c r="F531" i="1" s="1"/>
  <c r="F532" i="1" s="1"/>
  <c r="F533" i="1" s="1"/>
  <c r="F534" i="1" s="1"/>
  <c r="F535" i="1" s="1"/>
  <c r="F536" i="1" s="1"/>
  <c r="F537" i="1" s="1"/>
  <c r="F538" i="1" s="1"/>
  <c r="F539" i="1" s="1"/>
  <c r="F540" i="1" s="1"/>
  <c r="F541" i="1" s="1"/>
  <c r="F542" i="1" s="1"/>
  <c r="F543" i="1" s="1"/>
  <c r="F544" i="1" s="1"/>
  <c r="F545" i="1" s="1"/>
  <c r="F546" i="1" s="1"/>
  <c r="F547" i="1" s="1"/>
  <c r="F548" i="1" s="1"/>
  <c r="F549" i="1" s="1"/>
  <c r="F550" i="1" s="1"/>
  <c r="F551" i="1" s="1"/>
  <c r="F552" i="1" s="1"/>
  <c r="F553" i="1" s="1"/>
  <c r="F554" i="1" s="1"/>
  <c r="F555" i="1" s="1"/>
  <c r="F556" i="1" s="1"/>
  <c r="F557" i="1" s="1"/>
  <c r="F558" i="1" s="1"/>
  <c r="F559" i="1" s="1"/>
  <c r="F560" i="1" s="1"/>
  <c r="F561" i="1" s="1"/>
  <c r="F562" i="1" s="1"/>
  <c r="F563" i="1" s="1"/>
  <c r="F564" i="1" s="1"/>
  <c r="F565" i="1" s="1"/>
  <c r="F566" i="1" s="1"/>
  <c r="F567" i="1" s="1"/>
  <c r="F568" i="1" s="1"/>
  <c r="F569" i="1" s="1"/>
  <c r="F570" i="1" s="1"/>
  <c r="J552" i="1"/>
  <c r="J553" i="1"/>
  <c r="J554" i="1"/>
  <c r="J555" i="1"/>
  <c r="J556" i="1"/>
  <c r="J557" i="1"/>
  <c r="J558" i="1"/>
  <c r="J559" i="1"/>
  <c r="J560" i="1"/>
  <c r="J561" i="1"/>
  <c r="J562" i="1"/>
  <c r="J563" i="1"/>
  <c r="J564" i="1"/>
  <c r="J565" i="1"/>
  <c r="J566" i="1"/>
  <c r="J567" i="1"/>
  <c r="J568" i="1"/>
  <c r="J569" i="1"/>
  <c r="J570" i="1"/>
  <c r="F105" i="1"/>
  <c r="F106" i="1" s="1"/>
  <c r="F107" i="1" s="1"/>
  <c r="F108" i="1" s="1"/>
  <c r="F109" i="1" s="1"/>
  <c r="F110" i="1" s="1"/>
  <c r="F111" i="1" s="1"/>
  <c r="F112" i="1" s="1"/>
  <c r="F113" i="1" s="1"/>
  <c r="F114" i="1" s="1"/>
  <c r="F115" i="1" s="1"/>
  <c r="F116" i="1" s="1"/>
  <c r="F117" i="1" s="1"/>
  <c r="F118" i="1" s="1"/>
  <c r="F119" i="1" s="1"/>
  <c r="F120" i="1" s="1"/>
  <c r="F121" i="1" s="1"/>
  <c r="F122" i="1" s="1"/>
  <c r="F123" i="1" s="1"/>
  <c r="F124" i="1" s="1"/>
  <c r="F125" i="1" s="1"/>
  <c r="F126" i="1" s="1"/>
  <c r="F127" i="1" s="1"/>
  <c r="F128" i="1" s="1"/>
  <c r="F129" i="1" s="1"/>
  <c r="F130" i="1" s="1"/>
  <c r="F131" i="1" s="1"/>
  <c r="F132" i="1" s="1"/>
  <c r="F133" i="1" s="1"/>
  <c r="F134" i="1" s="1"/>
  <c r="F135" i="1" s="1"/>
  <c r="F136" i="1" s="1"/>
  <c r="F137" i="1" s="1"/>
  <c r="F138" i="1" s="1"/>
  <c r="F139" i="1" s="1"/>
  <c r="F140" i="1" s="1"/>
  <c r="F141" i="1" s="1"/>
  <c r="F142" i="1" s="1"/>
  <c r="F143" i="1" s="1"/>
  <c r="F144" i="1" s="1"/>
  <c r="F145" i="1" s="1"/>
  <c r="F146" i="1" s="1"/>
  <c r="F147" i="1" s="1"/>
  <c r="F148" i="1" s="1"/>
  <c r="F149" i="1" s="1"/>
  <c r="F150" i="1" s="1"/>
  <c r="F151" i="1" s="1"/>
  <c r="F152" i="1" s="1"/>
  <c r="F153" i="1" s="1"/>
  <c r="F154" i="1" s="1"/>
  <c r="F155" i="1" s="1"/>
  <c r="F156" i="1" s="1"/>
  <c r="F157" i="1" s="1"/>
  <c r="F158" i="1" s="1"/>
  <c r="F159" i="1" s="1"/>
  <c r="F160" i="1" s="1"/>
  <c r="F161" i="1" s="1"/>
  <c r="F162" i="1" s="1"/>
  <c r="F163" i="1" s="1"/>
  <c r="F164" i="1" s="1"/>
  <c r="F165" i="1" s="1"/>
  <c r="F166" i="1" s="1"/>
  <c r="F167" i="1" s="1"/>
  <c r="F168" i="1" s="1"/>
  <c r="F169" i="1" s="1"/>
  <c r="F170" i="1" s="1"/>
  <c r="F171" i="1" s="1"/>
  <c r="F172" i="1" s="1"/>
  <c r="F173" i="1" s="1"/>
  <c r="F174" i="1" s="1"/>
  <c r="F175" i="1" s="1"/>
  <c r="F176" i="1" s="1"/>
  <c r="F177" i="1" s="1"/>
  <c r="F178" i="1" s="1"/>
  <c r="F179" i="1" s="1"/>
  <c r="F180" i="1" s="1"/>
  <c r="F181" i="1" s="1"/>
  <c r="F182" i="1" s="1"/>
  <c r="F183" i="1" s="1"/>
  <c r="F184" i="1" s="1"/>
  <c r="F185" i="1" s="1"/>
  <c r="F186" i="1" s="1"/>
  <c r="F187" i="1" s="1"/>
  <c r="F188" i="1" s="1"/>
  <c r="F189" i="1" s="1"/>
  <c r="F190" i="1" s="1"/>
  <c r="F191" i="1" s="1"/>
  <c r="F192" i="1" s="1"/>
  <c r="F193" i="1" s="1"/>
  <c r="F194" i="1" s="1"/>
  <c r="F195" i="1" s="1"/>
  <c r="F196" i="1" s="1"/>
  <c r="F197" i="1" s="1"/>
  <c r="F198" i="1" s="1"/>
  <c r="F199" i="1" s="1"/>
  <c r="F200" i="1" s="1"/>
  <c r="F201" i="1" s="1"/>
  <c r="F202" i="1" s="1"/>
  <c r="F203" i="1" s="1"/>
  <c r="F204" i="1" s="1"/>
  <c r="F205" i="1" s="1"/>
  <c r="F206" i="1" s="1"/>
  <c r="F207" i="1" s="1"/>
  <c r="F208" i="1" s="1"/>
  <c r="F209" i="1" s="1"/>
  <c r="F210" i="1" s="1"/>
  <c r="F211" i="1" s="1"/>
  <c r="F212" i="1" s="1"/>
  <c r="F213" i="1" s="1"/>
  <c r="F214" i="1" s="1"/>
  <c r="F215" i="1" s="1"/>
  <c r="F216" i="1" s="1"/>
  <c r="F217" i="1" s="1"/>
  <c r="F218" i="1" s="1"/>
  <c r="F219" i="1" s="1"/>
  <c r="F220" i="1" s="1"/>
  <c r="F221" i="1" s="1"/>
  <c r="F222" i="1" s="1"/>
  <c r="F223" i="1" s="1"/>
  <c r="F224" i="1" s="1"/>
  <c r="F225" i="1" s="1"/>
  <c r="F226" i="1" s="1"/>
  <c r="F227" i="1" s="1"/>
  <c r="F228" i="1" s="1"/>
  <c r="F229" i="1" s="1"/>
  <c r="F230" i="1" s="1"/>
  <c r="F231" i="1" s="1"/>
  <c r="F232" i="1" s="1"/>
  <c r="F233" i="1" s="1"/>
  <c r="F234" i="1" s="1"/>
  <c r="F235" i="1" s="1"/>
  <c r="F236" i="1" s="1"/>
  <c r="F237" i="1" s="1"/>
  <c r="F238" i="1" s="1"/>
  <c r="F239" i="1" s="1"/>
  <c r="F240" i="1" s="1"/>
  <c r="F241" i="1" s="1"/>
  <c r="F242" i="1" s="1"/>
  <c r="F243" i="1" s="1"/>
  <c r="F244" i="1" s="1"/>
  <c r="F245" i="1" s="1"/>
  <c r="F246" i="1" s="1"/>
  <c r="F247" i="1" s="1"/>
  <c r="F248" i="1" s="1"/>
  <c r="F249" i="1" s="1"/>
  <c r="F250" i="1" s="1"/>
  <c r="F251" i="1" s="1"/>
  <c r="F252" i="1" s="1"/>
  <c r="F253" i="1" s="1"/>
  <c r="F254" i="1" s="1"/>
  <c r="F255" i="1" s="1"/>
  <c r="F256" i="1" s="1"/>
  <c r="F257" i="1" s="1"/>
  <c r="F258" i="1" s="1"/>
  <c r="F259" i="1" s="1"/>
  <c r="F260" i="1" s="1"/>
  <c r="F261" i="1" s="1"/>
  <c r="F262" i="1" s="1"/>
  <c r="F263" i="1" s="1"/>
  <c r="F264" i="1" s="1"/>
  <c r="F265" i="1" s="1"/>
  <c r="F266" i="1" s="1"/>
  <c r="F267" i="1" s="1"/>
  <c r="F268" i="1" s="1"/>
  <c r="F269" i="1" s="1"/>
  <c r="F270" i="1" s="1"/>
  <c r="F271" i="1" s="1"/>
  <c r="F272" i="1" s="1"/>
  <c r="F273" i="1" s="1"/>
  <c r="F274" i="1" s="1"/>
  <c r="F275" i="1" s="1"/>
  <c r="F276" i="1" s="1"/>
  <c r="F277" i="1" s="1"/>
  <c r="F278" i="1" s="1"/>
  <c r="F279" i="1" s="1"/>
  <c r="F280" i="1" s="1"/>
  <c r="F281" i="1" s="1"/>
  <c r="F282" i="1" s="1"/>
  <c r="F283" i="1" s="1"/>
  <c r="F284" i="1" s="1"/>
  <c r="F285" i="1" s="1"/>
  <c r="F286" i="1" s="1"/>
  <c r="F287" i="1" s="1"/>
  <c r="F288" i="1" s="1"/>
  <c r="F289" i="1" s="1"/>
  <c r="F290" i="1" s="1"/>
  <c r="F291" i="1" s="1"/>
  <c r="F292" i="1" s="1"/>
  <c r="F293" i="1" s="1"/>
  <c r="F294" i="1" s="1"/>
  <c r="F295" i="1" s="1"/>
  <c r="F296" i="1" s="1"/>
  <c r="F297" i="1" s="1"/>
  <c r="F298" i="1" s="1"/>
  <c r="F299" i="1" s="1"/>
  <c r="F300" i="1" s="1"/>
  <c r="F301" i="1" s="1"/>
  <c r="F302" i="1" s="1"/>
  <c r="F303" i="1" s="1"/>
  <c r="F304" i="1" s="1"/>
  <c r="F305" i="1" s="1"/>
  <c r="F306" i="1" s="1"/>
  <c r="F307" i="1" s="1"/>
  <c r="F308" i="1" s="1"/>
  <c r="F309" i="1" s="1"/>
  <c r="F310" i="1" s="1"/>
  <c r="F311" i="1" s="1"/>
  <c r="F312" i="1" s="1"/>
  <c r="F313" i="1" s="1"/>
  <c r="F314" i="1" s="1"/>
  <c r="F315" i="1" s="1"/>
  <c r="F316" i="1" s="1"/>
  <c r="F317" i="1" s="1"/>
  <c r="F318" i="1" s="1"/>
  <c r="F319" i="1" s="1"/>
  <c r="F320" i="1" s="1"/>
  <c r="F321" i="1" s="1"/>
  <c r="F322" i="1" s="1"/>
  <c r="F323" i="1" s="1"/>
  <c r="F324" i="1" s="1"/>
  <c r="F325" i="1" s="1"/>
  <c r="F326" i="1" s="1"/>
  <c r="F327" i="1" s="1"/>
  <c r="F328" i="1" s="1"/>
  <c r="F329" i="1" s="1"/>
  <c r="F330" i="1" s="1"/>
  <c r="F331" i="1" s="1"/>
  <c r="F332" i="1" s="1"/>
  <c r="F333" i="1" s="1"/>
  <c r="F334" i="1" s="1"/>
  <c r="F335" i="1" s="1"/>
  <c r="F336" i="1" s="1"/>
  <c r="F337" i="1" s="1"/>
  <c r="F338" i="1" s="1"/>
  <c r="F339" i="1" s="1"/>
  <c r="F340" i="1" s="1"/>
  <c r="F341" i="1" s="1"/>
  <c r="F342" i="1" s="1"/>
  <c r="F343" i="1" s="1"/>
  <c r="F344" i="1" s="1"/>
  <c r="F345" i="1" s="1"/>
  <c r="F104" i="1"/>
  <c r="E104" i="1"/>
  <c r="E105" i="1" s="1"/>
  <c r="E106" i="1" s="1"/>
  <c r="E107" i="1" s="1"/>
  <c r="E108" i="1" s="1"/>
  <c r="E109" i="1" s="1"/>
  <c r="E110" i="1" s="1"/>
  <c r="E111" i="1" s="1"/>
  <c r="E112" i="1" s="1"/>
  <c r="E113" i="1" s="1"/>
  <c r="E114" i="1" s="1"/>
  <c r="E115" i="1" s="1"/>
  <c r="E116" i="1" s="1"/>
  <c r="E117" i="1" s="1"/>
  <c r="E118" i="1" s="1"/>
  <c r="E119" i="1" s="1"/>
  <c r="E120" i="1" s="1"/>
  <c r="E121" i="1" s="1"/>
  <c r="E122" i="1" s="1"/>
  <c r="E123" i="1" s="1"/>
  <c r="E124" i="1" s="1"/>
  <c r="E125" i="1" s="1"/>
  <c r="E126" i="1" s="1"/>
  <c r="E127" i="1" s="1"/>
  <c r="E128" i="1" s="1"/>
  <c r="E129" i="1" s="1"/>
  <c r="E130" i="1" s="1"/>
  <c r="E131" i="1" s="1"/>
  <c r="E132" i="1" s="1"/>
  <c r="E133" i="1" s="1"/>
  <c r="E134" i="1" s="1"/>
  <c r="E135" i="1" s="1"/>
  <c r="E136" i="1" s="1"/>
  <c r="E137" i="1" s="1"/>
  <c r="E138" i="1" s="1"/>
  <c r="E139" i="1" s="1"/>
  <c r="E140" i="1" s="1"/>
  <c r="E141" i="1" s="1"/>
  <c r="E142" i="1" s="1"/>
  <c r="E143" i="1" s="1"/>
  <c r="E144" i="1" s="1"/>
  <c r="E145" i="1" s="1"/>
  <c r="E146" i="1" s="1"/>
  <c r="E147" i="1" s="1"/>
  <c r="E148" i="1" s="1"/>
  <c r="E149" i="1" s="1"/>
  <c r="E150" i="1" s="1"/>
  <c r="E151" i="1" s="1"/>
  <c r="E152" i="1" s="1"/>
  <c r="E153" i="1" s="1"/>
  <c r="E154" i="1" s="1"/>
  <c r="E155" i="1" s="1"/>
  <c r="E156" i="1" s="1"/>
  <c r="E157" i="1" s="1"/>
  <c r="E158" i="1" s="1"/>
  <c r="E159" i="1" s="1"/>
  <c r="E160" i="1" s="1"/>
  <c r="E161" i="1" s="1"/>
  <c r="E162" i="1" s="1"/>
  <c r="E163" i="1" s="1"/>
  <c r="E164" i="1" s="1"/>
  <c r="E165" i="1" s="1"/>
  <c r="E166" i="1" s="1"/>
  <c r="E167" i="1" s="1"/>
  <c r="E168" i="1" s="1"/>
  <c r="E169" i="1" s="1"/>
  <c r="E170" i="1" s="1"/>
  <c r="E171" i="1" s="1"/>
  <c r="E172" i="1" s="1"/>
  <c r="E173" i="1" s="1"/>
  <c r="E174" i="1" s="1"/>
  <c r="E175" i="1" s="1"/>
  <c r="E176" i="1" s="1"/>
  <c r="E177" i="1" s="1"/>
  <c r="E178" i="1" s="1"/>
  <c r="E179" i="1" s="1"/>
  <c r="E180" i="1" s="1"/>
  <c r="E181" i="1" s="1"/>
  <c r="E182" i="1" s="1"/>
  <c r="E183" i="1" s="1"/>
  <c r="E184" i="1" s="1"/>
  <c r="E185" i="1" s="1"/>
  <c r="E186" i="1" s="1"/>
  <c r="E187" i="1" s="1"/>
  <c r="E188" i="1" s="1"/>
  <c r="E189" i="1" s="1"/>
  <c r="E190" i="1" s="1"/>
  <c r="E191" i="1" s="1"/>
  <c r="E192" i="1" s="1"/>
  <c r="E193" i="1" s="1"/>
  <c r="E194" i="1" s="1"/>
  <c r="E195" i="1" s="1"/>
  <c r="E196" i="1" s="1"/>
  <c r="E197" i="1" s="1"/>
  <c r="E198" i="1" s="1"/>
  <c r="E199" i="1" s="1"/>
  <c r="E200" i="1" s="1"/>
  <c r="E201" i="1" s="1"/>
  <c r="E202" i="1" s="1"/>
  <c r="E203" i="1" s="1"/>
  <c r="E204" i="1" s="1"/>
  <c r="E205" i="1" s="1"/>
  <c r="E206" i="1" s="1"/>
  <c r="E207" i="1" s="1"/>
  <c r="E208" i="1" s="1"/>
  <c r="E209" i="1" s="1"/>
  <c r="E210" i="1" s="1"/>
  <c r="E211" i="1" s="1"/>
  <c r="E212" i="1" s="1"/>
  <c r="E213" i="1" s="1"/>
  <c r="E214" i="1" s="1"/>
  <c r="E215" i="1" s="1"/>
  <c r="E216" i="1" s="1"/>
  <c r="E217" i="1" s="1"/>
  <c r="E218" i="1" s="1"/>
  <c r="E219" i="1" s="1"/>
  <c r="E220" i="1" s="1"/>
  <c r="E221" i="1" s="1"/>
  <c r="E222" i="1" s="1"/>
  <c r="E223" i="1" s="1"/>
  <c r="E224" i="1" s="1"/>
  <c r="E225" i="1" s="1"/>
  <c r="E226" i="1" s="1"/>
  <c r="E227" i="1" s="1"/>
  <c r="E228" i="1" s="1"/>
  <c r="E229" i="1" s="1"/>
  <c r="E230" i="1" s="1"/>
  <c r="E231" i="1" s="1"/>
  <c r="E232" i="1" s="1"/>
  <c r="E233" i="1" s="1"/>
  <c r="E234" i="1" s="1"/>
  <c r="E235" i="1" s="1"/>
  <c r="E236" i="1" s="1"/>
  <c r="E237" i="1" s="1"/>
  <c r="E238" i="1" s="1"/>
  <c r="E239" i="1" s="1"/>
  <c r="E240" i="1" s="1"/>
  <c r="E241" i="1" s="1"/>
  <c r="E242" i="1" s="1"/>
  <c r="E243" i="1" s="1"/>
  <c r="E244" i="1" s="1"/>
  <c r="E245" i="1" s="1"/>
  <c r="E246" i="1" s="1"/>
  <c r="E247" i="1" s="1"/>
  <c r="E248" i="1" s="1"/>
  <c r="E249" i="1" s="1"/>
  <c r="E250" i="1" s="1"/>
  <c r="E251" i="1" s="1"/>
  <c r="E252" i="1" s="1"/>
  <c r="E253" i="1" s="1"/>
  <c r="E254" i="1" s="1"/>
  <c r="E255" i="1" s="1"/>
  <c r="E256" i="1" s="1"/>
  <c r="E257" i="1" s="1"/>
  <c r="E258" i="1" s="1"/>
  <c r="E259" i="1" s="1"/>
  <c r="E260" i="1" s="1"/>
  <c r="E261" i="1" s="1"/>
  <c r="E262" i="1" s="1"/>
  <c r="E263" i="1" s="1"/>
  <c r="E264" i="1" s="1"/>
  <c r="E265" i="1" s="1"/>
  <c r="E266" i="1" s="1"/>
  <c r="E267" i="1" s="1"/>
  <c r="E268" i="1" s="1"/>
  <c r="E269" i="1" s="1"/>
  <c r="E270" i="1" s="1"/>
  <c r="E271" i="1" s="1"/>
  <c r="E272" i="1" s="1"/>
  <c r="E273" i="1" s="1"/>
  <c r="E274" i="1" s="1"/>
  <c r="E275" i="1" s="1"/>
  <c r="E276" i="1" s="1"/>
  <c r="E277" i="1" s="1"/>
  <c r="E278" i="1" s="1"/>
  <c r="E279" i="1" s="1"/>
  <c r="E280" i="1" s="1"/>
  <c r="E281" i="1" s="1"/>
  <c r="E282" i="1" s="1"/>
  <c r="E283" i="1" s="1"/>
  <c r="E284" i="1" s="1"/>
  <c r="E285" i="1" s="1"/>
  <c r="E286" i="1" s="1"/>
  <c r="E287" i="1" s="1"/>
  <c r="E288" i="1" s="1"/>
  <c r="E289" i="1" s="1"/>
  <c r="E290" i="1" s="1"/>
  <c r="E291" i="1" s="1"/>
  <c r="E292" i="1" s="1"/>
  <c r="E293" i="1" s="1"/>
  <c r="E294" i="1" s="1"/>
  <c r="E295" i="1" s="1"/>
  <c r="E296" i="1" s="1"/>
  <c r="E297" i="1" s="1"/>
  <c r="E298" i="1" s="1"/>
  <c r="E299" i="1" s="1"/>
  <c r="E300" i="1" s="1"/>
  <c r="E301" i="1" s="1"/>
  <c r="E302" i="1" s="1"/>
  <c r="E303" i="1" s="1"/>
  <c r="E304" i="1" s="1"/>
  <c r="E305" i="1" s="1"/>
  <c r="E306" i="1" s="1"/>
  <c r="E307" i="1" s="1"/>
  <c r="E308" i="1" s="1"/>
  <c r="E309" i="1" s="1"/>
  <c r="E310" i="1" s="1"/>
  <c r="E311" i="1" s="1"/>
  <c r="E312" i="1" s="1"/>
  <c r="E313" i="1" s="1"/>
  <c r="E314" i="1" s="1"/>
  <c r="E315" i="1" s="1"/>
  <c r="E316" i="1" s="1"/>
  <c r="E317" i="1" s="1"/>
  <c r="E318" i="1" s="1"/>
  <c r="E319" i="1" s="1"/>
  <c r="E320" i="1" s="1"/>
  <c r="E321" i="1" s="1"/>
  <c r="E322" i="1" s="1"/>
  <c r="E323" i="1" s="1"/>
  <c r="E324" i="1" s="1"/>
  <c r="E325" i="1" s="1"/>
  <c r="E326" i="1" s="1"/>
  <c r="E327" i="1" s="1"/>
  <c r="E328" i="1" s="1"/>
  <c r="E329" i="1" s="1"/>
  <c r="E330" i="1" s="1"/>
  <c r="E331" i="1" s="1"/>
  <c r="E332" i="1" s="1"/>
  <c r="E333" i="1" s="1"/>
  <c r="E334" i="1" s="1"/>
  <c r="E335" i="1" s="1"/>
  <c r="E336" i="1" s="1"/>
  <c r="E337" i="1" s="1"/>
  <c r="E338" i="1" s="1"/>
  <c r="E339" i="1" s="1"/>
  <c r="E340" i="1" s="1"/>
  <c r="E341" i="1" s="1"/>
  <c r="E342" i="1" s="1"/>
  <c r="E343" i="1" s="1"/>
  <c r="E344" i="1" s="1"/>
  <c r="E345" i="1" s="1"/>
  <c r="E103" i="1"/>
  <c r="G103" i="1"/>
  <c r="M103" i="1" s="1"/>
  <c r="A102" i="1"/>
  <c r="E102" i="1"/>
  <c r="F102" i="1"/>
  <c r="J102" i="1"/>
  <c r="M102" i="1"/>
  <c r="A103" i="1"/>
  <c r="A104" i="1"/>
  <c r="J106" i="1"/>
  <c r="J107" i="1"/>
  <c r="J111" i="1"/>
  <c r="J112" i="1"/>
  <c r="C93" i="1"/>
  <c r="C92" i="1"/>
  <c r="I984" i="1" l="1"/>
  <c r="I982" i="1"/>
  <c r="I1001" i="1"/>
  <c r="I587" i="1"/>
  <c r="K595" i="1"/>
  <c r="K572" i="1"/>
  <c r="K589" i="1"/>
  <c r="K578" i="1"/>
  <c r="K583" i="1"/>
  <c r="K576" i="1"/>
  <c r="K599" i="1"/>
  <c r="K593" i="1"/>
  <c r="K581" i="1"/>
  <c r="I646" i="1"/>
  <c r="I640" i="1"/>
  <c r="I622" i="1"/>
  <c r="I690" i="1"/>
  <c r="K613" i="1"/>
  <c r="K676" i="1"/>
  <c r="I670" i="1"/>
  <c r="I617" i="1"/>
  <c r="I605" i="1"/>
  <c r="K702" i="1"/>
  <c r="I683" i="1"/>
  <c r="I667" i="1"/>
  <c r="I641" i="1"/>
  <c r="I634" i="1"/>
  <c r="K696" i="1"/>
  <c r="K654" i="1"/>
  <c r="K628" i="1"/>
  <c r="K701" i="1"/>
  <c r="K638" i="1"/>
  <c r="K633" i="1"/>
  <c r="K612" i="1"/>
  <c r="K685" i="1"/>
  <c r="K659" i="1"/>
  <c r="K643" i="1"/>
  <c r="K606" i="1"/>
  <c r="K673" i="1"/>
  <c r="K678" i="1"/>
  <c r="K652" i="1"/>
  <c r="I610" i="1"/>
  <c r="I590" i="1"/>
  <c r="I585" i="1"/>
  <c r="K582" i="1"/>
  <c r="I598" i="1"/>
  <c r="K577" i="1"/>
  <c r="K575" i="1"/>
  <c r="K601" i="1"/>
  <c r="J110" i="1"/>
  <c r="J109" i="1"/>
  <c r="J108" i="1"/>
  <c r="J117" i="1"/>
  <c r="J104" i="1"/>
  <c r="J105" i="1"/>
  <c r="J103" i="1"/>
  <c r="M994" i="1"/>
  <c r="G995" i="1"/>
  <c r="K999" i="1"/>
  <c r="K994" i="1"/>
  <c r="M939" i="1"/>
  <c r="G940" i="1"/>
  <c r="K980" i="1"/>
  <c r="K968" i="1"/>
  <c r="K956" i="1"/>
  <c r="K944" i="1"/>
  <c r="K987" i="1"/>
  <c r="K975" i="1"/>
  <c r="K963" i="1"/>
  <c r="K951" i="1"/>
  <c r="K939" i="1"/>
  <c r="M743" i="1"/>
  <c r="G744" i="1"/>
  <c r="I894" i="1"/>
  <c r="I870" i="1"/>
  <c r="I858" i="1"/>
  <c r="I846" i="1"/>
  <c r="I810" i="1"/>
  <c r="I798" i="1"/>
  <c r="I786" i="1"/>
  <c r="I774" i="1"/>
  <c r="I762" i="1"/>
  <c r="I750" i="1"/>
  <c r="I930" i="1"/>
  <c r="I882" i="1"/>
  <c r="I822" i="1"/>
  <c r="I918" i="1"/>
  <c r="I906" i="1"/>
  <c r="I834" i="1"/>
  <c r="K928" i="1"/>
  <c r="K916" i="1"/>
  <c r="K904" i="1"/>
  <c r="K892" i="1"/>
  <c r="K880" i="1"/>
  <c r="K868" i="1"/>
  <c r="K856" i="1"/>
  <c r="K844" i="1"/>
  <c r="K832" i="1"/>
  <c r="K820" i="1"/>
  <c r="K808" i="1"/>
  <c r="K796" i="1"/>
  <c r="K784" i="1"/>
  <c r="K772" i="1"/>
  <c r="K760" i="1"/>
  <c r="K748" i="1"/>
  <c r="K935" i="1"/>
  <c r="K923" i="1"/>
  <c r="K911" i="1"/>
  <c r="K899" i="1"/>
  <c r="K887" i="1"/>
  <c r="K875" i="1"/>
  <c r="K863" i="1"/>
  <c r="K851" i="1"/>
  <c r="K839" i="1"/>
  <c r="K827" i="1"/>
  <c r="K815" i="1"/>
  <c r="K803" i="1"/>
  <c r="K791" i="1"/>
  <c r="K779" i="1"/>
  <c r="K767" i="1"/>
  <c r="K755" i="1"/>
  <c r="K743" i="1"/>
  <c r="M579" i="1"/>
  <c r="G580" i="1"/>
  <c r="K740" i="1"/>
  <c r="K728" i="1"/>
  <c r="K716" i="1"/>
  <c r="K704" i="1"/>
  <c r="K692" i="1"/>
  <c r="K680" i="1"/>
  <c r="K668" i="1"/>
  <c r="K656" i="1"/>
  <c r="K644" i="1"/>
  <c r="K632" i="1"/>
  <c r="K620" i="1"/>
  <c r="K608" i="1"/>
  <c r="K596" i="1"/>
  <c r="K584" i="1"/>
  <c r="K735" i="1"/>
  <c r="K723" i="1"/>
  <c r="K711" i="1"/>
  <c r="K699" i="1"/>
  <c r="K687" i="1"/>
  <c r="K675" i="1"/>
  <c r="K663" i="1"/>
  <c r="K651" i="1"/>
  <c r="K639" i="1"/>
  <c r="K627" i="1"/>
  <c r="K615" i="1"/>
  <c r="K603" i="1"/>
  <c r="K591" i="1"/>
  <c r="K579" i="1"/>
  <c r="M573" i="1"/>
  <c r="G574" i="1"/>
  <c r="K573" i="1"/>
  <c r="G104" i="1"/>
  <c r="G105" i="1" s="1"/>
  <c r="G106" i="1" s="1"/>
  <c r="G107" i="1" s="1"/>
  <c r="G108" i="1" s="1"/>
  <c r="G109" i="1" s="1"/>
  <c r="G110" i="1" s="1"/>
  <c r="G111" i="1" s="1"/>
  <c r="G112" i="1" s="1"/>
  <c r="G113" i="1" s="1"/>
  <c r="G114" i="1" s="1"/>
  <c r="G115" i="1" s="1"/>
  <c r="G116" i="1" s="1"/>
  <c r="G117" i="1" s="1"/>
  <c r="G118" i="1" s="1"/>
  <c r="G119" i="1" s="1"/>
  <c r="G120" i="1" s="1"/>
  <c r="G121" i="1" s="1"/>
  <c r="G122" i="1" s="1"/>
  <c r="G123" i="1" s="1"/>
  <c r="G124" i="1" s="1"/>
  <c r="G125" i="1" s="1"/>
  <c r="G126" i="1" s="1"/>
  <c r="G127" i="1" s="1"/>
  <c r="G128" i="1" s="1"/>
  <c r="G129" i="1" s="1"/>
  <c r="G130" i="1" s="1"/>
  <c r="G131" i="1" s="1"/>
  <c r="G132" i="1" s="1"/>
  <c r="G133" i="1" s="1"/>
  <c r="G134" i="1" s="1"/>
  <c r="G135" i="1" s="1"/>
  <c r="G136" i="1" s="1"/>
  <c r="G137" i="1" s="1"/>
  <c r="G138" i="1" s="1"/>
  <c r="G139" i="1" s="1"/>
  <c r="G140" i="1" s="1"/>
  <c r="G141" i="1" s="1"/>
  <c r="G142" i="1" s="1"/>
  <c r="G143" i="1" s="1"/>
  <c r="G144" i="1" s="1"/>
  <c r="G145" i="1" s="1"/>
  <c r="G146" i="1" s="1"/>
  <c r="G147" i="1" s="1"/>
  <c r="G148" i="1" s="1"/>
  <c r="G149" i="1" s="1"/>
  <c r="G150" i="1" s="1"/>
  <c r="G151" i="1" s="1"/>
  <c r="G152" i="1" s="1"/>
  <c r="G153" i="1" s="1"/>
  <c r="G154" i="1" s="1"/>
  <c r="G155" i="1" s="1"/>
  <c r="G156" i="1" s="1"/>
  <c r="G157" i="1" s="1"/>
  <c r="G158" i="1" s="1"/>
  <c r="G159" i="1" s="1"/>
  <c r="G160" i="1" s="1"/>
  <c r="G161" i="1" s="1"/>
  <c r="G162" i="1" s="1"/>
  <c r="G163" i="1" s="1"/>
  <c r="G164" i="1" s="1"/>
  <c r="G165" i="1" s="1"/>
  <c r="G166" i="1" s="1"/>
  <c r="G167" i="1" s="1"/>
  <c r="G168" i="1" s="1"/>
  <c r="G169" i="1" s="1"/>
  <c r="G170" i="1" s="1"/>
  <c r="G171" i="1" s="1"/>
  <c r="G172" i="1" s="1"/>
  <c r="G173" i="1" s="1"/>
  <c r="G174" i="1" s="1"/>
  <c r="G175" i="1" s="1"/>
  <c r="G176" i="1" s="1"/>
  <c r="G177" i="1" s="1"/>
  <c r="G178" i="1" s="1"/>
  <c r="G179" i="1" s="1"/>
  <c r="G180" i="1" s="1"/>
  <c r="G181" i="1" s="1"/>
  <c r="G182" i="1" s="1"/>
  <c r="G183" i="1" s="1"/>
  <c r="G184" i="1" s="1"/>
  <c r="G185" i="1" s="1"/>
  <c r="G186" i="1" s="1"/>
  <c r="G187" i="1" s="1"/>
  <c r="G188" i="1" s="1"/>
  <c r="G189" i="1" s="1"/>
  <c r="G190" i="1" s="1"/>
  <c r="G191" i="1" s="1"/>
  <c r="G192" i="1" s="1"/>
  <c r="G193" i="1" s="1"/>
  <c r="G194" i="1" s="1"/>
  <c r="G195" i="1" s="1"/>
  <c r="G196" i="1" s="1"/>
  <c r="G197" i="1" s="1"/>
  <c r="G198" i="1" s="1"/>
  <c r="G199" i="1" s="1"/>
  <c r="G200" i="1" s="1"/>
  <c r="G201" i="1" s="1"/>
  <c r="G202" i="1" s="1"/>
  <c r="G203" i="1" s="1"/>
  <c r="G204" i="1" s="1"/>
  <c r="G205" i="1" s="1"/>
  <c r="G206" i="1" s="1"/>
  <c r="G207" i="1" s="1"/>
  <c r="G208" i="1" s="1"/>
  <c r="G209" i="1" s="1"/>
  <c r="G210" i="1" s="1"/>
  <c r="G211" i="1" s="1"/>
  <c r="G212" i="1" s="1"/>
  <c r="G213" i="1" s="1"/>
  <c r="G214" i="1" s="1"/>
  <c r="G215" i="1" s="1"/>
  <c r="G216" i="1" s="1"/>
  <c r="G217" i="1" s="1"/>
  <c r="G218" i="1" s="1"/>
  <c r="G219" i="1" s="1"/>
  <c r="G220" i="1" s="1"/>
  <c r="G221" i="1" s="1"/>
  <c r="G222" i="1" s="1"/>
  <c r="G223" i="1" s="1"/>
  <c r="G224" i="1" s="1"/>
  <c r="G225" i="1" s="1"/>
  <c r="G226" i="1" s="1"/>
  <c r="G227" i="1" s="1"/>
  <c r="G228" i="1" s="1"/>
  <c r="G229" i="1" s="1"/>
  <c r="G230" i="1" s="1"/>
  <c r="G231" i="1" s="1"/>
  <c r="G232" i="1" s="1"/>
  <c r="G233" i="1" s="1"/>
  <c r="G234" i="1" s="1"/>
  <c r="G235" i="1" s="1"/>
  <c r="G236" i="1" s="1"/>
  <c r="G237" i="1" s="1"/>
  <c r="G238" i="1" s="1"/>
  <c r="G239" i="1" s="1"/>
  <c r="G240" i="1" s="1"/>
  <c r="G241" i="1" s="1"/>
  <c r="G242" i="1" s="1"/>
  <c r="G243" i="1" s="1"/>
  <c r="G244" i="1" s="1"/>
  <c r="G245" i="1" s="1"/>
  <c r="G246" i="1" s="1"/>
  <c r="G247" i="1" s="1"/>
  <c r="G248" i="1" s="1"/>
  <c r="G249" i="1" s="1"/>
  <c r="G250" i="1" s="1"/>
  <c r="G251" i="1" s="1"/>
  <c r="G252" i="1" s="1"/>
  <c r="G253" i="1" s="1"/>
  <c r="G254" i="1" s="1"/>
  <c r="G255" i="1" s="1"/>
  <c r="G256" i="1" s="1"/>
  <c r="G257" i="1" s="1"/>
  <c r="G258" i="1" s="1"/>
  <c r="G259" i="1" s="1"/>
  <c r="G260" i="1" s="1"/>
  <c r="G261" i="1" s="1"/>
  <c r="G262" i="1" s="1"/>
  <c r="G263" i="1" s="1"/>
  <c r="G264" i="1" s="1"/>
  <c r="G265" i="1" s="1"/>
  <c r="G266" i="1" s="1"/>
  <c r="G267" i="1" s="1"/>
  <c r="G268" i="1" s="1"/>
  <c r="G269" i="1" s="1"/>
  <c r="G270" i="1" s="1"/>
  <c r="G271" i="1" s="1"/>
  <c r="G272" i="1" s="1"/>
  <c r="G273" i="1" s="1"/>
  <c r="G274" i="1" s="1"/>
  <c r="G275" i="1" s="1"/>
  <c r="G276" i="1" s="1"/>
  <c r="G277" i="1" s="1"/>
  <c r="G278" i="1" s="1"/>
  <c r="G279" i="1" s="1"/>
  <c r="G280" i="1" s="1"/>
  <c r="G281" i="1" s="1"/>
  <c r="G282" i="1" s="1"/>
  <c r="G283" i="1" s="1"/>
  <c r="G284" i="1" s="1"/>
  <c r="G285" i="1" s="1"/>
  <c r="G286" i="1" s="1"/>
  <c r="G287" i="1" s="1"/>
  <c r="G288" i="1" s="1"/>
  <c r="G289" i="1" s="1"/>
  <c r="G290" i="1" s="1"/>
  <c r="G291" i="1" s="1"/>
  <c r="G292" i="1" s="1"/>
  <c r="G293" i="1" s="1"/>
  <c r="G294" i="1" s="1"/>
  <c r="G295" i="1" s="1"/>
  <c r="G296" i="1" s="1"/>
  <c r="G297" i="1" s="1"/>
  <c r="G298" i="1" s="1"/>
  <c r="G299" i="1" s="1"/>
  <c r="G300" i="1" s="1"/>
  <c r="G301" i="1" s="1"/>
  <c r="G302" i="1" s="1"/>
  <c r="G303" i="1" s="1"/>
  <c r="G304" i="1" s="1"/>
  <c r="G305" i="1" s="1"/>
  <c r="G306" i="1" s="1"/>
  <c r="G307" i="1" s="1"/>
  <c r="G308" i="1" s="1"/>
  <c r="G309" i="1" s="1"/>
  <c r="G310" i="1" s="1"/>
  <c r="G311" i="1" s="1"/>
  <c r="G312" i="1" s="1"/>
  <c r="G313" i="1" s="1"/>
  <c r="G314" i="1" s="1"/>
  <c r="G315" i="1" s="1"/>
  <c r="G316" i="1" s="1"/>
  <c r="G317" i="1" s="1"/>
  <c r="G318" i="1" s="1"/>
  <c r="G319" i="1" s="1"/>
  <c r="G320" i="1" s="1"/>
  <c r="G321" i="1" s="1"/>
  <c r="G322" i="1" s="1"/>
  <c r="G323" i="1" s="1"/>
  <c r="G324" i="1" s="1"/>
  <c r="G325" i="1" s="1"/>
  <c r="G326" i="1" s="1"/>
  <c r="G327" i="1" s="1"/>
  <c r="G328" i="1" s="1"/>
  <c r="G329" i="1" s="1"/>
  <c r="G330" i="1" s="1"/>
  <c r="G331" i="1" s="1"/>
  <c r="G332" i="1" s="1"/>
  <c r="G333" i="1" s="1"/>
  <c r="G334" i="1" s="1"/>
  <c r="G335" i="1" s="1"/>
  <c r="G336" i="1" s="1"/>
  <c r="G337" i="1" s="1"/>
  <c r="G338" i="1" s="1"/>
  <c r="G339" i="1" s="1"/>
  <c r="G340" i="1" s="1"/>
  <c r="G341" i="1" s="1"/>
  <c r="G342" i="1" s="1"/>
  <c r="G343" i="1" s="1"/>
  <c r="G344" i="1" s="1"/>
  <c r="G345" i="1" s="1"/>
  <c r="G346" i="1" s="1"/>
  <c r="C102" i="1"/>
  <c r="K102" i="1" s="1"/>
  <c r="L102" i="1"/>
  <c r="J132" i="1"/>
  <c r="M104" i="1"/>
  <c r="A105" i="1"/>
  <c r="F85" i="1"/>
  <c r="F86" i="1"/>
  <c r="F87" i="1" s="1"/>
  <c r="F88" i="1" s="1"/>
  <c r="F89" i="1" s="1"/>
  <c r="F90" i="1" s="1"/>
  <c r="F91" i="1" s="1"/>
  <c r="F92" i="1" s="1"/>
  <c r="F93" i="1" s="1"/>
  <c r="F94" i="1" s="1"/>
  <c r="F95" i="1" s="1"/>
  <c r="F96" i="1" s="1"/>
  <c r="F97" i="1" s="1"/>
  <c r="F98" i="1" s="1"/>
  <c r="F99" i="1" s="1"/>
  <c r="F100" i="1" s="1"/>
  <c r="F101" i="1" s="1"/>
  <c r="F84" i="1"/>
  <c r="F83" i="1"/>
  <c r="F67" i="1"/>
  <c r="F68" i="1"/>
  <c r="F69" i="1" s="1"/>
  <c r="F70" i="1" s="1"/>
  <c r="F71" i="1" s="1"/>
  <c r="F72" i="1" s="1"/>
  <c r="F73" i="1" s="1"/>
  <c r="F74" i="1" s="1"/>
  <c r="F75" i="1" s="1"/>
  <c r="F76" i="1" s="1"/>
  <c r="F77" i="1" s="1"/>
  <c r="F78" i="1" s="1"/>
  <c r="F79" i="1" s="1"/>
  <c r="F80" i="1" s="1"/>
  <c r="F81" i="1" s="1"/>
  <c r="F82" i="1" s="1"/>
  <c r="F66" i="1"/>
  <c r="F65" i="1"/>
  <c r="F63" i="1"/>
  <c r="F64" i="1" s="1"/>
  <c r="F44" i="1"/>
  <c r="F45" i="1"/>
  <c r="F46" i="1" s="1"/>
  <c r="F47" i="1" s="1"/>
  <c r="F48" i="1" s="1"/>
  <c r="F49" i="1" s="1"/>
  <c r="F50" i="1" s="1"/>
  <c r="F51" i="1" s="1"/>
  <c r="F52" i="1" s="1"/>
  <c r="F53" i="1" s="1"/>
  <c r="F54" i="1" s="1"/>
  <c r="F55" i="1" s="1"/>
  <c r="F56" i="1" s="1"/>
  <c r="F57" i="1" s="1"/>
  <c r="F58" i="1" s="1"/>
  <c r="F59" i="1" s="1"/>
  <c r="F60" i="1" s="1"/>
  <c r="F61" i="1" s="1"/>
  <c r="F62" i="1" s="1"/>
  <c r="F43" i="1"/>
  <c r="F15" i="1"/>
  <c r="F16" i="1"/>
  <c r="F17" i="1" s="1"/>
  <c r="F18" i="1" s="1"/>
  <c r="F19" i="1" s="1"/>
  <c r="F20" i="1" s="1"/>
  <c r="F21" i="1" s="1"/>
  <c r="F22" i="1" s="1"/>
  <c r="F23" i="1" s="1"/>
  <c r="F24" i="1" s="1"/>
  <c r="F25" i="1" s="1"/>
  <c r="F26" i="1" s="1"/>
  <c r="F27" i="1" s="1"/>
  <c r="F28" i="1" s="1"/>
  <c r="F29" i="1" s="1"/>
  <c r="F30" i="1" s="1"/>
  <c r="F31" i="1" s="1"/>
  <c r="F32" i="1" s="1"/>
  <c r="F33" i="1" s="1"/>
  <c r="F34" i="1" s="1"/>
  <c r="F35" i="1" s="1"/>
  <c r="F36" i="1" s="1"/>
  <c r="F37" i="1" s="1"/>
  <c r="F38" i="1" s="1"/>
  <c r="F39" i="1" s="1"/>
  <c r="F40" i="1" s="1"/>
  <c r="F41" i="1" s="1"/>
  <c r="F42" i="1" s="1"/>
  <c r="F14" i="1"/>
  <c r="F4" i="1"/>
  <c r="F5" i="1" s="1"/>
  <c r="F6" i="1" s="1"/>
  <c r="F7" i="1" s="1"/>
  <c r="F8" i="1" s="1"/>
  <c r="F9" i="1" s="1"/>
  <c r="F10" i="1" s="1"/>
  <c r="F11" i="1" s="1"/>
  <c r="F12" i="1" s="1"/>
  <c r="F13" i="1" s="1"/>
  <c r="J101" i="1"/>
  <c r="M3" i="1"/>
  <c r="I2" i="1"/>
  <c r="J2" i="1"/>
  <c r="K2" i="1"/>
  <c r="L2" i="1"/>
  <c r="M2" i="1"/>
  <c r="L4" i="1"/>
  <c r="L5" i="1"/>
  <c r="L6" i="1"/>
  <c r="L7" i="1"/>
  <c r="L8" i="1"/>
  <c r="L9" i="1"/>
  <c r="L10" i="1"/>
  <c r="L11" i="1"/>
  <c r="L12" i="1"/>
  <c r="L13" i="1"/>
  <c r="L14" i="1"/>
  <c r="L15" i="1"/>
  <c r="L16" i="1"/>
  <c r="L17" i="1"/>
  <c r="L18" i="1"/>
  <c r="L19" i="1"/>
  <c r="L20" i="1"/>
  <c r="L21" i="1"/>
  <c r="L22" i="1"/>
  <c r="J23" i="1"/>
  <c r="J24" i="1"/>
  <c r="J25" i="1"/>
  <c r="J26" i="1"/>
  <c r="J27" i="1"/>
  <c r="J28" i="1"/>
  <c r="J29" i="1"/>
  <c r="J30" i="1"/>
  <c r="J31" i="1"/>
  <c r="J32" i="1"/>
  <c r="J33" i="1"/>
  <c r="J34" i="1"/>
  <c r="J35" i="1"/>
  <c r="J36" i="1"/>
  <c r="J37" i="1"/>
  <c r="J38" i="1"/>
  <c r="J39" i="1"/>
  <c r="J40" i="1"/>
  <c r="J41" i="1"/>
  <c r="J42" i="1"/>
  <c r="K42" i="1"/>
  <c r="L42" i="1"/>
  <c r="J43" i="1"/>
  <c r="J44" i="1"/>
  <c r="J45" i="1"/>
  <c r="J46" i="1"/>
  <c r="J47" i="1"/>
  <c r="J48" i="1"/>
  <c r="J49" i="1"/>
  <c r="J50" i="1"/>
  <c r="J51" i="1"/>
  <c r="J52" i="1"/>
  <c r="J53" i="1"/>
  <c r="J54" i="1"/>
  <c r="J55" i="1"/>
  <c r="J56" i="1"/>
  <c r="J57" i="1"/>
  <c r="J58" i="1"/>
  <c r="J59" i="1"/>
  <c r="J60" i="1"/>
  <c r="J61" i="1"/>
  <c r="J62" i="1"/>
  <c r="K62" i="1"/>
  <c r="L62" i="1"/>
  <c r="J63" i="1"/>
  <c r="J64" i="1"/>
  <c r="J65" i="1"/>
  <c r="J66" i="1"/>
  <c r="J67" i="1"/>
  <c r="J68" i="1"/>
  <c r="J69" i="1"/>
  <c r="J70" i="1"/>
  <c r="J71" i="1"/>
  <c r="J72" i="1"/>
  <c r="J73" i="1"/>
  <c r="J74" i="1"/>
  <c r="J75" i="1"/>
  <c r="J76" i="1"/>
  <c r="J77" i="1"/>
  <c r="J78" i="1"/>
  <c r="J79" i="1"/>
  <c r="J80" i="1"/>
  <c r="J81" i="1"/>
  <c r="J82" i="1"/>
  <c r="K82" i="1"/>
  <c r="L82" i="1"/>
  <c r="J83" i="1"/>
  <c r="J84" i="1"/>
  <c r="J85" i="1"/>
  <c r="J86" i="1"/>
  <c r="J87" i="1"/>
  <c r="J88" i="1"/>
  <c r="J89" i="1"/>
  <c r="J90" i="1"/>
  <c r="J91" i="1"/>
  <c r="J92" i="1"/>
  <c r="J93" i="1"/>
  <c r="J94" i="1"/>
  <c r="J95" i="1"/>
  <c r="J96" i="1"/>
  <c r="J97" i="1"/>
  <c r="J98" i="1"/>
  <c r="J99" i="1"/>
  <c r="J100" i="1"/>
  <c r="K3" i="1"/>
  <c r="L3" i="1"/>
  <c r="J3" i="1"/>
  <c r="E4" i="1"/>
  <c r="E5" i="1" s="1"/>
  <c r="E6" i="1" s="1"/>
  <c r="E7" i="1" s="1"/>
  <c r="E8" i="1" s="1"/>
  <c r="E9" i="1" s="1"/>
  <c r="E10" i="1" s="1"/>
  <c r="E11" i="1" s="1"/>
  <c r="E12" i="1" s="1"/>
  <c r="E13" i="1" s="1"/>
  <c r="E14" i="1" s="1"/>
  <c r="E15" i="1" s="1"/>
  <c r="E16" i="1" s="1"/>
  <c r="E17" i="1" s="1"/>
  <c r="E18" i="1" s="1"/>
  <c r="E19" i="1" s="1"/>
  <c r="E20" i="1" s="1"/>
  <c r="E21" i="1" s="1"/>
  <c r="E22" i="1" s="1"/>
  <c r="E23" i="1" s="1"/>
  <c r="E24" i="1" s="1"/>
  <c r="E25" i="1" s="1"/>
  <c r="E26" i="1" s="1"/>
  <c r="E27" i="1" s="1"/>
  <c r="E28" i="1" s="1"/>
  <c r="E29" i="1" s="1"/>
  <c r="E30" i="1" s="1"/>
  <c r="E31" i="1" s="1"/>
  <c r="E32" i="1" s="1"/>
  <c r="E33" i="1" s="1"/>
  <c r="E34" i="1" s="1"/>
  <c r="E35" i="1" s="1"/>
  <c r="E36" i="1" s="1"/>
  <c r="E37" i="1" s="1"/>
  <c r="E38" i="1" s="1"/>
  <c r="E39" i="1" s="1"/>
  <c r="E40" i="1" s="1"/>
  <c r="E41" i="1" s="1"/>
  <c r="E42" i="1" s="1"/>
  <c r="E43" i="1" s="1"/>
  <c r="E44" i="1" s="1"/>
  <c r="E45" i="1" s="1"/>
  <c r="E46" i="1" s="1"/>
  <c r="E47" i="1" s="1"/>
  <c r="E48" i="1" s="1"/>
  <c r="E49" i="1" s="1"/>
  <c r="E50" i="1" s="1"/>
  <c r="E51" i="1" s="1"/>
  <c r="E52" i="1" s="1"/>
  <c r="E53" i="1" s="1"/>
  <c r="E54" i="1" s="1"/>
  <c r="E55" i="1" s="1"/>
  <c r="E56" i="1" s="1"/>
  <c r="E57" i="1" s="1"/>
  <c r="E58" i="1" s="1"/>
  <c r="E59" i="1" s="1"/>
  <c r="E60" i="1" s="1"/>
  <c r="E61" i="1" s="1"/>
  <c r="E62" i="1" s="1"/>
  <c r="E63" i="1" s="1"/>
  <c r="E64" i="1" s="1"/>
  <c r="E65" i="1" s="1"/>
  <c r="E66" i="1" s="1"/>
  <c r="E67" i="1" s="1"/>
  <c r="E68" i="1" s="1"/>
  <c r="E69" i="1" s="1"/>
  <c r="E70" i="1" s="1"/>
  <c r="E71" i="1" s="1"/>
  <c r="E72" i="1" s="1"/>
  <c r="E73" i="1" s="1"/>
  <c r="E74" i="1" s="1"/>
  <c r="E75" i="1" s="1"/>
  <c r="E76" i="1" s="1"/>
  <c r="E77" i="1" s="1"/>
  <c r="E78" i="1" s="1"/>
  <c r="E79" i="1" s="1"/>
  <c r="E80" i="1" s="1"/>
  <c r="E81" i="1" s="1"/>
  <c r="E82" i="1" s="1"/>
  <c r="E83" i="1" s="1"/>
  <c r="E84" i="1" s="1"/>
  <c r="E85" i="1" s="1"/>
  <c r="E86" i="1" s="1"/>
  <c r="E87" i="1" s="1"/>
  <c r="E88" i="1" s="1"/>
  <c r="E89" i="1" s="1"/>
  <c r="E90" i="1" s="1"/>
  <c r="E91" i="1" s="1"/>
  <c r="E92" i="1" s="1"/>
  <c r="E93" i="1" s="1"/>
  <c r="E94" i="1" s="1"/>
  <c r="E95" i="1" s="1"/>
  <c r="E96" i="1" s="1"/>
  <c r="E97" i="1" s="1"/>
  <c r="E98" i="1" s="1"/>
  <c r="E99" i="1" s="1"/>
  <c r="E100" i="1" s="1"/>
  <c r="E101" i="1" s="1"/>
  <c r="D83" i="1"/>
  <c r="D84" i="1" s="1"/>
  <c r="L84" i="1" s="1"/>
  <c r="D63" i="1"/>
  <c r="D64" i="1" s="1"/>
  <c r="L64" i="1" s="1"/>
  <c r="D43" i="1"/>
  <c r="D44" i="1" s="1"/>
  <c r="D45" i="1" s="1"/>
  <c r="D46" i="1" s="1"/>
  <c r="D47" i="1" s="1"/>
  <c r="D48" i="1" s="1"/>
  <c r="D49" i="1" s="1"/>
  <c r="D50" i="1" s="1"/>
  <c r="D51" i="1" s="1"/>
  <c r="D52" i="1" s="1"/>
  <c r="D53" i="1" s="1"/>
  <c r="D54" i="1" s="1"/>
  <c r="D55" i="1" s="1"/>
  <c r="D56" i="1" s="1"/>
  <c r="D57" i="1" s="1"/>
  <c r="D58" i="1" s="1"/>
  <c r="D59" i="1" s="1"/>
  <c r="D60" i="1" s="1"/>
  <c r="D61" i="1" s="1"/>
  <c r="L61" i="1" s="1"/>
  <c r="D23" i="1"/>
  <c r="D24" i="1" s="1"/>
  <c r="D25" i="1" s="1"/>
  <c r="D26" i="1" s="1"/>
  <c r="D27" i="1" s="1"/>
  <c r="D28" i="1" s="1"/>
  <c r="D29" i="1" s="1"/>
  <c r="D30" i="1" s="1"/>
  <c r="D31" i="1" s="1"/>
  <c r="D32" i="1" s="1"/>
  <c r="D33" i="1" s="1"/>
  <c r="D34" i="1" s="1"/>
  <c r="D35" i="1" s="1"/>
  <c r="D36" i="1" s="1"/>
  <c r="D37" i="1" s="1"/>
  <c r="D38" i="1" s="1"/>
  <c r="D39" i="1" s="1"/>
  <c r="D40" i="1" s="1"/>
  <c r="D41" i="1" s="1"/>
  <c r="L41" i="1" s="1"/>
  <c r="C4" i="1"/>
  <c r="C5" i="1" s="1"/>
  <c r="C6" i="1" s="1"/>
  <c r="C7" i="1" s="1"/>
  <c r="C8" i="1" s="1"/>
  <c r="C9" i="1" s="1"/>
  <c r="C10" i="1" s="1"/>
  <c r="C11" i="1" s="1"/>
  <c r="C12" i="1" s="1"/>
  <c r="C13" i="1" s="1"/>
  <c r="C14" i="1" s="1"/>
  <c r="C15" i="1" s="1"/>
  <c r="C16" i="1" s="1"/>
  <c r="C17" i="1" s="1"/>
  <c r="C18" i="1" s="1"/>
  <c r="C19" i="1" s="1"/>
  <c r="C20" i="1" s="1"/>
  <c r="C21" i="1" s="1"/>
  <c r="C22" i="1" s="1"/>
  <c r="K22" i="1" s="1"/>
  <c r="B4" i="1"/>
  <c r="B5" i="1" s="1"/>
  <c r="B6" i="1" s="1"/>
  <c r="B7" i="1" s="1"/>
  <c r="B8" i="1" s="1"/>
  <c r="B9" i="1" s="1"/>
  <c r="B10" i="1" s="1"/>
  <c r="B11" i="1" s="1"/>
  <c r="B12" i="1" s="1"/>
  <c r="B13" i="1" s="1"/>
  <c r="B14" i="1" s="1"/>
  <c r="B15" i="1" s="1"/>
  <c r="B16" i="1" s="1"/>
  <c r="B17" i="1" s="1"/>
  <c r="B18" i="1" s="1"/>
  <c r="B19" i="1" s="1"/>
  <c r="B20" i="1" s="1"/>
  <c r="B21" i="1" s="1"/>
  <c r="B22" i="1" s="1"/>
  <c r="J22" i="1" s="1"/>
  <c r="I102" i="1" l="1"/>
  <c r="J122" i="1"/>
  <c r="J113" i="1"/>
  <c r="J114" i="1"/>
  <c r="J121" i="1"/>
  <c r="J127" i="1"/>
  <c r="J115" i="1"/>
  <c r="G996" i="1"/>
  <c r="M995" i="1"/>
  <c r="G941" i="1"/>
  <c r="M940" i="1"/>
  <c r="G745" i="1"/>
  <c r="M744" i="1"/>
  <c r="G581" i="1"/>
  <c r="M580" i="1"/>
  <c r="M574" i="1"/>
  <c r="G575" i="1"/>
  <c r="M346" i="1"/>
  <c r="G347" i="1"/>
  <c r="C103" i="1"/>
  <c r="L103" i="1"/>
  <c r="J137" i="1"/>
  <c r="L104" i="1"/>
  <c r="C104" i="1"/>
  <c r="M105" i="1"/>
  <c r="A106" i="1"/>
  <c r="L48" i="1"/>
  <c r="L49" i="1"/>
  <c r="L57" i="1"/>
  <c r="L56" i="1"/>
  <c r="L40" i="1"/>
  <c r="K18" i="1"/>
  <c r="J18" i="1"/>
  <c r="K17" i="1"/>
  <c r="L33" i="1"/>
  <c r="L32" i="1"/>
  <c r="L63" i="1"/>
  <c r="K10" i="1"/>
  <c r="J10" i="1"/>
  <c r="L25" i="1"/>
  <c r="K9" i="1"/>
  <c r="J9" i="1"/>
  <c r="L24" i="1"/>
  <c r="J17" i="1"/>
  <c r="K16" i="1"/>
  <c r="L23" i="1"/>
  <c r="K7" i="1"/>
  <c r="J15" i="1"/>
  <c r="J7" i="1"/>
  <c r="K8" i="1"/>
  <c r="L54" i="1"/>
  <c r="L30" i="1"/>
  <c r="K14" i="1"/>
  <c r="K6" i="1"/>
  <c r="J8" i="1"/>
  <c r="J14" i="1"/>
  <c r="L55" i="1"/>
  <c r="L45" i="1"/>
  <c r="L29" i="1"/>
  <c r="L39" i="1"/>
  <c r="K21" i="1"/>
  <c r="K13" i="1"/>
  <c r="K5" i="1"/>
  <c r="L47" i="1"/>
  <c r="L53" i="1"/>
  <c r="J21" i="1"/>
  <c r="J13" i="1"/>
  <c r="J5" i="1"/>
  <c r="L28" i="1"/>
  <c r="L38" i="1"/>
  <c r="J6" i="1"/>
  <c r="K20" i="1"/>
  <c r="K12" i="1"/>
  <c r="K4" i="1"/>
  <c r="J16" i="1"/>
  <c r="K15" i="1"/>
  <c r="L44" i="1"/>
  <c r="J20" i="1"/>
  <c r="J12" i="1"/>
  <c r="J4" i="1"/>
  <c r="L60" i="1"/>
  <c r="L83" i="1"/>
  <c r="L59" i="1"/>
  <c r="L51" i="1"/>
  <c r="L43" i="1"/>
  <c r="L35" i="1"/>
  <c r="L27" i="1"/>
  <c r="L31" i="1"/>
  <c r="K19" i="1"/>
  <c r="K11" i="1"/>
  <c r="L37" i="1"/>
  <c r="L36" i="1"/>
  <c r="J19" i="1"/>
  <c r="J11" i="1"/>
  <c r="L46" i="1"/>
  <c r="L52" i="1"/>
  <c r="L58" i="1"/>
  <c r="L50" i="1"/>
  <c r="L34" i="1"/>
  <c r="L26" i="1"/>
  <c r="C83" i="1"/>
  <c r="K83" i="1" s="1"/>
  <c r="C43" i="1"/>
  <c r="K43" i="1" s="1"/>
  <c r="C63" i="1"/>
  <c r="K63" i="1" s="1"/>
  <c r="C24" i="1"/>
  <c r="K24" i="1" s="1"/>
  <c r="C23" i="1"/>
  <c r="K23" i="1" s="1"/>
  <c r="C64" i="1"/>
  <c r="K64" i="1" s="1"/>
  <c r="D65" i="1"/>
  <c r="C84" i="1"/>
  <c r="K84" i="1" s="1"/>
  <c r="D85" i="1"/>
  <c r="C45" i="1"/>
  <c r="C44" i="1"/>
  <c r="I4" i="1"/>
  <c r="I5" i="1"/>
  <c r="I6" i="1"/>
  <c r="I7" i="1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42" i="1"/>
  <c r="I62" i="1"/>
  <c r="I64" i="1"/>
  <c r="I82" i="1"/>
  <c r="I3" i="1"/>
  <c r="A4" i="1"/>
  <c r="J120" i="1" l="1"/>
  <c r="J126" i="1"/>
  <c r="J119" i="1"/>
  <c r="J118" i="1"/>
  <c r="M996" i="1"/>
  <c r="G997" i="1"/>
  <c r="M941" i="1"/>
  <c r="G942" i="1"/>
  <c r="M745" i="1"/>
  <c r="G746" i="1"/>
  <c r="M581" i="1"/>
  <c r="G582" i="1"/>
  <c r="M575" i="1"/>
  <c r="G576" i="1"/>
  <c r="M576" i="1" s="1"/>
  <c r="G348" i="1"/>
  <c r="M347" i="1"/>
  <c r="L346" i="1"/>
  <c r="K103" i="1"/>
  <c r="I103" i="1"/>
  <c r="J142" i="1"/>
  <c r="M106" i="1"/>
  <c r="A107" i="1"/>
  <c r="C105" i="1"/>
  <c r="L105" i="1"/>
  <c r="I104" i="1"/>
  <c r="K104" i="1"/>
  <c r="A5" i="1"/>
  <c r="M4" i="1"/>
  <c r="I83" i="1"/>
  <c r="I43" i="1"/>
  <c r="I24" i="1"/>
  <c r="I63" i="1"/>
  <c r="D86" i="1"/>
  <c r="L85" i="1"/>
  <c r="D66" i="1"/>
  <c r="L65" i="1"/>
  <c r="I45" i="1"/>
  <c r="K45" i="1"/>
  <c r="I44" i="1"/>
  <c r="K44" i="1"/>
  <c r="I84" i="1"/>
  <c r="C85" i="1"/>
  <c r="C65" i="1"/>
  <c r="C25" i="1"/>
  <c r="C46" i="1"/>
  <c r="J125" i="1" l="1"/>
  <c r="J123" i="1"/>
  <c r="J124" i="1"/>
  <c r="J131" i="1"/>
  <c r="M997" i="1"/>
  <c r="G998" i="1"/>
  <c r="M942" i="1"/>
  <c r="G943" i="1"/>
  <c r="M746" i="1"/>
  <c r="G747" i="1"/>
  <c r="M582" i="1"/>
  <c r="G583" i="1"/>
  <c r="M348" i="1"/>
  <c r="G349" i="1"/>
  <c r="L347" i="1"/>
  <c r="J147" i="1"/>
  <c r="L106" i="1"/>
  <c r="C106" i="1"/>
  <c r="K105" i="1"/>
  <c r="I105" i="1"/>
  <c r="M107" i="1"/>
  <c r="A108" i="1"/>
  <c r="A6" i="1"/>
  <c r="M5" i="1"/>
  <c r="I25" i="1"/>
  <c r="K25" i="1"/>
  <c r="I46" i="1"/>
  <c r="K46" i="1"/>
  <c r="D67" i="1"/>
  <c r="L66" i="1"/>
  <c r="I65" i="1"/>
  <c r="K65" i="1"/>
  <c r="I85" i="1"/>
  <c r="K85" i="1"/>
  <c r="D87" i="1"/>
  <c r="L86" i="1"/>
  <c r="C86" i="1"/>
  <c r="C66" i="1"/>
  <c r="C26" i="1"/>
  <c r="C47" i="1"/>
  <c r="J136" i="1" l="1"/>
  <c r="J129" i="1"/>
  <c r="J128" i="1"/>
  <c r="J130" i="1"/>
  <c r="G999" i="1"/>
  <c r="M998" i="1"/>
  <c r="G944" i="1"/>
  <c r="M943" i="1"/>
  <c r="G748" i="1"/>
  <c r="M747" i="1"/>
  <c r="G584" i="1"/>
  <c r="M583" i="1"/>
  <c r="G350" i="1"/>
  <c r="M349" i="1"/>
  <c r="L348" i="1"/>
  <c r="J152" i="1"/>
  <c r="J157" i="1"/>
  <c r="A109" i="1"/>
  <c r="M108" i="1"/>
  <c r="I106" i="1"/>
  <c r="K106" i="1"/>
  <c r="C107" i="1"/>
  <c r="L107" i="1"/>
  <c r="A7" i="1"/>
  <c r="M6" i="1"/>
  <c r="D68" i="1"/>
  <c r="L67" i="1"/>
  <c r="I47" i="1"/>
  <c r="K47" i="1"/>
  <c r="I26" i="1"/>
  <c r="K26" i="1"/>
  <c r="I66" i="1"/>
  <c r="K66" i="1"/>
  <c r="I86" i="1"/>
  <c r="K86" i="1"/>
  <c r="D88" i="1"/>
  <c r="L87" i="1"/>
  <c r="C87" i="1"/>
  <c r="C67" i="1"/>
  <c r="C27" i="1"/>
  <c r="C48" i="1"/>
  <c r="J133" i="1" l="1"/>
  <c r="J135" i="1"/>
  <c r="J134" i="1"/>
  <c r="J141" i="1"/>
  <c r="M999" i="1"/>
  <c r="G1000" i="1"/>
  <c r="M944" i="1"/>
  <c r="G945" i="1"/>
  <c r="M748" i="1"/>
  <c r="G749" i="1"/>
  <c r="M584" i="1"/>
  <c r="G585" i="1"/>
  <c r="G351" i="1"/>
  <c r="M350" i="1"/>
  <c r="L349" i="1"/>
  <c r="J162" i="1"/>
  <c r="L108" i="1"/>
  <c r="C108" i="1"/>
  <c r="I107" i="1"/>
  <c r="K107" i="1"/>
  <c r="M109" i="1"/>
  <c r="A110" i="1"/>
  <c r="A8" i="1"/>
  <c r="M7" i="1"/>
  <c r="I48" i="1"/>
  <c r="K48" i="1"/>
  <c r="I27" i="1"/>
  <c r="K27" i="1"/>
  <c r="I67" i="1"/>
  <c r="K67" i="1"/>
  <c r="I87" i="1"/>
  <c r="K87" i="1"/>
  <c r="D89" i="1"/>
  <c r="L88" i="1"/>
  <c r="D69" i="1"/>
  <c r="L68" i="1"/>
  <c r="C88" i="1"/>
  <c r="C68" i="1"/>
  <c r="C28" i="1"/>
  <c r="C49" i="1"/>
  <c r="J146" i="1" l="1"/>
  <c r="J139" i="1"/>
  <c r="J140" i="1"/>
  <c r="J138" i="1"/>
  <c r="M1000" i="1"/>
  <c r="G1001" i="1"/>
  <c r="M945" i="1"/>
  <c r="G946" i="1"/>
  <c r="M749" i="1"/>
  <c r="G750" i="1"/>
  <c r="G586" i="1"/>
  <c r="M585" i="1"/>
  <c r="M351" i="1"/>
  <c r="G352" i="1"/>
  <c r="L350" i="1"/>
  <c r="J167" i="1"/>
  <c r="A111" i="1"/>
  <c r="M110" i="1"/>
  <c r="I108" i="1"/>
  <c r="K108" i="1"/>
  <c r="C109" i="1"/>
  <c r="L109" i="1"/>
  <c r="A9" i="1"/>
  <c r="M8" i="1"/>
  <c r="D90" i="1"/>
  <c r="L89" i="1"/>
  <c r="I28" i="1"/>
  <c r="K28" i="1"/>
  <c r="I88" i="1"/>
  <c r="K88" i="1"/>
  <c r="I49" i="1"/>
  <c r="K49" i="1"/>
  <c r="I68" i="1"/>
  <c r="K68" i="1"/>
  <c r="D70" i="1"/>
  <c r="L69" i="1"/>
  <c r="C89" i="1"/>
  <c r="C69" i="1"/>
  <c r="C29" i="1"/>
  <c r="C50" i="1"/>
  <c r="J143" i="1" l="1"/>
  <c r="J145" i="1"/>
  <c r="J144" i="1"/>
  <c r="J151" i="1"/>
  <c r="M1001" i="1"/>
  <c r="M946" i="1"/>
  <c r="G947" i="1"/>
  <c r="M750" i="1"/>
  <c r="G751" i="1"/>
  <c r="M586" i="1"/>
  <c r="G587" i="1"/>
  <c r="M352" i="1"/>
  <c r="G353" i="1"/>
  <c r="L351" i="1"/>
  <c r="J172" i="1"/>
  <c r="L110" i="1"/>
  <c r="C110" i="1"/>
  <c r="I109" i="1"/>
  <c r="K109" i="1"/>
  <c r="M111" i="1"/>
  <c r="A112" i="1"/>
  <c r="A10" i="1"/>
  <c r="M9" i="1"/>
  <c r="I50" i="1"/>
  <c r="K50" i="1"/>
  <c r="I29" i="1"/>
  <c r="K29" i="1"/>
  <c r="I69" i="1"/>
  <c r="K69" i="1"/>
  <c r="I89" i="1"/>
  <c r="K89" i="1"/>
  <c r="D71" i="1"/>
  <c r="L70" i="1"/>
  <c r="D91" i="1"/>
  <c r="L90" i="1"/>
  <c r="C90" i="1"/>
  <c r="C70" i="1"/>
  <c r="C30" i="1"/>
  <c r="C51" i="1"/>
  <c r="J156" i="1" l="1"/>
  <c r="J149" i="1"/>
  <c r="J150" i="1"/>
  <c r="J148" i="1"/>
  <c r="M947" i="1"/>
  <c r="G948" i="1"/>
  <c r="M751" i="1"/>
  <c r="G752" i="1"/>
  <c r="M587" i="1"/>
  <c r="G588" i="1"/>
  <c r="G354" i="1"/>
  <c r="M353" i="1"/>
  <c r="L352" i="1"/>
  <c r="J177" i="1"/>
  <c r="A113" i="1"/>
  <c r="M112" i="1"/>
  <c r="K110" i="1"/>
  <c r="I110" i="1"/>
  <c r="C111" i="1"/>
  <c r="L111" i="1"/>
  <c r="A11" i="1"/>
  <c r="M10" i="1"/>
  <c r="I90" i="1"/>
  <c r="K90" i="1"/>
  <c r="I70" i="1"/>
  <c r="K70" i="1"/>
  <c r="I51" i="1"/>
  <c r="K51" i="1"/>
  <c r="I30" i="1"/>
  <c r="K30" i="1"/>
  <c r="D92" i="1"/>
  <c r="L91" i="1"/>
  <c r="D72" i="1"/>
  <c r="L71" i="1"/>
  <c r="C91" i="1"/>
  <c r="C71" i="1"/>
  <c r="C31" i="1"/>
  <c r="C52" i="1"/>
  <c r="J153" i="1" l="1"/>
  <c r="J155" i="1"/>
  <c r="J154" i="1"/>
  <c r="J161" i="1"/>
  <c r="M948" i="1"/>
  <c r="G949" i="1"/>
  <c r="G753" i="1"/>
  <c r="M752" i="1"/>
  <c r="G589" i="1"/>
  <c r="M588" i="1"/>
  <c r="L353" i="1"/>
  <c r="M354" i="1"/>
  <c r="G355" i="1"/>
  <c r="J187" i="1"/>
  <c r="J182" i="1"/>
  <c r="C112" i="1"/>
  <c r="L112" i="1"/>
  <c r="I111" i="1"/>
  <c r="K111" i="1"/>
  <c r="M113" i="1"/>
  <c r="A114" i="1"/>
  <c r="A12" i="1"/>
  <c r="M11" i="1"/>
  <c r="I52" i="1"/>
  <c r="K52" i="1"/>
  <c r="I71" i="1"/>
  <c r="K71" i="1"/>
  <c r="I31" i="1"/>
  <c r="K31" i="1"/>
  <c r="I91" i="1"/>
  <c r="K91" i="1"/>
  <c r="D73" i="1"/>
  <c r="L72" i="1"/>
  <c r="L92" i="1"/>
  <c r="C72" i="1"/>
  <c r="C32" i="1"/>
  <c r="C53" i="1"/>
  <c r="J166" i="1" l="1"/>
  <c r="J159" i="1"/>
  <c r="J160" i="1"/>
  <c r="J158" i="1"/>
  <c r="M949" i="1"/>
  <c r="G950" i="1"/>
  <c r="M753" i="1"/>
  <c r="G754" i="1"/>
  <c r="M589" i="1"/>
  <c r="G590" i="1"/>
  <c r="C354" i="1"/>
  <c r="K354" i="1" s="1"/>
  <c r="L354" i="1"/>
  <c r="M355" i="1"/>
  <c r="G356" i="1"/>
  <c r="J192" i="1"/>
  <c r="A115" i="1"/>
  <c r="M114" i="1"/>
  <c r="I112" i="1"/>
  <c r="K112" i="1"/>
  <c r="C113" i="1"/>
  <c r="L113" i="1"/>
  <c r="A13" i="1"/>
  <c r="M12" i="1"/>
  <c r="I53" i="1"/>
  <c r="K53" i="1"/>
  <c r="I32" i="1"/>
  <c r="K32" i="1"/>
  <c r="I72" i="1"/>
  <c r="K72" i="1"/>
  <c r="I92" i="1"/>
  <c r="K92" i="1"/>
  <c r="C94" i="1"/>
  <c r="L93" i="1"/>
  <c r="D74" i="1"/>
  <c r="L73" i="1"/>
  <c r="C73" i="1"/>
  <c r="C33" i="1"/>
  <c r="C54" i="1"/>
  <c r="J163" i="1" l="1"/>
  <c r="J165" i="1"/>
  <c r="J164" i="1"/>
  <c r="J171" i="1"/>
  <c r="G951" i="1"/>
  <c r="M950" i="1"/>
  <c r="G755" i="1"/>
  <c r="M754" i="1"/>
  <c r="G591" i="1"/>
  <c r="M590" i="1"/>
  <c r="C355" i="1"/>
  <c r="K355" i="1" s="1"/>
  <c r="L355" i="1"/>
  <c r="M356" i="1"/>
  <c r="G357" i="1"/>
  <c r="J197" i="1"/>
  <c r="C114" i="1"/>
  <c r="L114" i="1"/>
  <c r="I113" i="1"/>
  <c r="K113" i="1"/>
  <c r="M115" i="1"/>
  <c r="A116" i="1"/>
  <c r="A14" i="1"/>
  <c r="M13" i="1"/>
  <c r="I54" i="1"/>
  <c r="K54" i="1"/>
  <c r="I33" i="1"/>
  <c r="K33" i="1"/>
  <c r="I73" i="1"/>
  <c r="K73" i="1"/>
  <c r="I93" i="1"/>
  <c r="K93" i="1"/>
  <c r="D75" i="1"/>
  <c r="L74" i="1"/>
  <c r="C95" i="1"/>
  <c r="L94" i="1"/>
  <c r="C74" i="1"/>
  <c r="C34" i="1"/>
  <c r="C55" i="1"/>
  <c r="J176" i="1" l="1"/>
  <c r="J169" i="1"/>
  <c r="J170" i="1"/>
  <c r="J168" i="1"/>
  <c r="M951" i="1"/>
  <c r="G952" i="1"/>
  <c r="M755" i="1"/>
  <c r="G756" i="1"/>
  <c r="M591" i="1"/>
  <c r="G592" i="1"/>
  <c r="C356" i="1"/>
  <c r="K356" i="1" s="1"/>
  <c r="L356" i="1"/>
  <c r="M357" i="1"/>
  <c r="G358" i="1"/>
  <c r="J202" i="1"/>
  <c r="M116" i="1"/>
  <c r="A117" i="1"/>
  <c r="I114" i="1"/>
  <c r="K114" i="1"/>
  <c r="C115" i="1"/>
  <c r="L115" i="1"/>
  <c r="A15" i="1"/>
  <c r="M14" i="1"/>
  <c r="I34" i="1"/>
  <c r="K34" i="1"/>
  <c r="I55" i="1"/>
  <c r="K55" i="1"/>
  <c r="I74" i="1"/>
  <c r="K74" i="1"/>
  <c r="I94" i="1"/>
  <c r="K94" i="1"/>
  <c r="C96" i="1"/>
  <c r="L95" i="1"/>
  <c r="D76" i="1"/>
  <c r="L75" i="1"/>
  <c r="C75" i="1"/>
  <c r="C35" i="1"/>
  <c r="C56" i="1"/>
  <c r="J173" i="1" l="1"/>
  <c r="J175" i="1"/>
  <c r="J174" i="1"/>
  <c r="J181" i="1"/>
  <c r="G953" i="1"/>
  <c r="M952" i="1"/>
  <c r="M756" i="1"/>
  <c r="G757" i="1"/>
  <c r="G593" i="1"/>
  <c r="M592" i="1"/>
  <c r="C357" i="1"/>
  <c r="K357" i="1" s="1"/>
  <c r="L357" i="1"/>
  <c r="G359" i="1"/>
  <c r="M358" i="1"/>
  <c r="J207" i="1"/>
  <c r="M117" i="1"/>
  <c r="A118" i="1"/>
  <c r="C116" i="1"/>
  <c r="L116" i="1"/>
  <c r="I115" i="1"/>
  <c r="K115" i="1"/>
  <c r="A16" i="1"/>
  <c r="M15" i="1"/>
  <c r="I56" i="1"/>
  <c r="K56" i="1"/>
  <c r="I35" i="1"/>
  <c r="K35" i="1"/>
  <c r="I75" i="1"/>
  <c r="K75" i="1"/>
  <c r="I95" i="1"/>
  <c r="K95" i="1"/>
  <c r="D77" i="1"/>
  <c r="L76" i="1"/>
  <c r="C97" i="1"/>
  <c r="L96" i="1"/>
  <c r="C76" i="1"/>
  <c r="C36" i="1"/>
  <c r="C57" i="1"/>
  <c r="J186" i="1" l="1"/>
  <c r="J179" i="1"/>
  <c r="J180" i="1"/>
  <c r="J178" i="1"/>
  <c r="M953" i="1"/>
  <c r="G954" i="1"/>
  <c r="M757" i="1"/>
  <c r="G758" i="1"/>
  <c r="M593" i="1"/>
  <c r="G594" i="1"/>
  <c r="C358" i="1"/>
  <c r="K358" i="1" s="1"/>
  <c r="L358" i="1"/>
  <c r="M359" i="1"/>
  <c r="G360" i="1"/>
  <c r="J212" i="1"/>
  <c r="J217" i="1"/>
  <c r="M118" i="1"/>
  <c r="A119" i="1"/>
  <c r="L117" i="1"/>
  <c r="C117" i="1"/>
  <c r="I116" i="1"/>
  <c r="K116" i="1"/>
  <c r="A17" i="1"/>
  <c r="M16" i="1"/>
  <c r="I57" i="1"/>
  <c r="K57" i="1"/>
  <c r="I36" i="1"/>
  <c r="K36" i="1"/>
  <c r="I76" i="1"/>
  <c r="K76" i="1"/>
  <c r="I96" i="1"/>
  <c r="K96" i="1"/>
  <c r="C98" i="1"/>
  <c r="L97" i="1"/>
  <c r="D78" i="1"/>
  <c r="L77" i="1"/>
  <c r="C77" i="1"/>
  <c r="C37" i="1"/>
  <c r="C58" i="1"/>
  <c r="J183" i="1" l="1"/>
  <c r="J185" i="1"/>
  <c r="J184" i="1"/>
  <c r="J191" i="1"/>
  <c r="M954" i="1"/>
  <c r="G955" i="1"/>
  <c r="M758" i="1"/>
  <c r="G759" i="1"/>
  <c r="M594" i="1"/>
  <c r="G595" i="1"/>
  <c r="C359" i="1"/>
  <c r="K359" i="1" s="1"/>
  <c r="L359" i="1"/>
  <c r="G361" i="1"/>
  <c r="M360" i="1"/>
  <c r="J222" i="1"/>
  <c r="I117" i="1"/>
  <c r="K117" i="1"/>
  <c r="C118" i="1"/>
  <c r="L118" i="1"/>
  <c r="M119" i="1"/>
  <c r="A120" i="1"/>
  <c r="A18" i="1"/>
  <c r="M17" i="1"/>
  <c r="I77" i="1"/>
  <c r="K77" i="1"/>
  <c r="I58" i="1"/>
  <c r="K58" i="1"/>
  <c r="I37" i="1"/>
  <c r="K37" i="1"/>
  <c r="I97" i="1"/>
  <c r="K97" i="1"/>
  <c r="D79" i="1"/>
  <c r="L78" i="1"/>
  <c r="C99" i="1"/>
  <c r="L98" i="1"/>
  <c r="C78" i="1"/>
  <c r="C38" i="1"/>
  <c r="C59" i="1"/>
  <c r="J196" i="1" l="1"/>
  <c r="J189" i="1"/>
  <c r="J190" i="1"/>
  <c r="J188" i="1"/>
  <c r="G956" i="1"/>
  <c r="M955" i="1"/>
  <c r="G760" i="1"/>
  <c r="M759" i="1"/>
  <c r="G596" i="1"/>
  <c r="M595" i="1"/>
  <c r="C360" i="1"/>
  <c r="K360" i="1" s="1"/>
  <c r="L360" i="1"/>
  <c r="M361" i="1"/>
  <c r="G362" i="1"/>
  <c r="J227" i="1"/>
  <c r="J229" i="1"/>
  <c r="J228" i="1"/>
  <c r="M120" i="1"/>
  <c r="A121" i="1"/>
  <c r="L119" i="1"/>
  <c r="C119" i="1"/>
  <c r="I118" i="1"/>
  <c r="K118" i="1"/>
  <c r="A19" i="1"/>
  <c r="M18" i="1"/>
  <c r="I59" i="1"/>
  <c r="K59" i="1"/>
  <c r="I38" i="1"/>
  <c r="K38" i="1"/>
  <c r="I78" i="1"/>
  <c r="K78" i="1"/>
  <c r="I98" i="1"/>
  <c r="K98" i="1"/>
  <c r="C100" i="1"/>
  <c r="L99" i="1"/>
  <c r="D80" i="1"/>
  <c r="L79" i="1"/>
  <c r="C79" i="1"/>
  <c r="C39" i="1"/>
  <c r="C61" i="1"/>
  <c r="C60" i="1"/>
  <c r="J194" i="1" l="1"/>
  <c r="J193" i="1"/>
  <c r="J195" i="1"/>
  <c r="J201" i="1"/>
  <c r="M956" i="1"/>
  <c r="G957" i="1"/>
  <c r="M760" i="1"/>
  <c r="G761" i="1"/>
  <c r="M596" i="1"/>
  <c r="G597" i="1"/>
  <c r="C361" i="1"/>
  <c r="K361" i="1" s="1"/>
  <c r="L361" i="1"/>
  <c r="G363" i="1"/>
  <c r="M362" i="1"/>
  <c r="J232" i="1"/>
  <c r="J235" i="1"/>
  <c r="J231" i="1"/>
  <c r="J234" i="1"/>
  <c r="J233" i="1"/>
  <c r="J230" i="1"/>
  <c r="A122" i="1"/>
  <c r="M121" i="1"/>
  <c r="I119" i="1"/>
  <c r="K119" i="1"/>
  <c r="C120" i="1"/>
  <c r="L120" i="1"/>
  <c r="A20" i="1"/>
  <c r="M19" i="1"/>
  <c r="I60" i="1"/>
  <c r="K60" i="1"/>
  <c r="I61" i="1"/>
  <c r="K61" i="1"/>
  <c r="I39" i="1"/>
  <c r="K39" i="1"/>
  <c r="I79" i="1"/>
  <c r="K79" i="1"/>
  <c r="I99" i="1"/>
  <c r="K99" i="1"/>
  <c r="D81" i="1"/>
  <c r="L81" i="1" s="1"/>
  <c r="L80" i="1"/>
  <c r="L100" i="1"/>
  <c r="C81" i="1"/>
  <c r="C80" i="1"/>
  <c r="C40" i="1"/>
  <c r="C41" i="1"/>
  <c r="J206" i="1" l="1"/>
  <c r="J200" i="1"/>
  <c r="J198" i="1"/>
  <c r="J199" i="1"/>
  <c r="M957" i="1"/>
  <c r="G958" i="1"/>
  <c r="M761" i="1"/>
  <c r="G762" i="1"/>
  <c r="G598" i="1"/>
  <c r="M597" i="1"/>
  <c r="C362" i="1"/>
  <c r="K362" i="1" s="1"/>
  <c r="L362" i="1"/>
  <c r="M363" i="1"/>
  <c r="G364" i="1"/>
  <c r="J236" i="1"/>
  <c r="J240" i="1"/>
  <c r="J239" i="1"/>
  <c r="J237" i="1"/>
  <c r="J241" i="1"/>
  <c r="J238" i="1"/>
  <c r="L121" i="1"/>
  <c r="C121" i="1"/>
  <c r="I120" i="1"/>
  <c r="K120" i="1"/>
  <c r="M122" i="1"/>
  <c r="A123" i="1"/>
  <c r="L101" i="1"/>
  <c r="C101" i="1"/>
  <c r="I101" i="1" s="1"/>
  <c r="K101" i="1"/>
  <c r="A21" i="1"/>
  <c r="M20" i="1"/>
  <c r="I80" i="1"/>
  <c r="K80" i="1"/>
  <c r="I41" i="1"/>
  <c r="K41" i="1"/>
  <c r="I40" i="1"/>
  <c r="K40" i="1"/>
  <c r="I81" i="1"/>
  <c r="K81" i="1"/>
  <c r="I100" i="1"/>
  <c r="K100" i="1"/>
  <c r="J204" i="1" l="1"/>
  <c r="J203" i="1"/>
  <c r="J205" i="1"/>
  <c r="J211" i="1"/>
  <c r="M958" i="1"/>
  <c r="G959" i="1"/>
  <c r="M762" i="1"/>
  <c r="G763" i="1"/>
  <c r="M598" i="1"/>
  <c r="G599" i="1"/>
  <c r="C363" i="1"/>
  <c r="K363" i="1" s="1"/>
  <c r="L363" i="1"/>
  <c r="M364" i="1"/>
  <c r="G365" i="1"/>
  <c r="J247" i="1"/>
  <c r="J243" i="1"/>
  <c r="J244" i="1"/>
  <c r="J245" i="1"/>
  <c r="J246" i="1"/>
  <c r="J242" i="1"/>
  <c r="A124" i="1"/>
  <c r="M123" i="1"/>
  <c r="K121" i="1"/>
  <c r="I121" i="1"/>
  <c r="C122" i="1"/>
  <c r="L122" i="1"/>
  <c r="A22" i="1"/>
  <c r="M21" i="1"/>
  <c r="J216" i="1" l="1"/>
  <c r="J210" i="1"/>
  <c r="J208" i="1"/>
  <c r="J209" i="1"/>
  <c r="M959" i="1"/>
  <c r="G960" i="1"/>
  <c r="M763" i="1"/>
  <c r="G764" i="1"/>
  <c r="M599" i="1"/>
  <c r="G600" i="1"/>
  <c r="C364" i="1"/>
  <c r="K364" i="1" s="1"/>
  <c r="L364" i="1"/>
  <c r="M365" i="1"/>
  <c r="G366" i="1"/>
  <c r="J252" i="1"/>
  <c r="J248" i="1"/>
  <c r="J251" i="1"/>
  <c r="J250" i="1"/>
  <c r="J249" i="1"/>
  <c r="J253" i="1"/>
  <c r="I122" i="1"/>
  <c r="K122" i="1"/>
  <c r="L123" i="1"/>
  <c r="C123" i="1"/>
  <c r="M124" i="1"/>
  <c r="A125" i="1"/>
  <c r="A23" i="1"/>
  <c r="M22" i="1"/>
  <c r="J214" i="1" l="1"/>
  <c r="J213" i="1"/>
  <c r="J215" i="1"/>
  <c r="J226" i="1"/>
  <c r="J221" i="1"/>
  <c r="G961" i="1"/>
  <c r="M960" i="1"/>
  <c r="G765" i="1"/>
  <c r="M764" i="1"/>
  <c r="G601" i="1"/>
  <c r="M600" i="1"/>
  <c r="C365" i="1"/>
  <c r="K365" i="1" s="1"/>
  <c r="L365" i="1"/>
  <c r="M366" i="1"/>
  <c r="G367" i="1"/>
  <c r="J259" i="1"/>
  <c r="J255" i="1"/>
  <c r="J256" i="1"/>
  <c r="J257" i="1"/>
  <c r="J254" i="1"/>
  <c r="J258" i="1"/>
  <c r="A126" i="1"/>
  <c r="M125" i="1"/>
  <c r="I123" i="1"/>
  <c r="K123" i="1"/>
  <c r="C124" i="1"/>
  <c r="L124" i="1"/>
  <c r="A24" i="1"/>
  <c r="M23" i="1"/>
  <c r="J225" i="1" l="1"/>
  <c r="J220" i="1"/>
  <c r="J223" i="1"/>
  <c r="J218" i="1"/>
  <c r="J224" i="1"/>
  <c r="J219" i="1"/>
  <c r="M961" i="1"/>
  <c r="G962" i="1"/>
  <c r="M765" i="1"/>
  <c r="G766" i="1"/>
  <c r="M601" i="1"/>
  <c r="G602" i="1"/>
  <c r="C366" i="1"/>
  <c r="K366" i="1" s="1"/>
  <c r="L366" i="1"/>
  <c r="G368" i="1"/>
  <c r="M367" i="1"/>
  <c r="J264" i="1"/>
  <c r="J260" i="1"/>
  <c r="J263" i="1"/>
  <c r="J262" i="1"/>
  <c r="J261" i="1"/>
  <c r="J265" i="1"/>
  <c r="L125" i="1"/>
  <c r="C125" i="1"/>
  <c r="I124" i="1"/>
  <c r="K124" i="1"/>
  <c r="M126" i="1"/>
  <c r="A127" i="1"/>
  <c r="A25" i="1"/>
  <c r="M24" i="1"/>
  <c r="G963" i="1" l="1"/>
  <c r="M962" i="1"/>
  <c r="G767" i="1"/>
  <c r="M766" i="1"/>
  <c r="G603" i="1"/>
  <c r="M602" i="1"/>
  <c r="C367" i="1"/>
  <c r="K367" i="1" s="1"/>
  <c r="L367" i="1"/>
  <c r="M368" i="1"/>
  <c r="G369" i="1"/>
  <c r="J266" i="1"/>
  <c r="J271" i="1"/>
  <c r="J267" i="1"/>
  <c r="J268" i="1"/>
  <c r="J269" i="1"/>
  <c r="J270" i="1"/>
  <c r="M127" i="1"/>
  <c r="A128" i="1"/>
  <c r="I125" i="1"/>
  <c r="K125" i="1"/>
  <c r="C126" i="1"/>
  <c r="L126" i="1"/>
  <c r="A26" i="1"/>
  <c r="M25" i="1"/>
  <c r="M963" i="1" l="1"/>
  <c r="G964" i="1"/>
  <c r="M767" i="1"/>
  <c r="G768" i="1"/>
  <c r="M603" i="1"/>
  <c r="G604" i="1"/>
  <c r="C368" i="1"/>
  <c r="K368" i="1" s="1"/>
  <c r="L368" i="1"/>
  <c r="G370" i="1"/>
  <c r="M369" i="1"/>
  <c r="J276" i="1"/>
  <c r="J275" i="1"/>
  <c r="J274" i="1"/>
  <c r="J273" i="1"/>
  <c r="J277" i="1"/>
  <c r="J272" i="1"/>
  <c r="C127" i="1"/>
  <c r="L127" i="1"/>
  <c r="I126" i="1"/>
  <c r="K126" i="1"/>
  <c r="M128" i="1"/>
  <c r="A129" i="1"/>
  <c r="A27" i="1"/>
  <c r="M26" i="1"/>
  <c r="G965" i="1" l="1"/>
  <c r="M964" i="1"/>
  <c r="M768" i="1"/>
  <c r="G769" i="1"/>
  <c r="G605" i="1"/>
  <c r="M604" i="1"/>
  <c r="C369" i="1"/>
  <c r="K369" i="1" s="1"/>
  <c r="L369" i="1"/>
  <c r="M370" i="1"/>
  <c r="G371" i="1"/>
  <c r="J278" i="1"/>
  <c r="J283" i="1"/>
  <c r="J279" i="1"/>
  <c r="J280" i="1"/>
  <c r="J281" i="1"/>
  <c r="J282" i="1"/>
  <c r="A130" i="1"/>
  <c r="M129" i="1"/>
  <c r="I127" i="1"/>
  <c r="K127" i="1"/>
  <c r="L128" i="1"/>
  <c r="C128" i="1"/>
  <c r="A28" i="1"/>
  <c r="M27" i="1"/>
  <c r="M965" i="1" l="1"/>
  <c r="G966" i="1"/>
  <c r="M769" i="1"/>
  <c r="G770" i="1"/>
  <c r="M605" i="1"/>
  <c r="G606" i="1"/>
  <c r="C370" i="1"/>
  <c r="K370" i="1" s="1"/>
  <c r="L370" i="1"/>
  <c r="G372" i="1"/>
  <c r="M371" i="1"/>
  <c r="J288" i="1"/>
  <c r="J287" i="1"/>
  <c r="J286" i="1"/>
  <c r="J285" i="1"/>
  <c r="J289" i="1"/>
  <c r="J284" i="1"/>
  <c r="C129" i="1"/>
  <c r="L129" i="1"/>
  <c r="I128" i="1"/>
  <c r="K128" i="1"/>
  <c r="M130" i="1"/>
  <c r="A131" i="1"/>
  <c r="A29" i="1"/>
  <c r="M28" i="1"/>
  <c r="M966" i="1" l="1"/>
  <c r="G967" i="1"/>
  <c r="M770" i="1"/>
  <c r="G771" i="1"/>
  <c r="M606" i="1"/>
  <c r="G607" i="1"/>
  <c r="C371" i="1"/>
  <c r="K371" i="1" s="1"/>
  <c r="L371" i="1"/>
  <c r="M372" i="1"/>
  <c r="G373" i="1"/>
  <c r="J290" i="1"/>
  <c r="J295" i="1"/>
  <c r="J291" i="1"/>
  <c r="J292" i="1"/>
  <c r="J293" i="1"/>
  <c r="J294" i="1"/>
  <c r="M131" i="1"/>
  <c r="A132" i="1"/>
  <c r="L130" i="1"/>
  <c r="C130" i="1"/>
  <c r="I129" i="1"/>
  <c r="K129" i="1"/>
  <c r="A30" i="1"/>
  <c r="M29" i="1"/>
  <c r="G968" i="1" l="1"/>
  <c r="M967" i="1"/>
  <c r="G772" i="1"/>
  <c r="M771" i="1"/>
  <c r="G608" i="1"/>
  <c r="M607" i="1"/>
  <c r="C372" i="1"/>
  <c r="K372" i="1" s="1"/>
  <c r="L372" i="1"/>
  <c r="G374" i="1"/>
  <c r="M373" i="1"/>
  <c r="J300" i="1"/>
  <c r="J299" i="1"/>
  <c r="J298" i="1"/>
  <c r="J297" i="1"/>
  <c r="J301" i="1"/>
  <c r="J296" i="1"/>
  <c r="I130" i="1"/>
  <c r="K130" i="1"/>
  <c r="C131" i="1"/>
  <c r="L131" i="1"/>
  <c r="A133" i="1"/>
  <c r="M132" i="1"/>
  <c r="A31" i="1"/>
  <c r="M30" i="1"/>
  <c r="M968" i="1" l="1"/>
  <c r="G969" i="1"/>
  <c r="M772" i="1"/>
  <c r="G773" i="1"/>
  <c r="M608" i="1"/>
  <c r="G609" i="1"/>
  <c r="C373" i="1"/>
  <c r="K373" i="1" s="1"/>
  <c r="L373" i="1"/>
  <c r="M374" i="1"/>
  <c r="G375" i="1"/>
  <c r="J302" i="1"/>
  <c r="J307" i="1"/>
  <c r="J303" i="1"/>
  <c r="J304" i="1"/>
  <c r="J305" i="1"/>
  <c r="J306" i="1"/>
  <c r="M133" i="1"/>
  <c r="A134" i="1"/>
  <c r="L132" i="1"/>
  <c r="C132" i="1"/>
  <c r="I131" i="1"/>
  <c r="K131" i="1"/>
  <c r="A32" i="1"/>
  <c r="M31" i="1"/>
  <c r="M969" i="1" l="1"/>
  <c r="G970" i="1"/>
  <c r="M773" i="1"/>
  <c r="G774" i="1"/>
  <c r="G610" i="1"/>
  <c r="M609" i="1"/>
  <c r="C374" i="1"/>
  <c r="K374" i="1" s="1"/>
  <c r="L374" i="1"/>
  <c r="G376" i="1"/>
  <c r="M375" i="1"/>
  <c r="J312" i="1"/>
  <c r="J311" i="1"/>
  <c r="J310" i="1"/>
  <c r="J309" i="1"/>
  <c r="J313" i="1"/>
  <c r="J308" i="1"/>
  <c r="I132" i="1"/>
  <c r="K132" i="1"/>
  <c r="C133" i="1"/>
  <c r="L133" i="1"/>
  <c r="A135" i="1"/>
  <c r="M134" i="1"/>
  <c r="A33" i="1"/>
  <c r="M32" i="1"/>
  <c r="M970" i="1" l="1"/>
  <c r="G971" i="1"/>
  <c r="M774" i="1"/>
  <c r="G775" i="1"/>
  <c r="M610" i="1"/>
  <c r="G611" i="1"/>
  <c r="C375" i="1"/>
  <c r="K375" i="1" s="1"/>
  <c r="L375" i="1"/>
  <c r="M376" i="1"/>
  <c r="G377" i="1"/>
  <c r="J314" i="1"/>
  <c r="J319" i="1"/>
  <c r="J315" i="1"/>
  <c r="J316" i="1"/>
  <c r="J317" i="1"/>
  <c r="J318" i="1"/>
  <c r="M135" i="1"/>
  <c r="A136" i="1"/>
  <c r="L134" i="1"/>
  <c r="C134" i="1"/>
  <c r="I133" i="1"/>
  <c r="K133" i="1"/>
  <c r="A34" i="1"/>
  <c r="M33" i="1"/>
  <c r="M971" i="1" l="1"/>
  <c r="G972" i="1"/>
  <c r="G776" i="1"/>
  <c r="M775" i="1"/>
  <c r="M611" i="1"/>
  <c r="G612" i="1"/>
  <c r="C376" i="1"/>
  <c r="K376" i="1" s="1"/>
  <c r="L376" i="1"/>
  <c r="M377" i="1"/>
  <c r="G378" i="1"/>
  <c r="J324" i="1"/>
  <c r="J323" i="1"/>
  <c r="J322" i="1"/>
  <c r="J321" i="1"/>
  <c r="J325" i="1"/>
  <c r="J320" i="1"/>
  <c r="K134" i="1"/>
  <c r="I134" i="1"/>
  <c r="C135" i="1"/>
  <c r="L135" i="1"/>
  <c r="A137" i="1"/>
  <c r="M136" i="1"/>
  <c r="A35" i="1"/>
  <c r="M34" i="1"/>
  <c r="G973" i="1" l="1"/>
  <c r="M972" i="1"/>
  <c r="G777" i="1"/>
  <c r="M776" i="1"/>
  <c r="G613" i="1"/>
  <c r="M612" i="1"/>
  <c r="C377" i="1"/>
  <c r="K377" i="1" s="1"/>
  <c r="L377" i="1"/>
  <c r="M378" i="1"/>
  <c r="G379" i="1"/>
  <c r="J330" i="1"/>
  <c r="J326" i="1"/>
  <c r="J331" i="1"/>
  <c r="J327" i="1"/>
  <c r="J328" i="1"/>
  <c r="J329" i="1"/>
  <c r="M137" i="1"/>
  <c r="A138" i="1"/>
  <c r="C136" i="1"/>
  <c r="L136" i="1"/>
  <c r="I135" i="1"/>
  <c r="K135" i="1"/>
  <c r="A36" i="1"/>
  <c r="M35" i="1"/>
  <c r="M973" i="1" l="1"/>
  <c r="G974" i="1"/>
  <c r="M777" i="1"/>
  <c r="G778" i="1"/>
  <c r="M613" i="1"/>
  <c r="G614" i="1"/>
  <c r="C378" i="1"/>
  <c r="K378" i="1" s="1"/>
  <c r="L378" i="1"/>
  <c r="M379" i="1"/>
  <c r="G380" i="1"/>
  <c r="J335" i="1"/>
  <c r="J334" i="1"/>
  <c r="J333" i="1"/>
  <c r="J337" i="1"/>
  <c r="J332" i="1"/>
  <c r="J336" i="1"/>
  <c r="A139" i="1"/>
  <c r="M138" i="1"/>
  <c r="I136" i="1"/>
  <c r="K136" i="1"/>
  <c r="C137" i="1"/>
  <c r="L137" i="1"/>
  <c r="A37" i="1"/>
  <c r="M36" i="1"/>
  <c r="G975" i="1" l="1"/>
  <c r="M974" i="1"/>
  <c r="G779" i="1"/>
  <c r="M778" i="1"/>
  <c r="G615" i="1"/>
  <c r="M614" i="1"/>
  <c r="C379" i="1"/>
  <c r="K379" i="1" s="1"/>
  <c r="L379" i="1"/>
  <c r="G381" i="1"/>
  <c r="M380" i="1"/>
  <c r="J342" i="1"/>
  <c r="J338" i="1"/>
  <c r="J341" i="1"/>
  <c r="J343" i="1"/>
  <c r="J339" i="1"/>
  <c r="J340" i="1"/>
  <c r="C138" i="1"/>
  <c r="L138" i="1"/>
  <c r="I137" i="1"/>
  <c r="K137" i="1"/>
  <c r="M139" i="1"/>
  <c r="A140" i="1"/>
  <c r="A38" i="1"/>
  <c r="M37" i="1"/>
  <c r="M975" i="1" l="1"/>
  <c r="G976" i="1"/>
  <c r="M779" i="1"/>
  <c r="G780" i="1"/>
  <c r="M615" i="1"/>
  <c r="G616" i="1"/>
  <c r="C380" i="1"/>
  <c r="K380" i="1" s="1"/>
  <c r="L380" i="1"/>
  <c r="M381" i="1"/>
  <c r="G382" i="1"/>
  <c r="J346" i="1"/>
  <c r="C346" i="1"/>
  <c r="K346" i="1" s="1"/>
  <c r="J345" i="1"/>
  <c r="J349" i="1"/>
  <c r="C349" i="1"/>
  <c r="K349" i="1" s="1"/>
  <c r="J347" i="1"/>
  <c r="C347" i="1"/>
  <c r="K347" i="1" s="1"/>
  <c r="J344" i="1"/>
  <c r="C348" i="1"/>
  <c r="K348" i="1" s="1"/>
  <c r="J348" i="1"/>
  <c r="M140" i="1"/>
  <c r="A141" i="1"/>
  <c r="I138" i="1"/>
  <c r="K138" i="1"/>
  <c r="C139" i="1"/>
  <c r="L139" i="1"/>
  <c r="A39" i="1"/>
  <c r="M38" i="1"/>
  <c r="G977" i="1" l="1"/>
  <c r="M976" i="1"/>
  <c r="G781" i="1"/>
  <c r="M780" i="1"/>
  <c r="G617" i="1"/>
  <c r="M616" i="1"/>
  <c r="I348" i="1"/>
  <c r="C381" i="1"/>
  <c r="K381" i="1" s="1"/>
  <c r="L381" i="1"/>
  <c r="M382" i="1"/>
  <c r="G383" i="1"/>
  <c r="I347" i="1"/>
  <c r="I349" i="1"/>
  <c r="J350" i="1"/>
  <c r="C350" i="1"/>
  <c r="K350" i="1" s="1"/>
  <c r="J354" i="1"/>
  <c r="I354" i="1"/>
  <c r="J353" i="1"/>
  <c r="C353" i="1"/>
  <c r="K353" i="1" s="1"/>
  <c r="J351" i="1"/>
  <c r="C351" i="1"/>
  <c r="K351" i="1" s="1"/>
  <c r="J352" i="1"/>
  <c r="C352" i="1"/>
  <c r="K352" i="1" s="1"/>
  <c r="J355" i="1"/>
  <c r="I355" i="1"/>
  <c r="I346" i="1"/>
  <c r="C140" i="1"/>
  <c r="L140" i="1"/>
  <c r="I139" i="1"/>
  <c r="K139" i="1"/>
  <c r="M141" i="1"/>
  <c r="A142" i="1"/>
  <c r="A40" i="1"/>
  <c r="M39" i="1"/>
  <c r="M977" i="1" l="1"/>
  <c r="G978" i="1"/>
  <c r="M781" i="1"/>
  <c r="G782" i="1"/>
  <c r="M617" i="1"/>
  <c r="G618" i="1"/>
  <c r="C382" i="1"/>
  <c r="K382" i="1" s="1"/>
  <c r="L382" i="1"/>
  <c r="I350" i="1"/>
  <c r="G384" i="1"/>
  <c r="M383" i="1"/>
  <c r="I353" i="1"/>
  <c r="I352" i="1"/>
  <c r="J358" i="1"/>
  <c r="I358" i="1"/>
  <c r="J357" i="1"/>
  <c r="I357" i="1"/>
  <c r="J360" i="1"/>
  <c r="I360" i="1"/>
  <c r="J361" i="1"/>
  <c r="I361" i="1"/>
  <c r="I351" i="1"/>
  <c r="J359" i="1"/>
  <c r="I359" i="1"/>
  <c r="J356" i="1"/>
  <c r="I356" i="1"/>
  <c r="M142" i="1"/>
  <c r="A143" i="1"/>
  <c r="L141" i="1"/>
  <c r="C141" i="1"/>
  <c r="I140" i="1"/>
  <c r="K140" i="1"/>
  <c r="A41" i="1"/>
  <c r="M40" i="1"/>
  <c r="M978" i="1" l="1"/>
  <c r="G979" i="1"/>
  <c r="M782" i="1"/>
  <c r="G783" i="1"/>
  <c r="M618" i="1"/>
  <c r="G619" i="1"/>
  <c r="C383" i="1"/>
  <c r="K383" i="1" s="1"/>
  <c r="L383" i="1"/>
  <c r="G385" i="1"/>
  <c r="M384" i="1"/>
  <c r="J367" i="1"/>
  <c r="I367" i="1"/>
  <c r="J362" i="1"/>
  <c r="I362" i="1"/>
  <c r="J365" i="1"/>
  <c r="I365" i="1"/>
  <c r="J366" i="1"/>
  <c r="I366" i="1"/>
  <c r="J363" i="1"/>
  <c r="I363" i="1"/>
  <c r="J364" i="1"/>
  <c r="I364" i="1"/>
  <c r="I141" i="1"/>
  <c r="K141" i="1"/>
  <c r="M143" i="1"/>
  <c r="A144" i="1"/>
  <c r="C142" i="1"/>
  <c r="L142" i="1"/>
  <c r="A42" i="1"/>
  <c r="M41" i="1"/>
  <c r="G980" i="1" l="1"/>
  <c r="M979" i="1"/>
  <c r="G784" i="1"/>
  <c r="M783" i="1"/>
  <c r="G620" i="1"/>
  <c r="M619" i="1"/>
  <c r="C384" i="1"/>
  <c r="K384" i="1" s="1"/>
  <c r="L384" i="1"/>
  <c r="M385" i="1"/>
  <c r="G386" i="1"/>
  <c r="J370" i="1"/>
  <c r="I370" i="1"/>
  <c r="J372" i="1"/>
  <c r="I372" i="1"/>
  <c r="J371" i="1"/>
  <c r="I371" i="1"/>
  <c r="J368" i="1"/>
  <c r="I368" i="1"/>
  <c r="J369" i="1"/>
  <c r="I369" i="1"/>
  <c r="J373" i="1"/>
  <c r="I373" i="1"/>
  <c r="I142" i="1"/>
  <c r="K142" i="1"/>
  <c r="M144" i="1"/>
  <c r="A145" i="1"/>
  <c r="L143" i="1"/>
  <c r="C143" i="1"/>
  <c r="A43" i="1"/>
  <c r="M42" i="1"/>
  <c r="M980" i="1" l="1"/>
  <c r="G981" i="1"/>
  <c r="M784" i="1"/>
  <c r="G785" i="1"/>
  <c r="M620" i="1"/>
  <c r="G621" i="1"/>
  <c r="C385" i="1"/>
  <c r="K385" i="1" s="1"/>
  <c r="L385" i="1"/>
  <c r="G387" i="1"/>
  <c r="M386" i="1"/>
  <c r="J379" i="1"/>
  <c r="I379" i="1"/>
  <c r="J377" i="1"/>
  <c r="I377" i="1"/>
  <c r="J375" i="1"/>
  <c r="I375" i="1"/>
  <c r="J374" i="1"/>
  <c r="I374" i="1"/>
  <c r="J378" i="1"/>
  <c r="I378" i="1"/>
  <c r="J376" i="1"/>
  <c r="I376" i="1"/>
  <c r="C144" i="1"/>
  <c r="L144" i="1"/>
  <c r="A146" i="1"/>
  <c r="M145" i="1"/>
  <c r="I143" i="1"/>
  <c r="K143" i="1"/>
  <c r="A44" i="1"/>
  <c r="M43" i="1"/>
  <c r="G982" i="1" l="1"/>
  <c r="M981" i="1"/>
  <c r="M785" i="1"/>
  <c r="G786" i="1"/>
  <c r="G622" i="1"/>
  <c r="M621" i="1"/>
  <c r="C386" i="1"/>
  <c r="K386" i="1" s="1"/>
  <c r="L386" i="1"/>
  <c r="M387" i="1"/>
  <c r="G388" i="1"/>
  <c r="J384" i="1"/>
  <c r="I384" i="1"/>
  <c r="J382" i="1"/>
  <c r="I382" i="1"/>
  <c r="J381" i="1"/>
  <c r="I381" i="1"/>
  <c r="J380" i="1"/>
  <c r="I380" i="1"/>
  <c r="J383" i="1"/>
  <c r="I383" i="1"/>
  <c r="J385" i="1"/>
  <c r="I385" i="1"/>
  <c r="M146" i="1"/>
  <c r="A147" i="1"/>
  <c r="L145" i="1"/>
  <c r="C145" i="1"/>
  <c r="I144" i="1"/>
  <c r="K144" i="1"/>
  <c r="A45" i="1"/>
  <c r="M44" i="1"/>
  <c r="M982" i="1" l="1"/>
  <c r="G983" i="1"/>
  <c r="M786" i="1"/>
  <c r="G787" i="1"/>
  <c r="M622" i="1"/>
  <c r="G623" i="1"/>
  <c r="C387" i="1"/>
  <c r="K387" i="1" s="1"/>
  <c r="L387" i="1"/>
  <c r="G389" i="1"/>
  <c r="M388" i="1"/>
  <c r="J391" i="1"/>
  <c r="J389" i="1"/>
  <c r="J386" i="1"/>
  <c r="I386" i="1"/>
  <c r="J387" i="1"/>
  <c r="J388" i="1"/>
  <c r="J390" i="1"/>
  <c r="A148" i="1"/>
  <c r="M147" i="1"/>
  <c r="K145" i="1"/>
  <c r="I145" i="1"/>
  <c r="C146" i="1"/>
  <c r="L146" i="1"/>
  <c r="A46" i="1"/>
  <c r="M45" i="1"/>
  <c r="M983" i="1" l="1"/>
  <c r="G984" i="1"/>
  <c r="G788" i="1"/>
  <c r="M787" i="1"/>
  <c r="M623" i="1"/>
  <c r="G624" i="1"/>
  <c r="I387" i="1"/>
  <c r="C388" i="1"/>
  <c r="L388" i="1"/>
  <c r="M389" i="1"/>
  <c r="G390" i="1"/>
  <c r="J396" i="1"/>
  <c r="J393" i="1"/>
  <c r="J394" i="1"/>
  <c r="J392" i="1"/>
  <c r="J395" i="1"/>
  <c r="J397" i="1"/>
  <c r="I146" i="1"/>
  <c r="K146" i="1"/>
  <c r="L147" i="1"/>
  <c r="C147" i="1"/>
  <c r="M148" i="1"/>
  <c r="A149" i="1"/>
  <c r="A47" i="1"/>
  <c r="M46" i="1"/>
  <c r="G985" i="1" l="1"/>
  <c r="M984" i="1"/>
  <c r="G789" i="1"/>
  <c r="M788" i="1"/>
  <c r="G625" i="1"/>
  <c r="M624" i="1"/>
  <c r="C389" i="1"/>
  <c r="L389" i="1"/>
  <c r="K388" i="1"/>
  <c r="I388" i="1"/>
  <c r="G391" i="1"/>
  <c r="M390" i="1"/>
  <c r="J403" i="1"/>
  <c r="J401" i="1"/>
  <c r="J398" i="1"/>
  <c r="J400" i="1"/>
  <c r="J399" i="1"/>
  <c r="J402" i="1"/>
  <c r="A150" i="1"/>
  <c r="M149" i="1"/>
  <c r="K147" i="1"/>
  <c r="I147" i="1"/>
  <c r="C148" i="1"/>
  <c r="L148" i="1"/>
  <c r="A48" i="1"/>
  <c r="M47" i="1"/>
  <c r="M985" i="1" l="1"/>
  <c r="G986" i="1"/>
  <c r="M789" i="1"/>
  <c r="G790" i="1"/>
  <c r="M625" i="1"/>
  <c r="G626" i="1"/>
  <c r="I389" i="1"/>
  <c r="K389" i="1"/>
  <c r="C390" i="1"/>
  <c r="L390" i="1"/>
  <c r="M391" i="1"/>
  <c r="G392" i="1"/>
  <c r="J408" i="1"/>
  <c r="J405" i="1"/>
  <c r="J406" i="1"/>
  <c r="J404" i="1"/>
  <c r="J407" i="1"/>
  <c r="J409" i="1"/>
  <c r="I148" i="1"/>
  <c r="K148" i="1"/>
  <c r="C149" i="1"/>
  <c r="L149" i="1"/>
  <c r="M150" i="1"/>
  <c r="A151" i="1"/>
  <c r="A49" i="1"/>
  <c r="M48" i="1"/>
  <c r="G987" i="1" l="1"/>
  <c r="M986" i="1"/>
  <c r="G791" i="1"/>
  <c r="M790" i="1"/>
  <c r="G627" i="1"/>
  <c r="M626" i="1"/>
  <c r="C391" i="1"/>
  <c r="L391" i="1"/>
  <c r="I390" i="1"/>
  <c r="K390" i="1"/>
  <c r="G393" i="1"/>
  <c r="M392" i="1"/>
  <c r="J415" i="1"/>
  <c r="J413" i="1"/>
  <c r="J410" i="1"/>
  <c r="J412" i="1"/>
  <c r="J411" i="1"/>
  <c r="J414" i="1"/>
  <c r="A152" i="1"/>
  <c r="M151" i="1"/>
  <c r="I149" i="1"/>
  <c r="K149" i="1"/>
  <c r="C150" i="1"/>
  <c r="L150" i="1"/>
  <c r="A50" i="1"/>
  <c r="M49" i="1"/>
  <c r="M987" i="1" l="1"/>
  <c r="G988" i="1"/>
  <c r="M791" i="1"/>
  <c r="G792" i="1"/>
  <c r="M627" i="1"/>
  <c r="G628" i="1"/>
  <c r="C392" i="1"/>
  <c r="L392" i="1"/>
  <c r="I391" i="1"/>
  <c r="K391" i="1"/>
  <c r="M393" i="1"/>
  <c r="G394" i="1"/>
  <c r="J417" i="1"/>
  <c r="J420" i="1"/>
  <c r="J418" i="1"/>
  <c r="J416" i="1"/>
  <c r="J419" i="1"/>
  <c r="J421" i="1"/>
  <c r="C151" i="1"/>
  <c r="L151" i="1"/>
  <c r="I150" i="1"/>
  <c r="K150" i="1"/>
  <c r="M152" i="1"/>
  <c r="A153" i="1"/>
  <c r="A51" i="1"/>
  <c r="M50" i="1"/>
  <c r="M988" i="1" l="1"/>
  <c r="G989" i="1"/>
  <c r="M792" i="1"/>
  <c r="G793" i="1"/>
  <c r="G629" i="1"/>
  <c r="M628" i="1"/>
  <c r="K392" i="1"/>
  <c r="I392" i="1"/>
  <c r="C393" i="1"/>
  <c r="L393" i="1"/>
  <c r="G395" i="1"/>
  <c r="M394" i="1"/>
  <c r="J425" i="1"/>
  <c r="J422" i="1"/>
  <c r="J427" i="1"/>
  <c r="J424" i="1"/>
  <c r="J426" i="1"/>
  <c r="J423" i="1"/>
  <c r="M153" i="1"/>
  <c r="A154" i="1"/>
  <c r="I151" i="1"/>
  <c r="K151" i="1"/>
  <c r="L152" i="1"/>
  <c r="C152" i="1"/>
  <c r="A52" i="1"/>
  <c r="M51" i="1"/>
  <c r="M989" i="1" l="1"/>
  <c r="G990" i="1"/>
  <c r="M793" i="1"/>
  <c r="G794" i="1"/>
  <c r="M629" i="1"/>
  <c r="G630" i="1"/>
  <c r="C394" i="1"/>
  <c r="L394" i="1"/>
  <c r="I393" i="1"/>
  <c r="K393" i="1"/>
  <c r="G396" i="1"/>
  <c r="M395" i="1"/>
  <c r="J433" i="1"/>
  <c r="J429" i="1"/>
  <c r="J432" i="1"/>
  <c r="J430" i="1"/>
  <c r="J428" i="1"/>
  <c r="J431" i="1"/>
  <c r="C153" i="1"/>
  <c r="L153" i="1"/>
  <c r="M154" i="1"/>
  <c r="A155" i="1"/>
  <c r="I152" i="1"/>
  <c r="K152" i="1"/>
  <c r="A53" i="1"/>
  <c r="M52" i="1"/>
  <c r="M990" i="1" l="1"/>
  <c r="G991" i="1"/>
  <c r="M991" i="1" s="1"/>
  <c r="M794" i="1"/>
  <c r="G795" i="1"/>
  <c r="M630" i="1"/>
  <c r="G631" i="1"/>
  <c r="C395" i="1"/>
  <c r="L395" i="1"/>
  <c r="K394" i="1"/>
  <c r="I394" i="1"/>
  <c r="M396" i="1"/>
  <c r="G397" i="1"/>
  <c r="J438" i="1"/>
  <c r="J437" i="1"/>
  <c r="J434" i="1"/>
  <c r="J436" i="1"/>
  <c r="J435" i="1"/>
  <c r="J439" i="1"/>
  <c r="A156" i="1"/>
  <c r="M155" i="1"/>
  <c r="L154" i="1"/>
  <c r="C154" i="1"/>
  <c r="I153" i="1"/>
  <c r="K153" i="1"/>
  <c r="A54" i="1"/>
  <c r="M53" i="1"/>
  <c r="G796" i="1" l="1"/>
  <c r="M795" i="1"/>
  <c r="G632" i="1"/>
  <c r="M631" i="1"/>
  <c r="C396" i="1"/>
  <c r="L396" i="1"/>
  <c r="I395" i="1"/>
  <c r="K395" i="1"/>
  <c r="M397" i="1"/>
  <c r="G398" i="1"/>
  <c r="J445" i="1"/>
  <c r="J442" i="1"/>
  <c r="J441" i="1"/>
  <c r="J440" i="1"/>
  <c r="J443" i="1"/>
  <c r="J444" i="1"/>
  <c r="I154" i="1"/>
  <c r="K154" i="1"/>
  <c r="C155" i="1"/>
  <c r="L155" i="1"/>
  <c r="A157" i="1"/>
  <c r="M156" i="1"/>
  <c r="A55" i="1"/>
  <c r="M54" i="1"/>
  <c r="M796" i="1" l="1"/>
  <c r="G797" i="1"/>
  <c r="M632" i="1"/>
  <c r="G633" i="1"/>
  <c r="I396" i="1"/>
  <c r="K396" i="1"/>
  <c r="C397" i="1"/>
  <c r="L397" i="1"/>
  <c r="G399" i="1"/>
  <c r="M398" i="1"/>
  <c r="J450" i="1"/>
  <c r="J447" i="1"/>
  <c r="J449" i="1"/>
  <c r="J446" i="1"/>
  <c r="J448" i="1"/>
  <c r="J451" i="1"/>
  <c r="M157" i="1"/>
  <c r="A158" i="1"/>
  <c r="L156" i="1"/>
  <c r="C156" i="1"/>
  <c r="I155" i="1"/>
  <c r="K155" i="1"/>
  <c r="A56" i="1"/>
  <c r="M55" i="1"/>
  <c r="M797" i="1" l="1"/>
  <c r="G798" i="1"/>
  <c r="G634" i="1"/>
  <c r="M633" i="1"/>
  <c r="K397" i="1"/>
  <c r="I397" i="1"/>
  <c r="C398" i="1"/>
  <c r="L398" i="1"/>
  <c r="G400" i="1"/>
  <c r="M399" i="1"/>
  <c r="J457" i="1"/>
  <c r="J452" i="1"/>
  <c r="J454" i="1"/>
  <c r="J455" i="1"/>
  <c r="J453" i="1"/>
  <c r="J456" i="1"/>
  <c r="I156" i="1"/>
  <c r="K156" i="1"/>
  <c r="A159" i="1"/>
  <c r="M158" i="1"/>
  <c r="C157" i="1"/>
  <c r="L157" i="1"/>
  <c r="A57" i="1"/>
  <c r="M56" i="1"/>
  <c r="M798" i="1" l="1"/>
  <c r="G799" i="1"/>
  <c r="M634" i="1"/>
  <c r="G635" i="1"/>
  <c r="I398" i="1"/>
  <c r="K398" i="1"/>
  <c r="C399" i="1"/>
  <c r="L399" i="1"/>
  <c r="M400" i="1"/>
  <c r="G401" i="1"/>
  <c r="J462" i="1"/>
  <c r="J459" i="1"/>
  <c r="J461" i="1"/>
  <c r="J460" i="1"/>
  <c r="J458" i="1"/>
  <c r="J463" i="1"/>
  <c r="L158" i="1"/>
  <c r="C158" i="1"/>
  <c r="I157" i="1"/>
  <c r="K157" i="1"/>
  <c r="M159" i="1"/>
  <c r="A160" i="1"/>
  <c r="A58" i="1"/>
  <c r="M57" i="1"/>
  <c r="G800" i="1" l="1"/>
  <c r="M799" i="1"/>
  <c r="M635" i="1"/>
  <c r="G636" i="1"/>
  <c r="I399" i="1"/>
  <c r="K399" i="1"/>
  <c r="C400" i="1"/>
  <c r="L400" i="1"/>
  <c r="G402" i="1"/>
  <c r="M401" i="1"/>
  <c r="J469" i="1"/>
  <c r="J464" i="1"/>
  <c r="J466" i="1"/>
  <c r="J467" i="1"/>
  <c r="J465" i="1"/>
  <c r="J468" i="1"/>
  <c r="A161" i="1"/>
  <c r="M160" i="1"/>
  <c r="K158" i="1"/>
  <c r="I158" i="1"/>
  <c r="C159" i="1"/>
  <c r="L159" i="1"/>
  <c r="A59" i="1"/>
  <c r="M58" i="1"/>
  <c r="G801" i="1" l="1"/>
  <c r="M800" i="1"/>
  <c r="G637" i="1"/>
  <c r="M636" i="1"/>
  <c r="C401" i="1"/>
  <c r="L401" i="1"/>
  <c r="K400" i="1"/>
  <c r="I400" i="1"/>
  <c r="M402" i="1"/>
  <c r="G403" i="1"/>
  <c r="J471" i="1"/>
  <c r="J473" i="1"/>
  <c r="J472" i="1"/>
  <c r="J470" i="1"/>
  <c r="J474" i="1"/>
  <c r="J475" i="1"/>
  <c r="I159" i="1"/>
  <c r="K159" i="1"/>
  <c r="L160" i="1"/>
  <c r="C160" i="1"/>
  <c r="M161" i="1"/>
  <c r="A162" i="1"/>
  <c r="A60" i="1"/>
  <c r="M59" i="1"/>
  <c r="M801" i="1" l="1"/>
  <c r="G802" i="1"/>
  <c r="M637" i="1"/>
  <c r="G638" i="1"/>
  <c r="I401" i="1"/>
  <c r="K401" i="1"/>
  <c r="C402" i="1"/>
  <c r="L402" i="1"/>
  <c r="M403" i="1"/>
  <c r="G404" i="1"/>
  <c r="J480" i="1"/>
  <c r="J481" i="1"/>
  <c r="J476" i="1"/>
  <c r="J478" i="1"/>
  <c r="J479" i="1"/>
  <c r="J477" i="1"/>
  <c r="M162" i="1"/>
  <c r="A163" i="1"/>
  <c r="I160" i="1"/>
  <c r="K160" i="1"/>
  <c r="C161" i="1"/>
  <c r="L161" i="1"/>
  <c r="A61" i="1"/>
  <c r="M60" i="1"/>
  <c r="G803" i="1" l="1"/>
  <c r="M802" i="1"/>
  <c r="G639" i="1"/>
  <c r="M638" i="1"/>
  <c r="C403" i="1"/>
  <c r="L403" i="1"/>
  <c r="I402" i="1"/>
  <c r="K402" i="1"/>
  <c r="M404" i="1"/>
  <c r="G405" i="1"/>
  <c r="J483" i="1"/>
  <c r="J482" i="1"/>
  <c r="J485" i="1"/>
  <c r="J484" i="1"/>
  <c r="J487" i="1"/>
  <c r="J486" i="1"/>
  <c r="C162" i="1"/>
  <c r="L162" i="1"/>
  <c r="I161" i="1"/>
  <c r="K161" i="1"/>
  <c r="M163" i="1"/>
  <c r="A164" i="1"/>
  <c r="A62" i="1"/>
  <c r="M61" i="1"/>
  <c r="M803" i="1" l="1"/>
  <c r="G804" i="1"/>
  <c r="M639" i="1"/>
  <c r="G640" i="1"/>
  <c r="C404" i="1"/>
  <c r="L404" i="1"/>
  <c r="K403" i="1"/>
  <c r="I403" i="1"/>
  <c r="M405" i="1"/>
  <c r="G406" i="1"/>
  <c r="J492" i="1"/>
  <c r="J491" i="1"/>
  <c r="J493" i="1"/>
  <c r="J490" i="1"/>
  <c r="J488" i="1"/>
  <c r="J489" i="1"/>
  <c r="M164" i="1"/>
  <c r="A165" i="1"/>
  <c r="I162" i="1"/>
  <c r="K162" i="1"/>
  <c r="C163" i="1"/>
  <c r="L163" i="1"/>
  <c r="A63" i="1"/>
  <c r="M62" i="1"/>
  <c r="G805" i="1" l="1"/>
  <c r="M804" i="1"/>
  <c r="G641" i="1"/>
  <c r="M640" i="1"/>
  <c r="I404" i="1"/>
  <c r="K404" i="1"/>
  <c r="C405" i="1"/>
  <c r="L405" i="1"/>
  <c r="G407" i="1"/>
  <c r="M406" i="1"/>
  <c r="J495" i="1"/>
  <c r="J499" i="1"/>
  <c r="J497" i="1"/>
  <c r="J494" i="1"/>
  <c r="J496" i="1"/>
  <c r="J498" i="1"/>
  <c r="C164" i="1"/>
  <c r="L164" i="1"/>
  <c r="M165" i="1"/>
  <c r="A166" i="1"/>
  <c r="I163" i="1"/>
  <c r="K163" i="1"/>
  <c r="A64" i="1"/>
  <c r="M63" i="1"/>
  <c r="M805" i="1" l="1"/>
  <c r="G806" i="1"/>
  <c r="M641" i="1"/>
  <c r="G642" i="1"/>
  <c r="K405" i="1"/>
  <c r="I405" i="1"/>
  <c r="C406" i="1"/>
  <c r="L406" i="1"/>
  <c r="G408" i="1"/>
  <c r="M407" i="1"/>
  <c r="J500" i="1"/>
  <c r="J503" i="1"/>
  <c r="J501" i="1"/>
  <c r="J504" i="1"/>
  <c r="J502" i="1"/>
  <c r="J505" i="1"/>
  <c r="I164" i="1"/>
  <c r="K164" i="1"/>
  <c r="M166" i="1"/>
  <c r="A167" i="1"/>
  <c r="L165" i="1"/>
  <c r="C165" i="1"/>
  <c r="A65" i="1"/>
  <c r="M64" i="1"/>
  <c r="M806" i="1" l="1"/>
  <c r="G807" i="1"/>
  <c r="M642" i="1"/>
  <c r="G643" i="1"/>
  <c r="C407" i="1"/>
  <c r="L407" i="1"/>
  <c r="I406" i="1"/>
  <c r="K406" i="1"/>
  <c r="G409" i="1"/>
  <c r="M408" i="1"/>
  <c r="J511" i="1"/>
  <c r="J508" i="1"/>
  <c r="J510" i="1"/>
  <c r="J507" i="1"/>
  <c r="J509" i="1"/>
  <c r="J506" i="1"/>
  <c r="C166" i="1"/>
  <c r="L166" i="1"/>
  <c r="I165" i="1"/>
  <c r="K165" i="1"/>
  <c r="M167" i="1"/>
  <c r="A168" i="1"/>
  <c r="A66" i="1"/>
  <c r="M65" i="1"/>
  <c r="G808" i="1" l="1"/>
  <c r="M807" i="1"/>
  <c r="G644" i="1"/>
  <c r="M643" i="1"/>
  <c r="C408" i="1"/>
  <c r="L408" i="1"/>
  <c r="I407" i="1"/>
  <c r="K407" i="1"/>
  <c r="M409" i="1"/>
  <c r="G410" i="1"/>
  <c r="J512" i="1"/>
  <c r="J515" i="1"/>
  <c r="J513" i="1"/>
  <c r="J516" i="1"/>
  <c r="J514" i="1"/>
  <c r="J517" i="1"/>
  <c r="M168" i="1"/>
  <c r="A169" i="1"/>
  <c r="L167" i="1"/>
  <c r="C167" i="1"/>
  <c r="I166" i="1"/>
  <c r="K166" i="1"/>
  <c r="A67" i="1"/>
  <c r="M66" i="1"/>
  <c r="M808" i="1" l="1"/>
  <c r="G809" i="1"/>
  <c r="M644" i="1"/>
  <c r="G645" i="1"/>
  <c r="C409" i="1"/>
  <c r="L409" i="1"/>
  <c r="I408" i="1"/>
  <c r="K408" i="1"/>
  <c r="G411" i="1"/>
  <c r="M410" i="1"/>
  <c r="J522" i="1"/>
  <c r="J523" i="1"/>
  <c r="J520" i="1"/>
  <c r="J519" i="1"/>
  <c r="J521" i="1"/>
  <c r="J518" i="1"/>
  <c r="A170" i="1"/>
  <c r="M169" i="1"/>
  <c r="I167" i="1"/>
  <c r="K167" i="1"/>
  <c r="C168" i="1"/>
  <c r="L168" i="1"/>
  <c r="A68" i="1"/>
  <c r="M67" i="1"/>
  <c r="M809" i="1" l="1"/>
  <c r="G810" i="1"/>
  <c r="M645" i="1"/>
  <c r="G646" i="1"/>
  <c r="C410" i="1"/>
  <c r="L410" i="1"/>
  <c r="K409" i="1"/>
  <c r="I409" i="1"/>
  <c r="M411" i="1"/>
  <c r="G412" i="1"/>
  <c r="J526" i="1"/>
  <c r="J524" i="1"/>
  <c r="J527" i="1"/>
  <c r="J525" i="1"/>
  <c r="J529" i="1"/>
  <c r="J528" i="1"/>
  <c r="I168" i="1"/>
  <c r="K168" i="1"/>
  <c r="L169" i="1"/>
  <c r="C169" i="1"/>
  <c r="M170" i="1"/>
  <c r="A171" i="1"/>
  <c r="A69" i="1"/>
  <c r="M68" i="1"/>
  <c r="M810" i="1" l="1"/>
  <c r="G811" i="1"/>
  <c r="M646" i="1"/>
  <c r="G647" i="1"/>
  <c r="C411" i="1"/>
  <c r="L411" i="1"/>
  <c r="I410" i="1"/>
  <c r="K410" i="1"/>
  <c r="G413" i="1"/>
  <c r="M412" i="1"/>
  <c r="J535" i="1"/>
  <c r="J534" i="1"/>
  <c r="J531" i="1"/>
  <c r="J533" i="1"/>
  <c r="J530" i="1"/>
  <c r="J532" i="1"/>
  <c r="A172" i="1"/>
  <c r="M171" i="1"/>
  <c r="K169" i="1"/>
  <c r="I169" i="1"/>
  <c r="C170" i="1"/>
  <c r="L170" i="1"/>
  <c r="A70" i="1"/>
  <c r="M69" i="1"/>
  <c r="G812" i="1" l="1"/>
  <c r="M811" i="1"/>
  <c r="M647" i="1"/>
  <c r="G648" i="1"/>
  <c r="C412" i="1"/>
  <c r="L412" i="1"/>
  <c r="I411" i="1"/>
  <c r="K411" i="1"/>
  <c r="G414" i="1"/>
  <c r="M413" i="1"/>
  <c r="J538" i="1"/>
  <c r="J536" i="1"/>
  <c r="J539" i="1"/>
  <c r="J537" i="1"/>
  <c r="J546" i="1"/>
  <c r="J540" i="1"/>
  <c r="J547" i="1"/>
  <c r="J541" i="1"/>
  <c r="M172" i="1"/>
  <c r="A173" i="1"/>
  <c r="I170" i="1"/>
  <c r="K170" i="1"/>
  <c r="L171" i="1"/>
  <c r="C171" i="1"/>
  <c r="A71" i="1"/>
  <c r="M70" i="1"/>
  <c r="G813" i="1" l="1"/>
  <c r="M812" i="1"/>
  <c r="G649" i="1"/>
  <c r="M648" i="1"/>
  <c r="C413" i="1"/>
  <c r="L413" i="1"/>
  <c r="K412" i="1"/>
  <c r="I412" i="1"/>
  <c r="M414" i="1"/>
  <c r="G415" i="1"/>
  <c r="J549" i="1"/>
  <c r="J543" i="1"/>
  <c r="J551" i="1"/>
  <c r="J545" i="1"/>
  <c r="J542" i="1"/>
  <c r="J548" i="1"/>
  <c r="J550" i="1"/>
  <c r="J544" i="1"/>
  <c r="I171" i="1"/>
  <c r="K171" i="1"/>
  <c r="C172" i="1"/>
  <c r="L172" i="1"/>
  <c r="A174" i="1"/>
  <c r="M173" i="1"/>
  <c r="A72" i="1"/>
  <c r="M71" i="1"/>
  <c r="M813" i="1" l="1"/>
  <c r="G814" i="1"/>
  <c r="M649" i="1"/>
  <c r="G650" i="1"/>
  <c r="C414" i="1"/>
  <c r="L414" i="1"/>
  <c r="K413" i="1"/>
  <c r="I413" i="1"/>
  <c r="M415" i="1"/>
  <c r="G416" i="1"/>
  <c r="M174" i="1"/>
  <c r="A175" i="1"/>
  <c r="C173" i="1"/>
  <c r="L173" i="1"/>
  <c r="I172" i="1"/>
  <c r="K172" i="1"/>
  <c r="A73" i="1"/>
  <c r="M72" i="1"/>
  <c r="G815" i="1" l="1"/>
  <c r="M814" i="1"/>
  <c r="G651" i="1"/>
  <c r="M650" i="1"/>
  <c r="K414" i="1"/>
  <c r="I414" i="1"/>
  <c r="C415" i="1"/>
  <c r="L415" i="1"/>
  <c r="M416" i="1"/>
  <c r="G417" i="1"/>
  <c r="I173" i="1"/>
  <c r="K173" i="1"/>
  <c r="C174" i="1"/>
  <c r="L174" i="1"/>
  <c r="M175" i="1"/>
  <c r="A176" i="1"/>
  <c r="A74" i="1"/>
  <c r="M73" i="1"/>
  <c r="M815" i="1" l="1"/>
  <c r="G816" i="1"/>
  <c r="M651" i="1"/>
  <c r="G652" i="1"/>
  <c r="C416" i="1"/>
  <c r="L416" i="1"/>
  <c r="I415" i="1"/>
  <c r="K415" i="1"/>
  <c r="G418" i="1"/>
  <c r="M417" i="1"/>
  <c r="M176" i="1"/>
  <c r="A177" i="1"/>
  <c r="L175" i="1"/>
  <c r="C175" i="1"/>
  <c r="I174" i="1"/>
  <c r="K174" i="1"/>
  <c r="A75" i="1"/>
  <c r="M74" i="1"/>
  <c r="G817" i="1" l="1"/>
  <c r="M816" i="1"/>
  <c r="G653" i="1"/>
  <c r="M652" i="1"/>
  <c r="I416" i="1"/>
  <c r="K416" i="1"/>
  <c r="C417" i="1"/>
  <c r="L417" i="1"/>
  <c r="G419" i="1"/>
  <c r="M418" i="1"/>
  <c r="C176" i="1"/>
  <c r="L176" i="1"/>
  <c r="M177" i="1"/>
  <c r="A178" i="1"/>
  <c r="I175" i="1"/>
  <c r="K175" i="1"/>
  <c r="M75" i="1"/>
  <c r="A76" i="1"/>
  <c r="M817" i="1" l="1"/>
  <c r="G818" i="1"/>
  <c r="M653" i="1"/>
  <c r="G654" i="1"/>
  <c r="C418" i="1"/>
  <c r="L418" i="1"/>
  <c r="I417" i="1"/>
  <c r="K417" i="1"/>
  <c r="M419" i="1"/>
  <c r="G420" i="1"/>
  <c r="M178" i="1"/>
  <c r="A179" i="1"/>
  <c r="I176" i="1"/>
  <c r="K176" i="1"/>
  <c r="C177" i="1"/>
  <c r="L177" i="1"/>
  <c r="M76" i="1"/>
  <c r="A77" i="1"/>
  <c r="M818" i="1" l="1"/>
  <c r="G819" i="1"/>
  <c r="M654" i="1"/>
  <c r="G655" i="1"/>
  <c r="C419" i="1"/>
  <c r="L419" i="1"/>
  <c r="K418" i="1"/>
  <c r="I418" i="1"/>
  <c r="M420" i="1"/>
  <c r="G421" i="1"/>
  <c r="L178" i="1"/>
  <c r="C178" i="1"/>
  <c r="I177" i="1"/>
  <c r="K177" i="1"/>
  <c r="M179" i="1"/>
  <c r="A180" i="1"/>
  <c r="M77" i="1"/>
  <c r="A78" i="1"/>
  <c r="G820" i="1" l="1"/>
  <c r="M819" i="1"/>
  <c r="M655" i="1"/>
  <c r="G656" i="1"/>
  <c r="C420" i="1"/>
  <c r="L420" i="1"/>
  <c r="I419" i="1"/>
  <c r="K419" i="1"/>
  <c r="G422" i="1"/>
  <c r="M421" i="1"/>
  <c r="A181" i="1"/>
  <c r="M180" i="1"/>
  <c r="I178" i="1"/>
  <c r="K178" i="1"/>
  <c r="C179" i="1"/>
  <c r="L179" i="1"/>
  <c r="M78" i="1"/>
  <c r="A79" i="1"/>
  <c r="M820" i="1" l="1"/>
  <c r="G821" i="1"/>
  <c r="M656" i="1"/>
  <c r="G657" i="1"/>
  <c r="K420" i="1"/>
  <c r="I420" i="1"/>
  <c r="C421" i="1"/>
  <c r="L421" i="1"/>
  <c r="M422" i="1"/>
  <c r="G423" i="1"/>
  <c r="L180" i="1"/>
  <c r="C180" i="1"/>
  <c r="I179" i="1"/>
  <c r="K179" i="1"/>
  <c r="A182" i="1"/>
  <c r="M181" i="1"/>
  <c r="M79" i="1"/>
  <c r="A80" i="1"/>
  <c r="M821" i="1" l="1"/>
  <c r="G822" i="1"/>
  <c r="G658" i="1"/>
  <c r="M657" i="1"/>
  <c r="C422" i="1"/>
  <c r="L422" i="1"/>
  <c r="K421" i="1"/>
  <c r="I421" i="1"/>
  <c r="M423" i="1"/>
  <c r="G424" i="1"/>
  <c r="A183" i="1"/>
  <c r="M182" i="1"/>
  <c r="C181" i="1"/>
  <c r="L181" i="1"/>
  <c r="I180" i="1"/>
  <c r="K180" i="1"/>
  <c r="M80" i="1"/>
  <c r="A81" i="1"/>
  <c r="M822" i="1" l="1"/>
  <c r="G823" i="1"/>
  <c r="M658" i="1"/>
  <c r="G659" i="1"/>
  <c r="C423" i="1"/>
  <c r="L423" i="1"/>
  <c r="K422" i="1"/>
  <c r="I422" i="1"/>
  <c r="M424" i="1"/>
  <c r="G425" i="1"/>
  <c r="L182" i="1"/>
  <c r="C182" i="1"/>
  <c r="I181" i="1"/>
  <c r="K181" i="1"/>
  <c r="M183" i="1"/>
  <c r="A184" i="1"/>
  <c r="M81" i="1"/>
  <c r="A82" i="1"/>
  <c r="G824" i="1" l="1"/>
  <c r="M823" i="1"/>
  <c r="M659" i="1"/>
  <c r="G660" i="1"/>
  <c r="C424" i="1"/>
  <c r="L424" i="1"/>
  <c r="I423" i="1"/>
  <c r="K423" i="1"/>
  <c r="G426" i="1"/>
  <c r="M425" i="1"/>
  <c r="A185" i="1"/>
  <c r="M184" i="1"/>
  <c r="C183" i="1"/>
  <c r="L183" i="1"/>
  <c r="K182" i="1"/>
  <c r="I182" i="1"/>
  <c r="M82" i="1"/>
  <c r="A83" i="1"/>
  <c r="G825" i="1" l="1"/>
  <c r="M824" i="1"/>
  <c r="G661" i="1"/>
  <c r="M660" i="1"/>
  <c r="I424" i="1"/>
  <c r="K424" i="1"/>
  <c r="C425" i="1"/>
  <c r="L425" i="1"/>
  <c r="M426" i="1"/>
  <c r="G427" i="1"/>
  <c r="C184" i="1"/>
  <c r="L184" i="1"/>
  <c r="I183" i="1"/>
  <c r="K183" i="1"/>
  <c r="M185" i="1"/>
  <c r="A186" i="1"/>
  <c r="M83" i="1"/>
  <c r="A84" i="1"/>
  <c r="M825" i="1" l="1"/>
  <c r="G826" i="1"/>
  <c r="M661" i="1"/>
  <c r="G662" i="1"/>
  <c r="C426" i="1"/>
  <c r="L426" i="1"/>
  <c r="I425" i="1"/>
  <c r="K425" i="1"/>
  <c r="G428" i="1"/>
  <c r="M427" i="1"/>
  <c r="M186" i="1"/>
  <c r="A187" i="1"/>
  <c r="I184" i="1"/>
  <c r="K184" i="1"/>
  <c r="C185" i="1"/>
  <c r="L185" i="1"/>
  <c r="M84" i="1"/>
  <c r="A85" i="1"/>
  <c r="G827" i="1" l="1"/>
  <c r="M826" i="1"/>
  <c r="G663" i="1"/>
  <c r="M662" i="1"/>
  <c r="I426" i="1"/>
  <c r="K426" i="1"/>
  <c r="C427" i="1"/>
  <c r="L427" i="1"/>
  <c r="M428" i="1"/>
  <c r="G429" i="1"/>
  <c r="C186" i="1"/>
  <c r="L186" i="1"/>
  <c r="K185" i="1"/>
  <c r="I185" i="1"/>
  <c r="M187" i="1"/>
  <c r="A188" i="1"/>
  <c r="M85" i="1"/>
  <c r="A86" i="1"/>
  <c r="M827" i="1" l="1"/>
  <c r="G828" i="1"/>
  <c r="M663" i="1"/>
  <c r="G664" i="1"/>
  <c r="C428" i="1"/>
  <c r="L428" i="1"/>
  <c r="K427" i="1"/>
  <c r="I427" i="1"/>
  <c r="M429" i="1"/>
  <c r="G430" i="1"/>
  <c r="A189" i="1"/>
  <c r="M188" i="1"/>
  <c r="I186" i="1"/>
  <c r="K186" i="1"/>
  <c r="C187" i="1"/>
  <c r="L187" i="1"/>
  <c r="M86" i="1"/>
  <c r="A87" i="1"/>
  <c r="G829" i="1" l="1"/>
  <c r="M828" i="1"/>
  <c r="G665" i="1"/>
  <c r="M664" i="1"/>
  <c r="C429" i="1"/>
  <c r="L429" i="1"/>
  <c r="K428" i="1"/>
  <c r="I428" i="1"/>
  <c r="G431" i="1"/>
  <c r="M430" i="1"/>
  <c r="C188" i="1"/>
  <c r="L188" i="1"/>
  <c r="K187" i="1"/>
  <c r="I187" i="1"/>
  <c r="M189" i="1"/>
  <c r="A190" i="1"/>
  <c r="M87" i="1"/>
  <c r="A88" i="1"/>
  <c r="M829" i="1" l="1"/>
  <c r="G830" i="1"/>
  <c r="M665" i="1"/>
  <c r="G666" i="1"/>
  <c r="C430" i="1"/>
  <c r="L430" i="1"/>
  <c r="K429" i="1"/>
  <c r="I429" i="1"/>
  <c r="M431" i="1"/>
  <c r="G432" i="1"/>
  <c r="M190" i="1"/>
  <c r="A191" i="1"/>
  <c r="L189" i="1"/>
  <c r="C189" i="1"/>
  <c r="K188" i="1"/>
  <c r="I188" i="1"/>
  <c r="M88" i="1"/>
  <c r="A89" i="1"/>
  <c r="M830" i="1" l="1"/>
  <c r="G831" i="1"/>
  <c r="M666" i="1"/>
  <c r="G667" i="1"/>
  <c r="C431" i="1"/>
  <c r="L431" i="1"/>
  <c r="K430" i="1"/>
  <c r="I430" i="1"/>
  <c r="G433" i="1"/>
  <c r="M432" i="1"/>
  <c r="M191" i="1"/>
  <c r="A192" i="1"/>
  <c r="C190" i="1"/>
  <c r="L190" i="1"/>
  <c r="I189" i="1"/>
  <c r="K189" i="1"/>
  <c r="M89" i="1"/>
  <c r="A90" i="1"/>
  <c r="G832" i="1" l="1"/>
  <c r="M831" i="1"/>
  <c r="G668" i="1"/>
  <c r="M667" i="1"/>
  <c r="C432" i="1"/>
  <c r="L432" i="1"/>
  <c r="I431" i="1"/>
  <c r="K431" i="1"/>
  <c r="M433" i="1"/>
  <c r="G434" i="1"/>
  <c r="L191" i="1"/>
  <c r="C191" i="1"/>
  <c r="M192" i="1"/>
  <c r="A193" i="1"/>
  <c r="I190" i="1"/>
  <c r="K190" i="1"/>
  <c r="M90" i="1"/>
  <c r="A91" i="1"/>
  <c r="M832" i="1" l="1"/>
  <c r="G833" i="1"/>
  <c r="M668" i="1"/>
  <c r="G669" i="1"/>
  <c r="C433" i="1"/>
  <c r="L433" i="1"/>
  <c r="I432" i="1"/>
  <c r="K432" i="1"/>
  <c r="G435" i="1"/>
  <c r="M434" i="1"/>
  <c r="A194" i="1"/>
  <c r="M193" i="1"/>
  <c r="I191" i="1"/>
  <c r="K191" i="1"/>
  <c r="C192" i="1"/>
  <c r="L192" i="1"/>
  <c r="M91" i="1"/>
  <c r="A92" i="1"/>
  <c r="M833" i="1" l="1"/>
  <c r="G834" i="1"/>
  <c r="M669" i="1"/>
  <c r="G670" i="1"/>
  <c r="I433" i="1"/>
  <c r="K433" i="1"/>
  <c r="C434" i="1"/>
  <c r="L434" i="1"/>
  <c r="M435" i="1"/>
  <c r="G436" i="1"/>
  <c r="L193" i="1"/>
  <c r="C193" i="1"/>
  <c r="I192" i="1"/>
  <c r="K192" i="1"/>
  <c r="A195" i="1"/>
  <c r="M194" i="1"/>
  <c r="M92" i="1"/>
  <c r="A93" i="1"/>
  <c r="M834" i="1" l="1"/>
  <c r="G835" i="1"/>
  <c r="M670" i="1"/>
  <c r="G671" i="1"/>
  <c r="C435" i="1"/>
  <c r="L435" i="1"/>
  <c r="I434" i="1"/>
  <c r="K434" i="1"/>
  <c r="G437" i="1"/>
  <c r="M436" i="1"/>
  <c r="A196" i="1"/>
  <c r="M195" i="1"/>
  <c r="K193" i="1"/>
  <c r="I193" i="1"/>
  <c r="C194" i="1"/>
  <c r="L194" i="1"/>
  <c r="M93" i="1"/>
  <c r="A94" i="1"/>
  <c r="M835" i="1" l="1"/>
  <c r="G836" i="1"/>
  <c r="M671" i="1"/>
  <c r="G672" i="1"/>
  <c r="C436" i="1"/>
  <c r="L436" i="1"/>
  <c r="I435" i="1"/>
  <c r="K435" i="1"/>
  <c r="M437" i="1"/>
  <c r="G438" i="1"/>
  <c r="L195" i="1"/>
  <c r="C195" i="1"/>
  <c r="I194" i="1"/>
  <c r="K194" i="1"/>
  <c r="M196" i="1"/>
  <c r="A197" i="1"/>
  <c r="A95" i="1"/>
  <c r="M94" i="1"/>
  <c r="G837" i="1" l="1"/>
  <c r="M836" i="1"/>
  <c r="G673" i="1"/>
  <c r="M672" i="1"/>
  <c r="I436" i="1"/>
  <c r="K436" i="1"/>
  <c r="C437" i="1"/>
  <c r="L437" i="1"/>
  <c r="M438" i="1"/>
  <c r="G439" i="1"/>
  <c r="A198" i="1"/>
  <c r="M197" i="1"/>
  <c r="I195" i="1"/>
  <c r="K195" i="1"/>
  <c r="C196" i="1"/>
  <c r="L196" i="1"/>
  <c r="A96" i="1"/>
  <c r="M95" i="1"/>
  <c r="M837" i="1" l="1"/>
  <c r="G838" i="1"/>
  <c r="M673" i="1"/>
  <c r="G674" i="1"/>
  <c r="K437" i="1"/>
  <c r="I437" i="1"/>
  <c r="C438" i="1"/>
  <c r="L438" i="1"/>
  <c r="M439" i="1"/>
  <c r="G440" i="1"/>
  <c r="L197" i="1"/>
  <c r="C197" i="1"/>
  <c r="I196" i="1"/>
  <c r="K196" i="1"/>
  <c r="M198" i="1"/>
  <c r="A199" i="1"/>
  <c r="A97" i="1"/>
  <c r="M96" i="1"/>
  <c r="G839" i="1" l="1"/>
  <c r="M838" i="1"/>
  <c r="G675" i="1"/>
  <c r="M674" i="1"/>
  <c r="C439" i="1"/>
  <c r="L439" i="1"/>
  <c r="I438" i="1"/>
  <c r="K438" i="1"/>
  <c r="G441" i="1"/>
  <c r="M440" i="1"/>
  <c r="A200" i="1"/>
  <c r="M199" i="1"/>
  <c r="K197" i="1"/>
  <c r="I197" i="1"/>
  <c r="C198" i="1"/>
  <c r="L198" i="1"/>
  <c r="A98" i="1"/>
  <c r="M97" i="1"/>
  <c r="M839" i="1" l="1"/>
  <c r="G840" i="1"/>
  <c r="M675" i="1"/>
  <c r="G676" i="1"/>
  <c r="C440" i="1"/>
  <c r="L440" i="1"/>
  <c r="I439" i="1"/>
  <c r="K439" i="1"/>
  <c r="G442" i="1"/>
  <c r="M441" i="1"/>
  <c r="I198" i="1"/>
  <c r="K198" i="1"/>
  <c r="C199" i="1"/>
  <c r="L199" i="1"/>
  <c r="M200" i="1"/>
  <c r="A201" i="1"/>
  <c r="A99" i="1"/>
  <c r="M98" i="1"/>
  <c r="M840" i="1" l="1"/>
  <c r="G841" i="1"/>
  <c r="G677" i="1"/>
  <c r="M676" i="1"/>
  <c r="K440" i="1"/>
  <c r="I440" i="1"/>
  <c r="C441" i="1"/>
  <c r="L441" i="1"/>
  <c r="M442" i="1"/>
  <c r="G443" i="1"/>
  <c r="M201" i="1"/>
  <c r="A202" i="1"/>
  <c r="I199" i="1"/>
  <c r="K199" i="1"/>
  <c r="C200" i="1"/>
  <c r="L200" i="1"/>
  <c r="A100" i="1"/>
  <c r="M99" i="1"/>
  <c r="M841" i="1" l="1"/>
  <c r="G842" i="1"/>
  <c r="M677" i="1"/>
  <c r="G678" i="1"/>
  <c r="C442" i="1"/>
  <c r="L442" i="1"/>
  <c r="I441" i="1"/>
  <c r="K441" i="1"/>
  <c r="G444" i="1"/>
  <c r="M443" i="1"/>
  <c r="I200" i="1"/>
  <c r="K200" i="1"/>
  <c r="L201" i="1"/>
  <c r="C201" i="1"/>
  <c r="M202" i="1"/>
  <c r="A203" i="1"/>
  <c r="A101" i="1"/>
  <c r="M100" i="1"/>
  <c r="M842" i="1" l="1"/>
  <c r="G843" i="1"/>
  <c r="M678" i="1"/>
  <c r="G679" i="1"/>
  <c r="I442" i="1"/>
  <c r="K442" i="1"/>
  <c r="C443" i="1"/>
  <c r="L443" i="1"/>
  <c r="M444" i="1"/>
  <c r="G445" i="1"/>
  <c r="A204" i="1"/>
  <c r="M203" i="1"/>
  <c r="I201" i="1"/>
  <c r="K201" i="1"/>
  <c r="C202" i="1"/>
  <c r="L202" i="1"/>
  <c r="M101" i="1"/>
  <c r="G844" i="1" l="1"/>
  <c r="M843" i="1"/>
  <c r="G680" i="1"/>
  <c r="M679" i="1"/>
  <c r="C444" i="1"/>
  <c r="L444" i="1"/>
  <c r="I443" i="1"/>
  <c r="K443" i="1"/>
  <c r="G446" i="1"/>
  <c r="M445" i="1"/>
  <c r="C203" i="1"/>
  <c r="L203" i="1"/>
  <c r="I202" i="1"/>
  <c r="K202" i="1"/>
  <c r="M204" i="1"/>
  <c r="A205" i="1"/>
  <c r="M844" i="1" l="1"/>
  <c r="G845" i="1"/>
  <c r="M680" i="1"/>
  <c r="G681" i="1"/>
  <c r="C445" i="1"/>
  <c r="L445" i="1"/>
  <c r="K444" i="1"/>
  <c r="I444" i="1"/>
  <c r="M446" i="1"/>
  <c r="G447" i="1"/>
  <c r="M205" i="1"/>
  <c r="A206" i="1"/>
  <c r="L204" i="1"/>
  <c r="C204" i="1"/>
  <c r="I203" i="1"/>
  <c r="K203" i="1"/>
  <c r="M845" i="1" l="1"/>
  <c r="G846" i="1"/>
  <c r="G682" i="1"/>
  <c r="M681" i="1"/>
  <c r="I445" i="1"/>
  <c r="K445" i="1"/>
  <c r="C446" i="1"/>
  <c r="L446" i="1"/>
  <c r="G448" i="1"/>
  <c r="M447" i="1"/>
  <c r="C205" i="1"/>
  <c r="L205" i="1"/>
  <c r="A207" i="1"/>
  <c r="M206" i="1"/>
  <c r="I204" i="1"/>
  <c r="K204" i="1"/>
  <c r="M846" i="1" l="1"/>
  <c r="G847" i="1"/>
  <c r="M682" i="1"/>
  <c r="G683" i="1"/>
  <c r="C447" i="1"/>
  <c r="L447" i="1"/>
  <c r="I446" i="1"/>
  <c r="K446" i="1"/>
  <c r="M448" i="1"/>
  <c r="G449" i="1"/>
  <c r="M207" i="1"/>
  <c r="A208" i="1"/>
  <c r="L206" i="1"/>
  <c r="C206" i="1"/>
  <c r="K205" i="1"/>
  <c r="I205" i="1"/>
  <c r="G848" i="1" l="1"/>
  <c r="M847" i="1"/>
  <c r="M683" i="1"/>
  <c r="G684" i="1"/>
  <c r="C448" i="1"/>
  <c r="L448" i="1"/>
  <c r="I447" i="1"/>
  <c r="K447" i="1"/>
  <c r="M449" i="1"/>
  <c r="G450" i="1"/>
  <c r="K206" i="1"/>
  <c r="I206" i="1"/>
  <c r="A209" i="1"/>
  <c r="M208" i="1"/>
  <c r="C207" i="1"/>
  <c r="L207" i="1"/>
  <c r="G849" i="1" l="1"/>
  <c r="M848" i="1"/>
  <c r="G685" i="1"/>
  <c r="M684" i="1"/>
  <c r="C449" i="1"/>
  <c r="L449" i="1"/>
  <c r="I448" i="1"/>
  <c r="K448" i="1"/>
  <c r="M450" i="1"/>
  <c r="G451" i="1"/>
  <c r="C208" i="1"/>
  <c r="L208" i="1"/>
  <c r="I207" i="1"/>
  <c r="K207" i="1"/>
  <c r="M209" i="1"/>
  <c r="A210" i="1"/>
  <c r="M849" i="1" l="1"/>
  <c r="G850" i="1"/>
  <c r="M685" i="1"/>
  <c r="G686" i="1"/>
  <c r="I449" i="1"/>
  <c r="K449" i="1"/>
  <c r="C450" i="1"/>
  <c r="L450" i="1"/>
  <c r="G452" i="1"/>
  <c r="M451" i="1"/>
  <c r="M210" i="1"/>
  <c r="A211" i="1"/>
  <c r="I208" i="1"/>
  <c r="K208" i="1"/>
  <c r="C209" i="1"/>
  <c r="L209" i="1"/>
  <c r="G851" i="1" l="1"/>
  <c r="M850" i="1"/>
  <c r="G687" i="1"/>
  <c r="M686" i="1"/>
  <c r="I450" i="1"/>
  <c r="K450" i="1"/>
  <c r="C451" i="1"/>
  <c r="L451" i="1"/>
  <c r="M452" i="1"/>
  <c r="G453" i="1"/>
  <c r="C210" i="1"/>
  <c r="L210" i="1"/>
  <c r="M211" i="1"/>
  <c r="A212" i="1"/>
  <c r="I209" i="1"/>
  <c r="K209" i="1"/>
  <c r="M851" i="1" l="1"/>
  <c r="G852" i="1"/>
  <c r="M687" i="1"/>
  <c r="G688" i="1"/>
  <c r="C452" i="1"/>
  <c r="L452" i="1"/>
  <c r="I451" i="1"/>
  <c r="K451" i="1"/>
  <c r="M453" i="1"/>
  <c r="G454" i="1"/>
  <c r="A213" i="1"/>
  <c r="M212" i="1"/>
  <c r="I210" i="1"/>
  <c r="K210" i="1"/>
  <c r="C211" i="1"/>
  <c r="L211" i="1"/>
  <c r="G853" i="1" l="1"/>
  <c r="M852" i="1"/>
  <c r="M688" i="1"/>
  <c r="G689" i="1"/>
  <c r="K452" i="1"/>
  <c r="I452" i="1"/>
  <c r="C453" i="1"/>
  <c r="L453" i="1"/>
  <c r="G455" i="1"/>
  <c r="M454" i="1"/>
  <c r="L212" i="1"/>
  <c r="C212" i="1"/>
  <c r="I211" i="1"/>
  <c r="K211" i="1"/>
  <c r="M213" i="1"/>
  <c r="A214" i="1"/>
  <c r="M853" i="1" l="1"/>
  <c r="G854" i="1"/>
  <c r="M689" i="1"/>
  <c r="G690" i="1"/>
  <c r="C454" i="1"/>
  <c r="L454" i="1"/>
  <c r="K453" i="1"/>
  <c r="I453" i="1"/>
  <c r="M455" i="1"/>
  <c r="G456" i="1"/>
  <c r="M214" i="1"/>
  <c r="A215" i="1"/>
  <c r="L213" i="1"/>
  <c r="C213" i="1"/>
  <c r="K212" i="1"/>
  <c r="I212" i="1"/>
  <c r="M854" i="1" l="1"/>
  <c r="G855" i="1"/>
  <c r="M690" i="1"/>
  <c r="G691" i="1"/>
  <c r="C455" i="1"/>
  <c r="L455" i="1"/>
  <c r="I454" i="1"/>
  <c r="K454" i="1"/>
  <c r="M456" i="1"/>
  <c r="G457" i="1"/>
  <c r="M215" i="1"/>
  <c r="A216" i="1"/>
  <c r="C214" i="1"/>
  <c r="L214" i="1"/>
  <c r="I213" i="1"/>
  <c r="K213" i="1"/>
  <c r="G856" i="1" l="1"/>
  <c r="M855" i="1"/>
  <c r="G692" i="1"/>
  <c r="M691" i="1"/>
  <c r="C456" i="1"/>
  <c r="L456" i="1"/>
  <c r="K455" i="1"/>
  <c r="I455" i="1"/>
  <c r="G458" i="1"/>
  <c r="M457" i="1"/>
  <c r="L215" i="1"/>
  <c r="C215" i="1"/>
  <c r="I214" i="1"/>
  <c r="K214" i="1"/>
  <c r="M216" i="1"/>
  <c r="A217" i="1"/>
  <c r="M856" i="1" l="1"/>
  <c r="G857" i="1"/>
  <c r="M692" i="1"/>
  <c r="G693" i="1"/>
  <c r="C457" i="1"/>
  <c r="L457" i="1"/>
  <c r="K456" i="1"/>
  <c r="I456" i="1"/>
  <c r="G459" i="1"/>
  <c r="M458" i="1"/>
  <c r="A218" i="1"/>
  <c r="M217" i="1"/>
  <c r="I215" i="1"/>
  <c r="K215" i="1"/>
  <c r="C216" i="1"/>
  <c r="L216" i="1"/>
  <c r="M857" i="1" l="1"/>
  <c r="G858" i="1"/>
  <c r="G694" i="1"/>
  <c r="M693" i="1"/>
  <c r="K457" i="1"/>
  <c r="I457" i="1"/>
  <c r="C458" i="1"/>
  <c r="L458" i="1"/>
  <c r="G460" i="1"/>
  <c r="M459" i="1"/>
  <c r="L217" i="1"/>
  <c r="C217" i="1"/>
  <c r="I216" i="1"/>
  <c r="K216" i="1"/>
  <c r="A219" i="1"/>
  <c r="M218" i="1"/>
  <c r="M858" i="1" l="1"/>
  <c r="G859" i="1"/>
  <c r="M694" i="1"/>
  <c r="G695" i="1"/>
  <c r="C459" i="1"/>
  <c r="L459" i="1"/>
  <c r="I458" i="1"/>
  <c r="K458" i="1"/>
  <c r="M460" i="1"/>
  <c r="G461" i="1"/>
  <c r="A220" i="1"/>
  <c r="M219" i="1"/>
  <c r="K217" i="1"/>
  <c r="I217" i="1"/>
  <c r="L218" i="1"/>
  <c r="C218" i="1"/>
  <c r="G860" i="1" l="1"/>
  <c r="M859" i="1"/>
  <c r="M695" i="1"/>
  <c r="G696" i="1"/>
  <c r="C460" i="1"/>
  <c r="L460" i="1"/>
  <c r="K459" i="1"/>
  <c r="I459" i="1"/>
  <c r="M461" i="1"/>
  <c r="G462" i="1"/>
  <c r="K218" i="1"/>
  <c r="I218" i="1"/>
  <c r="L219" i="1"/>
  <c r="C219" i="1"/>
  <c r="A221" i="1"/>
  <c r="M220" i="1"/>
  <c r="G861" i="1" l="1"/>
  <c r="M860" i="1"/>
  <c r="G697" i="1"/>
  <c r="M696" i="1"/>
  <c r="K460" i="1"/>
  <c r="I460" i="1"/>
  <c r="C461" i="1"/>
  <c r="L461" i="1"/>
  <c r="G463" i="1"/>
  <c r="M462" i="1"/>
  <c r="I219" i="1"/>
  <c r="K219" i="1"/>
  <c r="A222" i="1"/>
  <c r="M221" i="1"/>
  <c r="C220" i="1"/>
  <c r="L220" i="1"/>
  <c r="M861" i="1" l="1"/>
  <c r="G862" i="1"/>
  <c r="M697" i="1"/>
  <c r="G698" i="1"/>
  <c r="K461" i="1"/>
  <c r="I461" i="1"/>
  <c r="C462" i="1"/>
  <c r="L462" i="1"/>
  <c r="M463" i="1"/>
  <c r="G464" i="1"/>
  <c r="L221" i="1"/>
  <c r="C221" i="1"/>
  <c r="I220" i="1"/>
  <c r="K220" i="1"/>
  <c r="M222" i="1"/>
  <c r="A223" i="1"/>
  <c r="G863" i="1" l="1"/>
  <c r="M862" i="1"/>
  <c r="G699" i="1"/>
  <c r="M698" i="1"/>
  <c r="C463" i="1"/>
  <c r="L463" i="1"/>
  <c r="I462" i="1"/>
  <c r="K462" i="1"/>
  <c r="G465" i="1"/>
  <c r="M464" i="1"/>
  <c r="M223" i="1"/>
  <c r="A224" i="1"/>
  <c r="I221" i="1"/>
  <c r="K221" i="1"/>
  <c r="C222" i="1"/>
  <c r="L222" i="1"/>
  <c r="M863" i="1" l="1"/>
  <c r="G864" i="1"/>
  <c r="M699" i="1"/>
  <c r="G700" i="1"/>
  <c r="C464" i="1"/>
  <c r="L464" i="1"/>
  <c r="I463" i="1"/>
  <c r="K463" i="1"/>
  <c r="G466" i="1"/>
  <c r="M465" i="1"/>
  <c r="C223" i="1"/>
  <c r="L223" i="1"/>
  <c r="M224" i="1"/>
  <c r="A225" i="1"/>
  <c r="I222" i="1"/>
  <c r="K222" i="1"/>
  <c r="G865" i="1" l="1"/>
  <c r="M864" i="1"/>
  <c r="G701" i="1"/>
  <c r="M700" i="1"/>
  <c r="C465" i="1"/>
  <c r="L465" i="1"/>
  <c r="I464" i="1"/>
  <c r="K464" i="1"/>
  <c r="M466" i="1"/>
  <c r="G467" i="1"/>
  <c r="M225" i="1"/>
  <c r="A226" i="1"/>
  <c r="I223" i="1"/>
  <c r="K223" i="1"/>
  <c r="C224" i="1"/>
  <c r="L224" i="1"/>
  <c r="M865" i="1" l="1"/>
  <c r="G866" i="1"/>
  <c r="M701" i="1"/>
  <c r="G702" i="1"/>
  <c r="K465" i="1"/>
  <c r="I465" i="1"/>
  <c r="C466" i="1"/>
  <c r="L466" i="1"/>
  <c r="G468" i="1"/>
  <c r="M467" i="1"/>
  <c r="I224" i="1"/>
  <c r="K224" i="1"/>
  <c r="M226" i="1"/>
  <c r="A227" i="1"/>
  <c r="C225" i="1"/>
  <c r="L225" i="1"/>
  <c r="M866" i="1" l="1"/>
  <c r="G867" i="1"/>
  <c r="M702" i="1"/>
  <c r="G703" i="1"/>
  <c r="C467" i="1"/>
  <c r="L467" i="1"/>
  <c r="I466" i="1"/>
  <c r="K466" i="1"/>
  <c r="G469" i="1"/>
  <c r="M468" i="1"/>
  <c r="A228" i="1"/>
  <c r="M227" i="1"/>
  <c r="L226" i="1"/>
  <c r="C226" i="1"/>
  <c r="I225" i="1"/>
  <c r="K225" i="1"/>
  <c r="G868" i="1" l="1"/>
  <c r="M867" i="1"/>
  <c r="G704" i="1"/>
  <c r="M703" i="1"/>
  <c r="I467" i="1"/>
  <c r="K467" i="1"/>
  <c r="C468" i="1"/>
  <c r="L468" i="1"/>
  <c r="G470" i="1"/>
  <c r="M469" i="1"/>
  <c r="I226" i="1"/>
  <c r="K226" i="1"/>
  <c r="C227" i="1"/>
  <c r="L227" i="1"/>
  <c r="M228" i="1"/>
  <c r="A229" i="1"/>
  <c r="M868" i="1" l="1"/>
  <c r="G869" i="1"/>
  <c r="M704" i="1"/>
  <c r="G705" i="1"/>
  <c r="K468" i="1"/>
  <c r="I468" i="1"/>
  <c r="C469" i="1"/>
  <c r="L469" i="1"/>
  <c r="M470" i="1"/>
  <c r="G471" i="1"/>
  <c r="M229" i="1"/>
  <c r="A230" i="1"/>
  <c r="L228" i="1"/>
  <c r="C228" i="1"/>
  <c r="K227" i="1"/>
  <c r="I227" i="1"/>
  <c r="M869" i="1" l="1"/>
  <c r="G870" i="1"/>
  <c r="M705" i="1"/>
  <c r="G706" i="1"/>
  <c r="K469" i="1"/>
  <c r="I469" i="1"/>
  <c r="C470" i="1"/>
  <c r="L470" i="1"/>
  <c r="G472" i="1"/>
  <c r="M471" i="1"/>
  <c r="C229" i="1"/>
  <c r="L229" i="1"/>
  <c r="I228" i="1"/>
  <c r="K228" i="1"/>
  <c r="A231" i="1"/>
  <c r="M230" i="1"/>
  <c r="M870" i="1" l="1"/>
  <c r="G871" i="1"/>
  <c r="M706" i="1"/>
  <c r="G707" i="1"/>
  <c r="K470" i="1"/>
  <c r="I470" i="1"/>
  <c r="C471" i="1"/>
  <c r="L471" i="1"/>
  <c r="M472" i="1"/>
  <c r="G473" i="1"/>
  <c r="M231" i="1"/>
  <c r="A232" i="1"/>
  <c r="L230" i="1"/>
  <c r="C230" i="1"/>
  <c r="I229" i="1"/>
  <c r="K229" i="1"/>
  <c r="G872" i="1" l="1"/>
  <c r="M871" i="1"/>
  <c r="M707" i="1"/>
  <c r="G708" i="1"/>
  <c r="K471" i="1"/>
  <c r="I471" i="1"/>
  <c r="C472" i="1"/>
  <c r="L472" i="1"/>
  <c r="G474" i="1"/>
  <c r="M473" i="1"/>
  <c r="K230" i="1"/>
  <c r="I230" i="1"/>
  <c r="A233" i="1"/>
  <c r="M232" i="1"/>
  <c r="C231" i="1"/>
  <c r="L231" i="1"/>
  <c r="G873" i="1" l="1"/>
  <c r="M872" i="1"/>
  <c r="G709" i="1"/>
  <c r="M708" i="1"/>
  <c r="K472" i="1"/>
  <c r="I472" i="1"/>
  <c r="C473" i="1"/>
  <c r="L473" i="1"/>
  <c r="M474" i="1"/>
  <c r="G475" i="1"/>
  <c r="C232" i="1"/>
  <c r="L232" i="1"/>
  <c r="I231" i="1"/>
  <c r="K231" i="1"/>
  <c r="M233" i="1"/>
  <c r="A234" i="1"/>
  <c r="M873" i="1" l="1"/>
  <c r="G874" i="1"/>
  <c r="M709" i="1"/>
  <c r="G710" i="1"/>
  <c r="K473" i="1"/>
  <c r="I473" i="1"/>
  <c r="C474" i="1"/>
  <c r="L474" i="1"/>
  <c r="G476" i="1"/>
  <c r="M475" i="1"/>
  <c r="M234" i="1"/>
  <c r="A235" i="1"/>
  <c r="I232" i="1"/>
  <c r="K232" i="1"/>
  <c r="C233" i="1"/>
  <c r="L233" i="1"/>
  <c r="G875" i="1" l="1"/>
  <c r="M874" i="1"/>
  <c r="G711" i="1"/>
  <c r="M710" i="1"/>
  <c r="K474" i="1"/>
  <c r="I474" i="1"/>
  <c r="C475" i="1"/>
  <c r="L475" i="1"/>
  <c r="M476" i="1"/>
  <c r="G477" i="1"/>
  <c r="C234" i="1"/>
  <c r="L234" i="1"/>
  <c r="M235" i="1"/>
  <c r="A236" i="1"/>
  <c r="K233" i="1"/>
  <c r="I233" i="1"/>
  <c r="M875" i="1" l="1"/>
  <c r="G876" i="1"/>
  <c r="M711" i="1"/>
  <c r="G712" i="1"/>
  <c r="C476" i="1"/>
  <c r="L476" i="1"/>
  <c r="K475" i="1"/>
  <c r="I475" i="1"/>
  <c r="G478" i="1"/>
  <c r="M477" i="1"/>
  <c r="M236" i="1"/>
  <c r="A237" i="1"/>
  <c r="I234" i="1"/>
  <c r="K234" i="1"/>
  <c r="C235" i="1"/>
  <c r="L235" i="1"/>
  <c r="G877" i="1" l="1"/>
  <c r="M876" i="1"/>
  <c r="M712" i="1"/>
  <c r="G713" i="1"/>
  <c r="K476" i="1"/>
  <c r="I476" i="1"/>
  <c r="C477" i="1"/>
  <c r="L477" i="1"/>
  <c r="G479" i="1"/>
  <c r="M478" i="1"/>
  <c r="L236" i="1"/>
  <c r="C236" i="1"/>
  <c r="M237" i="1"/>
  <c r="A238" i="1"/>
  <c r="I235" i="1"/>
  <c r="K235" i="1"/>
  <c r="M877" i="1" l="1"/>
  <c r="G878" i="1"/>
  <c r="M713" i="1"/>
  <c r="G714" i="1"/>
  <c r="I477" i="1"/>
  <c r="K477" i="1"/>
  <c r="C478" i="1"/>
  <c r="L478" i="1"/>
  <c r="M479" i="1"/>
  <c r="G480" i="1"/>
  <c r="A239" i="1"/>
  <c r="M238" i="1"/>
  <c r="L237" i="1"/>
  <c r="C237" i="1"/>
  <c r="I236" i="1"/>
  <c r="K236" i="1"/>
  <c r="M878" i="1" l="1"/>
  <c r="G879" i="1"/>
  <c r="M714" i="1"/>
  <c r="G715" i="1"/>
  <c r="K478" i="1"/>
  <c r="I478" i="1"/>
  <c r="C479" i="1"/>
  <c r="L479" i="1"/>
  <c r="G481" i="1"/>
  <c r="M480" i="1"/>
  <c r="C238" i="1"/>
  <c r="L238" i="1"/>
  <c r="I237" i="1"/>
  <c r="K237" i="1"/>
  <c r="M239" i="1"/>
  <c r="A240" i="1"/>
  <c r="G880" i="1" l="1"/>
  <c r="M879" i="1"/>
  <c r="G716" i="1"/>
  <c r="M715" i="1"/>
  <c r="C480" i="1"/>
  <c r="L480" i="1"/>
  <c r="K479" i="1"/>
  <c r="I479" i="1"/>
  <c r="G482" i="1"/>
  <c r="M481" i="1"/>
  <c r="M240" i="1"/>
  <c r="A241" i="1"/>
  <c r="K238" i="1"/>
  <c r="I238" i="1"/>
  <c r="L239" i="1"/>
  <c r="C239" i="1"/>
  <c r="M880" i="1" l="1"/>
  <c r="G881" i="1"/>
  <c r="M716" i="1"/>
  <c r="G717" i="1"/>
  <c r="C481" i="1"/>
  <c r="L481" i="1"/>
  <c r="K480" i="1"/>
  <c r="I480" i="1"/>
  <c r="G483" i="1"/>
  <c r="M482" i="1"/>
  <c r="I239" i="1"/>
  <c r="K239" i="1"/>
  <c r="A242" i="1"/>
  <c r="M241" i="1"/>
  <c r="C240" i="1"/>
  <c r="L240" i="1"/>
  <c r="M881" i="1" l="1"/>
  <c r="G882" i="1"/>
  <c r="G718" i="1"/>
  <c r="M717" i="1"/>
  <c r="I481" i="1"/>
  <c r="K481" i="1"/>
  <c r="C482" i="1"/>
  <c r="L482" i="1"/>
  <c r="G484" i="1"/>
  <c r="M483" i="1"/>
  <c r="L241" i="1"/>
  <c r="C241" i="1"/>
  <c r="I240" i="1"/>
  <c r="K240" i="1"/>
  <c r="M242" i="1"/>
  <c r="A243" i="1"/>
  <c r="M882" i="1" l="1"/>
  <c r="G883" i="1"/>
  <c r="M718" i="1"/>
  <c r="G719" i="1"/>
  <c r="K482" i="1"/>
  <c r="I482" i="1"/>
  <c r="C483" i="1"/>
  <c r="L483" i="1"/>
  <c r="M484" i="1"/>
  <c r="G485" i="1"/>
  <c r="C242" i="1"/>
  <c r="L242" i="1"/>
  <c r="A244" i="1"/>
  <c r="M243" i="1"/>
  <c r="K241" i="1"/>
  <c r="I241" i="1"/>
  <c r="G884" i="1" l="1"/>
  <c r="M883" i="1"/>
  <c r="M719" i="1"/>
  <c r="G720" i="1"/>
  <c r="C484" i="1"/>
  <c r="L484" i="1"/>
  <c r="I483" i="1"/>
  <c r="K483" i="1"/>
  <c r="M485" i="1"/>
  <c r="G486" i="1"/>
  <c r="A245" i="1"/>
  <c r="M244" i="1"/>
  <c r="L243" i="1"/>
  <c r="C243" i="1"/>
  <c r="I242" i="1"/>
  <c r="K242" i="1"/>
  <c r="G885" i="1" l="1"/>
  <c r="M884" i="1"/>
  <c r="G721" i="1"/>
  <c r="M720" i="1"/>
  <c r="I484" i="1"/>
  <c r="K484" i="1"/>
  <c r="C485" i="1"/>
  <c r="L485" i="1"/>
  <c r="G487" i="1"/>
  <c r="M486" i="1"/>
  <c r="K243" i="1"/>
  <c r="I243" i="1"/>
  <c r="C244" i="1"/>
  <c r="L244" i="1"/>
  <c r="A246" i="1"/>
  <c r="M245" i="1"/>
  <c r="M885" i="1" l="1"/>
  <c r="G886" i="1"/>
  <c r="M721" i="1"/>
  <c r="G722" i="1"/>
  <c r="C486" i="1"/>
  <c r="L486" i="1"/>
  <c r="K485" i="1"/>
  <c r="I485" i="1"/>
  <c r="M487" i="1"/>
  <c r="G488" i="1"/>
  <c r="A247" i="1"/>
  <c r="M246" i="1"/>
  <c r="C245" i="1"/>
  <c r="L245" i="1"/>
  <c r="K244" i="1"/>
  <c r="I244" i="1"/>
  <c r="G887" i="1" l="1"/>
  <c r="M886" i="1"/>
  <c r="G723" i="1"/>
  <c r="M722" i="1"/>
  <c r="C487" i="1"/>
  <c r="L487" i="1"/>
  <c r="I486" i="1"/>
  <c r="K486" i="1"/>
  <c r="M488" i="1"/>
  <c r="G489" i="1"/>
  <c r="I245" i="1"/>
  <c r="K245" i="1"/>
  <c r="C246" i="1"/>
  <c r="L246" i="1"/>
  <c r="M247" i="1"/>
  <c r="A248" i="1"/>
  <c r="M887" i="1" l="1"/>
  <c r="G888" i="1"/>
  <c r="M723" i="1"/>
  <c r="G724" i="1"/>
  <c r="C488" i="1"/>
  <c r="L488" i="1"/>
  <c r="I487" i="1"/>
  <c r="K487" i="1"/>
  <c r="M489" i="1"/>
  <c r="G490" i="1"/>
  <c r="M248" i="1"/>
  <c r="A249" i="1"/>
  <c r="L247" i="1"/>
  <c r="C247" i="1"/>
  <c r="I246" i="1"/>
  <c r="K246" i="1"/>
  <c r="M888" i="1" l="1"/>
  <c r="G889" i="1"/>
  <c r="M724" i="1"/>
  <c r="G725" i="1"/>
  <c r="K488" i="1"/>
  <c r="I488" i="1"/>
  <c r="C489" i="1"/>
  <c r="L489" i="1"/>
  <c r="M490" i="1"/>
  <c r="G491" i="1"/>
  <c r="I247" i="1"/>
  <c r="K247" i="1"/>
  <c r="C248" i="1"/>
  <c r="L248" i="1"/>
  <c r="M249" i="1"/>
  <c r="A250" i="1"/>
  <c r="M889" i="1" l="1"/>
  <c r="G890" i="1"/>
  <c r="M725" i="1"/>
  <c r="G726" i="1"/>
  <c r="K489" i="1"/>
  <c r="I489" i="1"/>
  <c r="C490" i="1"/>
  <c r="L490" i="1"/>
  <c r="G492" i="1"/>
  <c r="M491" i="1"/>
  <c r="M250" i="1"/>
  <c r="A251" i="1"/>
  <c r="C249" i="1"/>
  <c r="L249" i="1"/>
  <c r="I248" i="1"/>
  <c r="K248" i="1"/>
  <c r="M890" i="1" l="1"/>
  <c r="G891" i="1"/>
  <c r="M726" i="1"/>
  <c r="G727" i="1"/>
  <c r="K490" i="1"/>
  <c r="I490" i="1"/>
  <c r="C491" i="1"/>
  <c r="L491" i="1"/>
  <c r="M492" i="1"/>
  <c r="G493" i="1"/>
  <c r="L250" i="1"/>
  <c r="C250" i="1"/>
  <c r="M251" i="1"/>
  <c r="A252" i="1"/>
  <c r="I249" i="1"/>
  <c r="K249" i="1"/>
  <c r="G892" i="1" l="1"/>
  <c r="M891" i="1"/>
  <c r="G728" i="1"/>
  <c r="M727" i="1"/>
  <c r="C492" i="1"/>
  <c r="L492" i="1"/>
  <c r="I491" i="1"/>
  <c r="K491" i="1"/>
  <c r="M493" i="1"/>
  <c r="G494" i="1"/>
  <c r="M252" i="1"/>
  <c r="A253" i="1"/>
  <c r="I250" i="1"/>
  <c r="K250" i="1"/>
  <c r="C251" i="1"/>
  <c r="L251" i="1"/>
  <c r="M892" i="1" l="1"/>
  <c r="G893" i="1"/>
  <c r="M728" i="1"/>
  <c r="G729" i="1"/>
  <c r="C493" i="1"/>
  <c r="L493" i="1"/>
  <c r="I492" i="1"/>
  <c r="K492" i="1"/>
  <c r="G495" i="1"/>
  <c r="M494" i="1"/>
  <c r="L252" i="1"/>
  <c r="C252" i="1"/>
  <c r="M253" i="1"/>
  <c r="A254" i="1"/>
  <c r="I251" i="1"/>
  <c r="K251" i="1"/>
  <c r="M893" i="1" l="1"/>
  <c r="G894" i="1"/>
  <c r="G730" i="1"/>
  <c r="M729" i="1"/>
  <c r="C494" i="1"/>
  <c r="L494" i="1"/>
  <c r="I493" i="1"/>
  <c r="K493" i="1"/>
  <c r="M495" i="1"/>
  <c r="G496" i="1"/>
  <c r="A255" i="1"/>
  <c r="M254" i="1"/>
  <c r="I252" i="1"/>
  <c r="K252" i="1"/>
  <c r="C253" i="1"/>
  <c r="L253" i="1"/>
  <c r="M894" i="1" l="1"/>
  <c r="G895" i="1"/>
  <c r="M730" i="1"/>
  <c r="G731" i="1"/>
  <c r="I494" i="1"/>
  <c r="K494" i="1"/>
  <c r="C495" i="1"/>
  <c r="L495" i="1"/>
  <c r="M496" i="1"/>
  <c r="G497" i="1"/>
  <c r="L254" i="1"/>
  <c r="C254" i="1"/>
  <c r="I253" i="1"/>
  <c r="K253" i="1"/>
  <c r="A256" i="1"/>
  <c r="M255" i="1"/>
  <c r="M895" i="1" l="1"/>
  <c r="G896" i="1"/>
  <c r="G732" i="1"/>
  <c r="M731" i="1"/>
  <c r="C496" i="1"/>
  <c r="L496" i="1"/>
  <c r="I495" i="1"/>
  <c r="K495" i="1"/>
  <c r="G498" i="1"/>
  <c r="M497" i="1"/>
  <c r="A257" i="1"/>
  <c r="M256" i="1"/>
  <c r="C255" i="1"/>
  <c r="L255" i="1"/>
  <c r="K254" i="1"/>
  <c r="I254" i="1"/>
  <c r="G897" i="1" l="1"/>
  <c r="M896" i="1"/>
  <c r="G733" i="1"/>
  <c r="M732" i="1"/>
  <c r="C497" i="1"/>
  <c r="L497" i="1"/>
  <c r="K496" i="1"/>
  <c r="I496" i="1"/>
  <c r="M498" i="1"/>
  <c r="G499" i="1"/>
  <c r="C256" i="1"/>
  <c r="L256" i="1"/>
  <c r="I255" i="1"/>
  <c r="K255" i="1"/>
  <c r="M257" i="1"/>
  <c r="A258" i="1"/>
  <c r="M897" i="1" l="1"/>
  <c r="G898" i="1"/>
  <c r="M733" i="1"/>
  <c r="G734" i="1"/>
  <c r="K497" i="1"/>
  <c r="I497" i="1"/>
  <c r="C498" i="1"/>
  <c r="L498" i="1"/>
  <c r="M499" i="1"/>
  <c r="G500" i="1"/>
  <c r="I256" i="1"/>
  <c r="K256" i="1"/>
  <c r="A259" i="1"/>
  <c r="M258" i="1"/>
  <c r="C257" i="1"/>
  <c r="L257" i="1"/>
  <c r="G899" i="1" l="1"/>
  <c r="M898" i="1"/>
  <c r="G735" i="1"/>
  <c r="M734" i="1"/>
  <c r="C499" i="1"/>
  <c r="L499" i="1"/>
  <c r="K498" i="1"/>
  <c r="I498" i="1"/>
  <c r="M500" i="1"/>
  <c r="G501" i="1"/>
  <c r="L258" i="1"/>
  <c r="C258" i="1"/>
  <c r="I257" i="1"/>
  <c r="K257" i="1"/>
  <c r="M259" i="1"/>
  <c r="A260" i="1"/>
  <c r="M899" i="1" l="1"/>
  <c r="G900" i="1"/>
  <c r="M735" i="1"/>
  <c r="G736" i="1"/>
  <c r="C500" i="1"/>
  <c r="L500" i="1"/>
  <c r="K499" i="1"/>
  <c r="I499" i="1"/>
  <c r="M501" i="1"/>
  <c r="G502" i="1"/>
  <c r="A261" i="1"/>
  <c r="M260" i="1"/>
  <c r="K258" i="1"/>
  <c r="I258" i="1"/>
  <c r="C259" i="1"/>
  <c r="L259" i="1"/>
  <c r="G901" i="1" l="1"/>
  <c r="M900" i="1"/>
  <c r="M736" i="1"/>
  <c r="G737" i="1"/>
  <c r="I500" i="1"/>
  <c r="K500" i="1"/>
  <c r="C501" i="1"/>
  <c r="L501" i="1"/>
  <c r="G503" i="1"/>
  <c r="M502" i="1"/>
  <c r="C260" i="1"/>
  <c r="L260" i="1"/>
  <c r="I259" i="1"/>
  <c r="K259" i="1"/>
  <c r="M261" i="1"/>
  <c r="A262" i="1"/>
  <c r="M901" i="1" l="1"/>
  <c r="G902" i="1"/>
  <c r="M737" i="1"/>
  <c r="G738" i="1"/>
  <c r="I501" i="1"/>
  <c r="K501" i="1"/>
  <c r="C502" i="1"/>
  <c r="L502" i="1"/>
  <c r="M503" i="1"/>
  <c r="G504" i="1"/>
  <c r="M262" i="1"/>
  <c r="A263" i="1"/>
  <c r="L261" i="1"/>
  <c r="C261" i="1"/>
  <c r="I260" i="1"/>
  <c r="K260" i="1"/>
  <c r="M902" i="1" l="1"/>
  <c r="G903" i="1"/>
  <c r="G739" i="1"/>
  <c r="M738" i="1"/>
  <c r="C503" i="1"/>
  <c r="L503" i="1"/>
  <c r="I502" i="1"/>
  <c r="K502" i="1"/>
  <c r="G505" i="1"/>
  <c r="M504" i="1"/>
  <c r="C262" i="1"/>
  <c r="L262" i="1"/>
  <c r="M263" i="1"/>
  <c r="A264" i="1"/>
  <c r="I261" i="1"/>
  <c r="K261" i="1"/>
  <c r="G904" i="1" l="1"/>
  <c r="M903" i="1"/>
  <c r="G740" i="1"/>
  <c r="M740" i="1" s="1"/>
  <c r="M739" i="1"/>
  <c r="K503" i="1"/>
  <c r="I503" i="1"/>
  <c r="C504" i="1"/>
  <c r="L504" i="1"/>
  <c r="G506" i="1"/>
  <c r="M505" i="1"/>
  <c r="M264" i="1"/>
  <c r="A265" i="1"/>
  <c r="L263" i="1"/>
  <c r="C263" i="1"/>
  <c r="I262" i="1"/>
  <c r="K262" i="1"/>
  <c r="M904" i="1" l="1"/>
  <c r="G905" i="1"/>
  <c r="C505" i="1"/>
  <c r="L505" i="1"/>
  <c r="I504" i="1"/>
  <c r="K504" i="1"/>
  <c r="G507" i="1"/>
  <c r="M506" i="1"/>
  <c r="I263" i="1"/>
  <c r="K263" i="1"/>
  <c r="A266" i="1"/>
  <c r="M265" i="1"/>
  <c r="L264" i="1"/>
  <c r="C264" i="1"/>
  <c r="M905" i="1" l="1"/>
  <c r="G906" i="1"/>
  <c r="I505" i="1"/>
  <c r="K505" i="1"/>
  <c r="C506" i="1"/>
  <c r="L506" i="1"/>
  <c r="G508" i="1"/>
  <c r="M507" i="1"/>
  <c r="I264" i="1"/>
  <c r="K264" i="1"/>
  <c r="L265" i="1"/>
  <c r="C265" i="1"/>
  <c r="A267" i="1"/>
  <c r="M266" i="1"/>
  <c r="M906" i="1" l="1"/>
  <c r="G907" i="1"/>
  <c r="I506" i="1"/>
  <c r="K506" i="1"/>
  <c r="C507" i="1"/>
  <c r="L507" i="1"/>
  <c r="M508" i="1"/>
  <c r="G509" i="1"/>
  <c r="A268" i="1"/>
  <c r="M267" i="1"/>
  <c r="L266" i="1"/>
  <c r="C266" i="1"/>
  <c r="K265" i="1"/>
  <c r="I265" i="1"/>
  <c r="M907" i="1" l="1"/>
  <c r="G908" i="1"/>
  <c r="I507" i="1"/>
  <c r="K507" i="1"/>
  <c r="C508" i="1"/>
  <c r="L508" i="1"/>
  <c r="M509" i="1"/>
  <c r="G510" i="1"/>
  <c r="L267" i="1"/>
  <c r="C267" i="1"/>
  <c r="I266" i="1"/>
  <c r="K266" i="1"/>
  <c r="A269" i="1"/>
  <c r="M268" i="1"/>
  <c r="G909" i="1" l="1"/>
  <c r="M908" i="1"/>
  <c r="K508" i="1"/>
  <c r="I508" i="1"/>
  <c r="C509" i="1"/>
  <c r="L509" i="1"/>
  <c r="G511" i="1"/>
  <c r="M510" i="1"/>
  <c r="A270" i="1"/>
  <c r="M269" i="1"/>
  <c r="I267" i="1"/>
  <c r="K267" i="1"/>
  <c r="C268" i="1"/>
  <c r="L268" i="1"/>
  <c r="M909" i="1" l="1"/>
  <c r="G910" i="1"/>
  <c r="K509" i="1"/>
  <c r="I509" i="1"/>
  <c r="C510" i="1"/>
  <c r="L510" i="1"/>
  <c r="M511" i="1"/>
  <c r="G512" i="1"/>
  <c r="I268" i="1"/>
  <c r="K268" i="1"/>
  <c r="L269" i="1"/>
  <c r="C269" i="1"/>
  <c r="M270" i="1"/>
  <c r="A271" i="1"/>
  <c r="G911" i="1" l="1"/>
  <c r="M910" i="1"/>
  <c r="C511" i="1"/>
  <c r="L511" i="1"/>
  <c r="K510" i="1"/>
  <c r="I510" i="1"/>
  <c r="M512" i="1"/>
  <c r="G513" i="1"/>
  <c r="A272" i="1"/>
  <c r="M271" i="1"/>
  <c r="I269" i="1"/>
  <c r="K269" i="1"/>
  <c r="C270" i="1"/>
  <c r="L270" i="1"/>
  <c r="M911" i="1" l="1"/>
  <c r="G912" i="1"/>
  <c r="C512" i="1"/>
  <c r="L512" i="1"/>
  <c r="I511" i="1"/>
  <c r="K511" i="1"/>
  <c r="M513" i="1"/>
  <c r="G514" i="1"/>
  <c r="C271" i="1"/>
  <c r="L271" i="1"/>
  <c r="I270" i="1"/>
  <c r="K270" i="1"/>
  <c r="M272" i="1"/>
  <c r="A273" i="1"/>
  <c r="M912" i="1" l="1"/>
  <c r="G913" i="1"/>
  <c r="I512" i="1"/>
  <c r="K512" i="1"/>
  <c r="C513" i="1"/>
  <c r="L513" i="1"/>
  <c r="M514" i="1"/>
  <c r="G515" i="1"/>
  <c r="M273" i="1"/>
  <c r="A274" i="1"/>
  <c r="I271" i="1"/>
  <c r="K271" i="1"/>
  <c r="C272" i="1"/>
  <c r="L272" i="1"/>
  <c r="M913" i="1" l="1"/>
  <c r="G914" i="1"/>
  <c r="K513" i="1"/>
  <c r="I513" i="1"/>
  <c r="C514" i="1"/>
  <c r="L514" i="1"/>
  <c r="G516" i="1"/>
  <c r="M515" i="1"/>
  <c r="M274" i="1"/>
  <c r="A275" i="1"/>
  <c r="C273" i="1"/>
  <c r="L273" i="1"/>
  <c r="I272" i="1"/>
  <c r="K272" i="1"/>
  <c r="M914" i="1" l="1"/>
  <c r="G915" i="1"/>
  <c r="C515" i="1"/>
  <c r="L515" i="1"/>
  <c r="K514" i="1"/>
  <c r="I514" i="1"/>
  <c r="G517" i="1"/>
  <c r="M516" i="1"/>
  <c r="K273" i="1"/>
  <c r="I273" i="1"/>
  <c r="M275" i="1"/>
  <c r="A276" i="1"/>
  <c r="L274" i="1"/>
  <c r="C274" i="1"/>
  <c r="G916" i="1" l="1"/>
  <c r="M915" i="1"/>
  <c r="C516" i="1"/>
  <c r="L516" i="1"/>
  <c r="I515" i="1"/>
  <c r="K515" i="1"/>
  <c r="G518" i="1"/>
  <c r="M517" i="1"/>
  <c r="M276" i="1"/>
  <c r="A277" i="1"/>
  <c r="I274" i="1"/>
  <c r="K274" i="1"/>
  <c r="C275" i="1"/>
  <c r="L275" i="1"/>
  <c r="M916" i="1" l="1"/>
  <c r="G917" i="1"/>
  <c r="K516" i="1"/>
  <c r="I516" i="1"/>
  <c r="C517" i="1"/>
  <c r="L517" i="1"/>
  <c r="M518" i="1"/>
  <c r="G519" i="1"/>
  <c r="A278" i="1"/>
  <c r="M277" i="1"/>
  <c r="C276" i="1"/>
  <c r="L276" i="1"/>
  <c r="I275" i="1"/>
  <c r="K275" i="1"/>
  <c r="M917" i="1" l="1"/>
  <c r="G918" i="1"/>
  <c r="K517" i="1"/>
  <c r="I517" i="1"/>
  <c r="C518" i="1"/>
  <c r="L518" i="1"/>
  <c r="M519" i="1"/>
  <c r="G520" i="1"/>
  <c r="I276" i="1"/>
  <c r="K276" i="1"/>
  <c r="L277" i="1"/>
  <c r="C277" i="1"/>
  <c r="A279" i="1"/>
  <c r="M278" i="1"/>
  <c r="M918" i="1" l="1"/>
  <c r="G919" i="1"/>
  <c r="K518" i="1"/>
  <c r="I518" i="1"/>
  <c r="C519" i="1"/>
  <c r="L519" i="1"/>
  <c r="M520" i="1"/>
  <c r="G521" i="1"/>
  <c r="M279" i="1"/>
  <c r="A280" i="1"/>
  <c r="I277" i="1"/>
  <c r="K277" i="1"/>
  <c r="L278" i="1"/>
  <c r="C278" i="1"/>
  <c r="G920" i="1" l="1"/>
  <c r="M919" i="1"/>
  <c r="I519" i="1"/>
  <c r="K519" i="1"/>
  <c r="C520" i="1"/>
  <c r="L520" i="1"/>
  <c r="M521" i="1"/>
  <c r="G522" i="1"/>
  <c r="C279" i="1"/>
  <c r="L279" i="1"/>
  <c r="K278" i="1"/>
  <c r="I278" i="1"/>
  <c r="A281" i="1"/>
  <c r="M280" i="1"/>
  <c r="G921" i="1" l="1"/>
  <c r="M920" i="1"/>
  <c r="K520" i="1"/>
  <c r="I520" i="1"/>
  <c r="C521" i="1"/>
  <c r="L521" i="1"/>
  <c r="G523" i="1"/>
  <c r="M522" i="1"/>
  <c r="C280" i="1"/>
  <c r="L280" i="1"/>
  <c r="A282" i="1"/>
  <c r="M281" i="1"/>
  <c r="I279" i="1"/>
  <c r="K279" i="1"/>
  <c r="M921" i="1" l="1"/>
  <c r="G922" i="1"/>
  <c r="K521" i="1"/>
  <c r="I521" i="1"/>
  <c r="C522" i="1"/>
  <c r="L522" i="1"/>
  <c r="M523" i="1"/>
  <c r="G524" i="1"/>
  <c r="A283" i="1"/>
  <c r="M282" i="1"/>
  <c r="C281" i="1"/>
  <c r="L281" i="1"/>
  <c r="I280" i="1"/>
  <c r="K280" i="1"/>
  <c r="G923" i="1" l="1"/>
  <c r="M922" i="1"/>
  <c r="K522" i="1"/>
  <c r="I522" i="1"/>
  <c r="C523" i="1"/>
  <c r="L523" i="1"/>
  <c r="M524" i="1"/>
  <c r="G525" i="1"/>
  <c r="K281" i="1"/>
  <c r="I281" i="1"/>
  <c r="L282" i="1"/>
  <c r="C282" i="1"/>
  <c r="M283" i="1"/>
  <c r="A284" i="1"/>
  <c r="M923" i="1" l="1"/>
  <c r="G924" i="1"/>
  <c r="C524" i="1"/>
  <c r="L524" i="1"/>
  <c r="I523" i="1"/>
  <c r="K523" i="1"/>
  <c r="M525" i="1"/>
  <c r="G526" i="1"/>
  <c r="M284" i="1"/>
  <c r="A285" i="1"/>
  <c r="K282" i="1"/>
  <c r="I282" i="1"/>
  <c r="C283" i="1"/>
  <c r="L283" i="1"/>
  <c r="G925" i="1" l="1"/>
  <c r="M924" i="1"/>
  <c r="C525" i="1"/>
  <c r="L525" i="1"/>
  <c r="I524" i="1"/>
  <c r="K524" i="1"/>
  <c r="G527" i="1"/>
  <c r="M526" i="1"/>
  <c r="I283" i="1"/>
  <c r="K283" i="1"/>
  <c r="M285" i="1"/>
  <c r="A286" i="1"/>
  <c r="C284" i="1"/>
  <c r="L284" i="1"/>
  <c r="M925" i="1" l="1"/>
  <c r="G926" i="1"/>
  <c r="C526" i="1"/>
  <c r="L526" i="1"/>
  <c r="I525" i="1"/>
  <c r="K525" i="1"/>
  <c r="M527" i="1"/>
  <c r="G528" i="1"/>
  <c r="A287" i="1"/>
  <c r="M286" i="1"/>
  <c r="K284" i="1"/>
  <c r="I284" i="1"/>
  <c r="L285" i="1"/>
  <c r="C285" i="1"/>
  <c r="M926" i="1" l="1"/>
  <c r="G927" i="1"/>
  <c r="C527" i="1"/>
  <c r="L527" i="1"/>
  <c r="I526" i="1"/>
  <c r="K526" i="1"/>
  <c r="G529" i="1"/>
  <c r="M528" i="1"/>
  <c r="C286" i="1"/>
  <c r="L286" i="1"/>
  <c r="I285" i="1"/>
  <c r="K285" i="1"/>
  <c r="M287" i="1"/>
  <c r="A288" i="1"/>
  <c r="G928" i="1" l="1"/>
  <c r="M927" i="1"/>
  <c r="C528" i="1"/>
  <c r="L528" i="1"/>
  <c r="K527" i="1"/>
  <c r="I527" i="1"/>
  <c r="G530" i="1"/>
  <c r="M529" i="1"/>
  <c r="L287" i="1"/>
  <c r="C287" i="1"/>
  <c r="M288" i="1"/>
  <c r="A289" i="1"/>
  <c r="K286" i="1"/>
  <c r="I286" i="1"/>
  <c r="M928" i="1" l="1"/>
  <c r="G929" i="1"/>
  <c r="I528" i="1"/>
  <c r="K528" i="1"/>
  <c r="C529" i="1"/>
  <c r="L529" i="1"/>
  <c r="G531" i="1"/>
  <c r="M530" i="1"/>
  <c r="A290" i="1"/>
  <c r="M289" i="1"/>
  <c r="I287" i="1"/>
  <c r="K287" i="1"/>
  <c r="C288" i="1"/>
  <c r="L288" i="1"/>
  <c r="M929" i="1" l="1"/>
  <c r="G930" i="1"/>
  <c r="C530" i="1"/>
  <c r="L530" i="1"/>
  <c r="I529" i="1"/>
  <c r="K529" i="1"/>
  <c r="M531" i="1"/>
  <c r="G532" i="1"/>
  <c r="L289" i="1"/>
  <c r="C289" i="1"/>
  <c r="I288" i="1"/>
  <c r="K288" i="1"/>
  <c r="M290" i="1"/>
  <c r="A291" i="1"/>
  <c r="M930" i="1" l="1"/>
  <c r="G931" i="1"/>
  <c r="C531" i="1"/>
  <c r="L531" i="1"/>
  <c r="I530" i="1"/>
  <c r="K530" i="1"/>
  <c r="M532" i="1"/>
  <c r="G533" i="1"/>
  <c r="M291" i="1"/>
  <c r="A292" i="1"/>
  <c r="I289" i="1"/>
  <c r="K289" i="1"/>
  <c r="C290" i="1"/>
  <c r="L290" i="1"/>
  <c r="M931" i="1" l="1"/>
  <c r="G932" i="1"/>
  <c r="C532" i="1"/>
  <c r="L532" i="1"/>
  <c r="I531" i="1"/>
  <c r="K531" i="1"/>
  <c r="M533" i="1"/>
  <c r="G534" i="1"/>
  <c r="M292" i="1"/>
  <c r="A293" i="1"/>
  <c r="L291" i="1"/>
  <c r="C291" i="1"/>
  <c r="I290" i="1"/>
  <c r="K290" i="1"/>
  <c r="G933" i="1" l="1"/>
  <c r="M932" i="1"/>
  <c r="K532" i="1"/>
  <c r="I532" i="1"/>
  <c r="C533" i="1"/>
  <c r="L533" i="1"/>
  <c r="G535" i="1"/>
  <c r="M534" i="1"/>
  <c r="L292" i="1"/>
  <c r="C292" i="1"/>
  <c r="A294" i="1"/>
  <c r="M293" i="1"/>
  <c r="I291" i="1"/>
  <c r="K291" i="1"/>
  <c r="M933" i="1" l="1"/>
  <c r="G934" i="1"/>
  <c r="I533" i="1"/>
  <c r="K533" i="1"/>
  <c r="C534" i="1"/>
  <c r="L534" i="1"/>
  <c r="M535" i="1"/>
  <c r="G536" i="1"/>
  <c r="A295" i="1"/>
  <c r="M294" i="1"/>
  <c r="C293" i="1"/>
  <c r="L293" i="1"/>
  <c r="I292" i="1"/>
  <c r="K292" i="1"/>
  <c r="G935" i="1" l="1"/>
  <c r="M934" i="1"/>
  <c r="K534" i="1"/>
  <c r="I534" i="1"/>
  <c r="C535" i="1"/>
  <c r="L535" i="1"/>
  <c r="M536" i="1"/>
  <c r="G537" i="1"/>
  <c r="I293" i="1"/>
  <c r="K293" i="1"/>
  <c r="L294" i="1"/>
  <c r="C294" i="1"/>
  <c r="A296" i="1"/>
  <c r="M295" i="1"/>
  <c r="M935" i="1" l="1"/>
  <c r="G936" i="1"/>
  <c r="M936" i="1" s="1"/>
  <c r="C536" i="1"/>
  <c r="L536" i="1"/>
  <c r="I535" i="1"/>
  <c r="K535" i="1"/>
  <c r="G538" i="1"/>
  <c r="M537" i="1"/>
  <c r="A297" i="1"/>
  <c r="M296" i="1"/>
  <c r="I294" i="1"/>
  <c r="K294" i="1"/>
  <c r="C295" i="1"/>
  <c r="L295" i="1"/>
  <c r="K536" i="1" l="1"/>
  <c r="I536" i="1"/>
  <c r="C537" i="1"/>
  <c r="L537" i="1"/>
  <c r="M538" i="1"/>
  <c r="G539" i="1"/>
  <c r="K295" i="1"/>
  <c r="I295" i="1"/>
  <c r="L296" i="1"/>
  <c r="C296" i="1"/>
  <c r="M297" i="1"/>
  <c r="A298" i="1"/>
  <c r="C538" i="1" l="1"/>
  <c r="L538" i="1"/>
  <c r="K537" i="1"/>
  <c r="I537" i="1"/>
  <c r="G540" i="1"/>
  <c r="M539" i="1"/>
  <c r="M298" i="1"/>
  <c r="A299" i="1"/>
  <c r="K296" i="1"/>
  <c r="I296" i="1"/>
  <c r="C297" i="1"/>
  <c r="L297" i="1"/>
  <c r="C539" i="1" l="1"/>
  <c r="L539" i="1"/>
  <c r="I538" i="1"/>
  <c r="K538" i="1"/>
  <c r="G541" i="1"/>
  <c r="M540" i="1"/>
  <c r="C298" i="1"/>
  <c r="L298" i="1"/>
  <c r="I297" i="1"/>
  <c r="K297" i="1"/>
  <c r="M299" i="1"/>
  <c r="A300" i="1"/>
  <c r="C540" i="1" l="1"/>
  <c r="L540" i="1"/>
  <c r="K539" i="1"/>
  <c r="I539" i="1"/>
  <c r="M541" i="1"/>
  <c r="G542" i="1"/>
  <c r="A301" i="1"/>
  <c r="M300" i="1"/>
  <c r="I298" i="1"/>
  <c r="K298" i="1"/>
  <c r="C299" i="1"/>
  <c r="L299" i="1"/>
  <c r="I540" i="1" l="1"/>
  <c r="K540" i="1"/>
  <c r="C541" i="1"/>
  <c r="L541" i="1"/>
  <c r="M542" i="1"/>
  <c r="G543" i="1"/>
  <c r="L300" i="1"/>
  <c r="C300" i="1"/>
  <c r="I299" i="1"/>
  <c r="K299" i="1"/>
  <c r="M301" i="1"/>
  <c r="A302" i="1"/>
  <c r="I541" i="1" l="1"/>
  <c r="K541" i="1"/>
  <c r="C542" i="1"/>
  <c r="L542" i="1"/>
  <c r="M543" i="1"/>
  <c r="G544" i="1"/>
  <c r="M302" i="1"/>
  <c r="A303" i="1"/>
  <c r="I300" i="1"/>
  <c r="K300" i="1"/>
  <c r="L301" i="1"/>
  <c r="C301" i="1"/>
  <c r="C543" i="1" l="1"/>
  <c r="L543" i="1"/>
  <c r="K542" i="1"/>
  <c r="I542" i="1"/>
  <c r="M544" i="1"/>
  <c r="G545" i="1"/>
  <c r="C302" i="1"/>
  <c r="L302" i="1"/>
  <c r="A304" i="1"/>
  <c r="M303" i="1"/>
  <c r="I301" i="1"/>
  <c r="K301" i="1"/>
  <c r="K543" i="1" l="1"/>
  <c r="I543" i="1"/>
  <c r="C544" i="1"/>
  <c r="L544" i="1"/>
  <c r="G546" i="1"/>
  <c r="M545" i="1"/>
  <c r="M304" i="1"/>
  <c r="A305" i="1"/>
  <c r="L303" i="1"/>
  <c r="C303" i="1"/>
  <c r="K302" i="1"/>
  <c r="I302" i="1"/>
  <c r="C545" i="1" l="1"/>
  <c r="L545" i="1"/>
  <c r="K544" i="1"/>
  <c r="I544" i="1"/>
  <c r="M546" i="1"/>
  <c r="G547" i="1"/>
  <c r="A306" i="1"/>
  <c r="M305" i="1"/>
  <c r="K303" i="1"/>
  <c r="I303" i="1"/>
  <c r="C304" i="1"/>
  <c r="L304" i="1"/>
  <c r="I545" i="1" l="1"/>
  <c r="K545" i="1"/>
  <c r="C546" i="1"/>
  <c r="L546" i="1"/>
  <c r="M547" i="1"/>
  <c r="G548" i="1"/>
  <c r="C305" i="1"/>
  <c r="L305" i="1"/>
  <c r="I304" i="1"/>
  <c r="K304" i="1"/>
  <c r="M306" i="1"/>
  <c r="A307" i="1"/>
  <c r="C547" i="1" l="1"/>
  <c r="L547" i="1"/>
  <c r="K546" i="1"/>
  <c r="I546" i="1"/>
  <c r="M548" i="1"/>
  <c r="G549" i="1"/>
  <c r="A308" i="1"/>
  <c r="M307" i="1"/>
  <c r="I305" i="1"/>
  <c r="K305" i="1"/>
  <c r="C306" i="1"/>
  <c r="L306" i="1"/>
  <c r="I547" i="1" l="1"/>
  <c r="K547" i="1"/>
  <c r="C548" i="1"/>
  <c r="L548" i="1"/>
  <c r="M549" i="1"/>
  <c r="G550" i="1"/>
  <c r="L307" i="1"/>
  <c r="C307" i="1"/>
  <c r="I306" i="1"/>
  <c r="K306" i="1"/>
  <c r="M308" i="1"/>
  <c r="A309" i="1"/>
  <c r="K548" i="1" l="1"/>
  <c r="I548" i="1"/>
  <c r="C549" i="1"/>
  <c r="L549" i="1"/>
  <c r="M550" i="1"/>
  <c r="G551" i="1"/>
  <c r="M309" i="1"/>
  <c r="A310" i="1"/>
  <c r="K307" i="1"/>
  <c r="I307" i="1"/>
  <c r="C308" i="1"/>
  <c r="L308" i="1"/>
  <c r="I549" i="1" l="1"/>
  <c r="K549" i="1"/>
  <c r="C550" i="1"/>
  <c r="L550" i="1"/>
  <c r="M551" i="1"/>
  <c r="G552" i="1"/>
  <c r="M310" i="1"/>
  <c r="A311" i="1"/>
  <c r="C309" i="1"/>
  <c r="L309" i="1"/>
  <c r="K308" i="1"/>
  <c r="I308" i="1"/>
  <c r="C551" i="1" l="1"/>
  <c r="L551" i="1"/>
  <c r="I550" i="1"/>
  <c r="K550" i="1"/>
  <c r="M552" i="1"/>
  <c r="G553" i="1"/>
  <c r="I309" i="1"/>
  <c r="K309" i="1"/>
  <c r="A312" i="1"/>
  <c r="M311" i="1"/>
  <c r="L310" i="1"/>
  <c r="C310" i="1"/>
  <c r="C552" i="1" l="1"/>
  <c r="L552" i="1"/>
  <c r="K551" i="1"/>
  <c r="I551" i="1"/>
  <c r="M553" i="1"/>
  <c r="G554" i="1"/>
  <c r="C311" i="1"/>
  <c r="L311" i="1"/>
  <c r="I310" i="1"/>
  <c r="K310" i="1"/>
  <c r="M312" i="1"/>
  <c r="A313" i="1"/>
  <c r="I552" i="1" l="1"/>
  <c r="K552" i="1"/>
  <c r="C553" i="1"/>
  <c r="L553" i="1"/>
  <c r="M554" i="1"/>
  <c r="G555" i="1"/>
  <c r="M313" i="1"/>
  <c r="A314" i="1"/>
  <c r="L312" i="1"/>
  <c r="C312" i="1"/>
  <c r="I311" i="1"/>
  <c r="K311" i="1"/>
  <c r="C554" i="1" l="1"/>
  <c r="L554" i="1"/>
  <c r="I553" i="1"/>
  <c r="K553" i="1"/>
  <c r="M555" i="1"/>
  <c r="G556" i="1"/>
  <c r="C313" i="1"/>
  <c r="L313" i="1"/>
  <c r="A315" i="1"/>
  <c r="M314" i="1"/>
  <c r="I312" i="1"/>
  <c r="K312" i="1"/>
  <c r="C555" i="1" l="1"/>
  <c r="L555" i="1"/>
  <c r="K554" i="1"/>
  <c r="I554" i="1"/>
  <c r="M556" i="1"/>
  <c r="G557" i="1"/>
  <c r="L314" i="1"/>
  <c r="C314" i="1"/>
  <c r="M315" i="1"/>
  <c r="A316" i="1"/>
  <c r="I313" i="1"/>
  <c r="K313" i="1"/>
  <c r="K555" i="1" l="1"/>
  <c r="I555" i="1"/>
  <c r="C556" i="1"/>
  <c r="L556" i="1"/>
  <c r="M557" i="1"/>
  <c r="G558" i="1"/>
  <c r="A317" i="1"/>
  <c r="M316" i="1"/>
  <c r="K314" i="1"/>
  <c r="I314" i="1"/>
  <c r="C315" i="1"/>
  <c r="L315" i="1"/>
  <c r="K556" i="1" l="1"/>
  <c r="I556" i="1"/>
  <c r="C557" i="1"/>
  <c r="L557" i="1"/>
  <c r="M558" i="1"/>
  <c r="G559" i="1"/>
  <c r="L316" i="1"/>
  <c r="C316" i="1"/>
  <c r="I315" i="1"/>
  <c r="K315" i="1"/>
  <c r="M317" i="1"/>
  <c r="A318" i="1"/>
  <c r="K557" i="1" l="1"/>
  <c r="I557" i="1"/>
  <c r="C558" i="1"/>
  <c r="L558" i="1"/>
  <c r="G560" i="1"/>
  <c r="M559" i="1"/>
  <c r="A319" i="1"/>
  <c r="M318" i="1"/>
  <c r="I316" i="1"/>
  <c r="K316" i="1"/>
  <c r="C317" i="1"/>
  <c r="L317" i="1"/>
  <c r="C559" i="1" l="1"/>
  <c r="L559" i="1"/>
  <c r="K558" i="1"/>
  <c r="I558" i="1"/>
  <c r="G561" i="1"/>
  <c r="M560" i="1"/>
  <c r="I317" i="1"/>
  <c r="K317" i="1"/>
  <c r="L318" i="1"/>
  <c r="C318" i="1"/>
  <c r="M319" i="1"/>
  <c r="A320" i="1"/>
  <c r="C560" i="1" l="1"/>
  <c r="L560" i="1"/>
  <c r="I559" i="1"/>
  <c r="K559" i="1"/>
  <c r="G562" i="1"/>
  <c r="M561" i="1"/>
  <c r="M320" i="1"/>
  <c r="A321" i="1"/>
  <c r="I318" i="1"/>
  <c r="K318" i="1"/>
  <c r="C319" i="1"/>
  <c r="L319" i="1"/>
  <c r="C561" i="1" l="1"/>
  <c r="L561" i="1"/>
  <c r="I560" i="1"/>
  <c r="K560" i="1"/>
  <c r="M562" i="1"/>
  <c r="G563" i="1"/>
  <c r="C320" i="1"/>
  <c r="L320" i="1"/>
  <c r="I319" i="1"/>
  <c r="K319" i="1"/>
  <c r="M321" i="1"/>
  <c r="A322" i="1"/>
  <c r="K561" i="1" l="1"/>
  <c r="I561" i="1"/>
  <c r="C562" i="1"/>
  <c r="L562" i="1"/>
  <c r="M563" i="1"/>
  <c r="G564" i="1"/>
  <c r="I320" i="1"/>
  <c r="K320" i="1"/>
  <c r="M322" i="1"/>
  <c r="A323" i="1"/>
  <c r="L321" i="1"/>
  <c r="C321" i="1"/>
  <c r="C563" i="1" l="1"/>
  <c r="L563" i="1"/>
  <c r="K562" i="1"/>
  <c r="I562" i="1"/>
  <c r="M564" i="1"/>
  <c r="G565" i="1"/>
  <c r="I321" i="1"/>
  <c r="K321" i="1"/>
  <c r="M323" i="1"/>
  <c r="A324" i="1"/>
  <c r="C322" i="1"/>
  <c r="L322" i="1"/>
  <c r="C564" i="1" l="1"/>
  <c r="L564" i="1"/>
  <c r="K563" i="1"/>
  <c r="I563" i="1"/>
  <c r="M565" i="1"/>
  <c r="G566" i="1"/>
  <c r="I322" i="1"/>
  <c r="K322" i="1"/>
  <c r="L323" i="1"/>
  <c r="C323" i="1"/>
  <c r="A325" i="1"/>
  <c r="M324" i="1"/>
  <c r="K564" i="1" l="1"/>
  <c r="I564" i="1"/>
  <c r="C565" i="1"/>
  <c r="L565" i="1"/>
  <c r="M566" i="1"/>
  <c r="G567" i="1"/>
  <c r="A326" i="1"/>
  <c r="M325" i="1"/>
  <c r="C324" i="1"/>
  <c r="L324" i="1"/>
  <c r="I323" i="1"/>
  <c r="K323" i="1"/>
  <c r="C566" i="1" l="1"/>
  <c r="L566" i="1"/>
  <c r="K565" i="1"/>
  <c r="I565" i="1"/>
  <c r="M567" i="1"/>
  <c r="G568" i="1"/>
  <c r="I324" i="1"/>
  <c r="K324" i="1"/>
  <c r="L325" i="1"/>
  <c r="C325" i="1"/>
  <c r="M326" i="1"/>
  <c r="A327" i="1"/>
  <c r="C567" i="1" l="1"/>
  <c r="L567" i="1"/>
  <c r="I566" i="1"/>
  <c r="K566" i="1"/>
  <c r="M568" i="1"/>
  <c r="G569" i="1"/>
  <c r="A328" i="1"/>
  <c r="M327" i="1"/>
  <c r="I325" i="1"/>
  <c r="K325" i="1"/>
  <c r="C326" i="1"/>
  <c r="L326" i="1"/>
  <c r="I567" i="1" l="1"/>
  <c r="K567" i="1"/>
  <c r="C568" i="1"/>
  <c r="L568" i="1"/>
  <c r="M569" i="1"/>
  <c r="G570" i="1"/>
  <c r="M570" i="1" s="1"/>
  <c r="L327" i="1"/>
  <c r="C327" i="1"/>
  <c r="K326" i="1"/>
  <c r="I326" i="1"/>
  <c r="M328" i="1"/>
  <c r="A329" i="1"/>
  <c r="K568" i="1" l="1"/>
  <c r="I568" i="1"/>
  <c r="C569" i="1"/>
  <c r="L569" i="1"/>
  <c r="A330" i="1"/>
  <c r="M329" i="1"/>
  <c r="K327" i="1"/>
  <c r="I327" i="1"/>
  <c r="C328" i="1"/>
  <c r="L328" i="1"/>
  <c r="K569" i="1" l="1"/>
  <c r="I569" i="1"/>
  <c r="C570" i="1"/>
  <c r="L570" i="1"/>
  <c r="L329" i="1"/>
  <c r="C329" i="1"/>
  <c r="I328" i="1"/>
  <c r="K328" i="1"/>
  <c r="M330" i="1"/>
  <c r="A331" i="1"/>
  <c r="I570" i="1" l="1"/>
  <c r="K570" i="1"/>
  <c r="M331" i="1"/>
  <c r="A332" i="1"/>
  <c r="I329" i="1"/>
  <c r="K329" i="1"/>
  <c r="C330" i="1"/>
  <c r="L330" i="1"/>
  <c r="M332" i="1" l="1"/>
  <c r="A333" i="1"/>
  <c r="L331" i="1"/>
  <c r="C331" i="1"/>
  <c r="I330" i="1"/>
  <c r="K330" i="1"/>
  <c r="C332" i="1" l="1"/>
  <c r="L332" i="1"/>
  <c r="A334" i="1"/>
  <c r="M333" i="1"/>
  <c r="I331" i="1"/>
  <c r="K331" i="1"/>
  <c r="L333" i="1" l="1"/>
  <c r="C333" i="1"/>
  <c r="M334" i="1"/>
  <c r="A335" i="1"/>
  <c r="I332" i="1"/>
  <c r="K332" i="1"/>
  <c r="M335" i="1" l="1"/>
  <c r="A336" i="1"/>
  <c r="I333" i="1"/>
  <c r="K333" i="1"/>
  <c r="L334" i="1"/>
  <c r="C334" i="1"/>
  <c r="I334" i="1" l="1"/>
  <c r="K334" i="1"/>
  <c r="M336" i="1"/>
  <c r="A337" i="1"/>
  <c r="C335" i="1"/>
  <c r="L335" i="1"/>
  <c r="L336" i="1" l="1"/>
  <c r="C336" i="1"/>
  <c r="K335" i="1"/>
  <c r="I335" i="1"/>
  <c r="M337" i="1"/>
  <c r="A338" i="1"/>
  <c r="A339" i="1" l="1"/>
  <c r="M338" i="1"/>
  <c r="K336" i="1"/>
  <c r="I336" i="1"/>
  <c r="C337" i="1"/>
  <c r="L337" i="1"/>
  <c r="L338" i="1" l="1"/>
  <c r="C338" i="1"/>
  <c r="I337" i="1"/>
  <c r="K337" i="1"/>
  <c r="M339" i="1"/>
  <c r="A340" i="1"/>
  <c r="A341" i="1" l="1"/>
  <c r="M340" i="1"/>
  <c r="C339" i="1"/>
  <c r="L339" i="1"/>
  <c r="K338" i="1"/>
  <c r="I338" i="1"/>
  <c r="L340" i="1" l="1"/>
  <c r="C340" i="1"/>
  <c r="I339" i="1"/>
  <c r="K339" i="1"/>
  <c r="A342" i="1"/>
  <c r="M341" i="1"/>
  <c r="A343" i="1" l="1"/>
  <c r="M342" i="1"/>
  <c r="K340" i="1"/>
  <c r="I340" i="1"/>
  <c r="C341" i="1"/>
  <c r="L341" i="1"/>
  <c r="K341" i="1" l="1"/>
  <c r="I341" i="1"/>
  <c r="C342" i="1"/>
  <c r="L342" i="1"/>
  <c r="M343" i="1"/>
  <c r="A344" i="1"/>
  <c r="A345" i="1" l="1"/>
  <c r="M345" i="1" s="1"/>
  <c r="M344" i="1"/>
  <c r="I342" i="1"/>
  <c r="K342" i="1"/>
  <c r="C343" i="1"/>
  <c r="L343" i="1"/>
  <c r="C344" i="1" l="1"/>
  <c r="L344" i="1"/>
  <c r="I343" i="1"/>
  <c r="K343" i="1"/>
  <c r="K344" i="1" l="1"/>
  <c r="I344" i="1"/>
  <c r="C345" i="1"/>
  <c r="L345" i="1"/>
  <c r="I345" i="1" l="1"/>
  <c r="K345" i="1"/>
</calcChain>
</file>

<file path=xl/sharedStrings.xml><?xml version="1.0" encoding="utf-8"?>
<sst xmlns="http://schemas.openxmlformats.org/spreadsheetml/2006/main" count="9" uniqueCount="9">
  <si>
    <t>number</t>
    <phoneticPr fontId="1" type="noConversion"/>
  </si>
  <si>
    <t>level</t>
    <phoneticPr fontId="1" type="noConversion"/>
  </si>
  <si>
    <t>up</t>
    <phoneticPr fontId="1" type="noConversion"/>
  </si>
  <si>
    <t>stay</t>
    <phoneticPr fontId="1" type="noConversion"/>
  </si>
  <si>
    <t>down</t>
    <phoneticPr fontId="1" type="noConversion"/>
  </si>
  <si>
    <t>atk</t>
    <phoneticPr fontId="1" type="noConversion"/>
  </si>
  <si>
    <t>requireCoin</t>
    <phoneticPr fontId="1" type="noConversion"/>
  </si>
  <si>
    <t>확률 보정 확인</t>
    <phoneticPr fontId="1" type="noConversion"/>
  </si>
  <si>
    <t>criDmg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</si>
</sst>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0_);[Red]\(0\)"/>
    <numFmt numFmtId="177" formatCode="0.0%"/>
  </numFmts>
  <fonts count="4" x14ac:knownFonts="1">
    <font>
      <sz val="11"/>
      <color theme="1"/>
      <name val="맑은 고딕"/>
      <family val="2"/>
      <scheme val="minor"/>
    </font>
    <font>
      <sz val="8"/>
      <name val="맑은 고딕"/>
      <family val="3"/>
      <charset val="129"/>
      <scheme val="minor"/>
    </font>
    <font>
      <sz val="12"/>
      <color rgb="FF000000"/>
      <name val="맑은 고딕"/>
      <family val="3"/>
      <charset val="129"/>
    </font>
    <font>
      <sz val="12"/>
      <color theme="1"/>
      <name val="맑은 고딕"/>
      <family val="3"/>
      <charset val="129"/>
    </font>
  </fonts>
  <fills count="4">
    <fill>
      <patternFill patternType="none"/>
    </fill>
    <fill>
      <patternFill patternType="gray125"/>
    </fill>
    <fill>
      <patternFill patternType="solid">
        <fgColor rgb="FF558ED5"/>
      </patternFill>
    </fill>
    <fill>
      <patternFill patternType="solid">
        <fgColor theme="8" tint="0.79998168889431442"/>
        <bgColor indexed="64"/>
      </patternFill>
    </fill>
  </fills>
  <borders count="3">
    <border>
      <left/>
      <right/>
      <top/>
      <bottom/>
      <diagonal/>
    </border>
    <border>
      <left style="thin">
        <color rgb="FFC6C6C6"/>
      </left>
      <right style="thin">
        <color rgb="FFC6C6C6"/>
      </right>
      <top style="thin">
        <color rgb="FFC6C6C6"/>
      </top>
      <bottom style="thin">
        <color rgb="FFC6C6C6"/>
      </bottom>
      <diagonal/>
    </border>
    <border>
      <left/>
      <right/>
      <top/>
      <bottom/>
      <diagonal/>
    </border>
  </borders>
  <cellStyleXfs count="1">
    <xf numFmtId="0" fontId="0" fillId="0" borderId="0"/>
  </cellStyleXfs>
  <cellXfs count="19">
    <xf numFmtId="0" fontId="0" fillId="0" borderId="0" xfId="0"/>
    <xf numFmtId="0" fontId="2" fillId="0" borderId="2" xfId="0" applyFont="1" applyBorder="1" applyAlignment="1">
      <alignment horizontal="center"/>
    </xf>
    <xf numFmtId="3" fontId="2" fillId="2" borderId="1" xfId="0" applyNumberFormat="1" applyFont="1" applyFill="1" applyBorder="1" applyAlignment="1">
      <alignment horizontal="center"/>
    </xf>
    <xf numFmtId="0" fontId="2" fillId="2" borderId="1" xfId="0" applyFont="1" applyFill="1" applyBorder="1" applyAlignment="1">
      <alignment horizontal="center"/>
    </xf>
    <xf numFmtId="0" fontId="3" fillId="0" borderId="0" xfId="0" applyFont="1" applyAlignment="1">
      <alignment horizontal="center"/>
    </xf>
    <xf numFmtId="3" fontId="3" fillId="0" borderId="0" xfId="0" applyNumberFormat="1" applyFont="1" applyAlignment="1">
      <alignment horizontal="center"/>
    </xf>
    <xf numFmtId="176" fontId="2" fillId="2" borderId="1" xfId="0" applyNumberFormat="1" applyFont="1" applyFill="1" applyBorder="1" applyAlignment="1">
      <alignment horizontal="center"/>
    </xf>
    <xf numFmtId="176" fontId="3" fillId="0" borderId="0" xfId="0" applyNumberFormat="1" applyFont="1" applyAlignment="1">
      <alignment horizontal="center"/>
    </xf>
    <xf numFmtId="176" fontId="2" fillId="0" borderId="2" xfId="0" applyNumberFormat="1" applyFont="1" applyBorder="1" applyAlignment="1">
      <alignment horizontal="center"/>
    </xf>
    <xf numFmtId="0" fontId="3" fillId="0" borderId="0" xfId="0" applyFont="1" applyAlignment="1">
      <alignment horizontal="center" wrapText="1"/>
    </xf>
    <xf numFmtId="0" fontId="3" fillId="0" borderId="2" xfId="0" applyFont="1" applyBorder="1" applyAlignment="1">
      <alignment horizontal="center"/>
    </xf>
    <xf numFmtId="177" fontId="3" fillId="0" borderId="0" xfId="0" applyNumberFormat="1" applyFont="1" applyAlignment="1">
      <alignment horizontal="center"/>
    </xf>
    <xf numFmtId="0" fontId="2" fillId="2" borderId="2" xfId="0" applyFont="1" applyFill="1" applyBorder="1" applyAlignment="1">
      <alignment horizontal="center"/>
    </xf>
    <xf numFmtId="0" fontId="2" fillId="3" borderId="2" xfId="0" applyFont="1" applyFill="1" applyBorder="1" applyAlignment="1">
      <alignment horizontal="center"/>
    </xf>
    <xf numFmtId="0" fontId="3" fillId="3" borderId="0" xfId="0" applyFont="1" applyFill="1" applyAlignment="1">
      <alignment horizontal="center"/>
    </xf>
    <xf numFmtId="0" fontId="3" fillId="3" borderId="2" xfId="0" applyFont="1" applyFill="1" applyBorder="1" applyAlignment="1">
      <alignment horizontal="center"/>
    </xf>
    <xf numFmtId="0" fontId="3" fillId="3" borderId="0" xfId="0" applyFont="1" applyFill="1" applyAlignment="1">
      <alignment horizontal="center" wrapText="1"/>
    </xf>
    <xf numFmtId="10" fontId="3" fillId="0" borderId="0" xfId="0" applyNumberFormat="1" applyFont="1" applyAlignment="1">
      <alignment horizontal="center"/>
    </xf>
    <xf numFmtId="3" fontId="2" fillId="0" borderId="2" xfId="0" applyNumberFormat="1" applyFont="1" applyBorder="1" applyAlignment="1">
      <alignment horizontal="center"/>
    </xf>
  </cellXfs>
  <cellStyles count="1">
    <cellStyle name="표준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</sheetPr>
  <dimension ref="A1:XFB1147"/>
  <sheetViews>
    <sheetView tabSelected="1" workbookViewId="0">
      <pane ySplit="1" topLeftCell="A2" activePane="bottomLeft" state="frozen"/>
      <selection pane="bottomLeft" activeCell="H1001" sqref="H1001"/>
    </sheetView>
  </sheetViews>
  <sheetFormatPr defaultColWidth="17.625" defaultRowHeight="17.25" x14ac:dyDescent="0.3"/>
  <cols>
    <col min="1" max="3" width="18.875" style="5" customWidth="1"/>
    <col min="4" max="4" width="18.875" style="7" customWidth="1"/>
    <col min="5" max="5" width="19" style="7" customWidth="1"/>
    <col min="6" max="6" width="19" style="4" customWidth="1"/>
    <col min="7" max="7" width="18.375" style="4" customWidth="1"/>
    <col min="9" max="9" width="18.875" style="7" customWidth="1"/>
    <col min="10" max="12" width="12.75" style="4" customWidth="1"/>
    <col min="13" max="13" width="36.125" style="4" customWidth="1"/>
    <col min="14" max="14" width="17.625" style="4"/>
    <col min="18" max="16381" width="17.625" style="4"/>
    <col min="16382" max="16382" width="8.875" style="4" bestFit="1" customWidth="1"/>
    <col min="16383" max="16384" width="8.875" style="4" customWidth="1"/>
  </cols>
  <sheetData>
    <row r="1" spans="1:13 16382:16382" x14ac:dyDescent="0.3">
      <c r="A1" s="2" t="s">
        <v>1</v>
      </c>
      <c r="B1" s="2" t="s">
        <v>2</v>
      </c>
      <c r="C1" s="2" t="s">
        <v>3</v>
      </c>
      <c r="D1" s="6" t="s">
        <v>4</v>
      </c>
      <c r="E1" s="6" t="s">
        <v>5</v>
      </c>
      <c r="F1" s="6" t="s">
        <v>8</v>
      </c>
      <c r="G1" s="6" t="s">
        <v>6</v>
      </c>
      <c r="I1" s="8" t="s">
        <v>7</v>
      </c>
      <c r="XFB1" s="3" t="s">
        <v>0</v>
      </c>
    </row>
    <row r="2" spans="1:13 16382:16382" x14ac:dyDescent="0.3">
      <c r="A2" s="1">
        <v>0</v>
      </c>
      <c r="B2" s="1">
        <v>10000</v>
      </c>
      <c r="C2" s="1">
        <v>0</v>
      </c>
      <c r="D2" s="4">
        <v>0</v>
      </c>
      <c r="E2" s="4">
        <v>0</v>
      </c>
      <c r="F2" s="1">
        <v>0</v>
      </c>
      <c r="G2" s="9">
        <v>1500</v>
      </c>
      <c r="I2" s="4">
        <f t="shared" ref="I2" si="0">SUM(B2:D2)</f>
        <v>10000</v>
      </c>
      <c r="J2" s="11">
        <f>B2/10000</f>
        <v>1</v>
      </c>
      <c r="K2" s="11">
        <f t="shared" ref="K2" si="1">C2/10000</f>
        <v>0</v>
      </c>
      <c r="L2" s="11">
        <f t="shared" ref="L2" si="2">D2/10000</f>
        <v>0</v>
      </c>
      <c r="M2" s="4">
        <f>G2</f>
        <v>1500</v>
      </c>
      <c r="XFB2" s="12"/>
    </row>
    <row r="3" spans="1:13 16382:16382" x14ac:dyDescent="0.3">
      <c r="A3" s="1">
        <v>1</v>
      </c>
      <c r="B3" s="1">
        <v>9500</v>
      </c>
      <c r="C3" s="1">
        <v>500</v>
      </c>
      <c r="D3" s="4">
        <v>0</v>
      </c>
      <c r="E3" s="4">
        <v>1</v>
      </c>
      <c r="F3" s="1">
        <v>0.2</v>
      </c>
      <c r="G3" s="9">
        <f t="shared" ref="G3:G66" si="3">ROUND(300 + (5000-300) * SIN( (A3-1) / 99 * PI() / 2 ), 0)</f>
        <v>300</v>
      </c>
      <c r="I3" s="4">
        <f t="shared" ref="I3:I34" si="4">SUM(B3:D3)</f>
        <v>10000</v>
      </c>
      <c r="J3" s="11">
        <f>B3/10000</f>
        <v>0.95</v>
      </c>
      <c r="K3" s="11">
        <f t="shared" ref="K3:L3" si="5">C3/10000</f>
        <v>0.05</v>
      </c>
      <c r="L3" s="11">
        <f t="shared" si="5"/>
        <v>0</v>
      </c>
      <c r="M3" s="4">
        <f>G3</f>
        <v>300</v>
      </c>
    </row>
    <row r="4" spans="1:13 16382:16382" x14ac:dyDescent="0.3">
      <c r="A4" s="1">
        <f>A3+1</f>
        <v>2</v>
      </c>
      <c r="B4" s="1">
        <f>B3-500</f>
        <v>9000</v>
      </c>
      <c r="C4" s="1">
        <f>C3+500</f>
        <v>1000</v>
      </c>
      <c r="D4" s="4">
        <v>0</v>
      </c>
      <c r="E4" s="4">
        <f>E3+1</f>
        <v>2</v>
      </c>
      <c r="F4" s="10">
        <f>F3+0.01</f>
        <v>0.21000000000000002</v>
      </c>
      <c r="G4" s="9">
        <f t="shared" si="3"/>
        <v>375</v>
      </c>
      <c r="I4" s="4">
        <f t="shared" si="4"/>
        <v>10000</v>
      </c>
      <c r="J4" s="11">
        <f t="shared" ref="J4:J67" si="6">B4/10000</f>
        <v>0.9</v>
      </c>
      <c r="K4" s="11">
        <f t="shared" ref="K4:K67" si="7">C4/10000</f>
        <v>0.1</v>
      </c>
      <c r="L4" s="11">
        <f t="shared" ref="L4:L67" si="8">D4/10000</f>
        <v>0</v>
      </c>
      <c r="M4" s="4">
        <f t="shared" ref="M4:M67" si="9">G4</f>
        <v>375</v>
      </c>
    </row>
    <row r="5" spans="1:13 16382:16382" x14ac:dyDescent="0.3">
      <c r="A5" s="1">
        <f t="shared" ref="A5:A68" si="10">A4+1</f>
        <v>3</v>
      </c>
      <c r="B5" s="1">
        <f t="shared" ref="B5:B12" si="11">B4-500</f>
        <v>8500</v>
      </c>
      <c r="C5" s="1">
        <f t="shared" ref="C5:C12" si="12">C4+500</f>
        <v>1500</v>
      </c>
      <c r="D5" s="4">
        <v>0</v>
      </c>
      <c r="E5" s="4">
        <f t="shared" ref="E5:E42" si="13">E4+1</f>
        <v>3</v>
      </c>
      <c r="F5" s="10">
        <f t="shared" ref="F5:F13" si="14">F4+0.01</f>
        <v>0.22000000000000003</v>
      </c>
      <c r="G5" s="9">
        <f t="shared" si="3"/>
        <v>449</v>
      </c>
      <c r="I5" s="4">
        <f t="shared" si="4"/>
        <v>10000</v>
      </c>
      <c r="J5" s="11">
        <f t="shared" si="6"/>
        <v>0.85</v>
      </c>
      <c r="K5" s="11">
        <f t="shared" si="7"/>
        <v>0.15</v>
      </c>
      <c r="L5" s="11">
        <f t="shared" si="8"/>
        <v>0</v>
      </c>
      <c r="M5" s="4">
        <f t="shared" si="9"/>
        <v>449</v>
      </c>
    </row>
    <row r="6" spans="1:13 16382:16382" x14ac:dyDescent="0.3">
      <c r="A6" s="1">
        <f t="shared" si="10"/>
        <v>4</v>
      </c>
      <c r="B6" s="1">
        <f t="shared" si="11"/>
        <v>8000</v>
      </c>
      <c r="C6" s="1">
        <f t="shared" si="12"/>
        <v>2000</v>
      </c>
      <c r="D6" s="4">
        <v>0</v>
      </c>
      <c r="E6" s="4">
        <f t="shared" si="13"/>
        <v>4</v>
      </c>
      <c r="F6" s="10">
        <f t="shared" si="14"/>
        <v>0.23000000000000004</v>
      </c>
      <c r="G6" s="9">
        <f t="shared" si="3"/>
        <v>524</v>
      </c>
      <c r="I6" s="4">
        <f t="shared" si="4"/>
        <v>10000</v>
      </c>
      <c r="J6" s="11">
        <f t="shared" si="6"/>
        <v>0.8</v>
      </c>
      <c r="K6" s="11">
        <f t="shared" si="7"/>
        <v>0.2</v>
      </c>
      <c r="L6" s="11">
        <f t="shared" si="8"/>
        <v>0</v>
      </c>
      <c r="M6" s="4">
        <f t="shared" si="9"/>
        <v>524</v>
      </c>
    </row>
    <row r="7" spans="1:13 16382:16382" x14ac:dyDescent="0.3">
      <c r="A7" s="1">
        <f t="shared" si="10"/>
        <v>5</v>
      </c>
      <c r="B7" s="1">
        <f t="shared" si="11"/>
        <v>7500</v>
      </c>
      <c r="C7" s="1">
        <f t="shared" si="12"/>
        <v>2500</v>
      </c>
      <c r="D7" s="4">
        <v>0</v>
      </c>
      <c r="E7" s="4">
        <f t="shared" si="13"/>
        <v>5</v>
      </c>
      <c r="F7" s="10">
        <f t="shared" si="14"/>
        <v>0.24000000000000005</v>
      </c>
      <c r="G7" s="9">
        <f t="shared" si="3"/>
        <v>598</v>
      </c>
      <c r="I7" s="4">
        <f t="shared" si="4"/>
        <v>10000</v>
      </c>
      <c r="J7" s="11">
        <f t="shared" si="6"/>
        <v>0.75</v>
      </c>
      <c r="K7" s="11">
        <f t="shared" si="7"/>
        <v>0.25</v>
      </c>
      <c r="L7" s="11">
        <f t="shared" si="8"/>
        <v>0</v>
      </c>
      <c r="M7" s="4">
        <f t="shared" si="9"/>
        <v>598</v>
      </c>
    </row>
    <row r="8" spans="1:13 16382:16382" x14ac:dyDescent="0.3">
      <c r="A8" s="1">
        <f t="shared" si="10"/>
        <v>6</v>
      </c>
      <c r="B8" s="1">
        <f t="shared" si="11"/>
        <v>7000</v>
      </c>
      <c r="C8" s="1">
        <f t="shared" si="12"/>
        <v>3000</v>
      </c>
      <c r="D8" s="4">
        <v>0</v>
      </c>
      <c r="E8" s="4">
        <f t="shared" si="13"/>
        <v>6</v>
      </c>
      <c r="F8" s="10">
        <f t="shared" si="14"/>
        <v>0.25000000000000006</v>
      </c>
      <c r="G8" s="9">
        <f t="shared" si="3"/>
        <v>672</v>
      </c>
      <c r="I8" s="4">
        <f t="shared" si="4"/>
        <v>10000</v>
      </c>
      <c r="J8" s="11">
        <f t="shared" si="6"/>
        <v>0.7</v>
      </c>
      <c r="K8" s="11">
        <f t="shared" si="7"/>
        <v>0.3</v>
      </c>
      <c r="L8" s="11">
        <f t="shared" si="8"/>
        <v>0</v>
      </c>
      <c r="M8" s="4">
        <f t="shared" si="9"/>
        <v>672</v>
      </c>
    </row>
    <row r="9" spans="1:13 16382:16382" x14ac:dyDescent="0.3">
      <c r="A9" s="1">
        <f t="shared" si="10"/>
        <v>7</v>
      </c>
      <c r="B9" s="1">
        <f t="shared" si="11"/>
        <v>6500</v>
      </c>
      <c r="C9" s="1">
        <f t="shared" si="12"/>
        <v>3500</v>
      </c>
      <c r="D9" s="4">
        <v>0</v>
      </c>
      <c r="E9" s="4">
        <f t="shared" si="13"/>
        <v>7</v>
      </c>
      <c r="F9" s="10">
        <f t="shared" si="14"/>
        <v>0.26000000000000006</v>
      </c>
      <c r="G9" s="9">
        <f t="shared" si="3"/>
        <v>747</v>
      </c>
      <c r="I9" s="4">
        <f t="shared" si="4"/>
        <v>10000</v>
      </c>
      <c r="J9" s="11">
        <f t="shared" si="6"/>
        <v>0.65</v>
      </c>
      <c r="K9" s="11">
        <f t="shared" si="7"/>
        <v>0.35</v>
      </c>
      <c r="L9" s="11">
        <f t="shared" si="8"/>
        <v>0</v>
      </c>
      <c r="M9" s="4">
        <f t="shared" si="9"/>
        <v>747</v>
      </c>
    </row>
    <row r="10" spans="1:13 16382:16382" x14ac:dyDescent="0.3">
      <c r="A10" s="1">
        <f t="shared" si="10"/>
        <v>8</v>
      </c>
      <c r="B10" s="1">
        <f t="shared" si="11"/>
        <v>6000</v>
      </c>
      <c r="C10" s="1">
        <f t="shared" si="12"/>
        <v>4000</v>
      </c>
      <c r="D10" s="4">
        <v>0</v>
      </c>
      <c r="E10" s="4">
        <f t="shared" si="13"/>
        <v>8</v>
      </c>
      <c r="F10" s="10">
        <f t="shared" si="14"/>
        <v>0.27000000000000007</v>
      </c>
      <c r="G10" s="9">
        <f t="shared" si="3"/>
        <v>821</v>
      </c>
      <c r="I10" s="4">
        <f t="shared" si="4"/>
        <v>10000</v>
      </c>
      <c r="J10" s="11">
        <f t="shared" si="6"/>
        <v>0.6</v>
      </c>
      <c r="K10" s="11">
        <f t="shared" si="7"/>
        <v>0.4</v>
      </c>
      <c r="L10" s="11">
        <f t="shared" si="8"/>
        <v>0</v>
      </c>
      <c r="M10" s="4">
        <f t="shared" si="9"/>
        <v>821</v>
      </c>
    </row>
    <row r="11" spans="1:13 16382:16382" x14ac:dyDescent="0.3">
      <c r="A11" s="1">
        <f t="shared" si="10"/>
        <v>9</v>
      </c>
      <c r="B11" s="1">
        <f t="shared" si="11"/>
        <v>5500</v>
      </c>
      <c r="C11" s="1">
        <f t="shared" si="12"/>
        <v>4500</v>
      </c>
      <c r="D11" s="4">
        <v>0</v>
      </c>
      <c r="E11" s="4">
        <f t="shared" si="13"/>
        <v>9</v>
      </c>
      <c r="F11" s="10">
        <f t="shared" si="14"/>
        <v>0.28000000000000008</v>
      </c>
      <c r="G11" s="9">
        <f t="shared" si="3"/>
        <v>895</v>
      </c>
      <c r="I11" s="4">
        <f t="shared" si="4"/>
        <v>10000</v>
      </c>
      <c r="J11" s="11">
        <f t="shared" si="6"/>
        <v>0.55000000000000004</v>
      </c>
      <c r="K11" s="11">
        <f t="shared" si="7"/>
        <v>0.45</v>
      </c>
      <c r="L11" s="11">
        <f t="shared" si="8"/>
        <v>0</v>
      </c>
      <c r="M11" s="4">
        <f t="shared" si="9"/>
        <v>895</v>
      </c>
    </row>
    <row r="12" spans="1:13 16382:16382" x14ac:dyDescent="0.3">
      <c r="A12" s="1">
        <f t="shared" si="10"/>
        <v>10</v>
      </c>
      <c r="B12" s="1">
        <f t="shared" si="11"/>
        <v>5000</v>
      </c>
      <c r="C12" s="1">
        <f t="shared" si="12"/>
        <v>5000</v>
      </c>
      <c r="D12" s="4">
        <v>0</v>
      </c>
      <c r="E12" s="4">
        <f t="shared" si="13"/>
        <v>10</v>
      </c>
      <c r="F12" s="10">
        <f t="shared" si="14"/>
        <v>0.29000000000000009</v>
      </c>
      <c r="G12" s="9">
        <f t="shared" si="3"/>
        <v>969</v>
      </c>
      <c r="I12" s="4">
        <f t="shared" si="4"/>
        <v>10000</v>
      </c>
      <c r="J12" s="11">
        <f t="shared" si="6"/>
        <v>0.5</v>
      </c>
      <c r="K12" s="11">
        <f t="shared" si="7"/>
        <v>0.5</v>
      </c>
      <c r="L12" s="11">
        <f t="shared" si="8"/>
        <v>0</v>
      </c>
      <c r="M12" s="4">
        <f t="shared" si="9"/>
        <v>969</v>
      </c>
    </row>
    <row r="13" spans="1:13 16382:16382" x14ac:dyDescent="0.3">
      <c r="A13" s="1">
        <f t="shared" si="10"/>
        <v>11</v>
      </c>
      <c r="B13" s="1">
        <f>B12-200</f>
        <v>4800</v>
      </c>
      <c r="C13" s="1">
        <f>C12+200</f>
        <v>5200</v>
      </c>
      <c r="D13" s="4">
        <v>0</v>
      </c>
      <c r="E13" s="4">
        <f t="shared" si="13"/>
        <v>11</v>
      </c>
      <c r="F13" s="10">
        <f t="shared" si="14"/>
        <v>0.3000000000000001</v>
      </c>
      <c r="G13" s="9">
        <f t="shared" si="3"/>
        <v>1043</v>
      </c>
      <c r="I13" s="4">
        <f t="shared" si="4"/>
        <v>10000</v>
      </c>
      <c r="J13" s="11">
        <f t="shared" si="6"/>
        <v>0.48</v>
      </c>
      <c r="K13" s="11">
        <f t="shared" si="7"/>
        <v>0.52</v>
      </c>
      <c r="L13" s="11">
        <f t="shared" si="8"/>
        <v>0</v>
      </c>
      <c r="M13" s="4">
        <f t="shared" si="9"/>
        <v>1043</v>
      </c>
    </row>
    <row r="14" spans="1:13 16382:16382" x14ac:dyDescent="0.3">
      <c r="A14" s="1">
        <f t="shared" si="10"/>
        <v>12</v>
      </c>
      <c r="B14" s="1">
        <f t="shared" ref="B14:B22" si="15">B13-200</f>
        <v>4600</v>
      </c>
      <c r="C14" s="1">
        <f t="shared" ref="C14:C22" si="16">C13+200</f>
        <v>5400</v>
      </c>
      <c r="D14" s="4">
        <v>0</v>
      </c>
      <c r="E14" s="4">
        <f t="shared" si="13"/>
        <v>12</v>
      </c>
      <c r="F14" s="10">
        <f>F13+0.008</f>
        <v>0.30800000000000011</v>
      </c>
      <c r="G14" s="9">
        <f t="shared" si="3"/>
        <v>1116</v>
      </c>
      <c r="I14" s="4">
        <f t="shared" si="4"/>
        <v>10000</v>
      </c>
      <c r="J14" s="11">
        <f t="shared" si="6"/>
        <v>0.46</v>
      </c>
      <c r="K14" s="11">
        <f t="shared" si="7"/>
        <v>0.54</v>
      </c>
      <c r="L14" s="11">
        <f t="shared" si="8"/>
        <v>0</v>
      </c>
      <c r="M14" s="4">
        <f t="shared" si="9"/>
        <v>1116</v>
      </c>
    </row>
    <row r="15" spans="1:13 16382:16382" x14ac:dyDescent="0.3">
      <c r="A15" s="1">
        <f t="shared" si="10"/>
        <v>13</v>
      </c>
      <c r="B15" s="1">
        <f t="shared" si="15"/>
        <v>4400</v>
      </c>
      <c r="C15" s="1">
        <f t="shared" si="16"/>
        <v>5600</v>
      </c>
      <c r="D15" s="4">
        <v>0</v>
      </c>
      <c r="E15" s="4">
        <f t="shared" si="13"/>
        <v>13</v>
      </c>
      <c r="F15" s="10">
        <f t="shared" ref="F15:F42" si="17">F14+0.008</f>
        <v>0.31600000000000011</v>
      </c>
      <c r="G15" s="9">
        <f t="shared" si="3"/>
        <v>1189</v>
      </c>
      <c r="I15" s="4">
        <f t="shared" si="4"/>
        <v>10000</v>
      </c>
      <c r="J15" s="11">
        <f t="shared" si="6"/>
        <v>0.44</v>
      </c>
      <c r="K15" s="11">
        <f t="shared" si="7"/>
        <v>0.56000000000000005</v>
      </c>
      <c r="L15" s="11">
        <f t="shared" si="8"/>
        <v>0</v>
      </c>
      <c r="M15" s="4">
        <f t="shared" si="9"/>
        <v>1189</v>
      </c>
    </row>
    <row r="16" spans="1:13 16382:16382" x14ac:dyDescent="0.3">
      <c r="A16" s="1">
        <f t="shared" si="10"/>
        <v>14</v>
      </c>
      <c r="B16" s="1">
        <f t="shared" si="15"/>
        <v>4200</v>
      </c>
      <c r="C16" s="1">
        <f t="shared" si="16"/>
        <v>5800</v>
      </c>
      <c r="D16" s="4">
        <v>0</v>
      </c>
      <c r="E16" s="4">
        <f t="shared" si="13"/>
        <v>14</v>
      </c>
      <c r="F16" s="10">
        <f t="shared" si="17"/>
        <v>0.32400000000000012</v>
      </c>
      <c r="G16" s="9">
        <f t="shared" si="3"/>
        <v>1263</v>
      </c>
      <c r="I16" s="4">
        <f t="shared" si="4"/>
        <v>10000</v>
      </c>
      <c r="J16" s="11">
        <f t="shared" si="6"/>
        <v>0.42</v>
      </c>
      <c r="K16" s="11">
        <f t="shared" si="7"/>
        <v>0.57999999999999996</v>
      </c>
      <c r="L16" s="11">
        <f t="shared" si="8"/>
        <v>0</v>
      </c>
      <c r="M16" s="4">
        <f t="shared" si="9"/>
        <v>1263</v>
      </c>
    </row>
    <row r="17" spans="1:13" x14ac:dyDescent="0.3">
      <c r="A17" s="1">
        <f t="shared" si="10"/>
        <v>15</v>
      </c>
      <c r="B17" s="1">
        <f t="shared" si="15"/>
        <v>4000</v>
      </c>
      <c r="C17" s="1">
        <f t="shared" si="16"/>
        <v>6000</v>
      </c>
      <c r="D17" s="4">
        <v>0</v>
      </c>
      <c r="E17" s="4">
        <f t="shared" si="13"/>
        <v>15</v>
      </c>
      <c r="F17" s="10">
        <f t="shared" si="17"/>
        <v>0.33200000000000013</v>
      </c>
      <c r="G17" s="9">
        <f t="shared" si="3"/>
        <v>1335</v>
      </c>
      <c r="I17" s="4">
        <f t="shared" si="4"/>
        <v>10000</v>
      </c>
      <c r="J17" s="11">
        <f t="shared" si="6"/>
        <v>0.4</v>
      </c>
      <c r="K17" s="11">
        <f t="shared" si="7"/>
        <v>0.6</v>
      </c>
      <c r="L17" s="11">
        <f t="shared" si="8"/>
        <v>0</v>
      </c>
      <c r="M17" s="4">
        <f t="shared" si="9"/>
        <v>1335</v>
      </c>
    </row>
    <row r="18" spans="1:13" x14ac:dyDescent="0.3">
      <c r="A18" s="1">
        <f t="shared" si="10"/>
        <v>16</v>
      </c>
      <c r="B18" s="1">
        <f t="shared" si="15"/>
        <v>3800</v>
      </c>
      <c r="C18" s="1">
        <f t="shared" si="16"/>
        <v>6200</v>
      </c>
      <c r="D18" s="4">
        <v>0</v>
      </c>
      <c r="E18" s="4">
        <f t="shared" si="13"/>
        <v>16</v>
      </c>
      <c r="F18" s="10">
        <f t="shared" si="17"/>
        <v>0.34000000000000014</v>
      </c>
      <c r="G18" s="9">
        <f t="shared" si="3"/>
        <v>1408</v>
      </c>
      <c r="I18" s="4">
        <f t="shared" si="4"/>
        <v>10000</v>
      </c>
      <c r="J18" s="11">
        <f t="shared" si="6"/>
        <v>0.38</v>
      </c>
      <c r="K18" s="11">
        <f t="shared" si="7"/>
        <v>0.62</v>
      </c>
      <c r="L18" s="11">
        <f t="shared" si="8"/>
        <v>0</v>
      </c>
      <c r="M18" s="4">
        <f t="shared" si="9"/>
        <v>1408</v>
      </c>
    </row>
    <row r="19" spans="1:13" x14ac:dyDescent="0.3">
      <c r="A19" s="1">
        <f t="shared" si="10"/>
        <v>17</v>
      </c>
      <c r="B19" s="1">
        <f t="shared" si="15"/>
        <v>3600</v>
      </c>
      <c r="C19" s="1">
        <f t="shared" si="16"/>
        <v>6400</v>
      </c>
      <c r="D19" s="4">
        <v>0</v>
      </c>
      <c r="E19" s="4">
        <f t="shared" si="13"/>
        <v>17</v>
      </c>
      <c r="F19" s="10">
        <f t="shared" si="17"/>
        <v>0.34800000000000014</v>
      </c>
      <c r="G19" s="9">
        <f t="shared" si="3"/>
        <v>1480</v>
      </c>
      <c r="I19" s="4">
        <f t="shared" si="4"/>
        <v>10000</v>
      </c>
      <c r="J19" s="11">
        <f t="shared" si="6"/>
        <v>0.36</v>
      </c>
      <c r="K19" s="11">
        <f t="shared" si="7"/>
        <v>0.64</v>
      </c>
      <c r="L19" s="11">
        <f t="shared" si="8"/>
        <v>0</v>
      </c>
      <c r="M19" s="4">
        <f t="shared" si="9"/>
        <v>1480</v>
      </c>
    </row>
    <row r="20" spans="1:13" x14ac:dyDescent="0.3">
      <c r="A20" s="1">
        <f t="shared" si="10"/>
        <v>18</v>
      </c>
      <c r="B20" s="1">
        <f t="shared" si="15"/>
        <v>3400</v>
      </c>
      <c r="C20" s="1">
        <f t="shared" si="16"/>
        <v>6600</v>
      </c>
      <c r="D20" s="4">
        <v>0</v>
      </c>
      <c r="E20" s="4">
        <f t="shared" si="13"/>
        <v>18</v>
      </c>
      <c r="F20" s="10">
        <f t="shared" si="17"/>
        <v>0.35600000000000015</v>
      </c>
      <c r="G20" s="9">
        <f t="shared" si="3"/>
        <v>1552</v>
      </c>
      <c r="I20" s="4">
        <f t="shared" si="4"/>
        <v>10000</v>
      </c>
      <c r="J20" s="11">
        <f t="shared" si="6"/>
        <v>0.34</v>
      </c>
      <c r="K20" s="11">
        <f t="shared" si="7"/>
        <v>0.66</v>
      </c>
      <c r="L20" s="11">
        <f t="shared" si="8"/>
        <v>0</v>
      </c>
      <c r="M20" s="4">
        <f t="shared" si="9"/>
        <v>1552</v>
      </c>
    </row>
    <row r="21" spans="1:13" x14ac:dyDescent="0.3">
      <c r="A21" s="1">
        <f t="shared" si="10"/>
        <v>19</v>
      </c>
      <c r="B21" s="1">
        <f t="shared" si="15"/>
        <v>3200</v>
      </c>
      <c r="C21" s="1">
        <f t="shared" si="16"/>
        <v>6800</v>
      </c>
      <c r="D21" s="4">
        <v>0</v>
      </c>
      <c r="E21" s="4">
        <f t="shared" si="13"/>
        <v>19</v>
      </c>
      <c r="F21" s="10">
        <f t="shared" si="17"/>
        <v>0.36400000000000016</v>
      </c>
      <c r="G21" s="9">
        <f t="shared" si="3"/>
        <v>1624</v>
      </c>
      <c r="I21" s="4">
        <f t="shared" si="4"/>
        <v>10000</v>
      </c>
      <c r="J21" s="11">
        <f t="shared" si="6"/>
        <v>0.32</v>
      </c>
      <c r="K21" s="11">
        <f t="shared" si="7"/>
        <v>0.68</v>
      </c>
      <c r="L21" s="11">
        <f t="shared" si="8"/>
        <v>0</v>
      </c>
      <c r="M21" s="4">
        <f t="shared" si="9"/>
        <v>1624</v>
      </c>
    </row>
    <row r="22" spans="1:13" x14ac:dyDescent="0.3">
      <c r="A22" s="1">
        <f t="shared" si="10"/>
        <v>20</v>
      </c>
      <c r="B22" s="1">
        <f t="shared" si="15"/>
        <v>3000</v>
      </c>
      <c r="C22" s="1">
        <f t="shared" si="16"/>
        <v>7000</v>
      </c>
      <c r="D22" s="4">
        <v>0</v>
      </c>
      <c r="E22" s="4">
        <f t="shared" si="13"/>
        <v>20</v>
      </c>
      <c r="F22" s="10">
        <f t="shared" si="17"/>
        <v>0.37200000000000016</v>
      </c>
      <c r="G22" s="9">
        <f t="shared" si="3"/>
        <v>1696</v>
      </c>
      <c r="I22" s="4">
        <f t="shared" si="4"/>
        <v>10000</v>
      </c>
      <c r="J22" s="11">
        <f t="shared" si="6"/>
        <v>0.3</v>
      </c>
      <c r="K22" s="11">
        <f t="shared" si="7"/>
        <v>0.7</v>
      </c>
      <c r="L22" s="11">
        <f t="shared" si="8"/>
        <v>0</v>
      </c>
      <c r="M22" s="4">
        <f t="shared" si="9"/>
        <v>1696</v>
      </c>
    </row>
    <row r="23" spans="1:13" x14ac:dyDescent="0.3">
      <c r="A23" s="1">
        <f t="shared" si="10"/>
        <v>21</v>
      </c>
      <c r="B23" s="1">
        <v>3000</v>
      </c>
      <c r="C23" s="1">
        <f>$C$22-D23</f>
        <v>6980</v>
      </c>
      <c r="D23" s="4">
        <f>D22+20</f>
        <v>20</v>
      </c>
      <c r="E23" s="4">
        <f t="shared" si="13"/>
        <v>21</v>
      </c>
      <c r="F23" s="10">
        <f t="shared" si="17"/>
        <v>0.38000000000000017</v>
      </c>
      <c r="G23" s="9">
        <f t="shared" si="3"/>
        <v>1767</v>
      </c>
      <c r="I23" s="4">
        <f t="shared" si="4"/>
        <v>10000</v>
      </c>
      <c r="J23" s="11">
        <f t="shared" si="6"/>
        <v>0.3</v>
      </c>
      <c r="K23" s="11">
        <f t="shared" si="7"/>
        <v>0.69799999999999995</v>
      </c>
      <c r="L23" s="11">
        <f t="shared" si="8"/>
        <v>2E-3</v>
      </c>
      <c r="M23" s="4">
        <f t="shared" si="9"/>
        <v>1767</v>
      </c>
    </row>
    <row r="24" spans="1:13" x14ac:dyDescent="0.3">
      <c r="A24" s="1">
        <f t="shared" si="10"/>
        <v>22</v>
      </c>
      <c r="B24" s="1">
        <v>3000</v>
      </c>
      <c r="C24" s="1">
        <f t="shared" ref="C24:C41" si="18">$C$22-D24</f>
        <v>6960</v>
      </c>
      <c r="D24" s="4">
        <f t="shared" ref="D24:D41" si="19">D23+20</f>
        <v>40</v>
      </c>
      <c r="E24" s="4">
        <f t="shared" si="13"/>
        <v>22</v>
      </c>
      <c r="F24" s="10">
        <f t="shared" si="17"/>
        <v>0.38800000000000018</v>
      </c>
      <c r="G24" s="9">
        <f t="shared" si="3"/>
        <v>1837</v>
      </c>
      <c r="I24" s="4">
        <f t="shared" si="4"/>
        <v>10000</v>
      </c>
      <c r="J24" s="11">
        <f t="shared" si="6"/>
        <v>0.3</v>
      </c>
      <c r="K24" s="11">
        <f t="shared" si="7"/>
        <v>0.69599999999999995</v>
      </c>
      <c r="L24" s="11">
        <f t="shared" si="8"/>
        <v>4.0000000000000001E-3</v>
      </c>
      <c r="M24" s="4">
        <f t="shared" si="9"/>
        <v>1837</v>
      </c>
    </row>
    <row r="25" spans="1:13" x14ac:dyDescent="0.3">
      <c r="A25" s="1">
        <f t="shared" si="10"/>
        <v>23</v>
      </c>
      <c r="B25" s="1">
        <v>3000</v>
      </c>
      <c r="C25" s="1">
        <f t="shared" si="18"/>
        <v>6940</v>
      </c>
      <c r="D25" s="4">
        <f t="shared" si="19"/>
        <v>60</v>
      </c>
      <c r="E25" s="4">
        <f t="shared" si="13"/>
        <v>23</v>
      </c>
      <c r="F25" s="10">
        <f t="shared" si="17"/>
        <v>0.39600000000000019</v>
      </c>
      <c r="G25" s="9">
        <f t="shared" si="3"/>
        <v>1907</v>
      </c>
      <c r="I25" s="4">
        <f t="shared" si="4"/>
        <v>10000</v>
      </c>
      <c r="J25" s="11">
        <f t="shared" si="6"/>
        <v>0.3</v>
      </c>
      <c r="K25" s="11">
        <f t="shared" si="7"/>
        <v>0.69399999999999995</v>
      </c>
      <c r="L25" s="11">
        <f t="shared" si="8"/>
        <v>6.0000000000000001E-3</v>
      </c>
      <c r="M25" s="4">
        <f t="shared" si="9"/>
        <v>1907</v>
      </c>
    </row>
    <row r="26" spans="1:13" x14ac:dyDescent="0.3">
      <c r="A26" s="1">
        <f t="shared" si="10"/>
        <v>24</v>
      </c>
      <c r="B26" s="1">
        <v>3000</v>
      </c>
      <c r="C26" s="1">
        <f t="shared" si="18"/>
        <v>6920</v>
      </c>
      <c r="D26" s="4">
        <f t="shared" si="19"/>
        <v>80</v>
      </c>
      <c r="E26" s="4">
        <f t="shared" si="13"/>
        <v>24</v>
      </c>
      <c r="F26" s="10">
        <f t="shared" si="17"/>
        <v>0.40400000000000019</v>
      </c>
      <c r="G26" s="9">
        <f t="shared" si="3"/>
        <v>1977</v>
      </c>
      <c r="I26" s="4">
        <f t="shared" si="4"/>
        <v>10000</v>
      </c>
      <c r="J26" s="11">
        <f t="shared" si="6"/>
        <v>0.3</v>
      </c>
      <c r="K26" s="11">
        <f t="shared" si="7"/>
        <v>0.69199999999999995</v>
      </c>
      <c r="L26" s="11">
        <f t="shared" si="8"/>
        <v>8.0000000000000002E-3</v>
      </c>
      <c r="M26" s="4">
        <f t="shared" si="9"/>
        <v>1977</v>
      </c>
    </row>
    <row r="27" spans="1:13" x14ac:dyDescent="0.3">
      <c r="A27" s="1">
        <f t="shared" si="10"/>
        <v>25</v>
      </c>
      <c r="B27" s="1">
        <v>3000</v>
      </c>
      <c r="C27" s="1">
        <f t="shared" si="18"/>
        <v>6900</v>
      </c>
      <c r="D27" s="4">
        <f t="shared" si="19"/>
        <v>100</v>
      </c>
      <c r="E27" s="4">
        <f t="shared" si="13"/>
        <v>25</v>
      </c>
      <c r="F27" s="10">
        <f t="shared" si="17"/>
        <v>0.4120000000000002</v>
      </c>
      <c r="G27" s="9">
        <f t="shared" si="3"/>
        <v>2047</v>
      </c>
      <c r="I27" s="4">
        <f t="shared" si="4"/>
        <v>10000</v>
      </c>
      <c r="J27" s="11">
        <f t="shared" si="6"/>
        <v>0.3</v>
      </c>
      <c r="K27" s="11">
        <f t="shared" si="7"/>
        <v>0.69</v>
      </c>
      <c r="L27" s="11">
        <f t="shared" si="8"/>
        <v>0.01</v>
      </c>
      <c r="M27" s="4">
        <f t="shared" si="9"/>
        <v>2047</v>
      </c>
    </row>
    <row r="28" spans="1:13" x14ac:dyDescent="0.3">
      <c r="A28" s="1">
        <f t="shared" si="10"/>
        <v>26</v>
      </c>
      <c r="B28" s="1">
        <v>3000</v>
      </c>
      <c r="C28" s="1">
        <f t="shared" si="18"/>
        <v>6880</v>
      </c>
      <c r="D28" s="4">
        <f t="shared" si="19"/>
        <v>120</v>
      </c>
      <c r="E28" s="4">
        <f t="shared" si="13"/>
        <v>26</v>
      </c>
      <c r="F28" s="10">
        <f t="shared" si="17"/>
        <v>0.42000000000000021</v>
      </c>
      <c r="G28" s="9">
        <f t="shared" si="3"/>
        <v>2116</v>
      </c>
      <c r="I28" s="4">
        <f t="shared" si="4"/>
        <v>10000</v>
      </c>
      <c r="J28" s="11">
        <f t="shared" si="6"/>
        <v>0.3</v>
      </c>
      <c r="K28" s="11">
        <f t="shared" si="7"/>
        <v>0.68799999999999994</v>
      </c>
      <c r="L28" s="11">
        <f t="shared" si="8"/>
        <v>1.2E-2</v>
      </c>
      <c r="M28" s="4">
        <f t="shared" si="9"/>
        <v>2116</v>
      </c>
    </row>
    <row r="29" spans="1:13" x14ac:dyDescent="0.3">
      <c r="A29" s="1">
        <f t="shared" si="10"/>
        <v>27</v>
      </c>
      <c r="B29" s="1">
        <v>3000</v>
      </c>
      <c r="C29" s="1">
        <f t="shared" si="18"/>
        <v>6860</v>
      </c>
      <c r="D29" s="4">
        <f t="shared" si="19"/>
        <v>140</v>
      </c>
      <c r="E29" s="4">
        <f t="shared" si="13"/>
        <v>27</v>
      </c>
      <c r="F29" s="10">
        <f t="shared" si="17"/>
        <v>0.42800000000000021</v>
      </c>
      <c r="G29" s="9">
        <f t="shared" si="3"/>
        <v>2184</v>
      </c>
      <c r="I29" s="4">
        <f t="shared" si="4"/>
        <v>10000</v>
      </c>
      <c r="J29" s="11">
        <f t="shared" si="6"/>
        <v>0.3</v>
      </c>
      <c r="K29" s="11">
        <f t="shared" si="7"/>
        <v>0.68600000000000005</v>
      </c>
      <c r="L29" s="11">
        <f t="shared" si="8"/>
        <v>1.4E-2</v>
      </c>
      <c r="M29" s="4">
        <f t="shared" si="9"/>
        <v>2184</v>
      </c>
    </row>
    <row r="30" spans="1:13" x14ac:dyDescent="0.3">
      <c r="A30" s="1">
        <f t="shared" si="10"/>
        <v>28</v>
      </c>
      <c r="B30" s="1">
        <v>3000</v>
      </c>
      <c r="C30" s="1">
        <f t="shared" si="18"/>
        <v>6840</v>
      </c>
      <c r="D30" s="4">
        <f t="shared" si="19"/>
        <v>160</v>
      </c>
      <c r="E30" s="4">
        <f t="shared" si="13"/>
        <v>28</v>
      </c>
      <c r="F30" s="10">
        <f t="shared" si="17"/>
        <v>0.43600000000000022</v>
      </c>
      <c r="G30" s="9">
        <f t="shared" si="3"/>
        <v>2252</v>
      </c>
      <c r="I30" s="4">
        <f t="shared" si="4"/>
        <v>10000</v>
      </c>
      <c r="J30" s="11">
        <f t="shared" si="6"/>
        <v>0.3</v>
      </c>
      <c r="K30" s="11">
        <f t="shared" si="7"/>
        <v>0.68400000000000005</v>
      </c>
      <c r="L30" s="11">
        <f t="shared" si="8"/>
        <v>1.6E-2</v>
      </c>
      <c r="M30" s="4">
        <f t="shared" si="9"/>
        <v>2252</v>
      </c>
    </row>
    <row r="31" spans="1:13" x14ac:dyDescent="0.3">
      <c r="A31" s="1">
        <f t="shared" si="10"/>
        <v>29</v>
      </c>
      <c r="B31" s="1">
        <v>3000</v>
      </c>
      <c r="C31" s="1">
        <f t="shared" si="18"/>
        <v>6820</v>
      </c>
      <c r="D31" s="4">
        <f t="shared" si="19"/>
        <v>180</v>
      </c>
      <c r="E31" s="4">
        <f t="shared" si="13"/>
        <v>29</v>
      </c>
      <c r="F31" s="10">
        <f t="shared" si="17"/>
        <v>0.44400000000000023</v>
      </c>
      <c r="G31" s="9">
        <f t="shared" si="3"/>
        <v>2320</v>
      </c>
      <c r="I31" s="4">
        <f t="shared" si="4"/>
        <v>10000</v>
      </c>
      <c r="J31" s="11">
        <f t="shared" si="6"/>
        <v>0.3</v>
      </c>
      <c r="K31" s="11">
        <f t="shared" si="7"/>
        <v>0.68200000000000005</v>
      </c>
      <c r="L31" s="11">
        <f t="shared" si="8"/>
        <v>1.7999999999999999E-2</v>
      </c>
      <c r="M31" s="4">
        <f t="shared" si="9"/>
        <v>2320</v>
      </c>
    </row>
    <row r="32" spans="1:13" x14ac:dyDescent="0.3">
      <c r="A32" s="1">
        <f t="shared" si="10"/>
        <v>30</v>
      </c>
      <c r="B32" s="1">
        <v>3000</v>
      </c>
      <c r="C32" s="1">
        <f t="shared" si="18"/>
        <v>6800</v>
      </c>
      <c r="D32" s="4">
        <f t="shared" si="19"/>
        <v>200</v>
      </c>
      <c r="E32" s="4">
        <f t="shared" si="13"/>
        <v>30</v>
      </c>
      <c r="F32" s="10">
        <f t="shared" si="17"/>
        <v>0.45200000000000023</v>
      </c>
      <c r="G32" s="9">
        <f t="shared" si="3"/>
        <v>2387</v>
      </c>
      <c r="I32" s="4">
        <f t="shared" si="4"/>
        <v>10000</v>
      </c>
      <c r="J32" s="11">
        <f t="shared" si="6"/>
        <v>0.3</v>
      </c>
      <c r="K32" s="11">
        <f t="shared" si="7"/>
        <v>0.68</v>
      </c>
      <c r="L32" s="11">
        <f t="shared" si="8"/>
        <v>0.02</v>
      </c>
      <c r="M32" s="4">
        <f t="shared" si="9"/>
        <v>2387</v>
      </c>
    </row>
    <row r="33" spans="1:13" x14ac:dyDescent="0.3">
      <c r="A33" s="1">
        <f t="shared" si="10"/>
        <v>31</v>
      </c>
      <c r="B33" s="1">
        <v>3000</v>
      </c>
      <c r="C33" s="1">
        <f t="shared" si="18"/>
        <v>6780</v>
      </c>
      <c r="D33" s="4">
        <f t="shared" si="19"/>
        <v>220</v>
      </c>
      <c r="E33" s="4">
        <f t="shared" si="13"/>
        <v>31</v>
      </c>
      <c r="F33" s="10">
        <f t="shared" si="17"/>
        <v>0.46000000000000024</v>
      </c>
      <c r="G33" s="9">
        <f t="shared" si="3"/>
        <v>2454</v>
      </c>
      <c r="I33" s="4">
        <f t="shared" si="4"/>
        <v>10000</v>
      </c>
      <c r="J33" s="11">
        <f t="shared" si="6"/>
        <v>0.3</v>
      </c>
      <c r="K33" s="11">
        <f t="shared" si="7"/>
        <v>0.67800000000000005</v>
      </c>
      <c r="L33" s="11">
        <f t="shared" si="8"/>
        <v>2.1999999999999999E-2</v>
      </c>
      <c r="M33" s="4">
        <f t="shared" si="9"/>
        <v>2454</v>
      </c>
    </row>
    <row r="34" spans="1:13" x14ac:dyDescent="0.3">
      <c r="A34" s="1">
        <f t="shared" si="10"/>
        <v>32</v>
      </c>
      <c r="B34" s="1">
        <v>3000</v>
      </c>
      <c r="C34" s="1">
        <f t="shared" si="18"/>
        <v>6760</v>
      </c>
      <c r="D34" s="4">
        <f t="shared" si="19"/>
        <v>240</v>
      </c>
      <c r="E34" s="4">
        <f t="shared" si="13"/>
        <v>32</v>
      </c>
      <c r="F34" s="10">
        <f t="shared" si="17"/>
        <v>0.46800000000000025</v>
      </c>
      <c r="G34" s="9">
        <f t="shared" si="3"/>
        <v>2520</v>
      </c>
      <c r="I34" s="4">
        <f t="shared" si="4"/>
        <v>10000</v>
      </c>
      <c r="J34" s="11">
        <f t="shared" si="6"/>
        <v>0.3</v>
      </c>
      <c r="K34" s="11">
        <f t="shared" si="7"/>
        <v>0.67600000000000005</v>
      </c>
      <c r="L34" s="11">
        <f t="shared" si="8"/>
        <v>2.4E-2</v>
      </c>
      <c r="M34" s="4">
        <f t="shared" si="9"/>
        <v>2520</v>
      </c>
    </row>
    <row r="35" spans="1:13" x14ac:dyDescent="0.3">
      <c r="A35" s="1">
        <f t="shared" si="10"/>
        <v>33</v>
      </c>
      <c r="B35" s="1">
        <v>3000</v>
      </c>
      <c r="C35" s="1">
        <f t="shared" si="18"/>
        <v>6740</v>
      </c>
      <c r="D35" s="4">
        <f t="shared" si="19"/>
        <v>260</v>
      </c>
      <c r="E35" s="4">
        <f t="shared" si="13"/>
        <v>33</v>
      </c>
      <c r="F35" s="10">
        <f t="shared" si="17"/>
        <v>0.47600000000000026</v>
      </c>
      <c r="G35" s="9">
        <f t="shared" si="3"/>
        <v>2585</v>
      </c>
      <c r="I35" s="4">
        <f t="shared" ref="I35:I66" si="20">SUM(B35:D35)</f>
        <v>10000</v>
      </c>
      <c r="J35" s="11">
        <f t="shared" si="6"/>
        <v>0.3</v>
      </c>
      <c r="K35" s="11">
        <f t="shared" si="7"/>
        <v>0.67400000000000004</v>
      </c>
      <c r="L35" s="11">
        <f t="shared" si="8"/>
        <v>2.5999999999999999E-2</v>
      </c>
      <c r="M35" s="4">
        <f t="shared" si="9"/>
        <v>2585</v>
      </c>
    </row>
    <row r="36" spans="1:13" x14ac:dyDescent="0.3">
      <c r="A36" s="1">
        <f t="shared" si="10"/>
        <v>34</v>
      </c>
      <c r="B36" s="1">
        <v>3000</v>
      </c>
      <c r="C36" s="1">
        <f t="shared" si="18"/>
        <v>6720</v>
      </c>
      <c r="D36" s="4">
        <f t="shared" si="19"/>
        <v>280</v>
      </c>
      <c r="E36" s="4">
        <f t="shared" si="13"/>
        <v>34</v>
      </c>
      <c r="F36" s="10">
        <f t="shared" si="17"/>
        <v>0.48400000000000026</v>
      </c>
      <c r="G36" s="9">
        <f t="shared" si="3"/>
        <v>2650</v>
      </c>
      <c r="I36" s="4">
        <f t="shared" si="20"/>
        <v>10000</v>
      </c>
      <c r="J36" s="11">
        <f t="shared" si="6"/>
        <v>0.3</v>
      </c>
      <c r="K36" s="11">
        <f t="shared" si="7"/>
        <v>0.67200000000000004</v>
      </c>
      <c r="L36" s="11">
        <f t="shared" si="8"/>
        <v>2.8000000000000001E-2</v>
      </c>
      <c r="M36" s="4">
        <f t="shared" si="9"/>
        <v>2650</v>
      </c>
    </row>
    <row r="37" spans="1:13" x14ac:dyDescent="0.3">
      <c r="A37" s="1">
        <f t="shared" si="10"/>
        <v>35</v>
      </c>
      <c r="B37" s="1">
        <v>3000</v>
      </c>
      <c r="C37" s="1">
        <f t="shared" si="18"/>
        <v>6700</v>
      </c>
      <c r="D37" s="4">
        <f t="shared" si="19"/>
        <v>300</v>
      </c>
      <c r="E37" s="4">
        <f t="shared" si="13"/>
        <v>35</v>
      </c>
      <c r="F37" s="10">
        <f t="shared" si="17"/>
        <v>0.49200000000000027</v>
      </c>
      <c r="G37" s="9">
        <f t="shared" si="3"/>
        <v>2714</v>
      </c>
      <c r="I37" s="4">
        <f t="shared" si="20"/>
        <v>10000</v>
      </c>
      <c r="J37" s="11">
        <f t="shared" si="6"/>
        <v>0.3</v>
      </c>
      <c r="K37" s="11">
        <f t="shared" si="7"/>
        <v>0.67</v>
      </c>
      <c r="L37" s="11">
        <f t="shared" si="8"/>
        <v>0.03</v>
      </c>
      <c r="M37" s="4">
        <f t="shared" si="9"/>
        <v>2714</v>
      </c>
    </row>
    <row r="38" spans="1:13" x14ac:dyDescent="0.3">
      <c r="A38" s="1">
        <f t="shared" si="10"/>
        <v>36</v>
      </c>
      <c r="B38" s="1">
        <v>3000</v>
      </c>
      <c r="C38" s="1">
        <f t="shared" si="18"/>
        <v>6680</v>
      </c>
      <c r="D38" s="4">
        <f t="shared" si="19"/>
        <v>320</v>
      </c>
      <c r="E38" s="4">
        <f t="shared" si="13"/>
        <v>36</v>
      </c>
      <c r="F38" s="10">
        <f t="shared" si="17"/>
        <v>0.50000000000000022</v>
      </c>
      <c r="G38" s="9">
        <f t="shared" si="3"/>
        <v>2778</v>
      </c>
      <c r="I38" s="4">
        <f t="shared" si="20"/>
        <v>10000</v>
      </c>
      <c r="J38" s="11">
        <f t="shared" si="6"/>
        <v>0.3</v>
      </c>
      <c r="K38" s="11">
        <f t="shared" si="7"/>
        <v>0.66800000000000004</v>
      </c>
      <c r="L38" s="11">
        <f t="shared" si="8"/>
        <v>3.2000000000000001E-2</v>
      </c>
      <c r="M38" s="4">
        <f t="shared" si="9"/>
        <v>2778</v>
      </c>
    </row>
    <row r="39" spans="1:13" x14ac:dyDescent="0.3">
      <c r="A39" s="1">
        <f t="shared" si="10"/>
        <v>37</v>
      </c>
      <c r="B39" s="1">
        <v>3000</v>
      </c>
      <c r="C39" s="1">
        <f t="shared" si="18"/>
        <v>6660</v>
      </c>
      <c r="D39" s="4">
        <f t="shared" si="19"/>
        <v>340</v>
      </c>
      <c r="E39" s="4">
        <f t="shared" si="13"/>
        <v>37</v>
      </c>
      <c r="F39" s="10">
        <f t="shared" si="17"/>
        <v>0.50800000000000023</v>
      </c>
      <c r="G39" s="9">
        <f t="shared" si="3"/>
        <v>2841</v>
      </c>
      <c r="I39" s="4">
        <f t="shared" si="20"/>
        <v>10000</v>
      </c>
      <c r="J39" s="11">
        <f t="shared" si="6"/>
        <v>0.3</v>
      </c>
      <c r="K39" s="11">
        <f t="shared" si="7"/>
        <v>0.66600000000000004</v>
      </c>
      <c r="L39" s="11">
        <f t="shared" si="8"/>
        <v>3.4000000000000002E-2</v>
      </c>
      <c r="M39" s="4">
        <f t="shared" si="9"/>
        <v>2841</v>
      </c>
    </row>
    <row r="40" spans="1:13" x14ac:dyDescent="0.3">
      <c r="A40" s="1">
        <f t="shared" si="10"/>
        <v>38</v>
      </c>
      <c r="B40" s="1">
        <v>3000</v>
      </c>
      <c r="C40" s="1">
        <f t="shared" si="18"/>
        <v>6640</v>
      </c>
      <c r="D40" s="4">
        <f t="shared" si="19"/>
        <v>360</v>
      </c>
      <c r="E40" s="4">
        <f t="shared" si="13"/>
        <v>38</v>
      </c>
      <c r="F40" s="10">
        <f t="shared" si="17"/>
        <v>0.51600000000000024</v>
      </c>
      <c r="G40" s="9">
        <f t="shared" si="3"/>
        <v>2903</v>
      </c>
      <c r="I40" s="4">
        <f t="shared" si="20"/>
        <v>10000</v>
      </c>
      <c r="J40" s="11">
        <f t="shared" si="6"/>
        <v>0.3</v>
      </c>
      <c r="K40" s="11">
        <f t="shared" si="7"/>
        <v>0.66400000000000003</v>
      </c>
      <c r="L40" s="11">
        <f t="shared" si="8"/>
        <v>3.5999999999999997E-2</v>
      </c>
      <c r="M40" s="4">
        <f t="shared" si="9"/>
        <v>2903</v>
      </c>
    </row>
    <row r="41" spans="1:13" x14ac:dyDescent="0.3">
      <c r="A41" s="1">
        <f t="shared" si="10"/>
        <v>39</v>
      </c>
      <c r="B41" s="1">
        <v>3000</v>
      </c>
      <c r="C41" s="1">
        <f t="shared" si="18"/>
        <v>6620</v>
      </c>
      <c r="D41" s="4">
        <f t="shared" si="19"/>
        <v>380</v>
      </c>
      <c r="E41" s="4">
        <f t="shared" si="13"/>
        <v>39</v>
      </c>
      <c r="F41" s="10">
        <f t="shared" si="17"/>
        <v>0.52400000000000024</v>
      </c>
      <c r="G41" s="9">
        <f t="shared" si="3"/>
        <v>2965</v>
      </c>
      <c r="I41" s="4">
        <f t="shared" si="20"/>
        <v>10000</v>
      </c>
      <c r="J41" s="11">
        <f t="shared" si="6"/>
        <v>0.3</v>
      </c>
      <c r="K41" s="11">
        <f t="shared" si="7"/>
        <v>0.66200000000000003</v>
      </c>
      <c r="L41" s="11">
        <f t="shared" si="8"/>
        <v>3.7999999999999999E-2</v>
      </c>
      <c r="M41" s="4">
        <f t="shared" si="9"/>
        <v>2965</v>
      </c>
    </row>
    <row r="42" spans="1:13" x14ac:dyDescent="0.3">
      <c r="A42" s="1">
        <f t="shared" si="10"/>
        <v>40</v>
      </c>
      <c r="B42" s="1">
        <v>2500</v>
      </c>
      <c r="C42" s="1">
        <v>7500</v>
      </c>
      <c r="D42" s="4">
        <v>0</v>
      </c>
      <c r="E42" s="4">
        <f t="shared" si="13"/>
        <v>40</v>
      </c>
      <c r="F42" s="10">
        <f t="shared" si="17"/>
        <v>0.53200000000000025</v>
      </c>
      <c r="G42" s="9">
        <f t="shared" si="3"/>
        <v>3026</v>
      </c>
      <c r="I42" s="4">
        <f t="shared" si="20"/>
        <v>10000</v>
      </c>
      <c r="J42" s="11">
        <f t="shared" si="6"/>
        <v>0.25</v>
      </c>
      <c r="K42" s="11">
        <f t="shared" si="7"/>
        <v>0.75</v>
      </c>
      <c r="L42" s="11">
        <f t="shared" si="8"/>
        <v>0</v>
      </c>
      <c r="M42" s="4">
        <f t="shared" si="9"/>
        <v>3026</v>
      </c>
    </row>
    <row r="43" spans="1:13" x14ac:dyDescent="0.3">
      <c r="A43" s="1">
        <f t="shared" si="10"/>
        <v>41</v>
      </c>
      <c r="B43" s="1">
        <v>2500</v>
      </c>
      <c r="C43" s="1">
        <f>C42-D43</f>
        <v>7450</v>
      </c>
      <c r="D43" s="4">
        <f>D42+50</f>
        <v>50</v>
      </c>
      <c r="E43" s="4">
        <f>E42+2</f>
        <v>42</v>
      </c>
      <c r="F43" s="10">
        <f>F42+0.006</f>
        <v>0.53800000000000026</v>
      </c>
      <c r="G43" s="9">
        <f t="shared" si="3"/>
        <v>3087</v>
      </c>
      <c r="I43" s="4">
        <f t="shared" si="20"/>
        <v>10000</v>
      </c>
      <c r="J43" s="11">
        <f t="shared" si="6"/>
        <v>0.25</v>
      </c>
      <c r="K43" s="11">
        <f t="shared" si="7"/>
        <v>0.745</v>
      </c>
      <c r="L43" s="11">
        <f t="shared" si="8"/>
        <v>5.0000000000000001E-3</v>
      </c>
      <c r="M43" s="4">
        <f t="shared" si="9"/>
        <v>3087</v>
      </c>
    </row>
    <row r="44" spans="1:13" x14ac:dyDescent="0.3">
      <c r="A44" s="1">
        <f t="shared" si="10"/>
        <v>42</v>
      </c>
      <c r="B44" s="1">
        <v>2500</v>
      </c>
      <c r="C44" s="1">
        <f>$C$42-D44</f>
        <v>7400</v>
      </c>
      <c r="D44" s="4">
        <f t="shared" ref="D44:D61" si="21">D43+50</f>
        <v>100</v>
      </c>
      <c r="E44" s="4">
        <f t="shared" ref="E44:E61" si="22">E43+2</f>
        <v>44</v>
      </c>
      <c r="F44" s="10">
        <f t="shared" ref="F44:F64" si="23">F43+0.006</f>
        <v>0.54400000000000026</v>
      </c>
      <c r="G44" s="9">
        <f t="shared" si="3"/>
        <v>3146</v>
      </c>
      <c r="I44" s="4">
        <f t="shared" si="20"/>
        <v>10000</v>
      </c>
      <c r="J44" s="11">
        <f t="shared" si="6"/>
        <v>0.25</v>
      </c>
      <c r="K44" s="11">
        <f t="shared" si="7"/>
        <v>0.74</v>
      </c>
      <c r="L44" s="11">
        <f t="shared" si="8"/>
        <v>0.01</v>
      </c>
      <c r="M44" s="4">
        <f t="shared" si="9"/>
        <v>3146</v>
      </c>
    </row>
    <row r="45" spans="1:13" x14ac:dyDescent="0.3">
      <c r="A45" s="1">
        <f t="shared" si="10"/>
        <v>43</v>
      </c>
      <c r="B45" s="1">
        <v>2500</v>
      </c>
      <c r="C45" s="1">
        <f t="shared" ref="C45:C61" si="24">$C$42-D45</f>
        <v>7350</v>
      </c>
      <c r="D45" s="4">
        <f t="shared" si="21"/>
        <v>150</v>
      </c>
      <c r="E45" s="4">
        <f t="shared" si="22"/>
        <v>46</v>
      </c>
      <c r="F45" s="10">
        <f t="shared" si="23"/>
        <v>0.55000000000000027</v>
      </c>
      <c r="G45" s="9">
        <f t="shared" si="3"/>
        <v>3205</v>
      </c>
      <c r="I45" s="4">
        <f t="shared" si="20"/>
        <v>10000</v>
      </c>
      <c r="J45" s="11">
        <f t="shared" si="6"/>
        <v>0.25</v>
      </c>
      <c r="K45" s="11">
        <f t="shared" si="7"/>
        <v>0.73499999999999999</v>
      </c>
      <c r="L45" s="11">
        <f t="shared" si="8"/>
        <v>1.4999999999999999E-2</v>
      </c>
      <c r="M45" s="4">
        <f t="shared" si="9"/>
        <v>3205</v>
      </c>
    </row>
    <row r="46" spans="1:13" x14ac:dyDescent="0.3">
      <c r="A46" s="1">
        <f t="shared" si="10"/>
        <v>44</v>
      </c>
      <c r="B46" s="1">
        <v>2500</v>
      </c>
      <c r="C46" s="1">
        <f t="shared" si="24"/>
        <v>7300</v>
      </c>
      <c r="D46" s="4">
        <f t="shared" si="21"/>
        <v>200</v>
      </c>
      <c r="E46" s="4">
        <f t="shared" si="22"/>
        <v>48</v>
      </c>
      <c r="F46" s="10">
        <f t="shared" si="23"/>
        <v>0.55600000000000027</v>
      </c>
      <c r="G46" s="9">
        <f t="shared" si="3"/>
        <v>3264</v>
      </c>
      <c r="I46" s="4">
        <f t="shared" si="20"/>
        <v>10000</v>
      </c>
      <c r="J46" s="11">
        <f t="shared" si="6"/>
        <v>0.25</v>
      </c>
      <c r="K46" s="11">
        <f t="shared" si="7"/>
        <v>0.73</v>
      </c>
      <c r="L46" s="11">
        <f t="shared" si="8"/>
        <v>0.02</v>
      </c>
      <c r="M46" s="4">
        <f t="shared" si="9"/>
        <v>3264</v>
      </c>
    </row>
    <row r="47" spans="1:13" x14ac:dyDescent="0.3">
      <c r="A47" s="1">
        <f t="shared" si="10"/>
        <v>45</v>
      </c>
      <c r="B47" s="1">
        <v>2500</v>
      </c>
      <c r="C47" s="1">
        <f t="shared" si="24"/>
        <v>7250</v>
      </c>
      <c r="D47" s="4">
        <f t="shared" si="21"/>
        <v>250</v>
      </c>
      <c r="E47" s="4">
        <f t="shared" si="22"/>
        <v>50</v>
      </c>
      <c r="F47" s="10">
        <f t="shared" si="23"/>
        <v>0.56200000000000028</v>
      </c>
      <c r="G47" s="9">
        <f t="shared" si="3"/>
        <v>3321</v>
      </c>
      <c r="I47" s="4">
        <f t="shared" si="20"/>
        <v>10000</v>
      </c>
      <c r="J47" s="11">
        <f t="shared" si="6"/>
        <v>0.25</v>
      </c>
      <c r="K47" s="11">
        <f t="shared" si="7"/>
        <v>0.72499999999999998</v>
      </c>
      <c r="L47" s="11">
        <f t="shared" si="8"/>
        <v>2.5000000000000001E-2</v>
      </c>
      <c r="M47" s="4">
        <f t="shared" si="9"/>
        <v>3321</v>
      </c>
    </row>
    <row r="48" spans="1:13" x14ac:dyDescent="0.3">
      <c r="A48" s="1">
        <f t="shared" si="10"/>
        <v>46</v>
      </c>
      <c r="B48" s="1">
        <v>2500</v>
      </c>
      <c r="C48" s="1">
        <f t="shared" si="24"/>
        <v>7200</v>
      </c>
      <c r="D48" s="4">
        <f t="shared" si="21"/>
        <v>300</v>
      </c>
      <c r="E48" s="4">
        <f t="shared" si="22"/>
        <v>52</v>
      </c>
      <c r="F48" s="10">
        <f t="shared" si="23"/>
        <v>0.56800000000000028</v>
      </c>
      <c r="G48" s="9">
        <f t="shared" si="3"/>
        <v>3378</v>
      </c>
      <c r="I48" s="4">
        <f t="shared" si="20"/>
        <v>10000</v>
      </c>
      <c r="J48" s="11">
        <f t="shared" si="6"/>
        <v>0.25</v>
      </c>
      <c r="K48" s="11">
        <f t="shared" si="7"/>
        <v>0.72</v>
      </c>
      <c r="L48" s="11">
        <f t="shared" si="8"/>
        <v>0.03</v>
      </c>
      <c r="M48" s="4">
        <f t="shared" si="9"/>
        <v>3378</v>
      </c>
    </row>
    <row r="49" spans="1:13" x14ac:dyDescent="0.3">
      <c r="A49" s="1">
        <f t="shared" si="10"/>
        <v>47</v>
      </c>
      <c r="B49" s="1">
        <v>2500</v>
      </c>
      <c r="C49" s="1">
        <f t="shared" si="24"/>
        <v>7150</v>
      </c>
      <c r="D49" s="4">
        <f t="shared" si="21"/>
        <v>350</v>
      </c>
      <c r="E49" s="4">
        <f t="shared" si="22"/>
        <v>54</v>
      </c>
      <c r="F49" s="10">
        <f t="shared" si="23"/>
        <v>0.57400000000000029</v>
      </c>
      <c r="G49" s="9">
        <f t="shared" si="3"/>
        <v>3434</v>
      </c>
      <c r="I49" s="4">
        <f t="shared" si="20"/>
        <v>10000</v>
      </c>
      <c r="J49" s="11">
        <f t="shared" si="6"/>
        <v>0.25</v>
      </c>
      <c r="K49" s="11">
        <f t="shared" si="7"/>
        <v>0.71499999999999997</v>
      </c>
      <c r="L49" s="11">
        <f t="shared" si="8"/>
        <v>3.5000000000000003E-2</v>
      </c>
      <c r="M49" s="4">
        <f t="shared" si="9"/>
        <v>3434</v>
      </c>
    </row>
    <row r="50" spans="1:13" x14ac:dyDescent="0.3">
      <c r="A50" s="1">
        <f t="shared" si="10"/>
        <v>48</v>
      </c>
      <c r="B50" s="1">
        <v>2500</v>
      </c>
      <c r="C50" s="1">
        <f t="shared" si="24"/>
        <v>7100</v>
      </c>
      <c r="D50" s="4">
        <f t="shared" si="21"/>
        <v>400</v>
      </c>
      <c r="E50" s="4">
        <f t="shared" si="22"/>
        <v>56</v>
      </c>
      <c r="F50" s="10">
        <f t="shared" si="23"/>
        <v>0.58000000000000029</v>
      </c>
      <c r="G50" s="9">
        <f t="shared" si="3"/>
        <v>3489</v>
      </c>
      <c r="I50" s="4">
        <f t="shared" si="20"/>
        <v>10000</v>
      </c>
      <c r="J50" s="11">
        <f t="shared" si="6"/>
        <v>0.25</v>
      </c>
      <c r="K50" s="11">
        <f t="shared" si="7"/>
        <v>0.71</v>
      </c>
      <c r="L50" s="11">
        <f t="shared" si="8"/>
        <v>0.04</v>
      </c>
      <c r="M50" s="4">
        <f t="shared" si="9"/>
        <v>3489</v>
      </c>
    </row>
    <row r="51" spans="1:13" x14ac:dyDescent="0.3">
      <c r="A51" s="1">
        <f t="shared" si="10"/>
        <v>49</v>
      </c>
      <c r="B51" s="1">
        <v>2500</v>
      </c>
      <c r="C51" s="1">
        <f t="shared" si="24"/>
        <v>7050</v>
      </c>
      <c r="D51" s="4">
        <f t="shared" si="21"/>
        <v>450</v>
      </c>
      <c r="E51" s="4">
        <f t="shared" si="22"/>
        <v>58</v>
      </c>
      <c r="F51" s="10">
        <f t="shared" si="23"/>
        <v>0.5860000000000003</v>
      </c>
      <c r="G51" s="9">
        <f t="shared" si="3"/>
        <v>3543</v>
      </c>
      <c r="I51" s="4">
        <f t="shared" si="20"/>
        <v>10000</v>
      </c>
      <c r="J51" s="11">
        <f t="shared" si="6"/>
        <v>0.25</v>
      </c>
      <c r="K51" s="11">
        <f t="shared" si="7"/>
        <v>0.70499999999999996</v>
      </c>
      <c r="L51" s="11">
        <f t="shared" si="8"/>
        <v>4.4999999999999998E-2</v>
      </c>
      <c r="M51" s="4">
        <f t="shared" si="9"/>
        <v>3543</v>
      </c>
    </row>
    <row r="52" spans="1:13" x14ac:dyDescent="0.3">
      <c r="A52" s="1">
        <f t="shared" si="10"/>
        <v>50</v>
      </c>
      <c r="B52" s="1">
        <v>2500</v>
      </c>
      <c r="C52" s="1">
        <f t="shared" si="24"/>
        <v>7000</v>
      </c>
      <c r="D52" s="4">
        <f t="shared" si="21"/>
        <v>500</v>
      </c>
      <c r="E52" s="4">
        <f t="shared" si="22"/>
        <v>60</v>
      </c>
      <c r="F52" s="10">
        <f t="shared" si="23"/>
        <v>0.5920000000000003</v>
      </c>
      <c r="G52" s="9">
        <f t="shared" si="3"/>
        <v>3597</v>
      </c>
      <c r="I52" s="4">
        <f t="shared" si="20"/>
        <v>10000</v>
      </c>
      <c r="J52" s="11">
        <f t="shared" si="6"/>
        <v>0.25</v>
      </c>
      <c r="K52" s="11">
        <f t="shared" si="7"/>
        <v>0.7</v>
      </c>
      <c r="L52" s="11">
        <f t="shared" si="8"/>
        <v>0.05</v>
      </c>
      <c r="M52" s="4">
        <f t="shared" si="9"/>
        <v>3597</v>
      </c>
    </row>
    <row r="53" spans="1:13" x14ac:dyDescent="0.3">
      <c r="A53" s="1">
        <f t="shared" si="10"/>
        <v>51</v>
      </c>
      <c r="B53" s="1">
        <v>2500</v>
      </c>
      <c r="C53" s="1">
        <f t="shared" si="24"/>
        <v>6950</v>
      </c>
      <c r="D53" s="4">
        <f t="shared" si="21"/>
        <v>550</v>
      </c>
      <c r="E53" s="4">
        <f t="shared" si="22"/>
        <v>62</v>
      </c>
      <c r="F53" s="10">
        <f t="shared" si="23"/>
        <v>0.59800000000000031</v>
      </c>
      <c r="G53" s="9">
        <f t="shared" si="3"/>
        <v>3650</v>
      </c>
      <c r="I53" s="4">
        <f t="shared" si="20"/>
        <v>10000</v>
      </c>
      <c r="J53" s="11">
        <f t="shared" si="6"/>
        <v>0.25</v>
      </c>
      <c r="K53" s="11">
        <f t="shared" si="7"/>
        <v>0.69499999999999995</v>
      </c>
      <c r="L53" s="11">
        <f t="shared" si="8"/>
        <v>5.5E-2</v>
      </c>
      <c r="M53" s="4">
        <f t="shared" si="9"/>
        <v>3650</v>
      </c>
    </row>
    <row r="54" spans="1:13" x14ac:dyDescent="0.3">
      <c r="A54" s="1">
        <f t="shared" si="10"/>
        <v>52</v>
      </c>
      <c r="B54" s="1">
        <v>2500</v>
      </c>
      <c r="C54" s="1">
        <f t="shared" si="24"/>
        <v>6900</v>
      </c>
      <c r="D54" s="4">
        <f t="shared" si="21"/>
        <v>600</v>
      </c>
      <c r="E54" s="4">
        <f t="shared" si="22"/>
        <v>64</v>
      </c>
      <c r="F54" s="10">
        <f t="shared" si="23"/>
        <v>0.60400000000000031</v>
      </c>
      <c r="G54" s="9">
        <f t="shared" si="3"/>
        <v>3702</v>
      </c>
      <c r="I54" s="4">
        <f t="shared" si="20"/>
        <v>10000</v>
      </c>
      <c r="J54" s="11">
        <f t="shared" si="6"/>
        <v>0.25</v>
      </c>
      <c r="K54" s="11">
        <f t="shared" si="7"/>
        <v>0.69</v>
      </c>
      <c r="L54" s="11">
        <f t="shared" si="8"/>
        <v>0.06</v>
      </c>
      <c r="M54" s="4">
        <f t="shared" si="9"/>
        <v>3702</v>
      </c>
    </row>
    <row r="55" spans="1:13" x14ac:dyDescent="0.3">
      <c r="A55" s="1">
        <f t="shared" si="10"/>
        <v>53</v>
      </c>
      <c r="B55" s="1">
        <v>2500</v>
      </c>
      <c r="C55" s="1">
        <f t="shared" si="24"/>
        <v>6850</v>
      </c>
      <c r="D55" s="4">
        <f t="shared" si="21"/>
        <v>650</v>
      </c>
      <c r="E55" s="4">
        <f t="shared" si="22"/>
        <v>66</v>
      </c>
      <c r="F55" s="10">
        <f t="shared" si="23"/>
        <v>0.61000000000000032</v>
      </c>
      <c r="G55" s="9">
        <f t="shared" si="3"/>
        <v>3753</v>
      </c>
      <c r="I55" s="4">
        <f t="shared" si="20"/>
        <v>10000</v>
      </c>
      <c r="J55" s="11">
        <f t="shared" si="6"/>
        <v>0.25</v>
      </c>
      <c r="K55" s="11">
        <f t="shared" si="7"/>
        <v>0.68500000000000005</v>
      </c>
      <c r="L55" s="11">
        <f t="shared" si="8"/>
        <v>6.5000000000000002E-2</v>
      </c>
      <c r="M55" s="4">
        <f t="shared" si="9"/>
        <v>3753</v>
      </c>
    </row>
    <row r="56" spans="1:13" x14ac:dyDescent="0.3">
      <c r="A56" s="1">
        <f t="shared" si="10"/>
        <v>54</v>
      </c>
      <c r="B56" s="1">
        <v>2500</v>
      </c>
      <c r="C56" s="1">
        <f t="shared" si="24"/>
        <v>6800</v>
      </c>
      <c r="D56" s="4">
        <f t="shared" si="21"/>
        <v>700</v>
      </c>
      <c r="E56" s="4">
        <f t="shared" si="22"/>
        <v>68</v>
      </c>
      <c r="F56" s="10">
        <f t="shared" si="23"/>
        <v>0.61600000000000033</v>
      </c>
      <c r="G56" s="9">
        <f t="shared" si="3"/>
        <v>3803</v>
      </c>
      <c r="I56" s="4">
        <f t="shared" si="20"/>
        <v>10000</v>
      </c>
      <c r="J56" s="11">
        <f t="shared" si="6"/>
        <v>0.25</v>
      </c>
      <c r="K56" s="11">
        <f t="shared" si="7"/>
        <v>0.68</v>
      </c>
      <c r="L56" s="11">
        <f t="shared" si="8"/>
        <v>7.0000000000000007E-2</v>
      </c>
      <c r="M56" s="4">
        <f t="shared" si="9"/>
        <v>3803</v>
      </c>
    </row>
    <row r="57" spans="1:13" x14ac:dyDescent="0.3">
      <c r="A57" s="1">
        <f t="shared" si="10"/>
        <v>55</v>
      </c>
      <c r="B57" s="1">
        <v>2500</v>
      </c>
      <c r="C57" s="1">
        <f t="shared" si="24"/>
        <v>6750</v>
      </c>
      <c r="D57" s="4">
        <f t="shared" si="21"/>
        <v>750</v>
      </c>
      <c r="E57" s="4">
        <f t="shared" si="22"/>
        <v>70</v>
      </c>
      <c r="F57" s="10">
        <f t="shared" si="23"/>
        <v>0.62200000000000033</v>
      </c>
      <c r="G57" s="9">
        <f t="shared" si="3"/>
        <v>3852</v>
      </c>
      <c r="I57" s="4">
        <f t="shared" si="20"/>
        <v>10000</v>
      </c>
      <c r="J57" s="11">
        <f t="shared" si="6"/>
        <v>0.25</v>
      </c>
      <c r="K57" s="11">
        <f t="shared" si="7"/>
        <v>0.67500000000000004</v>
      </c>
      <c r="L57" s="11">
        <f t="shared" si="8"/>
        <v>7.4999999999999997E-2</v>
      </c>
      <c r="M57" s="4">
        <f t="shared" si="9"/>
        <v>3852</v>
      </c>
    </row>
    <row r="58" spans="1:13" x14ac:dyDescent="0.3">
      <c r="A58" s="1">
        <f t="shared" si="10"/>
        <v>56</v>
      </c>
      <c r="B58" s="1">
        <v>2500</v>
      </c>
      <c r="C58" s="1">
        <f t="shared" si="24"/>
        <v>6700</v>
      </c>
      <c r="D58" s="4">
        <f t="shared" si="21"/>
        <v>800</v>
      </c>
      <c r="E58" s="4">
        <f t="shared" si="22"/>
        <v>72</v>
      </c>
      <c r="F58" s="10">
        <f t="shared" si="23"/>
        <v>0.62800000000000034</v>
      </c>
      <c r="G58" s="9">
        <f t="shared" si="3"/>
        <v>3900</v>
      </c>
      <c r="I58" s="4">
        <f t="shared" si="20"/>
        <v>10000</v>
      </c>
      <c r="J58" s="11">
        <f t="shared" si="6"/>
        <v>0.25</v>
      </c>
      <c r="K58" s="11">
        <f t="shared" si="7"/>
        <v>0.67</v>
      </c>
      <c r="L58" s="11">
        <f t="shared" si="8"/>
        <v>0.08</v>
      </c>
      <c r="M58" s="4">
        <f t="shared" si="9"/>
        <v>3900</v>
      </c>
    </row>
    <row r="59" spans="1:13" x14ac:dyDescent="0.3">
      <c r="A59" s="1">
        <f t="shared" si="10"/>
        <v>57</v>
      </c>
      <c r="B59" s="1">
        <v>2500</v>
      </c>
      <c r="C59" s="1">
        <f t="shared" si="24"/>
        <v>6650</v>
      </c>
      <c r="D59" s="4">
        <f t="shared" si="21"/>
        <v>850</v>
      </c>
      <c r="E59" s="4">
        <f t="shared" si="22"/>
        <v>74</v>
      </c>
      <c r="F59" s="10">
        <f t="shared" si="23"/>
        <v>0.63400000000000034</v>
      </c>
      <c r="G59" s="9">
        <f t="shared" si="3"/>
        <v>3948</v>
      </c>
      <c r="I59" s="4">
        <f t="shared" si="20"/>
        <v>10000</v>
      </c>
      <c r="J59" s="11">
        <f t="shared" si="6"/>
        <v>0.25</v>
      </c>
      <c r="K59" s="11">
        <f t="shared" si="7"/>
        <v>0.66500000000000004</v>
      </c>
      <c r="L59" s="11">
        <f t="shared" si="8"/>
        <v>8.5000000000000006E-2</v>
      </c>
      <c r="M59" s="4">
        <f t="shared" si="9"/>
        <v>3948</v>
      </c>
    </row>
    <row r="60" spans="1:13" x14ac:dyDescent="0.3">
      <c r="A60" s="1">
        <f t="shared" si="10"/>
        <v>58</v>
      </c>
      <c r="B60" s="1">
        <v>2500</v>
      </c>
      <c r="C60" s="1">
        <f t="shared" si="24"/>
        <v>6600</v>
      </c>
      <c r="D60" s="4">
        <f t="shared" si="21"/>
        <v>900</v>
      </c>
      <c r="E60" s="4">
        <f t="shared" si="22"/>
        <v>76</v>
      </c>
      <c r="F60" s="10">
        <f t="shared" si="23"/>
        <v>0.64000000000000035</v>
      </c>
      <c r="G60" s="9">
        <f t="shared" si="3"/>
        <v>3994</v>
      </c>
      <c r="I60" s="4">
        <f t="shared" si="20"/>
        <v>10000</v>
      </c>
      <c r="J60" s="11">
        <f t="shared" si="6"/>
        <v>0.25</v>
      </c>
      <c r="K60" s="11">
        <f t="shared" si="7"/>
        <v>0.66</v>
      </c>
      <c r="L60" s="11">
        <f t="shared" si="8"/>
        <v>0.09</v>
      </c>
      <c r="M60" s="4">
        <f t="shared" si="9"/>
        <v>3994</v>
      </c>
    </row>
    <row r="61" spans="1:13" x14ac:dyDescent="0.3">
      <c r="A61" s="1">
        <f t="shared" si="10"/>
        <v>59</v>
      </c>
      <c r="B61" s="1">
        <v>2500</v>
      </c>
      <c r="C61" s="1">
        <f t="shared" si="24"/>
        <v>6550</v>
      </c>
      <c r="D61" s="4">
        <f t="shared" si="21"/>
        <v>950</v>
      </c>
      <c r="E61" s="4">
        <f t="shared" si="22"/>
        <v>78</v>
      </c>
      <c r="F61" s="10">
        <f t="shared" si="23"/>
        <v>0.64600000000000035</v>
      </c>
      <c r="G61" s="9">
        <f t="shared" si="3"/>
        <v>4040</v>
      </c>
      <c r="I61" s="4">
        <f t="shared" si="20"/>
        <v>10000</v>
      </c>
      <c r="J61" s="11">
        <f t="shared" si="6"/>
        <v>0.25</v>
      </c>
      <c r="K61" s="11">
        <f t="shared" si="7"/>
        <v>0.65500000000000003</v>
      </c>
      <c r="L61" s="11">
        <f t="shared" si="8"/>
        <v>9.5000000000000001E-2</v>
      </c>
      <c r="M61" s="4">
        <f t="shared" si="9"/>
        <v>4040</v>
      </c>
    </row>
    <row r="62" spans="1:13" x14ac:dyDescent="0.3">
      <c r="A62" s="1">
        <f t="shared" si="10"/>
        <v>60</v>
      </c>
      <c r="B62" s="1">
        <v>2000</v>
      </c>
      <c r="C62" s="1">
        <v>8000</v>
      </c>
      <c r="D62" s="4">
        <v>0</v>
      </c>
      <c r="E62" s="4">
        <f>E61+2</f>
        <v>80</v>
      </c>
      <c r="F62" s="10">
        <f t="shared" si="23"/>
        <v>0.65200000000000036</v>
      </c>
      <c r="G62" s="9">
        <f t="shared" si="3"/>
        <v>4085</v>
      </c>
      <c r="I62" s="4">
        <f t="shared" si="20"/>
        <v>10000</v>
      </c>
      <c r="J62" s="11">
        <f t="shared" si="6"/>
        <v>0.2</v>
      </c>
      <c r="K62" s="11">
        <f t="shared" si="7"/>
        <v>0.8</v>
      </c>
      <c r="L62" s="11">
        <f t="shared" si="8"/>
        <v>0</v>
      </c>
      <c r="M62" s="4">
        <f t="shared" si="9"/>
        <v>4085</v>
      </c>
    </row>
    <row r="63" spans="1:13" x14ac:dyDescent="0.3">
      <c r="A63" s="1">
        <f t="shared" si="10"/>
        <v>61</v>
      </c>
      <c r="B63" s="1">
        <v>2000</v>
      </c>
      <c r="C63" s="1">
        <f>$C$62-D63</f>
        <v>7900</v>
      </c>
      <c r="D63" s="4">
        <f>D62+100</f>
        <v>100</v>
      </c>
      <c r="E63" s="4">
        <f>E62+3</f>
        <v>83</v>
      </c>
      <c r="F63" s="10">
        <f>F62+0.006</f>
        <v>0.65800000000000036</v>
      </c>
      <c r="G63" s="9">
        <f t="shared" si="3"/>
        <v>4129</v>
      </c>
      <c r="I63" s="4">
        <f t="shared" si="20"/>
        <v>10000</v>
      </c>
      <c r="J63" s="11">
        <f t="shared" si="6"/>
        <v>0.2</v>
      </c>
      <c r="K63" s="11">
        <f t="shared" si="7"/>
        <v>0.79</v>
      </c>
      <c r="L63" s="11">
        <f t="shared" si="8"/>
        <v>0.01</v>
      </c>
      <c r="M63" s="4">
        <f t="shared" si="9"/>
        <v>4129</v>
      </c>
    </row>
    <row r="64" spans="1:13" x14ac:dyDescent="0.3">
      <c r="A64" s="1">
        <f t="shared" si="10"/>
        <v>62</v>
      </c>
      <c r="B64" s="1">
        <v>2000</v>
      </c>
      <c r="C64" s="1">
        <f t="shared" ref="C64:C81" si="25">$C$62-D64</f>
        <v>7800</v>
      </c>
      <c r="D64" s="4">
        <f t="shared" ref="D64:D81" si="26">D63+100</f>
        <v>200</v>
      </c>
      <c r="E64" s="4">
        <f t="shared" ref="E64:E82" si="27">E63+3</f>
        <v>86</v>
      </c>
      <c r="F64" s="10">
        <f t="shared" si="23"/>
        <v>0.66400000000000037</v>
      </c>
      <c r="G64" s="9">
        <f t="shared" si="3"/>
        <v>4171</v>
      </c>
      <c r="I64" s="4">
        <f t="shared" si="20"/>
        <v>10000</v>
      </c>
      <c r="J64" s="11">
        <f t="shared" si="6"/>
        <v>0.2</v>
      </c>
      <c r="K64" s="11">
        <f t="shared" si="7"/>
        <v>0.78</v>
      </c>
      <c r="L64" s="11">
        <f t="shared" si="8"/>
        <v>0.02</v>
      </c>
      <c r="M64" s="4">
        <f t="shared" si="9"/>
        <v>4171</v>
      </c>
    </row>
    <row r="65" spans="1:13" x14ac:dyDescent="0.3">
      <c r="A65" s="1">
        <f t="shared" si="10"/>
        <v>63</v>
      </c>
      <c r="B65" s="1">
        <v>2000</v>
      </c>
      <c r="C65" s="1">
        <f t="shared" si="25"/>
        <v>7700</v>
      </c>
      <c r="D65" s="4">
        <f t="shared" si="26"/>
        <v>300</v>
      </c>
      <c r="E65" s="4">
        <f t="shared" si="27"/>
        <v>89</v>
      </c>
      <c r="F65" s="10">
        <f>F64+0.006</f>
        <v>0.67000000000000037</v>
      </c>
      <c r="G65" s="9">
        <f t="shared" si="3"/>
        <v>4213</v>
      </c>
      <c r="I65" s="4">
        <f t="shared" si="20"/>
        <v>10000</v>
      </c>
      <c r="J65" s="11">
        <f t="shared" si="6"/>
        <v>0.2</v>
      </c>
      <c r="K65" s="11">
        <f t="shared" si="7"/>
        <v>0.77</v>
      </c>
      <c r="L65" s="11">
        <f t="shared" si="8"/>
        <v>0.03</v>
      </c>
      <c r="M65" s="4">
        <f t="shared" si="9"/>
        <v>4213</v>
      </c>
    </row>
    <row r="66" spans="1:13" x14ac:dyDescent="0.3">
      <c r="A66" s="1">
        <f t="shared" si="10"/>
        <v>64</v>
      </c>
      <c r="B66" s="1">
        <v>2000</v>
      </c>
      <c r="C66" s="1">
        <f t="shared" si="25"/>
        <v>7600</v>
      </c>
      <c r="D66" s="4">
        <f t="shared" si="26"/>
        <v>400</v>
      </c>
      <c r="E66" s="4">
        <f t="shared" si="27"/>
        <v>92</v>
      </c>
      <c r="F66" s="10">
        <f>F65+0.005</f>
        <v>0.67500000000000038</v>
      </c>
      <c r="G66" s="9">
        <f t="shared" si="3"/>
        <v>4254</v>
      </c>
      <c r="I66" s="4">
        <f t="shared" si="20"/>
        <v>10000</v>
      </c>
      <c r="J66" s="11">
        <f t="shared" si="6"/>
        <v>0.2</v>
      </c>
      <c r="K66" s="11">
        <f t="shared" si="7"/>
        <v>0.76</v>
      </c>
      <c r="L66" s="11">
        <f t="shared" si="8"/>
        <v>0.04</v>
      </c>
      <c r="M66" s="4">
        <f t="shared" si="9"/>
        <v>4254</v>
      </c>
    </row>
    <row r="67" spans="1:13" x14ac:dyDescent="0.3">
      <c r="A67" s="1">
        <f t="shared" si="10"/>
        <v>65</v>
      </c>
      <c r="B67" s="1">
        <v>2000</v>
      </c>
      <c r="C67" s="1">
        <f t="shared" si="25"/>
        <v>7500</v>
      </c>
      <c r="D67" s="4">
        <f t="shared" si="26"/>
        <v>500</v>
      </c>
      <c r="E67" s="4">
        <f t="shared" si="27"/>
        <v>95</v>
      </c>
      <c r="F67" s="10">
        <f t="shared" ref="F67:F82" si="28">F66+0.005</f>
        <v>0.68000000000000038</v>
      </c>
      <c r="G67" s="9">
        <f t="shared" ref="G67:G100" si="29">ROUND(300 + (5000-300) * SIN( (A67-1) / 99 * PI() / 2 ), 0)</f>
        <v>4294</v>
      </c>
      <c r="I67" s="4">
        <f t="shared" ref="I67:I101" si="30">SUM(B67:D67)</f>
        <v>10000</v>
      </c>
      <c r="J67" s="11">
        <f t="shared" si="6"/>
        <v>0.2</v>
      </c>
      <c r="K67" s="11">
        <f t="shared" si="7"/>
        <v>0.75</v>
      </c>
      <c r="L67" s="11">
        <f t="shared" si="8"/>
        <v>0.05</v>
      </c>
      <c r="M67" s="4">
        <f t="shared" si="9"/>
        <v>4294</v>
      </c>
    </row>
    <row r="68" spans="1:13" x14ac:dyDescent="0.3">
      <c r="A68" s="1">
        <f t="shared" si="10"/>
        <v>66</v>
      </c>
      <c r="B68" s="1">
        <v>2000</v>
      </c>
      <c r="C68" s="1">
        <f t="shared" si="25"/>
        <v>7400</v>
      </c>
      <c r="D68" s="4">
        <f t="shared" si="26"/>
        <v>600</v>
      </c>
      <c r="E68" s="4">
        <f t="shared" si="27"/>
        <v>98</v>
      </c>
      <c r="F68" s="10">
        <f t="shared" si="28"/>
        <v>0.68500000000000039</v>
      </c>
      <c r="G68" s="9">
        <f t="shared" si="29"/>
        <v>4333</v>
      </c>
      <c r="I68" s="4">
        <f t="shared" si="30"/>
        <v>10000</v>
      </c>
      <c r="J68" s="11">
        <f t="shared" ref="J68:J100" si="31">B68/10000</f>
        <v>0.2</v>
      </c>
      <c r="K68" s="11">
        <f t="shared" ref="K68:K100" si="32">C68/10000</f>
        <v>0.74</v>
      </c>
      <c r="L68" s="11">
        <f t="shared" ref="L68:L100" si="33">D68/10000</f>
        <v>0.06</v>
      </c>
      <c r="M68" s="4">
        <f t="shared" ref="M68:M100" si="34">G68</f>
        <v>4333</v>
      </c>
    </row>
    <row r="69" spans="1:13" x14ac:dyDescent="0.3">
      <c r="A69" s="1">
        <f t="shared" ref="A69:A74" si="35">A68+1</f>
        <v>67</v>
      </c>
      <c r="B69" s="1">
        <v>2000</v>
      </c>
      <c r="C69" s="1">
        <f t="shared" si="25"/>
        <v>7300</v>
      </c>
      <c r="D69" s="4">
        <f t="shared" si="26"/>
        <v>700</v>
      </c>
      <c r="E69" s="4">
        <f t="shared" si="27"/>
        <v>101</v>
      </c>
      <c r="F69" s="10">
        <f t="shared" si="28"/>
        <v>0.69000000000000039</v>
      </c>
      <c r="G69" s="9">
        <f t="shared" si="29"/>
        <v>4370</v>
      </c>
      <c r="I69" s="4">
        <f t="shared" si="30"/>
        <v>10000</v>
      </c>
      <c r="J69" s="11">
        <f t="shared" si="31"/>
        <v>0.2</v>
      </c>
      <c r="K69" s="11">
        <f t="shared" si="32"/>
        <v>0.73</v>
      </c>
      <c r="L69" s="11">
        <f t="shared" si="33"/>
        <v>7.0000000000000007E-2</v>
      </c>
      <c r="M69" s="4">
        <f t="shared" si="34"/>
        <v>4370</v>
      </c>
    </row>
    <row r="70" spans="1:13" x14ac:dyDescent="0.3">
      <c r="A70" s="1">
        <f t="shared" si="35"/>
        <v>68</v>
      </c>
      <c r="B70" s="1">
        <v>2000</v>
      </c>
      <c r="C70" s="1">
        <f t="shared" si="25"/>
        <v>7200</v>
      </c>
      <c r="D70" s="4">
        <f t="shared" si="26"/>
        <v>800</v>
      </c>
      <c r="E70" s="4">
        <f t="shared" si="27"/>
        <v>104</v>
      </c>
      <c r="F70" s="10">
        <f t="shared" si="28"/>
        <v>0.6950000000000004</v>
      </c>
      <c r="G70" s="9">
        <f t="shared" si="29"/>
        <v>4407</v>
      </c>
      <c r="I70" s="4">
        <f t="shared" si="30"/>
        <v>10000</v>
      </c>
      <c r="J70" s="11">
        <f t="shared" si="31"/>
        <v>0.2</v>
      </c>
      <c r="K70" s="11">
        <f t="shared" si="32"/>
        <v>0.72</v>
      </c>
      <c r="L70" s="11">
        <f t="shared" si="33"/>
        <v>0.08</v>
      </c>
      <c r="M70" s="4">
        <f t="shared" si="34"/>
        <v>4407</v>
      </c>
    </row>
    <row r="71" spans="1:13" x14ac:dyDescent="0.3">
      <c r="A71" s="1">
        <f t="shared" si="35"/>
        <v>69</v>
      </c>
      <c r="B71" s="1">
        <v>2000</v>
      </c>
      <c r="C71" s="1">
        <f t="shared" si="25"/>
        <v>7100</v>
      </c>
      <c r="D71" s="4">
        <f t="shared" si="26"/>
        <v>900</v>
      </c>
      <c r="E71" s="4">
        <f t="shared" si="27"/>
        <v>107</v>
      </c>
      <c r="F71" s="10">
        <f t="shared" si="28"/>
        <v>0.7000000000000004</v>
      </c>
      <c r="G71" s="9">
        <f t="shared" si="29"/>
        <v>4443</v>
      </c>
      <c r="I71" s="4">
        <f t="shared" si="30"/>
        <v>10000</v>
      </c>
      <c r="J71" s="11">
        <f t="shared" si="31"/>
        <v>0.2</v>
      </c>
      <c r="K71" s="11">
        <f t="shared" si="32"/>
        <v>0.71</v>
      </c>
      <c r="L71" s="11">
        <f t="shared" si="33"/>
        <v>0.09</v>
      </c>
      <c r="M71" s="4">
        <f t="shared" si="34"/>
        <v>4443</v>
      </c>
    </row>
    <row r="72" spans="1:13" x14ac:dyDescent="0.3">
      <c r="A72" s="1">
        <f t="shared" si="35"/>
        <v>70</v>
      </c>
      <c r="B72" s="1">
        <v>2000</v>
      </c>
      <c r="C72" s="1">
        <f t="shared" si="25"/>
        <v>7000</v>
      </c>
      <c r="D72" s="4">
        <f t="shared" si="26"/>
        <v>1000</v>
      </c>
      <c r="E72" s="4">
        <f t="shared" si="27"/>
        <v>110</v>
      </c>
      <c r="F72" s="10">
        <f t="shared" si="28"/>
        <v>0.7050000000000004</v>
      </c>
      <c r="G72" s="9">
        <f t="shared" si="29"/>
        <v>4478</v>
      </c>
      <c r="I72" s="4">
        <f t="shared" si="30"/>
        <v>10000</v>
      </c>
      <c r="J72" s="11">
        <f t="shared" si="31"/>
        <v>0.2</v>
      </c>
      <c r="K72" s="11">
        <f t="shared" si="32"/>
        <v>0.7</v>
      </c>
      <c r="L72" s="11">
        <f t="shared" si="33"/>
        <v>0.1</v>
      </c>
      <c r="M72" s="4">
        <f t="shared" si="34"/>
        <v>4478</v>
      </c>
    </row>
    <row r="73" spans="1:13" x14ac:dyDescent="0.3">
      <c r="A73" s="1">
        <f t="shared" si="35"/>
        <v>71</v>
      </c>
      <c r="B73" s="1">
        <v>2000</v>
      </c>
      <c r="C73" s="1">
        <f t="shared" si="25"/>
        <v>6900</v>
      </c>
      <c r="D73" s="4">
        <f t="shared" si="26"/>
        <v>1100</v>
      </c>
      <c r="E73" s="4">
        <f t="shared" si="27"/>
        <v>113</v>
      </c>
      <c r="F73" s="10">
        <f t="shared" si="28"/>
        <v>0.71000000000000041</v>
      </c>
      <c r="G73" s="9">
        <f t="shared" si="29"/>
        <v>4511</v>
      </c>
      <c r="I73" s="4">
        <f t="shared" si="30"/>
        <v>10000</v>
      </c>
      <c r="J73" s="11">
        <f t="shared" si="31"/>
        <v>0.2</v>
      </c>
      <c r="K73" s="11">
        <f t="shared" si="32"/>
        <v>0.69</v>
      </c>
      <c r="L73" s="11">
        <f t="shared" si="33"/>
        <v>0.11</v>
      </c>
      <c r="M73" s="4">
        <f t="shared" si="34"/>
        <v>4511</v>
      </c>
    </row>
    <row r="74" spans="1:13" x14ac:dyDescent="0.3">
      <c r="A74" s="1">
        <f t="shared" si="35"/>
        <v>72</v>
      </c>
      <c r="B74" s="1">
        <v>2000</v>
      </c>
      <c r="C74" s="1">
        <f t="shared" si="25"/>
        <v>6800</v>
      </c>
      <c r="D74" s="4">
        <f t="shared" si="26"/>
        <v>1200</v>
      </c>
      <c r="E74" s="4">
        <f t="shared" si="27"/>
        <v>116</v>
      </c>
      <c r="F74" s="10">
        <f t="shared" si="28"/>
        <v>0.71500000000000041</v>
      </c>
      <c r="G74" s="9">
        <f t="shared" si="29"/>
        <v>4544</v>
      </c>
      <c r="I74" s="4">
        <f t="shared" si="30"/>
        <v>10000</v>
      </c>
      <c r="J74" s="11">
        <f t="shared" si="31"/>
        <v>0.2</v>
      </c>
      <c r="K74" s="11">
        <f t="shared" si="32"/>
        <v>0.68</v>
      </c>
      <c r="L74" s="11">
        <f t="shared" si="33"/>
        <v>0.12</v>
      </c>
      <c r="M74" s="4">
        <f t="shared" si="34"/>
        <v>4544</v>
      </c>
    </row>
    <row r="75" spans="1:13" x14ac:dyDescent="0.3">
      <c r="A75" s="1">
        <f t="shared" ref="A75:A94" si="36">A74+1</f>
        <v>73</v>
      </c>
      <c r="B75" s="1">
        <v>2000</v>
      </c>
      <c r="C75" s="1">
        <f t="shared" si="25"/>
        <v>6700</v>
      </c>
      <c r="D75" s="4">
        <f t="shared" si="26"/>
        <v>1300</v>
      </c>
      <c r="E75" s="4">
        <f t="shared" si="27"/>
        <v>119</v>
      </c>
      <c r="F75" s="10">
        <f t="shared" si="28"/>
        <v>0.72000000000000042</v>
      </c>
      <c r="G75" s="9">
        <f t="shared" si="29"/>
        <v>4575</v>
      </c>
      <c r="I75" s="4">
        <f t="shared" si="30"/>
        <v>10000</v>
      </c>
      <c r="J75" s="11">
        <f t="shared" si="31"/>
        <v>0.2</v>
      </c>
      <c r="K75" s="11">
        <f t="shared" si="32"/>
        <v>0.67</v>
      </c>
      <c r="L75" s="11">
        <f t="shared" si="33"/>
        <v>0.13</v>
      </c>
      <c r="M75" s="4">
        <f t="shared" si="34"/>
        <v>4575</v>
      </c>
    </row>
    <row r="76" spans="1:13" x14ac:dyDescent="0.3">
      <c r="A76" s="1">
        <f t="shared" si="36"/>
        <v>74</v>
      </c>
      <c r="B76" s="1">
        <v>2000</v>
      </c>
      <c r="C76" s="1">
        <f t="shared" si="25"/>
        <v>6600</v>
      </c>
      <c r="D76" s="4">
        <f t="shared" si="26"/>
        <v>1400</v>
      </c>
      <c r="E76" s="4">
        <f t="shared" si="27"/>
        <v>122</v>
      </c>
      <c r="F76" s="10">
        <f t="shared" si="28"/>
        <v>0.72500000000000042</v>
      </c>
      <c r="G76" s="9">
        <f t="shared" si="29"/>
        <v>4606</v>
      </c>
      <c r="I76" s="4">
        <f t="shared" si="30"/>
        <v>10000</v>
      </c>
      <c r="J76" s="11">
        <f t="shared" si="31"/>
        <v>0.2</v>
      </c>
      <c r="K76" s="11">
        <f t="shared" si="32"/>
        <v>0.66</v>
      </c>
      <c r="L76" s="11">
        <f t="shared" si="33"/>
        <v>0.14000000000000001</v>
      </c>
      <c r="M76" s="4">
        <f t="shared" si="34"/>
        <v>4606</v>
      </c>
    </row>
    <row r="77" spans="1:13" x14ac:dyDescent="0.3">
      <c r="A77" s="1">
        <f t="shared" si="36"/>
        <v>75</v>
      </c>
      <c r="B77" s="1">
        <v>2000</v>
      </c>
      <c r="C77" s="1">
        <f t="shared" si="25"/>
        <v>6500</v>
      </c>
      <c r="D77" s="4">
        <f t="shared" si="26"/>
        <v>1500</v>
      </c>
      <c r="E77" s="4">
        <f t="shared" si="27"/>
        <v>125</v>
      </c>
      <c r="F77" s="10">
        <f t="shared" si="28"/>
        <v>0.73000000000000043</v>
      </c>
      <c r="G77" s="9">
        <f t="shared" si="29"/>
        <v>4635</v>
      </c>
      <c r="I77" s="4">
        <f t="shared" si="30"/>
        <v>10000</v>
      </c>
      <c r="J77" s="11">
        <f t="shared" si="31"/>
        <v>0.2</v>
      </c>
      <c r="K77" s="11">
        <f t="shared" si="32"/>
        <v>0.65</v>
      </c>
      <c r="L77" s="11">
        <f t="shared" si="33"/>
        <v>0.15</v>
      </c>
      <c r="M77" s="4">
        <f t="shared" si="34"/>
        <v>4635</v>
      </c>
    </row>
    <row r="78" spans="1:13" x14ac:dyDescent="0.3">
      <c r="A78" s="1">
        <f t="shared" si="36"/>
        <v>76</v>
      </c>
      <c r="B78" s="1">
        <v>2000</v>
      </c>
      <c r="C78" s="1">
        <f t="shared" si="25"/>
        <v>6400</v>
      </c>
      <c r="D78" s="4">
        <f t="shared" si="26"/>
        <v>1600</v>
      </c>
      <c r="E78" s="4">
        <f t="shared" si="27"/>
        <v>128</v>
      </c>
      <c r="F78" s="10">
        <f t="shared" si="28"/>
        <v>0.73500000000000043</v>
      </c>
      <c r="G78" s="9">
        <f t="shared" si="29"/>
        <v>4663</v>
      </c>
      <c r="I78" s="4">
        <f t="shared" si="30"/>
        <v>10000</v>
      </c>
      <c r="J78" s="11">
        <f t="shared" si="31"/>
        <v>0.2</v>
      </c>
      <c r="K78" s="11">
        <f t="shared" si="32"/>
        <v>0.64</v>
      </c>
      <c r="L78" s="11">
        <f t="shared" si="33"/>
        <v>0.16</v>
      </c>
      <c r="M78" s="4">
        <f t="shared" si="34"/>
        <v>4663</v>
      </c>
    </row>
    <row r="79" spans="1:13" x14ac:dyDescent="0.3">
      <c r="A79" s="1">
        <f t="shared" si="36"/>
        <v>77</v>
      </c>
      <c r="B79" s="1">
        <v>2000</v>
      </c>
      <c r="C79" s="1">
        <f t="shared" si="25"/>
        <v>6300</v>
      </c>
      <c r="D79" s="4">
        <f t="shared" si="26"/>
        <v>1700</v>
      </c>
      <c r="E79" s="4">
        <f t="shared" si="27"/>
        <v>131</v>
      </c>
      <c r="F79" s="10">
        <f t="shared" si="28"/>
        <v>0.74000000000000044</v>
      </c>
      <c r="G79" s="9">
        <f t="shared" si="29"/>
        <v>4690</v>
      </c>
      <c r="I79" s="4">
        <f t="shared" si="30"/>
        <v>10000</v>
      </c>
      <c r="J79" s="11">
        <f t="shared" si="31"/>
        <v>0.2</v>
      </c>
      <c r="K79" s="11">
        <f t="shared" si="32"/>
        <v>0.63</v>
      </c>
      <c r="L79" s="11">
        <f t="shared" si="33"/>
        <v>0.17</v>
      </c>
      <c r="M79" s="4">
        <f t="shared" si="34"/>
        <v>4690</v>
      </c>
    </row>
    <row r="80" spans="1:13" x14ac:dyDescent="0.3">
      <c r="A80" s="1">
        <f t="shared" si="36"/>
        <v>78</v>
      </c>
      <c r="B80" s="1">
        <v>2000</v>
      </c>
      <c r="C80" s="1">
        <f t="shared" si="25"/>
        <v>6200</v>
      </c>
      <c r="D80" s="4">
        <f t="shared" si="26"/>
        <v>1800</v>
      </c>
      <c r="E80" s="4">
        <f t="shared" si="27"/>
        <v>134</v>
      </c>
      <c r="F80" s="10">
        <f t="shared" si="28"/>
        <v>0.74500000000000044</v>
      </c>
      <c r="G80" s="9">
        <f t="shared" si="29"/>
        <v>4717</v>
      </c>
      <c r="I80" s="4">
        <f t="shared" si="30"/>
        <v>10000</v>
      </c>
      <c r="J80" s="11">
        <f t="shared" si="31"/>
        <v>0.2</v>
      </c>
      <c r="K80" s="11">
        <f t="shared" si="32"/>
        <v>0.62</v>
      </c>
      <c r="L80" s="11">
        <f t="shared" si="33"/>
        <v>0.18</v>
      </c>
      <c r="M80" s="4">
        <f t="shared" si="34"/>
        <v>4717</v>
      </c>
    </row>
    <row r="81" spans="1:13" x14ac:dyDescent="0.3">
      <c r="A81" s="1">
        <f t="shared" si="36"/>
        <v>79</v>
      </c>
      <c r="B81" s="1">
        <v>2000</v>
      </c>
      <c r="C81" s="1">
        <f t="shared" si="25"/>
        <v>6100</v>
      </c>
      <c r="D81" s="4">
        <f t="shared" si="26"/>
        <v>1900</v>
      </c>
      <c r="E81" s="4">
        <f t="shared" si="27"/>
        <v>137</v>
      </c>
      <c r="F81" s="10">
        <f t="shared" si="28"/>
        <v>0.75000000000000044</v>
      </c>
      <c r="G81" s="9">
        <f t="shared" si="29"/>
        <v>4742</v>
      </c>
      <c r="I81" s="4">
        <f t="shared" si="30"/>
        <v>10000</v>
      </c>
      <c r="J81" s="11">
        <f t="shared" si="31"/>
        <v>0.2</v>
      </c>
      <c r="K81" s="11">
        <f t="shared" si="32"/>
        <v>0.61</v>
      </c>
      <c r="L81" s="11">
        <f t="shared" si="33"/>
        <v>0.19</v>
      </c>
      <c r="M81" s="4">
        <f t="shared" si="34"/>
        <v>4742</v>
      </c>
    </row>
    <row r="82" spans="1:13" x14ac:dyDescent="0.3">
      <c r="A82" s="1">
        <f t="shared" si="36"/>
        <v>80</v>
      </c>
      <c r="B82" s="1">
        <v>1500</v>
      </c>
      <c r="C82" s="1">
        <v>8500</v>
      </c>
      <c r="D82" s="4">
        <v>0</v>
      </c>
      <c r="E82" s="4">
        <f t="shared" si="27"/>
        <v>140</v>
      </c>
      <c r="F82" s="10">
        <f t="shared" si="28"/>
        <v>0.75500000000000045</v>
      </c>
      <c r="G82" s="9">
        <f t="shared" si="29"/>
        <v>4765</v>
      </c>
      <c r="I82" s="4">
        <f t="shared" si="30"/>
        <v>10000</v>
      </c>
      <c r="J82" s="11">
        <f t="shared" si="31"/>
        <v>0.15</v>
      </c>
      <c r="K82" s="11">
        <f t="shared" si="32"/>
        <v>0.85</v>
      </c>
      <c r="L82" s="11">
        <f t="shared" si="33"/>
        <v>0</v>
      </c>
      <c r="M82" s="4">
        <f t="shared" si="34"/>
        <v>4765</v>
      </c>
    </row>
    <row r="83" spans="1:13" x14ac:dyDescent="0.3">
      <c r="A83" s="1">
        <f t="shared" si="36"/>
        <v>81</v>
      </c>
      <c r="B83" s="1">
        <v>1500</v>
      </c>
      <c r="C83" s="1">
        <f>$C$82-D83</f>
        <v>8290</v>
      </c>
      <c r="D83" s="4">
        <f>D82+210</f>
        <v>210</v>
      </c>
      <c r="E83" s="4">
        <f>E82+4</f>
        <v>144</v>
      </c>
      <c r="F83" s="10">
        <f>F82+0.005</f>
        <v>0.76000000000000045</v>
      </c>
      <c r="G83" s="9">
        <f t="shared" si="29"/>
        <v>4788</v>
      </c>
      <c r="I83" s="4">
        <f t="shared" si="30"/>
        <v>10000</v>
      </c>
      <c r="J83" s="11">
        <f t="shared" si="31"/>
        <v>0.15</v>
      </c>
      <c r="K83" s="11">
        <f t="shared" si="32"/>
        <v>0.82899999999999996</v>
      </c>
      <c r="L83" s="11">
        <f t="shared" si="33"/>
        <v>2.1000000000000001E-2</v>
      </c>
      <c r="M83" s="4">
        <f t="shared" si="34"/>
        <v>4788</v>
      </c>
    </row>
    <row r="84" spans="1:13" x14ac:dyDescent="0.3">
      <c r="A84" s="1">
        <f t="shared" si="36"/>
        <v>82</v>
      </c>
      <c r="B84" s="1">
        <v>1500</v>
      </c>
      <c r="C84" s="1">
        <f t="shared" ref="C84:C91" si="37">$C$82-D84</f>
        <v>8080</v>
      </c>
      <c r="D84" s="4">
        <f t="shared" ref="D84:D92" si="38">D83+210</f>
        <v>420</v>
      </c>
      <c r="E84" s="4">
        <f t="shared" ref="E84:E102" si="39">E83+4</f>
        <v>148</v>
      </c>
      <c r="F84" s="10">
        <f>F83+0.003</f>
        <v>0.76300000000000046</v>
      </c>
      <c r="G84" s="9">
        <f t="shared" si="29"/>
        <v>4810</v>
      </c>
      <c r="I84" s="4">
        <f t="shared" si="30"/>
        <v>10000</v>
      </c>
      <c r="J84" s="11">
        <f t="shared" si="31"/>
        <v>0.15</v>
      </c>
      <c r="K84" s="11">
        <f t="shared" si="32"/>
        <v>0.80800000000000005</v>
      </c>
      <c r="L84" s="11">
        <f t="shared" si="33"/>
        <v>4.2000000000000003E-2</v>
      </c>
      <c r="M84" s="4">
        <f t="shared" si="34"/>
        <v>4810</v>
      </c>
    </row>
    <row r="85" spans="1:13" x14ac:dyDescent="0.3">
      <c r="A85" s="1">
        <f t="shared" si="36"/>
        <v>83</v>
      </c>
      <c r="B85" s="1">
        <v>1500</v>
      </c>
      <c r="C85" s="1">
        <f t="shared" si="37"/>
        <v>7870</v>
      </c>
      <c r="D85" s="4">
        <f t="shared" si="38"/>
        <v>630</v>
      </c>
      <c r="E85" s="4">
        <f t="shared" si="39"/>
        <v>152</v>
      </c>
      <c r="F85" s="10">
        <f t="shared" ref="F85:F102" si="40">F84+0.003</f>
        <v>0.76600000000000046</v>
      </c>
      <c r="G85" s="9">
        <f t="shared" si="29"/>
        <v>4830</v>
      </c>
      <c r="I85" s="4">
        <f t="shared" si="30"/>
        <v>10000</v>
      </c>
      <c r="J85" s="11">
        <f t="shared" si="31"/>
        <v>0.15</v>
      </c>
      <c r="K85" s="11">
        <f t="shared" si="32"/>
        <v>0.78700000000000003</v>
      </c>
      <c r="L85" s="11">
        <f t="shared" si="33"/>
        <v>6.3E-2</v>
      </c>
      <c r="M85" s="4">
        <f t="shared" si="34"/>
        <v>4830</v>
      </c>
    </row>
    <row r="86" spans="1:13" x14ac:dyDescent="0.3">
      <c r="A86" s="1">
        <f t="shared" si="36"/>
        <v>84</v>
      </c>
      <c r="B86" s="1">
        <v>1500</v>
      </c>
      <c r="C86" s="1">
        <f t="shared" si="37"/>
        <v>7660</v>
      </c>
      <c r="D86" s="4">
        <f t="shared" si="38"/>
        <v>840</v>
      </c>
      <c r="E86" s="4">
        <f t="shared" si="39"/>
        <v>156</v>
      </c>
      <c r="F86" s="10">
        <f t="shared" si="40"/>
        <v>0.76900000000000046</v>
      </c>
      <c r="G86" s="9">
        <f t="shared" si="29"/>
        <v>4849</v>
      </c>
      <c r="I86" s="4">
        <f t="shared" si="30"/>
        <v>10000</v>
      </c>
      <c r="J86" s="11">
        <f t="shared" si="31"/>
        <v>0.15</v>
      </c>
      <c r="K86" s="11">
        <f t="shared" si="32"/>
        <v>0.76600000000000001</v>
      </c>
      <c r="L86" s="11">
        <f t="shared" si="33"/>
        <v>8.4000000000000005E-2</v>
      </c>
      <c r="M86" s="4">
        <f t="shared" si="34"/>
        <v>4849</v>
      </c>
    </row>
    <row r="87" spans="1:13" x14ac:dyDescent="0.3">
      <c r="A87" s="1">
        <f t="shared" si="36"/>
        <v>85</v>
      </c>
      <c r="B87" s="1">
        <v>1500</v>
      </c>
      <c r="C87" s="1">
        <f t="shared" si="37"/>
        <v>7450</v>
      </c>
      <c r="D87" s="4">
        <f t="shared" si="38"/>
        <v>1050</v>
      </c>
      <c r="E87" s="4">
        <f t="shared" si="39"/>
        <v>160</v>
      </c>
      <c r="F87" s="10">
        <f t="shared" si="40"/>
        <v>0.77200000000000046</v>
      </c>
      <c r="G87" s="9">
        <f t="shared" si="29"/>
        <v>4868</v>
      </c>
      <c r="I87" s="4">
        <f t="shared" si="30"/>
        <v>10000</v>
      </c>
      <c r="J87" s="11">
        <f t="shared" si="31"/>
        <v>0.15</v>
      </c>
      <c r="K87" s="11">
        <f t="shared" si="32"/>
        <v>0.745</v>
      </c>
      <c r="L87" s="11">
        <f t="shared" si="33"/>
        <v>0.105</v>
      </c>
      <c r="M87" s="4">
        <f t="shared" si="34"/>
        <v>4868</v>
      </c>
    </row>
    <row r="88" spans="1:13" x14ac:dyDescent="0.3">
      <c r="A88" s="1">
        <f t="shared" si="36"/>
        <v>86</v>
      </c>
      <c r="B88" s="1">
        <v>1500</v>
      </c>
      <c r="C88" s="1">
        <f t="shared" si="37"/>
        <v>7240</v>
      </c>
      <c r="D88" s="4">
        <f t="shared" si="38"/>
        <v>1260</v>
      </c>
      <c r="E88" s="4">
        <f t="shared" si="39"/>
        <v>164</v>
      </c>
      <c r="F88" s="10">
        <f t="shared" si="40"/>
        <v>0.77500000000000047</v>
      </c>
      <c r="G88" s="9">
        <f t="shared" si="29"/>
        <v>4885</v>
      </c>
      <c r="I88" s="4">
        <f t="shared" si="30"/>
        <v>10000</v>
      </c>
      <c r="J88" s="11">
        <f t="shared" si="31"/>
        <v>0.15</v>
      </c>
      <c r="K88" s="11">
        <f t="shared" si="32"/>
        <v>0.72399999999999998</v>
      </c>
      <c r="L88" s="11">
        <f t="shared" si="33"/>
        <v>0.126</v>
      </c>
      <c r="M88" s="4">
        <f t="shared" si="34"/>
        <v>4885</v>
      </c>
    </row>
    <row r="89" spans="1:13" x14ac:dyDescent="0.3">
      <c r="A89" s="1">
        <f t="shared" si="36"/>
        <v>87</v>
      </c>
      <c r="B89" s="1">
        <v>1500</v>
      </c>
      <c r="C89" s="1">
        <f t="shared" si="37"/>
        <v>7030</v>
      </c>
      <c r="D89" s="4">
        <f t="shared" si="38"/>
        <v>1470</v>
      </c>
      <c r="E89" s="4">
        <f t="shared" si="39"/>
        <v>168</v>
      </c>
      <c r="F89" s="10">
        <f t="shared" si="40"/>
        <v>0.77800000000000047</v>
      </c>
      <c r="G89" s="9">
        <f t="shared" si="29"/>
        <v>4900</v>
      </c>
      <c r="I89" s="4">
        <f t="shared" si="30"/>
        <v>10000</v>
      </c>
      <c r="J89" s="11">
        <f t="shared" si="31"/>
        <v>0.15</v>
      </c>
      <c r="K89" s="11">
        <f t="shared" si="32"/>
        <v>0.70299999999999996</v>
      </c>
      <c r="L89" s="11">
        <f t="shared" si="33"/>
        <v>0.14699999999999999</v>
      </c>
      <c r="M89" s="4">
        <f t="shared" si="34"/>
        <v>4900</v>
      </c>
    </row>
    <row r="90" spans="1:13" x14ac:dyDescent="0.3">
      <c r="A90" s="1">
        <f t="shared" si="36"/>
        <v>88</v>
      </c>
      <c r="B90" s="1">
        <v>1500</v>
      </c>
      <c r="C90" s="1">
        <f t="shared" si="37"/>
        <v>6820</v>
      </c>
      <c r="D90" s="4">
        <f t="shared" si="38"/>
        <v>1680</v>
      </c>
      <c r="E90" s="4">
        <f t="shared" si="39"/>
        <v>172</v>
      </c>
      <c r="F90" s="10">
        <f t="shared" si="40"/>
        <v>0.78100000000000047</v>
      </c>
      <c r="G90" s="9">
        <f t="shared" si="29"/>
        <v>4915</v>
      </c>
      <c r="I90" s="4">
        <f t="shared" si="30"/>
        <v>10000</v>
      </c>
      <c r="J90" s="11">
        <f t="shared" si="31"/>
        <v>0.15</v>
      </c>
      <c r="K90" s="11">
        <f t="shared" si="32"/>
        <v>0.68200000000000005</v>
      </c>
      <c r="L90" s="11">
        <f t="shared" si="33"/>
        <v>0.16800000000000001</v>
      </c>
      <c r="M90" s="4">
        <f t="shared" si="34"/>
        <v>4915</v>
      </c>
    </row>
    <row r="91" spans="1:13" x14ac:dyDescent="0.3">
      <c r="A91" s="1">
        <f t="shared" si="36"/>
        <v>89</v>
      </c>
      <c r="B91" s="1">
        <v>1500</v>
      </c>
      <c r="C91" s="1">
        <f t="shared" si="37"/>
        <v>6610</v>
      </c>
      <c r="D91" s="4">
        <f t="shared" si="38"/>
        <v>1890</v>
      </c>
      <c r="E91" s="4">
        <f t="shared" si="39"/>
        <v>176</v>
      </c>
      <c r="F91" s="10">
        <f t="shared" si="40"/>
        <v>0.78400000000000047</v>
      </c>
      <c r="G91" s="9">
        <f t="shared" si="29"/>
        <v>4929</v>
      </c>
      <c r="I91" s="4">
        <f t="shared" si="30"/>
        <v>10000</v>
      </c>
      <c r="J91" s="11">
        <f t="shared" si="31"/>
        <v>0.15</v>
      </c>
      <c r="K91" s="11">
        <f t="shared" si="32"/>
        <v>0.66100000000000003</v>
      </c>
      <c r="L91" s="11">
        <f t="shared" si="33"/>
        <v>0.189</v>
      </c>
      <c r="M91" s="4">
        <f t="shared" si="34"/>
        <v>4929</v>
      </c>
    </row>
    <row r="92" spans="1:13" x14ac:dyDescent="0.3">
      <c r="A92" s="13">
        <f t="shared" si="36"/>
        <v>90</v>
      </c>
      <c r="B92" s="13">
        <v>1000</v>
      </c>
      <c r="C92" s="13">
        <f>10000-B92-D92</f>
        <v>6900</v>
      </c>
      <c r="D92" s="14">
        <f t="shared" si="38"/>
        <v>2100</v>
      </c>
      <c r="E92" s="14">
        <f t="shared" si="39"/>
        <v>180</v>
      </c>
      <c r="F92" s="15">
        <f t="shared" si="40"/>
        <v>0.78700000000000048</v>
      </c>
      <c r="G92" s="16">
        <f t="shared" si="29"/>
        <v>4941</v>
      </c>
      <c r="I92" s="4">
        <f t="shared" si="30"/>
        <v>10000</v>
      </c>
      <c r="J92" s="11">
        <f t="shared" si="31"/>
        <v>0.1</v>
      </c>
      <c r="K92" s="11">
        <f t="shared" si="32"/>
        <v>0.69</v>
      </c>
      <c r="L92" s="11">
        <f t="shared" si="33"/>
        <v>0.21</v>
      </c>
      <c r="M92" s="4">
        <f t="shared" si="34"/>
        <v>4941</v>
      </c>
    </row>
    <row r="93" spans="1:13" x14ac:dyDescent="0.3">
      <c r="A93" s="1">
        <f t="shared" si="36"/>
        <v>91</v>
      </c>
      <c r="B93" s="1">
        <v>900</v>
      </c>
      <c r="C93" s="1">
        <f t="shared" ref="C93:C101" si="41">10000-B93-D93</f>
        <v>6790</v>
      </c>
      <c r="D93" s="4">
        <f>D92+210</f>
        <v>2310</v>
      </c>
      <c r="E93" s="4">
        <f t="shared" si="39"/>
        <v>184</v>
      </c>
      <c r="F93" s="10">
        <f t="shared" si="40"/>
        <v>0.79000000000000048</v>
      </c>
      <c r="G93" s="9">
        <f t="shared" si="29"/>
        <v>4952</v>
      </c>
      <c r="I93" s="4">
        <f t="shared" si="30"/>
        <v>10000</v>
      </c>
      <c r="J93" s="11">
        <f t="shared" si="31"/>
        <v>0.09</v>
      </c>
      <c r="K93" s="11">
        <f t="shared" si="32"/>
        <v>0.67900000000000005</v>
      </c>
      <c r="L93" s="11">
        <f t="shared" si="33"/>
        <v>0.23100000000000001</v>
      </c>
      <c r="M93" s="4">
        <f t="shared" si="34"/>
        <v>4952</v>
      </c>
    </row>
    <row r="94" spans="1:13" x14ac:dyDescent="0.3">
      <c r="A94" s="1">
        <f t="shared" si="36"/>
        <v>92</v>
      </c>
      <c r="B94" s="1">
        <v>900</v>
      </c>
      <c r="C94" s="1">
        <f t="shared" si="41"/>
        <v>6580</v>
      </c>
      <c r="D94" s="4">
        <f t="shared" ref="D94:D101" si="42">D93+210</f>
        <v>2520</v>
      </c>
      <c r="E94" s="4">
        <f t="shared" si="39"/>
        <v>188</v>
      </c>
      <c r="F94" s="10">
        <f t="shared" si="40"/>
        <v>0.79300000000000048</v>
      </c>
      <c r="G94" s="9">
        <f t="shared" si="29"/>
        <v>4962</v>
      </c>
      <c r="I94" s="4">
        <f t="shared" si="30"/>
        <v>10000</v>
      </c>
      <c r="J94" s="11">
        <f t="shared" si="31"/>
        <v>0.09</v>
      </c>
      <c r="K94" s="11">
        <f t="shared" si="32"/>
        <v>0.65800000000000003</v>
      </c>
      <c r="L94" s="11">
        <f t="shared" si="33"/>
        <v>0.252</v>
      </c>
      <c r="M94" s="4">
        <f t="shared" si="34"/>
        <v>4962</v>
      </c>
    </row>
    <row r="95" spans="1:13" x14ac:dyDescent="0.3">
      <c r="A95" s="1">
        <f t="shared" ref="A95:A158" si="43">A94+1</f>
        <v>93</v>
      </c>
      <c r="B95" s="1">
        <v>900</v>
      </c>
      <c r="C95" s="1">
        <f t="shared" si="41"/>
        <v>6370</v>
      </c>
      <c r="D95" s="4">
        <f t="shared" si="42"/>
        <v>2730</v>
      </c>
      <c r="E95" s="4">
        <f t="shared" si="39"/>
        <v>192</v>
      </c>
      <c r="F95" s="10">
        <f t="shared" si="40"/>
        <v>0.79600000000000048</v>
      </c>
      <c r="G95" s="9">
        <f t="shared" si="29"/>
        <v>4971</v>
      </c>
      <c r="I95" s="4">
        <f t="shared" si="30"/>
        <v>10000</v>
      </c>
      <c r="J95" s="11">
        <f t="shared" si="31"/>
        <v>0.09</v>
      </c>
      <c r="K95" s="11">
        <f t="shared" si="32"/>
        <v>0.63700000000000001</v>
      </c>
      <c r="L95" s="11">
        <f t="shared" si="33"/>
        <v>0.27300000000000002</v>
      </c>
      <c r="M95" s="4">
        <f t="shared" si="34"/>
        <v>4971</v>
      </c>
    </row>
    <row r="96" spans="1:13" x14ac:dyDescent="0.3">
      <c r="A96" s="1">
        <f t="shared" si="43"/>
        <v>94</v>
      </c>
      <c r="B96" s="1">
        <v>900</v>
      </c>
      <c r="C96" s="1">
        <f t="shared" si="41"/>
        <v>6160</v>
      </c>
      <c r="D96" s="4">
        <f t="shared" si="42"/>
        <v>2940</v>
      </c>
      <c r="E96" s="4">
        <f t="shared" si="39"/>
        <v>196</v>
      </c>
      <c r="F96" s="10">
        <f t="shared" si="40"/>
        <v>0.79900000000000049</v>
      </c>
      <c r="G96" s="9">
        <f t="shared" si="29"/>
        <v>4979</v>
      </c>
      <c r="I96" s="4">
        <f t="shared" si="30"/>
        <v>10000</v>
      </c>
      <c r="J96" s="11">
        <f t="shared" si="31"/>
        <v>0.09</v>
      </c>
      <c r="K96" s="11">
        <f t="shared" si="32"/>
        <v>0.61599999999999999</v>
      </c>
      <c r="L96" s="11">
        <f t="shared" si="33"/>
        <v>0.29399999999999998</v>
      </c>
      <c r="M96" s="4">
        <f t="shared" si="34"/>
        <v>4979</v>
      </c>
    </row>
    <row r="97" spans="1:13" x14ac:dyDescent="0.3">
      <c r="A97" s="1">
        <f t="shared" si="43"/>
        <v>95</v>
      </c>
      <c r="B97" s="1">
        <v>900</v>
      </c>
      <c r="C97" s="1">
        <f t="shared" si="41"/>
        <v>5950</v>
      </c>
      <c r="D97" s="4">
        <f t="shared" si="42"/>
        <v>3150</v>
      </c>
      <c r="E97" s="4">
        <f t="shared" si="39"/>
        <v>200</v>
      </c>
      <c r="F97" s="10">
        <f t="shared" si="40"/>
        <v>0.80200000000000049</v>
      </c>
      <c r="G97" s="9">
        <f t="shared" si="29"/>
        <v>4985</v>
      </c>
      <c r="I97" s="4">
        <f t="shared" si="30"/>
        <v>10000</v>
      </c>
      <c r="J97" s="11">
        <f t="shared" si="31"/>
        <v>0.09</v>
      </c>
      <c r="K97" s="11">
        <f t="shared" si="32"/>
        <v>0.59499999999999997</v>
      </c>
      <c r="L97" s="11">
        <f t="shared" si="33"/>
        <v>0.315</v>
      </c>
      <c r="M97" s="4">
        <f t="shared" si="34"/>
        <v>4985</v>
      </c>
    </row>
    <row r="98" spans="1:13" x14ac:dyDescent="0.3">
      <c r="A98" s="1">
        <f t="shared" si="43"/>
        <v>96</v>
      </c>
      <c r="B98" s="1">
        <v>900</v>
      </c>
      <c r="C98" s="1">
        <f t="shared" si="41"/>
        <v>5740</v>
      </c>
      <c r="D98" s="4">
        <f t="shared" si="42"/>
        <v>3360</v>
      </c>
      <c r="E98" s="4">
        <f t="shared" si="39"/>
        <v>204</v>
      </c>
      <c r="F98" s="10">
        <f t="shared" si="40"/>
        <v>0.80500000000000049</v>
      </c>
      <c r="G98" s="9">
        <f t="shared" si="29"/>
        <v>4991</v>
      </c>
      <c r="I98" s="4">
        <f t="shared" si="30"/>
        <v>10000</v>
      </c>
      <c r="J98" s="11">
        <f t="shared" si="31"/>
        <v>0.09</v>
      </c>
      <c r="K98" s="11">
        <f t="shared" si="32"/>
        <v>0.57399999999999995</v>
      </c>
      <c r="L98" s="11">
        <f t="shared" si="33"/>
        <v>0.33600000000000002</v>
      </c>
      <c r="M98" s="4">
        <f t="shared" si="34"/>
        <v>4991</v>
      </c>
    </row>
    <row r="99" spans="1:13" x14ac:dyDescent="0.3">
      <c r="A99" s="1">
        <f t="shared" si="43"/>
        <v>97</v>
      </c>
      <c r="B99" s="1">
        <v>900</v>
      </c>
      <c r="C99" s="1">
        <f t="shared" si="41"/>
        <v>5530</v>
      </c>
      <c r="D99" s="4">
        <f t="shared" si="42"/>
        <v>3570</v>
      </c>
      <c r="E99" s="4">
        <f t="shared" si="39"/>
        <v>208</v>
      </c>
      <c r="F99" s="10">
        <f t="shared" si="40"/>
        <v>0.8080000000000005</v>
      </c>
      <c r="G99" s="9">
        <f t="shared" si="29"/>
        <v>4995</v>
      </c>
      <c r="I99" s="4">
        <f t="shared" si="30"/>
        <v>10000</v>
      </c>
      <c r="J99" s="11">
        <f t="shared" si="31"/>
        <v>0.09</v>
      </c>
      <c r="K99" s="11">
        <f t="shared" si="32"/>
        <v>0.55300000000000005</v>
      </c>
      <c r="L99" s="11">
        <f t="shared" si="33"/>
        <v>0.35699999999999998</v>
      </c>
      <c r="M99" s="4">
        <f t="shared" si="34"/>
        <v>4995</v>
      </c>
    </row>
    <row r="100" spans="1:13" x14ac:dyDescent="0.3">
      <c r="A100" s="1">
        <f t="shared" si="43"/>
        <v>98</v>
      </c>
      <c r="B100" s="1">
        <v>900</v>
      </c>
      <c r="C100" s="1">
        <f t="shared" si="41"/>
        <v>5320</v>
      </c>
      <c r="D100" s="4">
        <f t="shared" si="42"/>
        <v>3780</v>
      </c>
      <c r="E100" s="4">
        <f t="shared" si="39"/>
        <v>212</v>
      </c>
      <c r="F100" s="10">
        <f t="shared" si="40"/>
        <v>0.8110000000000005</v>
      </c>
      <c r="G100" s="9">
        <f t="shared" si="29"/>
        <v>4998</v>
      </c>
      <c r="I100" s="4">
        <f t="shared" si="30"/>
        <v>10000</v>
      </c>
      <c r="J100" s="11">
        <f t="shared" si="31"/>
        <v>0.09</v>
      </c>
      <c r="K100" s="11">
        <f t="shared" si="32"/>
        <v>0.53200000000000003</v>
      </c>
      <c r="L100" s="11">
        <f t="shared" si="33"/>
        <v>0.378</v>
      </c>
      <c r="M100" s="4">
        <f t="shared" si="34"/>
        <v>4998</v>
      </c>
    </row>
    <row r="101" spans="1:13" x14ac:dyDescent="0.3">
      <c r="A101" s="1">
        <f t="shared" si="43"/>
        <v>99</v>
      </c>
      <c r="B101" s="1">
        <v>900</v>
      </c>
      <c r="C101" s="1">
        <f t="shared" si="41"/>
        <v>5110</v>
      </c>
      <c r="D101" s="4">
        <f t="shared" si="42"/>
        <v>3990</v>
      </c>
      <c r="E101" s="4">
        <f t="shared" si="39"/>
        <v>216</v>
      </c>
      <c r="F101" s="10">
        <f t="shared" si="40"/>
        <v>0.8140000000000005</v>
      </c>
      <c r="G101" s="9">
        <f>ROUND(300 + (5000-300) * SIN( (A101-1) / 99 * PI() / 2 ), 0)</f>
        <v>4999</v>
      </c>
      <c r="I101" s="4">
        <f t="shared" si="30"/>
        <v>10000</v>
      </c>
      <c r="J101" s="11">
        <f t="shared" ref="J101" si="44">B101/10000</f>
        <v>0.09</v>
      </c>
      <c r="K101" s="11">
        <f t="shared" ref="K101" si="45">C101/10000</f>
        <v>0.51100000000000001</v>
      </c>
      <c r="L101" s="11">
        <f t="shared" ref="L101" si="46">D101/10000</f>
        <v>0.39900000000000002</v>
      </c>
      <c r="M101" s="4">
        <f t="shared" ref="M101" si="47">G101</f>
        <v>4999</v>
      </c>
    </row>
    <row r="102" spans="1:13" x14ac:dyDescent="0.3">
      <c r="A102" s="13">
        <f t="shared" si="43"/>
        <v>100</v>
      </c>
      <c r="B102" s="13">
        <v>900</v>
      </c>
      <c r="C102" s="13">
        <f t="shared" ref="C102:C165" si="48">10000-B102-D102</f>
        <v>4400</v>
      </c>
      <c r="D102" s="14">
        <f t="shared" ref="D102" si="49">D101+210+A102*5</f>
        <v>4700</v>
      </c>
      <c r="E102" s="14">
        <f t="shared" si="39"/>
        <v>220</v>
      </c>
      <c r="F102" s="15">
        <f t="shared" si="40"/>
        <v>0.8170000000000005</v>
      </c>
      <c r="G102" s="16">
        <f>ROUND(300 + (5000-300) * SIN( (A102-1) / 99 * PI() / 2 ), 0)</f>
        <v>5000</v>
      </c>
      <c r="I102" s="4">
        <f t="shared" ref="I102:I165" si="50">SUM(B102:D102)</f>
        <v>10000</v>
      </c>
      <c r="J102" s="17">
        <f t="shared" ref="J102:J165" si="51">B102/10000</f>
        <v>0.09</v>
      </c>
      <c r="K102" s="17">
        <f t="shared" ref="K102:K165" si="52">C102/10000</f>
        <v>0.44</v>
      </c>
      <c r="L102" s="17">
        <f t="shared" ref="L102:L165" si="53">D102/10000</f>
        <v>0.47</v>
      </c>
      <c r="M102" s="4">
        <f t="shared" ref="M102:M165" si="54">G102</f>
        <v>5000</v>
      </c>
    </row>
    <row r="103" spans="1:13" x14ac:dyDescent="0.3">
      <c r="A103" s="1">
        <f t="shared" si="43"/>
        <v>101</v>
      </c>
      <c r="B103" s="18">
        <f>B93-100</f>
        <v>800</v>
      </c>
      <c r="C103" s="1">
        <f t="shared" si="48"/>
        <v>4480</v>
      </c>
      <c r="D103" s="4">
        <f>D102+20</f>
        <v>4720</v>
      </c>
      <c r="E103" s="4">
        <f>E102+1</f>
        <v>221</v>
      </c>
      <c r="F103" s="10">
        <v>0.82</v>
      </c>
      <c r="G103" s="9">
        <f>G102+150</f>
        <v>5150</v>
      </c>
      <c r="I103" s="4">
        <f t="shared" si="50"/>
        <v>10000</v>
      </c>
      <c r="J103" s="17">
        <f t="shared" si="51"/>
        <v>0.08</v>
      </c>
      <c r="K103" s="17">
        <f t="shared" si="52"/>
        <v>0.44800000000000001</v>
      </c>
      <c r="L103" s="17">
        <f t="shared" si="53"/>
        <v>0.47199999999999998</v>
      </c>
      <c r="M103" s="4">
        <f t="shared" si="54"/>
        <v>5150</v>
      </c>
    </row>
    <row r="104" spans="1:13" x14ac:dyDescent="0.3">
      <c r="A104" s="1">
        <f t="shared" si="43"/>
        <v>102</v>
      </c>
      <c r="B104" s="18">
        <f t="shared" ref="B104:B167" si="55">B94-100</f>
        <v>800</v>
      </c>
      <c r="C104" s="1">
        <f t="shared" si="48"/>
        <v>4460</v>
      </c>
      <c r="D104" s="4">
        <f t="shared" ref="D104:D167" si="56">D103+20</f>
        <v>4740</v>
      </c>
      <c r="E104" s="4">
        <f t="shared" ref="E104:E167" si="57">E103+1</f>
        <v>222</v>
      </c>
      <c r="F104" s="10">
        <f>F103+0.01</f>
        <v>0.83</v>
      </c>
      <c r="G104" s="9">
        <f t="shared" ref="G104:G167" si="58">G103+150</f>
        <v>5300</v>
      </c>
      <c r="I104" s="4">
        <f t="shared" si="50"/>
        <v>10000</v>
      </c>
      <c r="J104" s="17">
        <f t="shared" si="51"/>
        <v>0.08</v>
      </c>
      <c r="K104" s="17">
        <f t="shared" si="52"/>
        <v>0.44600000000000001</v>
      </c>
      <c r="L104" s="17">
        <f t="shared" si="53"/>
        <v>0.47399999999999998</v>
      </c>
      <c r="M104" s="4">
        <f t="shared" si="54"/>
        <v>5300</v>
      </c>
    </row>
    <row r="105" spans="1:13" x14ac:dyDescent="0.3">
      <c r="A105" s="1">
        <f t="shared" si="43"/>
        <v>103</v>
      </c>
      <c r="B105" s="18">
        <f t="shared" si="55"/>
        <v>800</v>
      </c>
      <c r="C105" s="1">
        <f t="shared" si="48"/>
        <v>4440</v>
      </c>
      <c r="D105" s="4">
        <f t="shared" si="56"/>
        <v>4760</v>
      </c>
      <c r="E105" s="4">
        <f t="shared" si="57"/>
        <v>223</v>
      </c>
      <c r="F105" s="10">
        <f t="shared" ref="F105:F168" si="59">F104+0.01</f>
        <v>0.84</v>
      </c>
      <c r="G105" s="9">
        <f t="shared" si="58"/>
        <v>5450</v>
      </c>
      <c r="I105" s="4">
        <f t="shared" si="50"/>
        <v>10000</v>
      </c>
      <c r="J105" s="17">
        <f t="shared" si="51"/>
        <v>0.08</v>
      </c>
      <c r="K105" s="17">
        <f t="shared" si="52"/>
        <v>0.44400000000000001</v>
      </c>
      <c r="L105" s="17">
        <f t="shared" si="53"/>
        <v>0.47599999999999998</v>
      </c>
      <c r="M105" s="4">
        <f t="shared" si="54"/>
        <v>5450</v>
      </c>
    </row>
    <row r="106" spans="1:13" x14ac:dyDescent="0.3">
      <c r="A106" s="1">
        <f t="shared" si="43"/>
        <v>104</v>
      </c>
      <c r="B106" s="18">
        <f t="shared" si="55"/>
        <v>800</v>
      </c>
      <c r="C106" s="1">
        <f t="shared" si="48"/>
        <v>4420</v>
      </c>
      <c r="D106" s="4">
        <f t="shared" si="56"/>
        <v>4780</v>
      </c>
      <c r="E106" s="4">
        <f t="shared" si="57"/>
        <v>224</v>
      </c>
      <c r="F106" s="10">
        <f t="shared" si="59"/>
        <v>0.85</v>
      </c>
      <c r="G106" s="9">
        <f t="shared" si="58"/>
        <v>5600</v>
      </c>
      <c r="I106" s="4">
        <f t="shared" si="50"/>
        <v>10000</v>
      </c>
      <c r="J106" s="17">
        <f t="shared" si="51"/>
        <v>0.08</v>
      </c>
      <c r="K106" s="17">
        <f t="shared" si="52"/>
        <v>0.442</v>
      </c>
      <c r="L106" s="17">
        <f t="shared" si="53"/>
        <v>0.47799999999999998</v>
      </c>
      <c r="M106" s="4">
        <f t="shared" si="54"/>
        <v>5600</v>
      </c>
    </row>
    <row r="107" spans="1:13" x14ac:dyDescent="0.3">
      <c r="A107" s="1">
        <f t="shared" si="43"/>
        <v>105</v>
      </c>
      <c r="B107" s="18">
        <f t="shared" si="55"/>
        <v>800</v>
      </c>
      <c r="C107" s="1">
        <f t="shared" si="48"/>
        <v>4400</v>
      </c>
      <c r="D107" s="4">
        <f t="shared" si="56"/>
        <v>4800</v>
      </c>
      <c r="E107" s="4">
        <f t="shared" si="57"/>
        <v>225</v>
      </c>
      <c r="F107" s="10">
        <f t="shared" si="59"/>
        <v>0.86</v>
      </c>
      <c r="G107" s="9">
        <f t="shared" si="58"/>
        <v>5750</v>
      </c>
      <c r="I107" s="4">
        <f t="shared" si="50"/>
        <v>10000</v>
      </c>
      <c r="J107" s="17">
        <f t="shared" si="51"/>
        <v>0.08</v>
      </c>
      <c r="K107" s="17">
        <f t="shared" si="52"/>
        <v>0.44</v>
      </c>
      <c r="L107" s="17">
        <f t="shared" si="53"/>
        <v>0.48</v>
      </c>
      <c r="M107" s="4">
        <f t="shared" si="54"/>
        <v>5750</v>
      </c>
    </row>
    <row r="108" spans="1:13" x14ac:dyDescent="0.3">
      <c r="A108" s="1">
        <f t="shared" si="43"/>
        <v>106</v>
      </c>
      <c r="B108" s="18">
        <f t="shared" si="55"/>
        <v>800</v>
      </c>
      <c r="C108" s="1">
        <f t="shared" si="48"/>
        <v>4380</v>
      </c>
      <c r="D108" s="4">
        <f t="shared" si="56"/>
        <v>4820</v>
      </c>
      <c r="E108" s="4">
        <f t="shared" si="57"/>
        <v>226</v>
      </c>
      <c r="F108" s="10">
        <f t="shared" si="59"/>
        <v>0.87</v>
      </c>
      <c r="G108" s="9">
        <f t="shared" si="58"/>
        <v>5900</v>
      </c>
      <c r="I108" s="4">
        <f t="shared" si="50"/>
        <v>10000</v>
      </c>
      <c r="J108" s="17">
        <f t="shared" si="51"/>
        <v>0.08</v>
      </c>
      <c r="K108" s="17">
        <f t="shared" si="52"/>
        <v>0.438</v>
      </c>
      <c r="L108" s="17">
        <f t="shared" si="53"/>
        <v>0.48199999999999998</v>
      </c>
      <c r="M108" s="4">
        <f t="shared" si="54"/>
        <v>5900</v>
      </c>
    </row>
    <row r="109" spans="1:13" x14ac:dyDescent="0.3">
      <c r="A109" s="1">
        <f t="shared" si="43"/>
        <v>107</v>
      </c>
      <c r="B109" s="18">
        <f t="shared" si="55"/>
        <v>800</v>
      </c>
      <c r="C109" s="1">
        <f t="shared" si="48"/>
        <v>4360</v>
      </c>
      <c r="D109" s="4">
        <f t="shared" si="56"/>
        <v>4840</v>
      </c>
      <c r="E109" s="4">
        <f t="shared" si="57"/>
        <v>227</v>
      </c>
      <c r="F109" s="10">
        <f t="shared" si="59"/>
        <v>0.88</v>
      </c>
      <c r="G109" s="9">
        <f t="shared" si="58"/>
        <v>6050</v>
      </c>
      <c r="I109" s="4">
        <f t="shared" si="50"/>
        <v>10000</v>
      </c>
      <c r="J109" s="17">
        <f t="shared" si="51"/>
        <v>0.08</v>
      </c>
      <c r="K109" s="17">
        <f t="shared" si="52"/>
        <v>0.436</v>
      </c>
      <c r="L109" s="17">
        <f t="shared" si="53"/>
        <v>0.48399999999999999</v>
      </c>
      <c r="M109" s="4">
        <f t="shared" si="54"/>
        <v>6050</v>
      </c>
    </row>
    <row r="110" spans="1:13" x14ac:dyDescent="0.3">
      <c r="A110" s="1">
        <f t="shared" si="43"/>
        <v>108</v>
      </c>
      <c r="B110" s="18">
        <f t="shared" si="55"/>
        <v>800</v>
      </c>
      <c r="C110" s="1">
        <f t="shared" si="48"/>
        <v>4340</v>
      </c>
      <c r="D110" s="4">
        <f t="shared" si="56"/>
        <v>4860</v>
      </c>
      <c r="E110" s="4">
        <f t="shared" si="57"/>
        <v>228</v>
      </c>
      <c r="F110" s="10">
        <f t="shared" si="59"/>
        <v>0.89</v>
      </c>
      <c r="G110" s="9">
        <f t="shared" si="58"/>
        <v>6200</v>
      </c>
      <c r="I110" s="4">
        <f t="shared" si="50"/>
        <v>10000</v>
      </c>
      <c r="J110" s="17">
        <f t="shared" si="51"/>
        <v>0.08</v>
      </c>
      <c r="K110" s="17">
        <f t="shared" si="52"/>
        <v>0.434</v>
      </c>
      <c r="L110" s="17">
        <f t="shared" si="53"/>
        <v>0.48599999999999999</v>
      </c>
      <c r="M110" s="4">
        <f t="shared" si="54"/>
        <v>6200</v>
      </c>
    </row>
    <row r="111" spans="1:13" x14ac:dyDescent="0.3">
      <c r="A111" s="1">
        <f t="shared" si="43"/>
        <v>109</v>
      </c>
      <c r="B111" s="18">
        <f t="shared" si="55"/>
        <v>800</v>
      </c>
      <c r="C111" s="1">
        <f t="shared" si="48"/>
        <v>4320</v>
      </c>
      <c r="D111" s="4">
        <f t="shared" si="56"/>
        <v>4880</v>
      </c>
      <c r="E111" s="4">
        <f t="shared" si="57"/>
        <v>229</v>
      </c>
      <c r="F111" s="10">
        <f t="shared" si="59"/>
        <v>0.9</v>
      </c>
      <c r="G111" s="9">
        <f t="shared" si="58"/>
        <v>6350</v>
      </c>
      <c r="I111" s="4">
        <f t="shared" si="50"/>
        <v>10000</v>
      </c>
      <c r="J111" s="17">
        <f t="shared" si="51"/>
        <v>0.08</v>
      </c>
      <c r="K111" s="17">
        <f t="shared" si="52"/>
        <v>0.432</v>
      </c>
      <c r="L111" s="17">
        <f t="shared" si="53"/>
        <v>0.48799999999999999</v>
      </c>
      <c r="M111" s="4">
        <f t="shared" si="54"/>
        <v>6350</v>
      </c>
    </row>
    <row r="112" spans="1:13" x14ac:dyDescent="0.3">
      <c r="A112" s="1">
        <f t="shared" si="43"/>
        <v>110</v>
      </c>
      <c r="B112" s="18">
        <f t="shared" si="55"/>
        <v>800</v>
      </c>
      <c r="C112" s="1">
        <f t="shared" si="48"/>
        <v>4300</v>
      </c>
      <c r="D112" s="4">
        <f t="shared" si="56"/>
        <v>4900</v>
      </c>
      <c r="E112" s="4">
        <f t="shared" si="57"/>
        <v>230</v>
      </c>
      <c r="F112" s="10">
        <f t="shared" si="59"/>
        <v>0.91</v>
      </c>
      <c r="G112" s="9">
        <f t="shared" si="58"/>
        <v>6500</v>
      </c>
      <c r="I112" s="4">
        <f t="shared" si="50"/>
        <v>10000</v>
      </c>
      <c r="J112" s="17">
        <f t="shared" si="51"/>
        <v>0.08</v>
      </c>
      <c r="K112" s="17">
        <f t="shared" si="52"/>
        <v>0.43</v>
      </c>
      <c r="L112" s="17">
        <f t="shared" si="53"/>
        <v>0.49</v>
      </c>
      <c r="M112" s="4">
        <f t="shared" si="54"/>
        <v>6500</v>
      </c>
    </row>
    <row r="113" spans="1:13" x14ac:dyDescent="0.3">
      <c r="A113" s="1">
        <f t="shared" si="43"/>
        <v>111</v>
      </c>
      <c r="B113" s="18">
        <f t="shared" si="55"/>
        <v>700</v>
      </c>
      <c r="C113" s="1">
        <f t="shared" si="48"/>
        <v>4380</v>
      </c>
      <c r="D113" s="4">
        <f t="shared" si="56"/>
        <v>4920</v>
      </c>
      <c r="E113" s="4">
        <f t="shared" si="57"/>
        <v>231</v>
      </c>
      <c r="F113" s="10">
        <f t="shared" si="59"/>
        <v>0.92</v>
      </c>
      <c r="G113" s="9">
        <f t="shared" si="58"/>
        <v>6650</v>
      </c>
      <c r="I113" s="4">
        <f t="shared" si="50"/>
        <v>10000</v>
      </c>
      <c r="J113" s="17">
        <f t="shared" si="51"/>
        <v>7.0000000000000007E-2</v>
      </c>
      <c r="K113" s="17">
        <f t="shared" si="52"/>
        <v>0.438</v>
      </c>
      <c r="L113" s="17">
        <f t="shared" si="53"/>
        <v>0.49199999999999999</v>
      </c>
      <c r="M113" s="4">
        <f t="shared" si="54"/>
        <v>6650</v>
      </c>
    </row>
    <row r="114" spans="1:13" x14ac:dyDescent="0.3">
      <c r="A114" s="1">
        <f t="shared" si="43"/>
        <v>112</v>
      </c>
      <c r="B114" s="18">
        <f t="shared" si="55"/>
        <v>700</v>
      </c>
      <c r="C114" s="1">
        <f t="shared" si="48"/>
        <v>4360</v>
      </c>
      <c r="D114" s="4">
        <f t="shared" si="56"/>
        <v>4940</v>
      </c>
      <c r="E114" s="4">
        <f t="shared" si="57"/>
        <v>232</v>
      </c>
      <c r="F114" s="10">
        <f t="shared" si="59"/>
        <v>0.93</v>
      </c>
      <c r="G114" s="9">
        <f t="shared" si="58"/>
        <v>6800</v>
      </c>
      <c r="I114" s="4">
        <f t="shared" si="50"/>
        <v>10000</v>
      </c>
      <c r="J114" s="17">
        <f t="shared" si="51"/>
        <v>7.0000000000000007E-2</v>
      </c>
      <c r="K114" s="17">
        <f t="shared" si="52"/>
        <v>0.436</v>
      </c>
      <c r="L114" s="17">
        <f t="shared" si="53"/>
        <v>0.49399999999999999</v>
      </c>
      <c r="M114" s="4">
        <f t="shared" si="54"/>
        <v>6800</v>
      </c>
    </row>
    <row r="115" spans="1:13" x14ac:dyDescent="0.3">
      <c r="A115" s="1">
        <f t="shared" si="43"/>
        <v>113</v>
      </c>
      <c r="B115" s="18">
        <f t="shared" si="55"/>
        <v>700</v>
      </c>
      <c r="C115" s="1">
        <f t="shared" si="48"/>
        <v>4340</v>
      </c>
      <c r="D115" s="4">
        <f t="shared" si="56"/>
        <v>4960</v>
      </c>
      <c r="E115" s="4">
        <f t="shared" si="57"/>
        <v>233</v>
      </c>
      <c r="F115" s="10">
        <f t="shared" si="59"/>
        <v>0.94000000000000006</v>
      </c>
      <c r="G115" s="9">
        <f t="shared" si="58"/>
        <v>6950</v>
      </c>
      <c r="I115" s="4">
        <f t="shared" si="50"/>
        <v>10000</v>
      </c>
      <c r="J115" s="17">
        <f t="shared" si="51"/>
        <v>7.0000000000000007E-2</v>
      </c>
      <c r="K115" s="17">
        <f t="shared" si="52"/>
        <v>0.434</v>
      </c>
      <c r="L115" s="17">
        <f t="shared" si="53"/>
        <v>0.496</v>
      </c>
      <c r="M115" s="4">
        <f t="shared" si="54"/>
        <v>6950</v>
      </c>
    </row>
    <row r="116" spans="1:13" x14ac:dyDescent="0.3">
      <c r="A116" s="1">
        <f t="shared" si="43"/>
        <v>114</v>
      </c>
      <c r="B116" s="18">
        <f t="shared" si="55"/>
        <v>700</v>
      </c>
      <c r="C116" s="1">
        <f t="shared" si="48"/>
        <v>4320</v>
      </c>
      <c r="D116" s="4">
        <f t="shared" si="56"/>
        <v>4980</v>
      </c>
      <c r="E116" s="4">
        <f t="shared" si="57"/>
        <v>234</v>
      </c>
      <c r="F116" s="10">
        <f t="shared" si="59"/>
        <v>0.95000000000000007</v>
      </c>
      <c r="G116" s="9">
        <f t="shared" si="58"/>
        <v>7100</v>
      </c>
      <c r="I116" s="4">
        <f t="shared" si="50"/>
        <v>10000</v>
      </c>
      <c r="J116" s="17">
        <f t="shared" si="51"/>
        <v>7.0000000000000007E-2</v>
      </c>
      <c r="K116" s="17">
        <f t="shared" si="52"/>
        <v>0.432</v>
      </c>
      <c r="L116" s="17">
        <f t="shared" si="53"/>
        <v>0.498</v>
      </c>
      <c r="M116" s="4">
        <f t="shared" si="54"/>
        <v>7100</v>
      </c>
    </row>
    <row r="117" spans="1:13" x14ac:dyDescent="0.3">
      <c r="A117" s="1">
        <f t="shared" si="43"/>
        <v>115</v>
      </c>
      <c r="B117" s="18">
        <f t="shared" si="55"/>
        <v>700</v>
      </c>
      <c r="C117" s="1">
        <f t="shared" si="48"/>
        <v>4300</v>
      </c>
      <c r="D117" s="4">
        <f t="shared" si="56"/>
        <v>5000</v>
      </c>
      <c r="E117" s="4">
        <f t="shared" si="57"/>
        <v>235</v>
      </c>
      <c r="F117" s="10">
        <f t="shared" si="59"/>
        <v>0.96000000000000008</v>
      </c>
      <c r="G117" s="9">
        <f t="shared" si="58"/>
        <v>7250</v>
      </c>
      <c r="I117" s="4">
        <f t="shared" si="50"/>
        <v>10000</v>
      </c>
      <c r="J117" s="17">
        <f t="shared" si="51"/>
        <v>7.0000000000000007E-2</v>
      </c>
      <c r="K117" s="17">
        <f t="shared" si="52"/>
        <v>0.43</v>
      </c>
      <c r="L117" s="17">
        <f t="shared" si="53"/>
        <v>0.5</v>
      </c>
      <c r="M117" s="4">
        <f t="shared" si="54"/>
        <v>7250</v>
      </c>
    </row>
    <row r="118" spans="1:13" x14ac:dyDescent="0.3">
      <c r="A118" s="1">
        <f t="shared" si="43"/>
        <v>116</v>
      </c>
      <c r="B118" s="18">
        <f t="shared" si="55"/>
        <v>700</v>
      </c>
      <c r="C118" s="1">
        <f t="shared" si="48"/>
        <v>4280</v>
      </c>
      <c r="D118" s="4">
        <f t="shared" si="56"/>
        <v>5020</v>
      </c>
      <c r="E118" s="4">
        <f t="shared" si="57"/>
        <v>236</v>
      </c>
      <c r="F118" s="10">
        <f t="shared" si="59"/>
        <v>0.97000000000000008</v>
      </c>
      <c r="G118" s="9">
        <f t="shared" si="58"/>
        <v>7400</v>
      </c>
      <c r="I118" s="4">
        <f t="shared" si="50"/>
        <v>10000</v>
      </c>
      <c r="J118" s="17">
        <f t="shared" si="51"/>
        <v>7.0000000000000007E-2</v>
      </c>
      <c r="K118" s="17">
        <f t="shared" si="52"/>
        <v>0.42799999999999999</v>
      </c>
      <c r="L118" s="17">
        <f t="shared" si="53"/>
        <v>0.502</v>
      </c>
      <c r="M118" s="4">
        <f t="shared" si="54"/>
        <v>7400</v>
      </c>
    </row>
    <row r="119" spans="1:13" x14ac:dyDescent="0.3">
      <c r="A119" s="1">
        <f t="shared" si="43"/>
        <v>117</v>
      </c>
      <c r="B119" s="18">
        <f t="shared" si="55"/>
        <v>700</v>
      </c>
      <c r="C119" s="1">
        <f t="shared" si="48"/>
        <v>4260</v>
      </c>
      <c r="D119" s="4">
        <f t="shared" si="56"/>
        <v>5040</v>
      </c>
      <c r="E119" s="4">
        <f t="shared" si="57"/>
        <v>237</v>
      </c>
      <c r="F119" s="10">
        <f t="shared" si="59"/>
        <v>0.98000000000000009</v>
      </c>
      <c r="G119" s="9">
        <f t="shared" si="58"/>
        <v>7550</v>
      </c>
      <c r="I119" s="4">
        <f t="shared" si="50"/>
        <v>10000</v>
      </c>
      <c r="J119" s="17">
        <f t="shared" si="51"/>
        <v>7.0000000000000007E-2</v>
      </c>
      <c r="K119" s="17">
        <f t="shared" si="52"/>
        <v>0.42599999999999999</v>
      </c>
      <c r="L119" s="17">
        <f t="shared" si="53"/>
        <v>0.504</v>
      </c>
      <c r="M119" s="4">
        <f t="shared" si="54"/>
        <v>7550</v>
      </c>
    </row>
    <row r="120" spans="1:13" x14ac:dyDescent="0.3">
      <c r="A120" s="1">
        <f t="shared" si="43"/>
        <v>118</v>
      </c>
      <c r="B120" s="18">
        <f t="shared" si="55"/>
        <v>700</v>
      </c>
      <c r="C120" s="1">
        <f t="shared" si="48"/>
        <v>4240</v>
      </c>
      <c r="D120" s="4">
        <f t="shared" si="56"/>
        <v>5060</v>
      </c>
      <c r="E120" s="4">
        <f t="shared" si="57"/>
        <v>238</v>
      </c>
      <c r="F120" s="10">
        <f t="shared" si="59"/>
        <v>0.9900000000000001</v>
      </c>
      <c r="G120" s="9">
        <f t="shared" si="58"/>
        <v>7700</v>
      </c>
      <c r="I120" s="4">
        <f t="shared" si="50"/>
        <v>10000</v>
      </c>
      <c r="J120" s="17">
        <f t="shared" si="51"/>
        <v>7.0000000000000007E-2</v>
      </c>
      <c r="K120" s="17">
        <f t="shared" si="52"/>
        <v>0.42399999999999999</v>
      </c>
      <c r="L120" s="17">
        <f t="shared" si="53"/>
        <v>0.50600000000000001</v>
      </c>
      <c r="M120" s="4">
        <f t="shared" si="54"/>
        <v>7700</v>
      </c>
    </row>
    <row r="121" spans="1:13" x14ac:dyDescent="0.3">
      <c r="A121" s="1">
        <f t="shared" si="43"/>
        <v>119</v>
      </c>
      <c r="B121" s="18">
        <f t="shared" si="55"/>
        <v>700</v>
      </c>
      <c r="C121" s="1">
        <f t="shared" si="48"/>
        <v>4220</v>
      </c>
      <c r="D121" s="4">
        <f t="shared" si="56"/>
        <v>5080</v>
      </c>
      <c r="E121" s="4">
        <f t="shared" si="57"/>
        <v>239</v>
      </c>
      <c r="F121" s="10">
        <f t="shared" si="59"/>
        <v>1</v>
      </c>
      <c r="G121" s="9">
        <f t="shared" si="58"/>
        <v>7850</v>
      </c>
      <c r="I121" s="4">
        <f t="shared" si="50"/>
        <v>10000</v>
      </c>
      <c r="J121" s="17">
        <f t="shared" si="51"/>
        <v>7.0000000000000007E-2</v>
      </c>
      <c r="K121" s="17">
        <f t="shared" si="52"/>
        <v>0.42199999999999999</v>
      </c>
      <c r="L121" s="17">
        <f t="shared" si="53"/>
        <v>0.50800000000000001</v>
      </c>
      <c r="M121" s="4">
        <f t="shared" si="54"/>
        <v>7850</v>
      </c>
    </row>
    <row r="122" spans="1:13" x14ac:dyDescent="0.3">
      <c r="A122" s="1">
        <f t="shared" si="43"/>
        <v>120</v>
      </c>
      <c r="B122" s="18">
        <f t="shared" si="55"/>
        <v>700</v>
      </c>
      <c r="C122" s="1">
        <f t="shared" si="48"/>
        <v>4200</v>
      </c>
      <c r="D122" s="4">
        <f t="shared" si="56"/>
        <v>5100</v>
      </c>
      <c r="E122" s="4">
        <f t="shared" si="57"/>
        <v>240</v>
      </c>
      <c r="F122" s="10">
        <f t="shared" si="59"/>
        <v>1.01</v>
      </c>
      <c r="G122" s="9">
        <f t="shared" si="58"/>
        <v>8000</v>
      </c>
      <c r="I122" s="4">
        <f t="shared" si="50"/>
        <v>10000</v>
      </c>
      <c r="J122" s="17">
        <f t="shared" si="51"/>
        <v>7.0000000000000007E-2</v>
      </c>
      <c r="K122" s="17">
        <f t="shared" si="52"/>
        <v>0.42</v>
      </c>
      <c r="L122" s="17">
        <f t="shared" si="53"/>
        <v>0.51</v>
      </c>
      <c r="M122" s="4">
        <f t="shared" si="54"/>
        <v>8000</v>
      </c>
    </row>
    <row r="123" spans="1:13" x14ac:dyDescent="0.3">
      <c r="A123" s="1">
        <f t="shared" si="43"/>
        <v>121</v>
      </c>
      <c r="B123" s="18">
        <f t="shared" si="55"/>
        <v>600</v>
      </c>
      <c r="C123" s="1">
        <f t="shared" si="48"/>
        <v>4280</v>
      </c>
      <c r="D123" s="4">
        <f t="shared" si="56"/>
        <v>5120</v>
      </c>
      <c r="E123" s="4">
        <f t="shared" si="57"/>
        <v>241</v>
      </c>
      <c r="F123" s="10">
        <f t="shared" si="59"/>
        <v>1.02</v>
      </c>
      <c r="G123" s="9">
        <f t="shared" si="58"/>
        <v>8150</v>
      </c>
      <c r="I123" s="4">
        <f t="shared" si="50"/>
        <v>10000</v>
      </c>
      <c r="J123" s="17">
        <f t="shared" si="51"/>
        <v>0.06</v>
      </c>
      <c r="K123" s="17">
        <f t="shared" si="52"/>
        <v>0.42799999999999999</v>
      </c>
      <c r="L123" s="17">
        <f t="shared" si="53"/>
        <v>0.51200000000000001</v>
      </c>
      <c r="M123" s="4">
        <f t="shared" si="54"/>
        <v>8150</v>
      </c>
    </row>
    <row r="124" spans="1:13" x14ac:dyDescent="0.3">
      <c r="A124" s="1">
        <f t="shared" si="43"/>
        <v>122</v>
      </c>
      <c r="B124" s="18">
        <f t="shared" si="55"/>
        <v>600</v>
      </c>
      <c r="C124" s="1">
        <f t="shared" si="48"/>
        <v>4260</v>
      </c>
      <c r="D124" s="4">
        <f t="shared" si="56"/>
        <v>5140</v>
      </c>
      <c r="E124" s="4">
        <f t="shared" si="57"/>
        <v>242</v>
      </c>
      <c r="F124" s="10">
        <f t="shared" si="59"/>
        <v>1.03</v>
      </c>
      <c r="G124" s="9">
        <f t="shared" si="58"/>
        <v>8300</v>
      </c>
      <c r="I124" s="4">
        <f t="shared" si="50"/>
        <v>10000</v>
      </c>
      <c r="J124" s="17">
        <f t="shared" si="51"/>
        <v>0.06</v>
      </c>
      <c r="K124" s="17">
        <f t="shared" si="52"/>
        <v>0.42599999999999999</v>
      </c>
      <c r="L124" s="17">
        <f t="shared" si="53"/>
        <v>0.51400000000000001</v>
      </c>
      <c r="M124" s="4">
        <f t="shared" si="54"/>
        <v>8300</v>
      </c>
    </row>
    <row r="125" spans="1:13" x14ac:dyDescent="0.3">
      <c r="A125" s="1">
        <f t="shared" si="43"/>
        <v>123</v>
      </c>
      <c r="B125" s="18">
        <f t="shared" si="55"/>
        <v>600</v>
      </c>
      <c r="C125" s="1">
        <f t="shared" si="48"/>
        <v>4240</v>
      </c>
      <c r="D125" s="4">
        <f t="shared" si="56"/>
        <v>5160</v>
      </c>
      <c r="E125" s="4">
        <f t="shared" si="57"/>
        <v>243</v>
      </c>
      <c r="F125" s="10">
        <f t="shared" si="59"/>
        <v>1.04</v>
      </c>
      <c r="G125" s="9">
        <f t="shared" si="58"/>
        <v>8450</v>
      </c>
      <c r="I125" s="4">
        <f t="shared" si="50"/>
        <v>10000</v>
      </c>
      <c r="J125" s="17">
        <f t="shared" si="51"/>
        <v>0.06</v>
      </c>
      <c r="K125" s="17">
        <f t="shared" si="52"/>
        <v>0.42399999999999999</v>
      </c>
      <c r="L125" s="17">
        <f t="shared" si="53"/>
        <v>0.51600000000000001</v>
      </c>
      <c r="M125" s="4">
        <f t="shared" si="54"/>
        <v>8450</v>
      </c>
    </row>
    <row r="126" spans="1:13" x14ac:dyDescent="0.3">
      <c r="A126" s="1">
        <f t="shared" si="43"/>
        <v>124</v>
      </c>
      <c r="B126" s="18">
        <f t="shared" si="55"/>
        <v>600</v>
      </c>
      <c r="C126" s="1">
        <f t="shared" si="48"/>
        <v>4220</v>
      </c>
      <c r="D126" s="4">
        <f t="shared" si="56"/>
        <v>5180</v>
      </c>
      <c r="E126" s="4">
        <f t="shared" si="57"/>
        <v>244</v>
      </c>
      <c r="F126" s="10">
        <f t="shared" si="59"/>
        <v>1.05</v>
      </c>
      <c r="G126" s="9">
        <f t="shared" si="58"/>
        <v>8600</v>
      </c>
      <c r="I126" s="4">
        <f t="shared" si="50"/>
        <v>10000</v>
      </c>
      <c r="J126" s="17">
        <f t="shared" si="51"/>
        <v>0.06</v>
      </c>
      <c r="K126" s="17">
        <f t="shared" si="52"/>
        <v>0.42199999999999999</v>
      </c>
      <c r="L126" s="17">
        <f t="shared" si="53"/>
        <v>0.51800000000000002</v>
      </c>
      <c r="M126" s="4">
        <f t="shared" si="54"/>
        <v>8600</v>
      </c>
    </row>
    <row r="127" spans="1:13" x14ac:dyDescent="0.3">
      <c r="A127" s="1">
        <f t="shared" si="43"/>
        <v>125</v>
      </c>
      <c r="B127" s="18">
        <f t="shared" si="55"/>
        <v>600</v>
      </c>
      <c r="C127" s="1">
        <f t="shared" si="48"/>
        <v>4200</v>
      </c>
      <c r="D127" s="4">
        <f t="shared" si="56"/>
        <v>5200</v>
      </c>
      <c r="E127" s="4">
        <f t="shared" si="57"/>
        <v>245</v>
      </c>
      <c r="F127" s="10">
        <f t="shared" si="59"/>
        <v>1.06</v>
      </c>
      <c r="G127" s="9">
        <f t="shared" si="58"/>
        <v>8750</v>
      </c>
      <c r="I127" s="4">
        <f t="shared" si="50"/>
        <v>10000</v>
      </c>
      <c r="J127" s="17">
        <f t="shared" si="51"/>
        <v>0.06</v>
      </c>
      <c r="K127" s="17">
        <f t="shared" si="52"/>
        <v>0.42</v>
      </c>
      <c r="L127" s="17">
        <f t="shared" si="53"/>
        <v>0.52</v>
      </c>
      <c r="M127" s="4">
        <f t="shared" si="54"/>
        <v>8750</v>
      </c>
    </row>
    <row r="128" spans="1:13" x14ac:dyDescent="0.3">
      <c r="A128" s="1">
        <f t="shared" si="43"/>
        <v>126</v>
      </c>
      <c r="B128" s="18">
        <f t="shared" si="55"/>
        <v>600</v>
      </c>
      <c r="C128" s="1">
        <f t="shared" si="48"/>
        <v>4180</v>
      </c>
      <c r="D128" s="4">
        <f t="shared" si="56"/>
        <v>5220</v>
      </c>
      <c r="E128" s="4">
        <f t="shared" si="57"/>
        <v>246</v>
      </c>
      <c r="F128" s="10">
        <f t="shared" si="59"/>
        <v>1.07</v>
      </c>
      <c r="G128" s="9">
        <f t="shared" si="58"/>
        <v>8900</v>
      </c>
      <c r="I128" s="4">
        <f t="shared" si="50"/>
        <v>10000</v>
      </c>
      <c r="J128" s="17">
        <f t="shared" si="51"/>
        <v>0.06</v>
      </c>
      <c r="K128" s="17">
        <f t="shared" si="52"/>
        <v>0.41799999999999998</v>
      </c>
      <c r="L128" s="17">
        <f t="shared" si="53"/>
        <v>0.52200000000000002</v>
      </c>
      <c r="M128" s="4">
        <f t="shared" si="54"/>
        <v>8900</v>
      </c>
    </row>
    <row r="129" spans="1:13" x14ac:dyDescent="0.3">
      <c r="A129" s="1">
        <f t="shared" si="43"/>
        <v>127</v>
      </c>
      <c r="B129" s="18">
        <f t="shared" si="55"/>
        <v>600</v>
      </c>
      <c r="C129" s="1">
        <f t="shared" si="48"/>
        <v>4160</v>
      </c>
      <c r="D129" s="4">
        <f t="shared" si="56"/>
        <v>5240</v>
      </c>
      <c r="E129" s="4">
        <f t="shared" si="57"/>
        <v>247</v>
      </c>
      <c r="F129" s="10">
        <f t="shared" si="59"/>
        <v>1.08</v>
      </c>
      <c r="G129" s="9">
        <f t="shared" si="58"/>
        <v>9050</v>
      </c>
      <c r="I129" s="4">
        <f t="shared" si="50"/>
        <v>10000</v>
      </c>
      <c r="J129" s="17">
        <f t="shared" si="51"/>
        <v>0.06</v>
      </c>
      <c r="K129" s="17">
        <f t="shared" si="52"/>
        <v>0.41599999999999998</v>
      </c>
      <c r="L129" s="17">
        <f t="shared" si="53"/>
        <v>0.52400000000000002</v>
      </c>
      <c r="M129" s="4">
        <f t="shared" si="54"/>
        <v>9050</v>
      </c>
    </row>
    <row r="130" spans="1:13" x14ac:dyDescent="0.3">
      <c r="A130" s="1">
        <f t="shared" si="43"/>
        <v>128</v>
      </c>
      <c r="B130" s="18">
        <f t="shared" si="55"/>
        <v>600</v>
      </c>
      <c r="C130" s="1">
        <f t="shared" si="48"/>
        <v>4140</v>
      </c>
      <c r="D130" s="4">
        <f t="shared" si="56"/>
        <v>5260</v>
      </c>
      <c r="E130" s="4">
        <f t="shared" si="57"/>
        <v>248</v>
      </c>
      <c r="F130" s="10">
        <f t="shared" si="59"/>
        <v>1.0900000000000001</v>
      </c>
      <c r="G130" s="9">
        <f t="shared" si="58"/>
        <v>9200</v>
      </c>
      <c r="I130" s="4">
        <f t="shared" si="50"/>
        <v>10000</v>
      </c>
      <c r="J130" s="17">
        <f t="shared" si="51"/>
        <v>0.06</v>
      </c>
      <c r="K130" s="17">
        <f t="shared" si="52"/>
        <v>0.41399999999999998</v>
      </c>
      <c r="L130" s="17">
        <f t="shared" si="53"/>
        <v>0.52600000000000002</v>
      </c>
      <c r="M130" s="4">
        <f t="shared" si="54"/>
        <v>9200</v>
      </c>
    </row>
    <row r="131" spans="1:13" x14ac:dyDescent="0.3">
      <c r="A131" s="1">
        <f t="shared" si="43"/>
        <v>129</v>
      </c>
      <c r="B131" s="18">
        <f t="shared" si="55"/>
        <v>600</v>
      </c>
      <c r="C131" s="1">
        <f t="shared" si="48"/>
        <v>4120</v>
      </c>
      <c r="D131" s="4">
        <f t="shared" si="56"/>
        <v>5280</v>
      </c>
      <c r="E131" s="4">
        <f t="shared" si="57"/>
        <v>249</v>
      </c>
      <c r="F131" s="10">
        <f t="shared" si="59"/>
        <v>1.1000000000000001</v>
      </c>
      <c r="G131" s="9">
        <f t="shared" si="58"/>
        <v>9350</v>
      </c>
      <c r="I131" s="4">
        <f t="shared" si="50"/>
        <v>10000</v>
      </c>
      <c r="J131" s="17">
        <f t="shared" si="51"/>
        <v>0.06</v>
      </c>
      <c r="K131" s="17">
        <f t="shared" si="52"/>
        <v>0.41199999999999998</v>
      </c>
      <c r="L131" s="17">
        <f t="shared" si="53"/>
        <v>0.52800000000000002</v>
      </c>
      <c r="M131" s="4">
        <f t="shared" si="54"/>
        <v>9350</v>
      </c>
    </row>
    <row r="132" spans="1:13" x14ac:dyDescent="0.3">
      <c r="A132" s="1">
        <f t="shared" si="43"/>
        <v>130</v>
      </c>
      <c r="B132" s="18">
        <f t="shared" si="55"/>
        <v>600</v>
      </c>
      <c r="C132" s="1">
        <f t="shared" si="48"/>
        <v>4100</v>
      </c>
      <c r="D132" s="4">
        <f t="shared" si="56"/>
        <v>5300</v>
      </c>
      <c r="E132" s="4">
        <f t="shared" si="57"/>
        <v>250</v>
      </c>
      <c r="F132" s="10">
        <f t="shared" si="59"/>
        <v>1.1100000000000001</v>
      </c>
      <c r="G132" s="9">
        <f t="shared" si="58"/>
        <v>9500</v>
      </c>
      <c r="I132" s="4">
        <f t="shared" si="50"/>
        <v>10000</v>
      </c>
      <c r="J132" s="17">
        <f t="shared" si="51"/>
        <v>0.06</v>
      </c>
      <c r="K132" s="17">
        <f t="shared" si="52"/>
        <v>0.41</v>
      </c>
      <c r="L132" s="17">
        <f t="shared" si="53"/>
        <v>0.53</v>
      </c>
      <c r="M132" s="4">
        <f t="shared" si="54"/>
        <v>9500</v>
      </c>
    </row>
    <row r="133" spans="1:13" x14ac:dyDescent="0.3">
      <c r="A133" s="1">
        <f t="shared" si="43"/>
        <v>131</v>
      </c>
      <c r="B133" s="18">
        <v>500</v>
      </c>
      <c r="C133" s="1">
        <f t="shared" si="48"/>
        <v>4180</v>
      </c>
      <c r="D133" s="4">
        <f t="shared" si="56"/>
        <v>5320</v>
      </c>
      <c r="E133" s="4">
        <f t="shared" si="57"/>
        <v>251</v>
      </c>
      <c r="F133" s="10">
        <f t="shared" si="59"/>
        <v>1.1200000000000001</v>
      </c>
      <c r="G133" s="9">
        <f t="shared" si="58"/>
        <v>9650</v>
      </c>
      <c r="I133" s="4">
        <f t="shared" si="50"/>
        <v>10000</v>
      </c>
      <c r="J133" s="17">
        <f t="shared" si="51"/>
        <v>0.05</v>
      </c>
      <c r="K133" s="17">
        <f t="shared" si="52"/>
        <v>0.41799999999999998</v>
      </c>
      <c r="L133" s="17">
        <f t="shared" si="53"/>
        <v>0.53200000000000003</v>
      </c>
      <c r="M133" s="4">
        <f t="shared" si="54"/>
        <v>9650</v>
      </c>
    </row>
    <row r="134" spans="1:13" x14ac:dyDescent="0.3">
      <c r="A134" s="1">
        <f t="shared" si="43"/>
        <v>132</v>
      </c>
      <c r="B134" s="18">
        <v>500</v>
      </c>
      <c r="C134" s="1">
        <f t="shared" si="48"/>
        <v>4160</v>
      </c>
      <c r="D134" s="4">
        <f t="shared" si="56"/>
        <v>5340</v>
      </c>
      <c r="E134" s="4">
        <f t="shared" si="57"/>
        <v>252</v>
      </c>
      <c r="F134" s="10">
        <f t="shared" si="59"/>
        <v>1.1300000000000001</v>
      </c>
      <c r="G134" s="9">
        <f t="shared" si="58"/>
        <v>9800</v>
      </c>
      <c r="I134" s="4">
        <f t="shared" si="50"/>
        <v>10000</v>
      </c>
      <c r="J134" s="17">
        <f t="shared" si="51"/>
        <v>0.05</v>
      </c>
      <c r="K134" s="17">
        <f t="shared" si="52"/>
        <v>0.41599999999999998</v>
      </c>
      <c r="L134" s="17">
        <f t="shared" si="53"/>
        <v>0.53400000000000003</v>
      </c>
      <c r="M134" s="4">
        <f t="shared" si="54"/>
        <v>9800</v>
      </c>
    </row>
    <row r="135" spans="1:13" x14ac:dyDescent="0.3">
      <c r="A135" s="1">
        <f t="shared" si="43"/>
        <v>133</v>
      </c>
      <c r="B135" s="18">
        <v>500</v>
      </c>
      <c r="C135" s="1">
        <f t="shared" si="48"/>
        <v>4140</v>
      </c>
      <c r="D135" s="4">
        <f t="shared" si="56"/>
        <v>5360</v>
      </c>
      <c r="E135" s="4">
        <f t="shared" si="57"/>
        <v>253</v>
      </c>
      <c r="F135" s="10">
        <f t="shared" si="59"/>
        <v>1.1400000000000001</v>
      </c>
      <c r="G135" s="9">
        <f t="shared" si="58"/>
        <v>9950</v>
      </c>
      <c r="I135" s="4">
        <f t="shared" si="50"/>
        <v>10000</v>
      </c>
      <c r="J135" s="17">
        <f t="shared" si="51"/>
        <v>0.05</v>
      </c>
      <c r="K135" s="17">
        <f t="shared" si="52"/>
        <v>0.41399999999999998</v>
      </c>
      <c r="L135" s="17">
        <f t="shared" si="53"/>
        <v>0.53600000000000003</v>
      </c>
      <c r="M135" s="4">
        <f t="shared" si="54"/>
        <v>9950</v>
      </c>
    </row>
    <row r="136" spans="1:13" x14ac:dyDescent="0.3">
      <c r="A136" s="1">
        <f t="shared" si="43"/>
        <v>134</v>
      </c>
      <c r="B136" s="18">
        <v>500</v>
      </c>
      <c r="C136" s="1">
        <f t="shared" si="48"/>
        <v>4120</v>
      </c>
      <c r="D136" s="4">
        <f t="shared" si="56"/>
        <v>5380</v>
      </c>
      <c r="E136" s="4">
        <f t="shared" si="57"/>
        <v>254</v>
      </c>
      <c r="F136" s="10">
        <f t="shared" si="59"/>
        <v>1.1500000000000001</v>
      </c>
      <c r="G136" s="9">
        <f t="shared" si="58"/>
        <v>10100</v>
      </c>
      <c r="I136" s="4">
        <f t="shared" si="50"/>
        <v>10000</v>
      </c>
      <c r="J136" s="17">
        <f t="shared" si="51"/>
        <v>0.05</v>
      </c>
      <c r="K136" s="17">
        <f t="shared" si="52"/>
        <v>0.41199999999999998</v>
      </c>
      <c r="L136" s="17">
        <f t="shared" si="53"/>
        <v>0.53800000000000003</v>
      </c>
      <c r="M136" s="4">
        <f t="shared" si="54"/>
        <v>10100</v>
      </c>
    </row>
    <row r="137" spans="1:13" x14ac:dyDescent="0.3">
      <c r="A137" s="1">
        <f t="shared" si="43"/>
        <v>135</v>
      </c>
      <c r="B137" s="18">
        <v>500</v>
      </c>
      <c r="C137" s="1">
        <f t="shared" si="48"/>
        <v>4100</v>
      </c>
      <c r="D137" s="4">
        <f t="shared" si="56"/>
        <v>5400</v>
      </c>
      <c r="E137" s="4">
        <f t="shared" si="57"/>
        <v>255</v>
      </c>
      <c r="F137" s="10">
        <f t="shared" si="59"/>
        <v>1.1600000000000001</v>
      </c>
      <c r="G137" s="9">
        <f t="shared" si="58"/>
        <v>10250</v>
      </c>
      <c r="I137" s="4">
        <f t="shared" si="50"/>
        <v>10000</v>
      </c>
      <c r="J137" s="17">
        <f t="shared" si="51"/>
        <v>0.05</v>
      </c>
      <c r="K137" s="17">
        <f t="shared" si="52"/>
        <v>0.41</v>
      </c>
      <c r="L137" s="17">
        <f t="shared" si="53"/>
        <v>0.54</v>
      </c>
      <c r="M137" s="4">
        <f t="shared" si="54"/>
        <v>10250</v>
      </c>
    </row>
    <row r="138" spans="1:13" x14ac:dyDescent="0.3">
      <c r="A138" s="1">
        <f t="shared" si="43"/>
        <v>136</v>
      </c>
      <c r="B138" s="18">
        <v>500</v>
      </c>
      <c r="C138" s="1">
        <f t="shared" si="48"/>
        <v>4080</v>
      </c>
      <c r="D138" s="4">
        <f t="shared" si="56"/>
        <v>5420</v>
      </c>
      <c r="E138" s="4">
        <f t="shared" si="57"/>
        <v>256</v>
      </c>
      <c r="F138" s="10">
        <f t="shared" si="59"/>
        <v>1.1700000000000002</v>
      </c>
      <c r="G138" s="9">
        <f t="shared" si="58"/>
        <v>10400</v>
      </c>
      <c r="I138" s="4">
        <f t="shared" si="50"/>
        <v>10000</v>
      </c>
      <c r="J138" s="17">
        <f t="shared" si="51"/>
        <v>0.05</v>
      </c>
      <c r="K138" s="17">
        <f t="shared" si="52"/>
        <v>0.40799999999999997</v>
      </c>
      <c r="L138" s="17">
        <f t="shared" si="53"/>
        <v>0.54200000000000004</v>
      </c>
      <c r="M138" s="4">
        <f t="shared" si="54"/>
        <v>10400</v>
      </c>
    </row>
    <row r="139" spans="1:13" x14ac:dyDescent="0.3">
      <c r="A139" s="1">
        <f t="shared" si="43"/>
        <v>137</v>
      </c>
      <c r="B139" s="18">
        <v>500</v>
      </c>
      <c r="C139" s="1">
        <f t="shared" si="48"/>
        <v>4060</v>
      </c>
      <c r="D139" s="4">
        <f t="shared" si="56"/>
        <v>5440</v>
      </c>
      <c r="E139" s="4">
        <f t="shared" si="57"/>
        <v>257</v>
      </c>
      <c r="F139" s="10">
        <f t="shared" si="59"/>
        <v>1.1800000000000002</v>
      </c>
      <c r="G139" s="9">
        <f t="shared" si="58"/>
        <v>10550</v>
      </c>
      <c r="I139" s="4">
        <f t="shared" si="50"/>
        <v>10000</v>
      </c>
      <c r="J139" s="17">
        <f t="shared" si="51"/>
        <v>0.05</v>
      </c>
      <c r="K139" s="17">
        <f t="shared" si="52"/>
        <v>0.40600000000000003</v>
      </c>
      <c r="L139" s="17">
        <f t="shared" si="53"/>
        <v>0.54400000000000004</v>
      </c>
      <c r="M139" s="4">
        <f t="shared" si="54"/>
        <v>10550</v>
      </c>
    </row>
    <row r="140" spans="1:13" x14ac:dyDescent="0.3">
      <c r="A140" s="1">
        <f t="shared" si="43"/>
        <v>138</v>
      </c>
      <c r="B140" s="18">
        <v>500</v>
      </c>
      <c r="C140" s="1">
        <f t="shared" si="48"/>
        <v>4040</v>
      </c>
      <c r="D140" s="4">
        <f t="shared" si="56"/>
        <v>5460</v>
      </c>
      <c r="E140" s="4">
        <f t="shared" si="57"/>
        <v>258</v>
      </c>
      <c r="F140" s="10">
        <f t="shared" si="59"/>
        <v>1.1900000000000002</v>
      </c>
      <c r="G140" s="9">
        <f t="shared" si="58"/>
        <v>10700</v>
      </c>
      <c r="I140" s="4">
        <f t="shared" si="50"/>
        <v>10000</v>
      </c>
      <c r="J140" s="17">
        <f t="shared" si="51"/>
        <v>0.05</v>
      </c>
      <c r="K140" s="17">
        <f t="shared" si="52"/>
        <v>0.40400000000000003</v>
      </c>
      <c r="L140" s="17">
        <f t="shared" si="53"/>
        <v>0.54600000000000004</v>
      </c>
      <c r="M140" s="4">
        <f t="shared" si="54"/>
        <v>10700</v>
      </c>
    </row>
    <row r="141" spans="1:13" x14ac:dyDescent="0.3">
      <c r="A141" s="1">
        <f t="shared" si="43"/>
        <v>139</v>
      </c>
      <c r="B141" s="18">
        <v>500</v>
      </c>
      <c r="C141" s="1">
        <f t="shared" si="48"/>
        <v>4020</v>
      </c>
      <c r="D141" s="4">
        <f t="shared" si="56"/>
        <v>5480</v>
      </c>
      <c r="E141" s="4">
        <f t="shared" si="57"/>
        <v>259</v>
      </c>
      <c r="F141" s="10">
        <f t="shared" si="59"/>
        <v>1.2000000000000002</v>
      </c>
      <c r="G141" s="9">
        <f t="shared" si="58"/>
        <v>10850</v>
      </c>
      <c r="I141" s="4">
        <f t="shared" si="50"/>
        <v>10000</v>
      </c>
      <c r="J141" s="17">
        <f t="shared" si="51"/>
        <v>0.05</v>
      </c>
      <c r="K141" s="17">
        <f t="shared" si="52"/>
        <v>0.40200000000000002</v>
      </c>
      <c r="L141" s="17">
        <f t="shared" si="53"/>
        <v>0.54800000000000004</v>
      </c>
      <c r="M141" s="4">
        <f t="shared" si="54"/>
        <v>10850</v>
      </c>
    </row>
    <row r="142" spans="1:13" x14ac:dyDescent="0.3">
      <c r="A142" s="1">
        <f t="shared" si="43"/>
        <v>140</v>
      </c>
      <c r="B142" s="18">
        <v>500</v>
      </c>
      <c r="C142" s="1">
        <f t="shared" si="48"/>
        <v>4000</v>
      </c>
      <c r="D142" s="4">
        <f t="shared" si="56"/>
        <v>5500</v>
      </c>
      <c r="E142" s="4">
        <f t="shared" si="57"/>
        <v>260</v>
      </c>
      <c r="F142" s="10">
        <f t="shared" si="59"/>
        <v>1.2100000000000002</v>
      </c>
      <c r="G142" s="9">
        <f t="shared" si="58"/>
        <v>11000</v>
      </c>
      <c r="I142" s="4">
        <f t="shared" si="50"/>
        <v>10000</v>
      </c>
      <c r="J142" s="17">
        <f t="shared" si="51"/>
        <v>0.05</v>
      </c>
      <c r="K142" s="17">
        <f t="shared" si="52"/>
        <v>0.4</v>
      </c>
      <c r="L142" s="17">
        <f t="shared" si="53"/>
        <v>0.55000000000000004</v>
      </c>
      <c r="M142" s="4">
        <f t="shared" si="54"/>
        <v>11000</v>
      </c>
    </row>
    <row r="143" spans="1:13" x14ac:dyDescent="0.3">
      <c r="A143" s="1">
        <f t="shared" si="43"/>
        <v>141</v>
      </c>
      <c r="B143" s="18">
        <v>500</v>
      </c>
      <c r="C143" s="1">
        <f t="shared" si="48"/>
        <v>3980</v>
      </c>
      <c r="D143" s="4">
        <f t="shared" si="56"/>
        <v>5520</v>
      </c>
      <c r="E143" s="4">
        <f t="shared" si="57"/>
        <v>261</v>
      </c>
      <c r="F143" s="10">
        <f t="shared" si="59"/>
        <v>1.2200000000000002</v>
      </c>
      <c r="G143" s="9">
        <f t="shared" si="58"/>
        <v>11150</v>
      </c>
      <c r="I143" s="4">
        <f t="shared" si="50"/>
        <v>10000</v>
      </c>
      <c r="J143" s="17">
        <f t="shared" si="51"/>
        <v>0.05</v>
      </c>
      <c r="K143" s="17">
        <f t="shared" si="52"/>
        <v>0.39800000000000002</v>
      </c>
      <c r="L143" s="17">
        <f t="shared" si="53"/>
        <v>0.55200000000000005</v>
      </c>
      <c r="M143" s="4">
        <f t="shared" si="54"/>
        <v>11150</v>
      </c>
    </row>
    <row r="144" spans="1:13" x14ac:dyDescent="0.3">
      <c r="A144" s="1">
        <f t="shared" si="43"/>
        <v>142</v>
      </c>
      <c r="B144" s="18">
        <v>500</v>
      </c>
      <c r="C144" s="1">
        <f t="shared" si="48"/>
        <v>3960</v>
      </c>
      <c r="D144" s="4">
        <f t="shared" si="56"/>
        <v>5540</v>
      </c>
      <c r="E144" s="4">
        <f t="shared" si="57"/>
        <v>262</v>
      </c>
      <c r="F144" s="10">
        <f t="shared" si="59"/>
        <v>1.2300000000000002</v>
      </c>
      <c r="G144" s="9">
        <f t="shared" si="58"/>
        <v>11300</v>
      </c>
      <c r="I144" s="4">
        <f t="shared" si="50"/>
        <v>10000</v>
      </c>
      <c r="J144" s="17">
        <f t="shared" si="51"/>
        <v>0.05</v>
      </c>
      <c r="K144" s="17">
        <f t="shared" si="52"/>
        <v>0.39600000000000002</v>
      </c>
      <c r="L144" s="17">
        <f t="shared" si="53"/>
        <v>0.55400000000000005</v>
      </c>
      <c r="M144" s="4">
        <f t="shared" si="54"/>
        <v>11300</v>
      </c>
    </row>
    <row r="145" spans="1:13" x14ac:dyDescent="0.3">
      <c r="A145" s="1">
        <f t="shared" si="43"/>
        <v>143</v>
      </c>
      <c r="B145" s="18">
        <v>500</v>
      </c>
      <c r="C145" s="1">
        <f t="shared" si="48"/>
        <v>3940</v>
      </c>
      <c r="D145" s="4">
        <f t="shared" si="56"/>
        <v>5560</v>
      </c>
      <c r="E145" s="4">
        <f t="shared" si="57"/>
        <v>263</v>
      </c>
      <c r="F145" s="10">
        <f t="shared" si="59"/>
        <v>1.2400000000000002</v>
      </c>
      <c r="G145" s="9">
        <f t="shared" si="58"/>
        <v>11450</v>
      </c>
      <c r="I145" s="4">
        <f t="shared" si="50"/>
        <v>10000</v>
      </c>
      <c r="J145" s="17">
        <f t="shared" si="51"/>
        <v>0.05</v>
      </c>
      <c r="K145" s="17">
        <f t="shared" si="52"/>
        <v>0.39400000000000002</v>
      </c>
      <c r="L145" s="17">
        <f t="shared" si="53"/>
        <v>0.55600000000000005</v>
      </c>
      <c r="M145" s="4">
        <f t="shared" si="54"/>
        <v>11450</v>
      </c>
    </row>
    <row r="146" spans="1:13" x14ac:dyDescent="0.3">
      <c r="A146" s="1">
        <f t="shared" si="43"/>
        <v>144</v>
      </c>
      <c r="B146" s="18">
        <v>500</v>
      </c>
      <c r="C146" s="1">
        <f t="shared" si="48"/>
        <v>3920</v>
      </c>
      <c r="D146" s="4">
        <f t="shared" si="56"/>
        <v>5580</v>
      </c>
      <c r="E146" s="4">
        <f t="shared" si="57"/>
        <v>264</v>
      </c>
      <c r="F146" s="10">
        <f t="shared" si="59"/>
        <v>1.2500000000000002</v>
      </c>
      <c r="G146" s="9">
        <f t="shared" si="58"/>
        <v>11600</v>
      </c>
      <c r="I146" s="4">
        <f t="shared" si="50"/>
        <v>10000</v>
      </c>
      <c r="J146" s="17">
        <f t="shared" si="51"/>
        <v>0.05</v>
      </c>
      <c r="K146" s="17">
        <f t="shared" si="52"/>
        <v>0.39200000000000002</v>
      </c>
      <c r="L146" s="17">
        <f t="shared" si="53"/>
        <v>0.55800000000000005</v>
      </c>
      <c r="M146" s="4">
        <f t="shared" si="54"/>
        <v>11600</v>
      </c>
    </row>
    <row r="147" spans="1:13" x14ac:dyDescent="0.3">
      <c r="A147" s="1">
        <f t="shared" si="43"/>
        <v>145</v>
      </c>
      <c r="B147" s="18">
        <v>500</v>
      </c>
      <c r="C147" s="1">
        <f t="shared" si="48"/>
        <v>3900</v>
      </c>
      <c r="D147" s="4">
        <f t="shared" si="56"/>
        <v>5600</v>
      </c>
      <c r="E147" s="4">
        <f t="shared" si="57"/>
        <v>265</v>
      </c>
      <c r="F147" s="10">
        <f t="shared" si="59"/>
        <v>1.2600000000000002</v>
      </c>
      <c r="G147" s="9">
        <f t="shared" si="58"/>
        <v>11750</v>
      </c>
      <c r="I147" s="4">
        <f t="shared" si="50"/>
        <v>10000</v>
      </c>
      <c r="J147" s="17">
        <f t="shared" si="51"/>
        <v>0.05</v>
      </c>
      <c r="K147" s="17">
        <f t="shared" si="52"/>
        <v>0.39</v>
      </c>
      <c r="L147" s="17">
        <f t="shared" si="53"/>
        <v>0.56000000000000005</v>
      </c>
      <c r="M147" s="4">
        <f t="shared" si="54"/>
        <v>11750</v>
      </c>
    </row>
    <row r="148" spans="1:13" x14ac:dyDescent="0.3">
      <c r="A148" s="1">
        <f t="shared" si="43"/>
        <v>146</v>
      </c>
      <c r="B148" s="18">
        <v>500</v>
      </c>
      <c r="C148" s="1">
        <f t="shared" si="48"/>
        <v>3880</v>
      </c>
      <c r="D148" s="4">
        <f t="shared" si="56"/>
        <v>5620</v>
      </c>
      <c r="E148" s="4">
        <f t="shared" si="57"/>
        <v>266</v>
      </c>
      <c r="F148" s="10">
        <f t="shared" si="59"/>
        <v>1.2700000000000002</v>
      </c>
      <c r="G148" s="9">
        <f t="shared" si="58"/>
        <v>11900</v>
      </c>
      <c r="I148" s="4">
        <f t="shared" si="50"/>
        <v>10000</v>
      </c>
      <c r="J148" s="17">
        <f t="shared" si="51"/>
        <v>0.05</v>
      </c>
      <c r="K148" s="17">
        <f t="shared" si="52"/>
        <v>0.38800000000000001</v>
      </c>
      <c r="L148" s="17">
        <f t="shared" si="53"/>
        <v>0.56200000000000006</v>
      </c>
      <c r="M148" s="4">
        <f t="shared" si="54"/>
        <v>11900</v>
      </c>
    </row>
    <row r="149" spans="1:13" x14ac:dyDescent="0.3">
      <c r="A149" s="1">
        <f t="shared" si="43"/>
        <v>147</v>
      </c>
      <c r="B149" s="18">
        <v>500</v>
      </c>
      <c r="C149" s="1">
        <f t="shared" si="48"/>
        <v>3860</v>
      </c>
      <c r="D149" s="4">
        <f t="shared" si="56"/>
        <v>5640</v>
      </c>
      <c r="E149" s="4">
        <f t="shared" si="57"/>
        <v>267</v>
      </c>
      <c r="F149" s="10">
        <f t="shared" si="59"/>
        <v>1.2800000000000002</v>
      </c>
      <c r="G149" s="9">
        <f t="shared" si="58"/>
        <v>12050</v>
      </c>
      <c r="I149" s="4">
        <f t="shared" si="50"/>
        <v>10000</v>
      </c>
      <c r="J149" s="17">
        <f t="shared" si="51"/>
        <v>0.05</v>
      </c>
      <c r="K149" s="17">
        <f t="shared" si="52"/>
        <v>0.38600000000000001</v>
      </c>
      <c r="L149" s="17">
        <f t="shared" si="53"/>
        <v>0.56399999999999995</v>
      </c>
      <c r="M149" s="4">
        <f t="shared" si="54"/>
        <v>12050</v>
      </c>
    </row>
    <row r="150" spans="1:13" x14ac:dyDescent="0.3">
      <c r="A150" s="1">
        <f t="shared" si="43"/>
        <v>148</v>
      </c>
      <c r="B150" s="18">
        <v>500</v>
      </c>
      <c r="C150" s="1">
        <f t="shared" si="48"/>
        <v>3840</v>
      </c>
      <c r="D150" s="4">
        <f t="shared" si="56"/>
        <v>5660</v>
      </c>
      <c r="E150" s="4">
        <f t="shared" si="57"/>
        <v>268</v>
      </c>
      <c r="F150" s="10">
        <f t="shared" si="59"/>
        <v>1.2900000000000003</v>
      </c>
      <c r="G150" s="9">
        <f t="shared" si="58"/>
        <v>12200</v>
      </c>
      <c r="I150" s="4">
        <f t="shared" si="50"/>
        <v>10000</v>
      </c>
      <c r="J150" s="17">
        <f t="shared" si="51"/>
        <v>0.05</v>
      </c>
      <c r="K150" s="17">
        <f t="shared" si="52"/>
        <v>0.38400000000000001</v>
      </c>
      <c r="L150" s="17">
        <f t="shared" si="53"/>
        <v>0.56599999999999995</v>
      </c>
      <c r="M150" s="4">
        <f t="shared" si="54"/>
        <v>12200</v>
      </c>
    </row>
    <row r="151" spans="1:13" x14ac:dyDescent="0.3">
      <c r="A151" s="1">
        <f t="shared" si="43"/>
        <v>149</v>
      </c>
      <c r="B151" s="18">
        <v>500</v>
      </c>
      <c r="C151" s="1">
        <f t="shared" si="48"/>
        <v>3820</v>
      </c>
      <c r="D151" s="4">
        <f t="shared" si="56"/>
        <v>5680</v>
      </c>
      <c r="E151" s="4">
        <f t="shared" si="57"/>
        <v>269</v>
      </c>
      <c r="F151" s="10">
        <f t="shared" si="59"/>
        <v>1.3000000000000003</v>
      </c>
      <c r="G151" s="9">
        <f t="shared" si="58"/>
        <v>12350</v>
      </c>
      <c r="I151" s="4">
        <f t="shared" si="50"/>
        <v>10000</v>
      </c>
      <c r="J151" s="17">
        <f t="shared" si="51"/>
        <v>0.05</v>
      </c>
      <c r="K151" s="17">
        <f t="shared" si="52"/>
        <v>0.38200000000000001</v>
      </c>
      <c r="L151" s="17">
        <f t="shared" si="53"/>
        <v>0.56799999999999995</v>
      </c>
      <c r="M151" s="4">
        <f t="shared" si="54"/>
        <v>12350</v>
      </c>
    </row>
    <row r="152" spans="1:13" x14ac:dyDescent="0.3">
      <c r="A152" s="1">
        <f t="shared" si="43"/>
        <v>150</v>
      </c>
      <c r="B152" s="18">
        <v>500</v>
      </c>
      <c r="C152" s="1">
        <f t="shared" si="48"/>
        <v>3800</v>
      </c>
      <c r="D152" s="4">
        <f t="shared" si="56"/>
        <v>5700</v>
      </c>
      <c r="E152" s="4">
        <f t="shared" si="57"/>
        <v>270</v>
      </c>
      <c r="F152" s="10">
        <f t="shared" si="59"/>
        <v>1.3100000000000003</v>
      </c>
      <c r="G152" s="9">
        <f t="shared" si="58"/>
        <v>12500</v>
      </c>
      <c r="I152" s="4">
        <f t="shared" si="50"/>
        <v>10000</v>
      </c>
      <c r="J152" s="17">
        <f t="shared" si="51"/>
        <v>0.05</v>
      </c>
      <c r="K152" s="17">
        <f t="shared" si="52"/>
        <v>0.38</v>
      </c>
      <c r="L152" s="17">
        <f t="shared" si="53"/>
        <v>0.56999999999999995</v>
      </c>
      <c r="M152" s="4">
        <f t="shared" si="54"/>
        <v>12500</v>
      </c>
    </row>
    <row r="153" spans="1:13" x14ac:dyDescent="0.3">
      <c r="A153" s="1">
        <f t="shared" si="43"/>
        <v>151</v>
      </c>
      <c r="B153" s="18">
        <v>500</v>
      </c>
      <c r="C153" s="1">
        <f t="shared" si="48"/>
        <v>3780</v>
      </c>
      <c r="D153" s="4">
        <f t="shared" si="56"/>
        <v>5720</v>
      </c>
      <c r="E153" s="4">
        <f t="shared" si="57"/>
        <v>271</v>
      </c>
      <c r="F153" s="10">
        <f t="shared" si="59"/>
        <v>1.3200000000000003</v>
      </c>
      <c r="G153" s="9">
        <f t="shared" si="58"/>
        <v>12650</v>
      </c>
      <c r="I153" s="4">
        <f t="shared" si="50"/>
        <v>10000</v>
      </c>
      <c r="J153" s="17">
        <f t="shared" si="51"/>
        <v>0.05</v>
      </c>
      <c r="K153" s="17">
        <f t="shared" si="52"/>
        <v>0.378</v>
      </c>
      <c r="L153" s="17">
        <f t="shared" si="53"/>
        <v>0.57199999999999995</v>
      </c>
      <c r="M153" s="4">
        <f t="shared" si="54"/>
        <v>12650</v>
      </c>
    </row>
    <row r="154" spans="1:13" x14ac:dyDescent="0.3">
      <c r="A154" s="1">
        <f t="shared" si="43"/>
        <v>152</v>
      </c>
      <c r="B154" s="18">
        <v>500</v>
      </c>
      <c r="C154" s="1">
        <f t="shared" si="48"/>
        <v>3760</v>
      </c>
      <c r="D154" s="4">
        <f t="shared" si="56"/>
        <v>5740</v>
      </c>
      <c r="E154" s="4">
        <f t="shared" si="57"/>
        <v>272</v>
      </c>
      <c r="F154" s="10">
        <f t="shared" si="59"/>
        <v>1.3300000000000003</v>
      </c>
      <c r="G154" s="9">
        <f t="shared" si="58"/>
        <v>12800</v>
      </c>
      <c r="I154" s="4">
        <f t="shared" si="50"/>
        <v>10000</v>
      </c>
      <c r="J154" s="17">
        <f t="shared" si="51"/>
        <v>0.05</v>
      </c>
      <c r="K154" s="17">
        <f t="shared" si="52"/>
        <v>0.376</v>
      </c>
      <c r="L154" s="17">
        <f t="shared" si="53"/>
        <v>0.57399999999999995</v>
      </c>
      <c r="M154" s="4">
        <f t="shared" si="54"/>
        <v>12800</v>
      </c>
    </row>
    <row r="155" spans="1:13" x14ac:dyDescent="0.3">
      <c r="A155" s="1">
        <f t="shared" si="43"/>
        <v>153</v>
      </c>
      <c r="B155" s="18">
        <v>500</v>
      </c>
      <c r="C155" s="1">
        <f t="shared" si="48"/>
        <v>3740</v>
      </c>
      <c r="D155" s="4">
        <f t="shared" si="56"/>
        <v>5760</v>
      </c>
      <c r="E155" s="4">
        <f t="shared" si="57"/>
        <v>273</v>
      </c>
      <c r="F155" s="10">
        <f t="shared" si="59"/>
        <v>1.3400000000000003</v>
      </c>
      <c r="G155" s="9">
        <f t="shared" si="58"/>
        <v>12950</v>
      </c>
      <c r="I155" s="4">
        <f t="shared" si="50"/>
        <v>10000</v>
      </c>
      <c r="J155" s="17">
        <f t="shared" si="51"/>
        <v>0.05</v>
      </c>
      <c r="K155" s="17">
        <f t="shared" si="52"/>
        <v>0.374</v>
      </c>
      <c r="L155" s="17">
        <f t="shared" si="53"/>
        <v>0.57599999999999996</v>
      </c>
      <c r="M155" s="4">
        <f t="shared" si="54"/>
        <v>12950</v>
      </c>
    </row>
    <row r="156" spans="1:13" x14ac:dyDescent="0.3">
      <c r="A156" s="1">
        <f t="shared" si="43"/>
        <v>154</v>
      </c>
      <c r="B156" s="18">
        <v>500</v>
      </c>
      <c r="C156" s="1">
        <f t="shared" si="48"/>
        <v>3720</v>
      </c>
      <c r="D156" s="4">
        <f t="shared" si="56"/>
        <v>5780</v>
      </c>
      <c r="E156" s="4">
        <f t="shared" si="57"/>
        <v>274</v>
      </c>
      <c r="F156" s="10">
        <f t="shared" si="59"/>
        <v>1.3500000000000003</v>
      </c>
      <c r="G156" s="9">
        <f t="shared" si="58"/>
        <v>13100</v>
      </c>
      <c r="I156" s="4">
        <f t="shared" si="50"/>
        <v>10000</v>
      </c>
      <c r="J156" s="17">
        <f t="shared" si="51"/>
        <v>0.05</v>
      </c>
      <c r="K156" s="17">
        <f t="shared" si="52"/>
        <v>0.372</v>
      </c>
      <c r="L156" s="17">
        <f t="shared" si="53"/>
        <v>0.57799999999999996</v>
      </c>
      <c r="M156" s="4">
        <f t="shared" si="54"/>
        <v>13100</v>
      </c>
    </row>
    <row r="157" spans="1:13" x14ac:dyDescent="0.3">
      <c r="A157" s="1">
        <f t="shared" si="43"/>
        <v>155</v>
      </c>
      <c r="B157" s="18">
        <v>500</v>
      </c>
      <c r="C157" s="1">
        <f t="shared" si="48"/>
        <v>3700</v>
      </c>
      <c r="D157" s="4">
        <f t="shared" si="56"/>
        <v>5800</v>
      </c>
      <c r="E157" s="4">
        <f t="shared" si="57"/>
        <v>275</v>
      </c>
      <c r="F157" s="10">
        <f t="shared" si="59"/>
        <v>1.3600000000000003</v>
      </c>
      <c r="G157" s="9">
        <f t="shared" si="58"/>
        <v>13250</v>
      </c>
      <c r="I157" s="4">
        <f t="shared" si="50"/>
        <v>10000</v>
      </c>
      <c r="J157" s="17">
        <f t="shared" si="51"/>
        <v>0.05</v>
      </c>
      <c r="K157" s="17">
        <f t="shared" si="52"/>
        <v>0.37</v>
      </c>
      <c r="L157" s="17">
        <f t="shared" si="53"/>
        <v>0.57999999999999996</v>
      </c>
      <c r="M157" s="4">
        <f t="shared" si="54"/>
        <v>13250</v>
      </c>
    </row>
    <row r="158" spans="1:13" x14ac:dyDescent="0.3">
      <c r="A158" s="1">
        <f t="shared" si="43"/>
        <v>156</v>
      </c>
      <c r="B158" s="18">
        <v>500</v>
      </c>
      <c r="C158" s="1">
        <f t="shared" si="48"/>
        <v>3680</v>
      </c>
      <c r="D158" s="4">
        <f t="shared" si="56"/>
        <v>5820</v>
      </c>
      <c r="E158" s="4">
        <f t="shared" si="57"/>
        <v>276</v>
      </c>
      <c r="F158" s="10">
        <f t="shared" si="59"/>
        <v>1.3700000000000003</v>
      </c>
      <c r="G158" s="9">
        <f t="shared" si="58"/>
        <v>13400</v>
      </c>
      <c r="I158" s="4">
        <f t="shared" si="50"/>
        <v>10000</v>
      </c>
      <c r="J158" s="17">
        <f t="shared" si="51"/>
        <v>0.05</v>
      </c>
      <c r="K158" s="17">
        <f t="shared" si="52"/>
        <v>0.36799999999999999</v>
      </c>
      <c r="L158" s="17">
        <f t="shared" si="53"/>
        <v>0.58199999999999996</v>
      </c>
      <c r="M158" s="4">
        <f t="shared" si="54"/>
        <v>13400</v>
      </c>
    </row>
    <row r="159" spans="1:13" x14ac:dyDescent="0.3">
      <c r="A159" s="1">
        <f t="shared" ref="A159:A222" si="60">A158+1</f>
        <v>157</v>
      </c>
      <c r="B159" s="18">
        <v>500</v>
      </c>
      <c r="C159" s="1">
        <f t="shared" si="48"/>
        <v>3660</v>
      </c>
      <c r="D159" s="4">
        <f t="shared" si="56"/>
        <v>5840</v>
      </c>
      <c r="E159" s="4">
        <f t="shared" si="57"/>
        <v>277</v>
      </c>
      <c r="F159" s="10">
        <f t="shared" si="59"/>
        <v>1.3800000000000003</v>
      </c>
      <c r="G159" s="9">
        <f t="shared" si="58"/>
        <v>13550</v>
      </c>
      <c r="I159" s="4">
        <f t="shared" si="50"/>
        <v>10000</v>
      </c>
      <c r="J159" s="17">
        <f t="shared" si="51"/>
        <v>0.05</v>
      </c>
      <c r="K159" s="17">
        <f t="shared" si="52"/>
        <v>0.36599999999999999</v>
      </c>
      <c r="L159" s="17">
        <f t="shared" si="53"/>
        <v>0.58399999999999996</v>
      </c>
      <c r="M159" s="4">
        <f t="shared" si="54"/>
        <v>13550</v>
      </c>
    </row>
    <row r="160" spans="1:13" x14ac:dyDescent="0.3">
      <c r="A160" s="1">
        <f t="shared" si="60"/>
        <v>158</v>
      </c>
      <c r="B160" s="18">
        <v>500</v>
      </c>
      <c r="C160" s="1">
        <f t="shared" si="48"/>
        <v>3640</v>
      </c>
      <c r="D160" s="4">
        <f t="shared" si="56"/>
        <v>5860</v>
      </c>
      <c r="E160" s="4">
        <f t="shared" si="57"/>
        <v>278</v>
      </c>
      <c r="F160" s="10">
        <f t="shared" si="59"/>
        <v>1.3900000000000003</v>
      </c>
      <c r="G160" s="9">
        <f t="shared" si="58"/>
        <v>13700</v>
      </c>
      <c r="I160" s="4">
        <f t="shared" si="50"/>
        <v>10000</v>
      </c>
      <c r="J160" s="17">
        <f t="shared" si="51"/>
        <v>0.05</v>
      </c>
      <c r="K160" s="17">
        <f t="shared" si="52"/>
        <v>0.36399999999999999</v>
      </c>
      <c r="L160" s="17">
        <f t="shared" si="53"/>
        <v>0.58599999999999997</v>
      </c>
      <c r="M160" s="4">
        <f t="shared" si="54"/>
        <v>13700</v>
      </c>
    </row>
    <row r="161" spans="1:13" x14ac:dyDescent="0.3">
      <c r="A161" s="1">
        <f t="shared" si="60"/>
        <v>159</v>
      </c>
      <c r="B161" s="18">
        <v>500</v>
      </c>
      <c r="C161" s="1">
        <f t="shared" si="48"/>
        <v>3620</v>
      </c>
      <c r="D161" s="4">
        <f t="shared" si="56"/>
        <v>5880</v>
      </c>
      <c r="E161" s="4">
        <f t="shared" si="57"/>
        <v>279</v>
      </c>
      <c r="F161" s="10">
        <f t="shared" si="59"/>
        <v>1.4000000000000004</v>
      </c>
      <c r="G161" s="9">
        <f t="shared" si="58"/>
        <v>13850</v>
      </c>
      <c r="I161" s="4">
        <f t="shared" si="50"/>
        <v>10000</v>
      </c>
      <c r="J161" s="17">
        <f t="shared" si="51"/>
        <v>0.05</v>
      </c>
      <c r="K161" s="17">
        <f t="shared" si="52"/>
        <v>0.36199999999999999</v>
      </c>
      <c r="L161" s="17">
        <f t="shared" si="53"/>
        <v>0.58799999999999997</v>
      </c>
      <c r="M161" s="4">
        <f t="shared" si="54"/>
        <v>13850</v>
      </c>
    </row>
    <row r="162" spans="1:13" x14ac:dyDescent="0.3">
      <c r="A162" s="1">
        <f t="shared" si="60"/>
        <v>160</v>
      </c>
      <c r="B162" s="18">
        <v>500</v>
      </c>
      <c r="C162" s="1">
        <f t="shared" si="48"/>
        <v>3600</v>
      </c>
      <c r="D162" s="4">
        <f t="shared" si="56"/>
        <v>5900</v>
      </c>
      <c r="E162" s="4">
        <f t="shared" si="57"/>
        <v>280</v>
      </c>
      <c r="F162" s="10">
        <f t="shared" si="59"/>
        <v>1.4100000000000004</v>
      </c>
      <c r="G162" s="9">
        <f t="shared" si="58"/>
        <v>14000</v>
      </c>
      <c r="I162" s="4">
        <f t="shared" si="50"/>
        <v>10000</v>
      </c>
      <c r="J162" s="17">
        <f t="shared" si="51"/>
        <v>0.05</v>
      </c>
      <c r="K162" s="17">
        <f t="shared" si="52"/>
        <v>0.36</v>
      </c>
      <c r="L162" s="17">
        <f t="shared" si="53"/>
        <v>0.59</v>
      </c>
      <c r="M162" s="4">
        <f t="shared" si="54"/>
        <v>14000</v>
      </c>
    </row>
    <row r="163" spans="1:13" x14ac:dyDescent="0.3">
      <c r="A163" s="1">
        <f t="shared" si="60"/>
        <v>161</v>
      </c>
      <c r="B163" s="18">
        <v>500</v>
      </c>
      <c r="C163" s="1">
        <f t="shared" si="48"/>
        <v>3580</v>
      </c>
      <c r="D163" s="4">
        <f t="shared" si="56"/>
        <v>5920</v>
      </c>
      <c r="E163" s="4">
        <f t="shared" si="57"/>
        <v>281</v>
      </c>
      <c r="F163" s="10">
        <f t="shared" si="59"/>
        <v>1.4200000000000004</v>
      </c>
      <c r="G163" s="9">
        <f t="shared" si="58"/>
        <v>14150</v>
      </c>
      <c r="I163" s="4">
        <f t="shared" si="50"/>
        <v>10000</v>
      </c>
      <c r="J163" s="17">
        <f t="shared" si="51"/>
        <v>0.05</v>
      </c>
      <c r="K163" s="17">
        <f t="shared" si="52"/>
        <v>0.35799999999999998</v>
      </c>
      <c r="L163" s="17">
        <f t="shared" si="53"/>
        <v>0.59199999999999997</v>
      </c>
      <c r="M163" s="4">
        <f t="shared" si="54"/>
        <v>14150</v>
      </c>
    </row>
    <row r="164" spans="1:13" x14ac:dyDescent="0.3">
      <c r="A164" s="1">
        <f t="shared" si="60"/>
        <v>162</v>
      </c>
      <c r="B164" s="18">
        <v>500</v>
      </c>
      <c r="C164" s="1">
        <f t="shared" si="48"/>
        <v>3560</v>
      </c>
      <c r="D164" s="4">
        <f t="shared" si="56"/>
        <v>5940</v>
      </c>
      <c r="E164" s="4">
        <f t="shared" si="57"/>
        <v>282</v>
      </c>
      <c r="F164" s="10">
        <f t="shared" si="59"/>
        <v>1.4300000000000004</v>
      </c>
      <c r="G164" s="9">
        <f t="shared" si="58"/>
        <v>14300</v>
      </c>
      <c r="I164" s="4">
        <f t="shared" si="50"/>
        <v>10000</v>
      </c>
      <c r="J164" s="17">
        <f t="shared" si="51"/>
        <v>0.05</v>
      </c>
      <c r="K164" s="17">
        <f t="shared" si="52"/>
        <v>0.35599999999999998</v>
      </c>
      <c r="L164" s="17">
        <f t="shared" si="53"/>
        <v>0.59399999999999997</v>
      </c>
      <c r="M164" s="4">
        <f t="shared" si="54"/>
        <v>14300</v>
      </c>
    </row>
    <row r="165" spans="1:13" x14ac:dyDescent="0.3">
      <c r="A165" s="1">
        <f t="shared" si="60"/>
        <v>163</v>
      </c>
      <c r="B165" s="18">
        <v>500</v>
      </c>
      <c r="C165" s="1">
        <f t="shared" si="48"/>
        <v>3540</v>
      </c>
      <c r="D165" s="4">
        <f t="shared" si="56"/>
        <v>5960</v>
      </c>
      <c r="E165" s="4">
        <f t="shared" si="57"/>
        <v>283</v>
      </c>
      <c r="F165" s="10">
        <f t="shared" si="59"/>
        <v>1.4400000000000004</v>
      </c>
      <c r="G165" s="9">
        <f t="shared" si="58"/>
        <v>14450</v>
      </c>
      <c r="I165" s="4">
        <f t="shared" si="50"/>
        <v>10000</v>
      </c>
      <c r="J165" s="17">
        <f t="shared" si="51"/>
        <v>0.05</v>
      </c>
      <c r="K165" s="17">
        <f t="shared" si="52"/>
        <v>0.35399999999999998</v>
      </c>
      <c r="L165" s="17">
        <f t="shared" si="53"/>
        <v>0.59599999999999997</v>
      </c>
      <c r="M165" s="4">
        <f t="shared" si="54"/>
        <v>14450</v>
      </c>
    </row>
    <row r="166" spans="1:13" x14ac:dyDescent="0.3">
      <c r="A166" s="1">
        <f t="shared" si="60"/>
        <v>164</v>
      </c>
      <c r="B166" s="18">
        <v>500</v>
      </c>
      <c r="C166" s="1">
        <f t="shared" ref="C166:C229" si="61">10000-B166-D166</f>
        <v>3520</v>
      </c>
      <c r="D166" s="4">
        <f t="shared" si="56"/>
        <v>5980</v>
      </c>
      <c r="E166" s="4">
        <f t="shared" si="57"/>
        <v>284</v>
      </c>
      <c r="F166" s="10">
        <f t="shared" si="59"/>
        <v>1.4500000000000004</v>
      </c>
      <c r="G166" s="9">
        <f t="shared" si="58"/>
        <v>14600</v>
      </c>
      <c r="I166" s="4">
        <f t="shared" ref="I166:I229" si="62">SUM(B166:D166)</f>
        <v>10000</v>
      </c>
      <c r="J166" s="17">
        <f t="shared" ref="J166:J229" si="63">B166/10000</f>
        <v>0.05</v>
      </c>
      <c r="K166" s="17">
        <f t="shared" ref="K166:K229" si="64">C166/10000</f>
        <v>0.35199999999999998</v>
      </c>
      <c r="L166" s="17">
        <f t="shared" ref="L166:L229" si="65">D166/10000</f>
        <v>0.59799999999999998</v>
      </c>
      <c r="M166" s="4">
        <f t="shared" ref="M166:M229" si="66">G166</f>
        <v>14600</v>
      </c>
    </row>
    <row r="167" spans="1:13" x14ac:dyDescent="0.3">
      <c r="A167" s="1">
        <f t="shared" si="60"/>
        <v>165</v>
      </c>
      <c r="B167" s="18">
        <v>500</v>
      </c>
      <c r="C167" s="1">
        <f t="shared" si="61"/>
        <v>3500</v>
      </c>
      <c r="D167" s="4">
        <f t="shared" si="56"/>
        <v>6000</v>
      </c>
      <c r="E167" s="4">
        <f t="shared" si="57"/>
        <v>285</v>
      </c>
      <c r="F167" s="10">
        <f t="shared" si="59"/>
        <v>1.4600000000000004</v>
      </c>
      <c r="G167" s="9">
        <f t="shared" si="58"/>
        <v>14750</v>
      </c>
      <c r="I167" s="4">
        <f t="shared" si="62"/>
        <v>10000</v>
      </c>
      <c r="J167" s="17">
        <f t="shared" si="63"/>
        <v>0.05</v>
      </c>
      <c r="K167" s="17">
        <f t="shared" si="64"/>
        <v>0.35</v>
      </c>
      <c r="L167" s="17">
        <f t="shared" si="65"/>
        <v>0.6</v>
      </c>
      <c r="M167" s="4">
        <f t="shared" si="66"/>
        <v>14750</v>
      </c>
    </row>
    <row r="168" spans="1:13" x14ac:dyDescent="0.3">
      <c r="A168" s="1">
        <f t="shared" si="60"/>
        <v>166</v>
      </c>
      <c r="B168" s="18">
        <v>500</v>
      </c>
      <c r="C168" s="1">
        <f t="shared" si="61"/>
        <v>3480</v>
      </c>
      <c r="D168" s="4">
        <f t="shared" ref="D168:D231" si="67">D167+20</f>
        <v>6020</v>
      </c>
      <c r="E168" s="4">
        <f t="shared" ref="E168:E231" si="68">E167+1</f>
        <v>286</v>
      </c>
      <c r="F168" s="10">
        <f t="shared" si="59"/>
        <v>1.4700000000000004</v>
      </c>
      <c r="G168" s="9">
        <f t="shared" ref="G168:G231" si="69">G167+150</f>
        <v>14900</v>
      </c>
      <c r="I168" s="4">
        <f t="shared" si="62"/>
        <v>10000</v>
      </c>
      <c r="J168" s="17">
        <f t="shared" si="63"/>
        <v>0.05</v>
      </c>
      <c r="K168" s="17">
        <f t="shared" si="64"/>
        <v>0.34799999999999998</v>
      </c>
      <c r="L168" s="17">
        <f t="shared" si="65"/>
        <v>0.60199999999999998</v>
      </c>
      <c r="M168" s="4">
        <f t="shared" si="66"/>
        <v>14900</v>
      </c>
    </row>
    <row r="169" spans="1:13" x14ac:dyDescent="0.3">
      <c r="A169" s="1">
        <f t="shared" si="60"/>
        <v>167</v>
      </c>
      <c r="B169" s="18">
        <v>500</v>
      </c>
      <c r="C169" s="1">
        <f t="shared" si="61"/>
        <v>3460</v>
      </c>
      <c r="D169" s="4">
        <f t="shared" si="67"/>
        <v>6040</v>
      </c>
      <c r="E169" s="4">
        <f t="shared" si="68"/>
        <v>287</v>
      </c>
      <c r="F169" s="10">
        <f t="shared" ref="F169:F232" si="70">F168+0.01</f>
        <v>1.4800000000000004</v>
      </c>
      <c r="G169" s="9">
        <f t="shared" si="69"/>
        <v>15050</v>
      </c>
      <c r="I169" s="4">
        <f t="shared" si="62"/>
        <v>10000</v>
      </c>
      <c r="J169" s="17">
        <f t="shared" si="63"/>
        <v>0.05</v>
      </c>
      <c r="K169" s="17">
        <f t="shared" si="64"/>
        <v>0.34599999999999997</v>
      </c>
      <c r="L169" s="17">
        <f t="shared" si="65"/>
        <v>0.60399999999999998</v>
      </c>
      <c r="M169" s="4">
        <f t="shared" si="66"/>
        <v>15050</v>
      </c>
    </row>
    <row r="170" spans="1:13" x14ac:dyDescent="0.3">
      <c r="A170" s="1">
        <f t="shared" si="60"/>
        <v>168</v>
      </c>
      <c r="B170" s="18">
        <v>500</v>
      </c>
      <c r="C170" s="1">
        <f t="shared" si="61"/>
        <v>3440</v>
      </c>
      <c r="D170" s="4">
        <f t="shared" si="67"/>
        <v>6060</v>
      </c>
      <c r="E170" s="4">
        <f t="shared" si="68"/>
        <v>288</v>
      </c>
      <c r="F170" s="10">
        <f t="shared" si="70"/>
        <v>1.4900000000000004</v>
      </c>
      <c r="G170" s="9">
        <f t="shared" si="69"/>
        <v>15200</v>
      </c>
      <c r="I170" s="4">
        <f t="shared" si="62"/>
        <v>10000</v>
      </c>
      <c r="J170" s="17">
        <f t="shared" si="63"/>
        <v>0.05</v>
      </c>
      <c r="K170" s="17">
        <f t="shared" si="64"/>
        <v>0.34399999999999997</v>
      </c>
      <c r="L170" s="17">
        <f t="shared" si="65"/>
        <v>0.60599999999999998</v>
      </c>
      <c r="M170" s="4">
        <f t="shared" si="66"/>
        <v>15200</v>
      </c>
    </row>
    <row r="171" spans="1:13" x14ac:dyDescent="0.3">
      <c r="A171" s="1">
        <f t="shared" si="60"/>
        <v>169</v>
      </c>
      <c r="B171" s="18">
        <v>500</v>
      </c>
      <c r="C171" s="1">
        <f t="shared" si="61"/>
        <v>3420</v>
      </c>
      <c r="D171" s="4">
        <f t="shared" si="67"/>
        <v>6080</v>
      </c>
      <c r="E171" s="4">
        <f t="shared" si="68"/>
        <v>289</v>
      </c>
      <c r="F171" s="10">
        <f t="shared" si="70"/>
        <v>1.5000000000000004</v>
      </c>
      <c r="G171" s="9">
        <f t="shared" si="69"/>
        <v>15350</v>
      </c>
      <c r="I171" s="4">
        <f t="shared" si="62"/>
        <v>10000</v>
      </c>
      <c r="J171" s="17">
        <f t="shared" si="63"/>
        <v>0.05</v>
      </c>
      <c r="K171" s="17">
        <f t="shared" si="64"/>
        <v>0.34200000000000003</v>
      </c>
      <c r="L171" s="17">
        <f t="shared" si="65"/>
        <v>0.60799999999999998</v>
      </c>
      <c r="M171" s="4">
        <f t="shared" si="66"/>
        <v>15350</v>
      </c>
    </row>
    <row r="172" spans="1:13" x14ac:dyDescent="0.3">
      <c r="A172" s="1">
        <f t="shared" si="60"/>
        <v>170</v>
      </c>
      <c r="B172" s="18">
        <v>500</v>
      </c>
      <c r="C172" s="1">
        <f t="shared" si="61"/>
        <v>3400</v>
      </c>
      <c r="D172" s="4">
        <f t="shared" si="67"/>
        <v>6100</v>
      </c>
      <c r="E172" s="4">
        <f t="shared" si="68"/>
        <v>290</v>
      </c>
      <c r="F172" s="10">
        <f t="shared" si="70"/>
        <v>1.5100000000000005</v>
      </c>
      <c r="G172" s="9">
        <f t="shared" si="69"/>
        <v>15500</v>
      </c>
      <c r="I172" s="4">
        <f t="shared" si="62"/>
        <v>10000</v>
      </c>
      <c r="J172" s="17">
        <f t="shared" si="63"/>
        <v>0.05</v>
      </c>
      <c r="K172" s="17">
        <f t="shared" si="64"/>
        <v>0.34</v>
      </c>
      <c r="L172" s="17">
        <f t="shared" si="65"/>
        <v>0.61</v>
      </c>
      <c r="M172" s="4">
        <f t="shared" si="66"/>
        <v>15500</v>
      </c>
    </row>
    <row r="173" spans="1:13" x14ac:dyDescent="0.3">
      <c r="A173" s="1">
        <f t="shared" si="60"/>
        <v>171</v>
      </c>
      <c r="B173" s="18">
        <v>500</v>
      </c>
      <c r="C173" s="1">
        <f t="shared" si="61"/>
        <v>3380</v>
      </c>
      <c r="D173" s="4">
        <f t="shared" si="67"/>
        <v>6120</v>
      </c>
      <c r="E173" s="4">
        <f t="shared" si="68"/>
        <v>291</v>
      </c>
      <c r="F173" s="10">
        <f t="shared" si="70"/>
        <v>1.5200000000000005</v>
      </c>
      <c r="G173" s="9">
        <f t="shared" si="69"/>
        <v>15650</v>
      </c>
      <c r="I173" s="4">
        <f t="shared" si="62"/>
        <v>10000</v>
      </c>
      <c r="J173" s="17">
        <f t="shared" si="63"/>
        <v>0.05</v>
      </c>
      <c r="K173" s="17">
        <f t="shared" si="64"/>
        <v>0.33800000000000002</v>
      </c>
      <c r="L173" s="17">
        <f t="shared" si="65"/>
        <v>0.61199999999999999</v>
      </c>
      <c r="M173" s="4">
        <f t="shared" si="66"/>
        <v>15650</v>
      </c>
    </row>
    <row r="174" spans="1:13" x14ac:dyDescent="0.3">
      <c r="A174" s="1">
        <f t="shared" si="60"/>
        <v>172</v>
      </c>
      <c r="B174" s="18">
        <v>500</v>
      </c>
      <c r="C174" s="1">
        <f t="shared" si="61"/>
        <v>3360</v>
      </c>
      <c r="D174" s="4">
        <f t="shared" si="67"/>
        <v>6140</v>
      </c>
      <c r="E174" s="4">
        <f t="shared" si="68"/>
        <v>292</v>
      </c>
      <c r="F174" s="10">
        <f t="shared" si="70"/>
        <v>1.5300000000000005</v>
      </c>
      <c r="G174" s="9">
        <f t="shared" si="69"/>
        <v>15800</v>
      </c>
      <c r="I174" s="4">
        <f t="shared" si="62"/>
        <v>10000</v>
      </c>
      <c r="J174" s="17">
        <f t="shared" si="63"/>
        <v>0.05</v>
      </c>
      <c r="K174" s="17">
        <f t="shared" si="64"/>
        <v>0.33600000000000002</v>
      </c>
      <c r="L174" s="17">
        <f t="shared" si="65"/>
        <v>0.61399999999999999</v>
      </c>
      <c r="M174" s="4">
        <f t="shared" si="66"/>
        <v>15800</v>
      </c>
    </row>
    <row r="175" spans="1:13" x14ac:dyDescent="0.3">
      <c r="A175" s="1">
        <f t="shared" si="60"/>
        <v>173</v>
      </c>
      <c r="B175" s="18">
        <v>500</v>
      </c>
      <c r="C175" s="1">
        <f t="shared" si="61"/>
        <v>3340</v>
      </c>
      <c r="D175" s="4">
        <f t="shared" si="67"/>
        <v>6160</v>
      </c>
      <c r="E175" s="4">
        <f t="shared" si="68"/>
        <v>293</v>
      </c>
      <c r="F175" s="10">
        <f t="shared" si="70"/>
        <v>1.5400000000000005</v>
      </c>
      <c r="G175" s="9">
        <f t="shared" si="69"/>
        <v>15950</v>
      </c>
      <c r="I175" s="4">
        <f t="shared" si="62"/>
        <v>10000</v>
      </c>
      <c r="J175" s="17">
        <f t="shared" si="63"/>
        <v>0.05</v>
      </c>
      <c r="K175" s="17">
        <f t="shared" si="64"/>
        <v>0.33400000000000002</v>
      </c>
      <c r="L175" s="17">
        <f t="shared" si="65"/>
        <v>0.61599999999999999</v>
      </c>
      <c r="M175" s="4">
        <f t="shared" si="66"/>
        <v>15950</v>
      </c>
    </row>
    <row r="176" spans="1:13" x14ac:dyDescent="0.3">
      <c r="A176" s="1">
        <f t="shared" si="60"/>
        <v>174</v>
      </c>
      <c r="B176" s="18">
        <v>500</v>
      </c>
      <c r="C176" s="1">
        <f t="shared" si="61"/>
        <v>3320</v>
      </c>
      <c r="D176" s="4">
        <f t="shared" si="67"/>
        <v>6180</v>
      </c>
      <c r="E176" s="4">
        <f t="shared" si="68"/>
        <v>294</v>
      </c>
      <c r="F176" s="10">
        <f t="shared" si="70"/>
        <v>1.5500000000000005</v>
      </c>
      <c r="G176" s="9">
        <f t="shared" si="69"/>
        <v>16100</v>
      </c>
      <c r="I176" s="4">
        <f t="shared" si="62"/>
        <v>10000</v>
      </c>
      <c r="J176" s="17">
        <f t="shared" si="63"/>
        <v>0.05</v>
      </c>
      <c r="K176" s="17">
        <f t="shared" si="64"/>
        <v>0.33200000000000002</v>
      </c>
      <c r="L176" s="17">
        <f t="shared" si="65"/>
        <v>0.61799999999999999</v>
      </c>
      <c r="M176" s="4">
        <f t="shared" si="66"/>
        <v>16100</v>
      </c>
    </row>
    <row r="177" spans="1:13" x14ac:dyDescent="0.3">
      <c r="A177" s="1">
        <f t="shared" si="60"/>
        <v>175</v>
      </c>
      <c r="B177" s="18">
        <v>500</v>
      </c>
      <c r="C177" s="1">
        <f t="shared" si="61"/>
        <v>3300</v>
      </c>
      <c r="D177" s="4">
        <f t="shared" si="67"/>
        <v>6200</v>
      </c>
      <c r="E177" s="4">
        <f t="shared" si="68"/>
        <v>295</v>
      </c>
      <c r="F177" s="10">
        <f t="shared" si="70"/>
        <v>1.5600000000000005</v>
      </c>
      <c r="G177" s="9">
        <f t="shared" si="69"/>
        <v>16250</v>
      </c>
      <c r="I177" s="4">
        <f t="shared" si="62"/>
        <v>10000</v>
      </c>
      <c r="J177" s="17">
        <f t="shared" si="63"/>
        <v>0.05</v>
      </c>
      <c r="K177" s="17">
        <f t="shared" si="64"/>
        <v>0.33</v>
      </c>
      <c r="L177" s="17">
        <f t="shared" si="65"/>
        <v>0.62</v>
      </c>
      <c r="M177" s="4">
        <f t="shared" si="66"/>
        <v>16250</v>
      </c>
    </row>
    <row r="178" spans="1:13" x14ac:dyDescent="0.3">
      <c r="A178" s="1">
        <f t="shared" si="60"/>
        <v>176</v>
      </c>
      <c r="B178" s="18">
        <v>500</v>
      </c>
      <c r="C178" s="1">
        <f t="shared" si="61"/>
        <v>3280</v>
      </c>
      <c r="D178" s="4">
        <f t="shared" si="67"/>
        <v>6220</v>
      </c>
      <c r="E178" s="4">
        <f t="shared" si="68"/>
        <v>296</v>
      </c>
      <c r="F178" s="10">
        <f t="shared" si="70"/>
        <v>1.5700000000000005</v>
      </c>
      <c r="G178" s="9">
        <f t="shared" si="69"/>
        <v>16400</v>
      </c>
      <c r="I178" s="4">
        <f t="shared" si="62"/>
        <v>10000</v>
      </c>
      <c r="J178" s="17">
        <f t="shared" si="63"/>
        <v>0.05</v>
      </c>
      <c r="K178" s="17">
        <f t="shared" si="64"/>
        <v>0.32800000000000001</v>
      </c>
      <c r="L178" s="17">
        <f t="shared" si="65"/>
        <v>0.622</v>
      </c>
      <c r="M178" s="4">
        <f t="shared" si="66"/>
        <v>16400</v>
      </c>
    </row>
    <row r="179" spans="1:13" x14ac:dyDescent="0.3">
      <c r="A179" s="1">
        <f t="shared" si="60"/>
        <v>177</v>
      </c>
      <c r="B179" s="18">
        <v>500</v>
      </c>
      <c r="C179" s="1">
        <f t="shared" si="61"/>
        <v>3260</v>
      </c>
      <c r="D179" s="4">
        <f t="shared" si="67"/>
        <v>6240</v>
      </c>
      <c r="E179" s="4">
        <f t="shared" si="68"/>
        <v>297</v>
      </c>
      <c r="F179" s="10">
        <f t="shared" si="70"/>
        <v>1.5800000000000005</v>
      </c>
      <c r="G179" s="9">
        <f t="shared" si="69"/>
        <v>16550</v>
      </c>
      <c r="I179" s="4">
        <f t="shared" si="62"/>
        <v>10000</v>
      </c>
      <c r="J179" s="17">
        <f t="shared" si="63"/>
        <v>0.05</v>
      </c>
      <c r="K179" s="17">
        <f t="shared" si="64"/>
        <v>0.32600000000000001</v>
      </c>
      <c r="L179" s="17">
        <f t="shared" si="65"/>
        <v>0.624</v>
      </c>
      <c r="M179" s="4">
        <f t="shared" si="66"/>
        <v>16550</v>
      </c>
    </row>
    <row r="180" spans="1:13" x14ac:dyDescent="0.3">
      <c r="A180" s="1">
        <f t="shared" si="60"/>
        <v>178</v>
      </c>
      <c r="B180" s="18">
        <v>500</v>
      </c>
      <c r="C180" s="1">
        <f t="shared" si="61"/>
        <v>3240</v>
      </c>
      <c r="D180" s="4">
        <f t="shared" si="67"/>
        <v>6260</v>
      </c>
      <c r="E180" s="4">
        <f t="shared" si="68"/>
        <v>298</v>
      </c>
      <c r="F180" s="10">
        <f t="shared" si="70"/>
        <v>1.5900000000000005</v>
      </c>
      <c r="G180" s="9">
        <f t="shared" si="69"/>
        <v>16700</v>
      </c>
      <c r="I180" s="4">
        <f t="shared" si="62"/>
        <v>10000</v>
      </c>
      <c r="J180" s="17">
        <f t="shared" si="63"/>
        <v>0.05</v>
      </c>
      <c r="K180" s="17">
        <f t="shared" si="64"/>
        <v>0.32400000000000001</v>
      </c>
      <c r="L180" s="17">
        <f t="shared" si="65"/>
        <v>0.626</v>
      </c>
      <c r="M180" s="4">
        <f t="shared" si="66"/>
        <v>16700</v>
      </c>
    </row>
    <row r="181" spans="1:13" x14ac:dyDescent="0.3">
      <c r="A181" s="1">
        <f t="shared" si="60"/>
        <v>179</v>
      </c>
      <c r="B181" s="18">
        <v>500</v>
      </c>
      <c r="C181" s="1">
        <f t="shared" si="61"/>
        <v>3220</v>
      </c>
      <c r="D181" s="4">
        <f t="shared" si="67"/>
        <v>6280</v>
      </c>
      <c r="E181" s="4">
        <f t="shared" si="68"/>
        <v>299</v>
      </c>
      <c r="F181" s="10">
        <f t="shared" si="70"/>
        <v>1.6000000000000005</v>
      </c>
      <c r="G181" s="9">
        <f t="shared" si="69"/>
        <v>16850</v>
      </c>
      <c r="I181" s="4">
        <f t="shared" si="62"/>
        <v>10000</v>
      </c>
      <c r="J181" s="17">
        <f t="shared" si="63"/>
        <v>0.05</v>
      </c>
      <c r="K181" s="17">
        <f t="shared" si="64"/>
        <v>0.32200000000000001</v>
      </c>
      <c r="L181" s="17">
        <f t="shared" si="65"/>
        <v>0.628</v>
      </c>
      <c r="M181" s="4">
        <f t="shared" si="66"/>
        <v>16850</v>
      </c>
    </row>
    <row r="182" spans="1:13" x14ac:dyDescent="0.3">
      <c r="A182" s="1">
        <f t="shared" si="60"/>
        <v>180</v>
      </c>
      <c r="B182" s="18">
        <v>500</v>
      </c>
      <c r="C182" s="1">
        <f t="shared" si="61"/>
        <v>3200</v>
      </c>
      <c r="D182" s="4">
        <f t="shared" si="67"/>
        <v>6300</v>
      </c>
      <c r="E182" s="4">
        <f t="shared" si="68"/>
        <v>300</v>
      </c>
      <c r="F182" s="10">
        <f t="shared" si="70"/>
        <v>1.6100000000000005</v>
      </c>
      <c r="G182" s="9">
        <f t="shared" si="69"/>
        <v>17000</v>
      </c>
      <c r="I182" s="4">
        <f t="shared" si="62"/>
        <v>10000</v>
      </c>
      <c r="J182" s="17">
        <f t="shared" si="63"/>
        <v>0.05</v>
      </c>
      <c r="K182" s="17">
        <f t="shared" si="64"/>
        <v>0.32</v>
      </c>
      <c r="L182" s="17">
        <f t="shared" si="65"/>
        <v>0.63</v>
      </c>
      <c r="M182" s="4">
        <f t="shared" si="66"/>
        <v>17000</v>
      </c>
    </row>
    <row r="183" spans="1:13" x14ac:dyDescent="0.3">
      <c r="A183" s="1">
        <f t="shared" si="60"/>
        <v>181</v>
      </c>
      <c r="B183" s="18">
        <v>500</v>
      </c>
      <c r="C183" s="1">
        <f t="shared" si="61"/>
        <v>3180</v>
      </c>
      <c r="D183" s="4">
        <f t="shared" si="67"/>
        <v>6320</v>
      </c>
      <c r="E183" s="4">
        <f t="shared" si="68"/>
        <v>301</v>
      </c>
      <c r="F183" s="10">
        <f t="shared" si="70"/>
        <v>1.6200000000000006</v>
      </c>
      <c r="G183" s="9">
        <f t="shared" si="69"/>
        <v>17150</v>
      </c>
      <c r="I183" s="4">
        <f t="shared" si="62"/>
        <v>10000</v>
      </c>
      <c r="J183" s="17">
        <f t="shared" si="63"/>
        <v>0.05</v>
      </c>
      <c r="K183" s="17">
        <f t="shared" si="64"/>
        <v>0.318</v>
      </c>
      <c r="L183" s="17">
        <f t="shared" si="65"/>
        <v>0.63200000000000001</v>
      </c>
      <c r="M183" s="4">
        <f t="shared" si="66"/>
        <v>17150</v>
      </c>
    </row>
    <row r="184" spans="1:13" x14ac:dyDescent="0.3">
      <c r="A184" s="1">
        <f t="shared" si="60"/>
        <v>182</v>
      </c>
      <c r="B184" s="18">
        <v>500</v>
      </c>
      <c r="C184" s="1">
        <f t="shared" si="61"/>
        <v>3160</v>
      </c>
      <c r="D184" s="4">
        <f t="shared" si="67"/>
        <v>6340</v>
      </c>
      <c r="E184" s="4">
        <f t="shared" si="68"/>
        <v>302</v>
      </c>
      <c r="F184" s="10">
        <f t="shared" si="70"/>
        <v>1.6300000000000006</v>
      </c>
      <c r="G184" s="9">
        <f t="shared" si="69"/>
        <v>17300</v>
      </c>
      <c r="I184" s="4">
        <f t="shared" si="62"/>
        <v>10000</v>
      </c>
      <c r="J184" s="17">
        <f t="shared" si="63"/>
        <v>0.05</v>
      </c>
      <c r="K184" s="17">
        <f t="shared" si="64"/>
        <v>0.316</v>
      </c>
      <c r="L184" s="17">
        <f t="shared" si="65"/>
        <v>0.63400000000000001</v>
      </c>
      <c r="M184" s="4">
        <f t="shared" si="66"/>
        <v>17300</v>
      </c>
    </row>
    <row r="185" spans="1:13" x14ac:dyDescent="0.3">
      <c r="A185" s="1">
        <f t="shared" si="60"/>
        <v>183</v>
      </c>
      <c r="B185" s="18">
        <v>500</v>
      </c>
      <c r="C185" s="1">
        <f t="shared" si="61"/>
        <v>3140</v>
      </c>
      <c r="D185" s="4">
        <f t="shared" si="67"/>
        <v>6360</v>
      </c>
      <c r="E185" s="4">
        <f t="shared" si="68"/>
        <v>303</v>
      </c>
      <c r="F185" s="10">
        <f t="shared" si="70"/>
        <v>1.6400000000000006</v>
      </c>
      <c r="G185" s="9">
        <f t="shared" si="69"/>
        <v>17450</v>
      </c>
      <c r="I185" s="4">
        <f t="shared" si="62"/>
        <v>10000</v>
      </c>
      <c r="J185" s="17">
        <f t="shared" si="63"/>
        <v>0.05</v>
      </c>
      <c r="K185" s="17">
        <f t="shared" si="64"/>
        <v>0.314</v>
      </c>
      <c r="L185" s="17">
        <f t="shared" si="65"/>
        <v>0.63600000000000001</v>
      </c>
      <c r="M185" s="4">
        <f t="shared" si="66"/>
        <v>17450</v>
      </c>
    </row>
    <row r="186" spans="1:13" x14ac:dyDescent="0.3">
      <c r="A186" s="1">
        <f t="shared" si="60"/>
        <v>184</v>
      </c>
      <c r="B186" s="18">
        <v>500</v>
      </c>
      <c r="C186" s="1">
        <f t="shared" si="61"/>
        <v>3120</v>
      </c>
      <c r="D186" s="4">
        <f t="shared" si="67"/>
        <v>6380</v>
      </c>
      <c r="E186" s="4">
        <f t="shared" si="68"/>
        <v>304</v>
      </c>
      <c r="F186" s="10">
        <f t="shared" si="70"/>
        <v>1.6500000000000006</v>
      </c>
      <c r="G186" s="9">
        <f t="shared" si="69"/>
        <v>17600</v>
      </c>
      <c r="I186" s="4">
        <f t="shared" si="62"/>
        <v>10000</v>
      </c>
      <c r="J186" s="17">
        <f t="shared" si="63"/>
        <v>0.05</v>
      </c>
      <c r="K186" s="17">
        <f t="shared" si="64"/>
        <v>0.312</v>
      </c>
      <c r="L186" s="17">
        <f t="shared" si="65"/>
        <v>0.63800000000000001</v>
      </c>
      <c r="M186" s="4">
        <f t="shared" si="66"/>
        <v>17600</v>
      </c>
    </row>
    <row r="187" spans="1:13" x14ac:dyDescent="0.3">
      <c r="A187" s="1">
        <f t="shared" si="60"/>
        <v>185</v>
      </c>
      <c r="B187" s="18">
        <v>500</v>
      </c>
      <c r="C187" s="1">
        <f t="shared" si="61"/>
        <v>3100</v>
      </c>
      <c r="D187" s="4">
        <f t="shared" si="67"/>
        <v>6400</v>
      </c>
      <c r="E187" s="4">
        <f t="shared" si="68"/>
        <v>305</v>
      </c>
      <c r="F187" s="10">
        <f t="shared" si="70"/>
        <v>1.6600000000000006</v>
      </c>
      <c r="G187" s="9">
        <f t="shared" si="69"/>
        <v>17750</v>
      </c>
      <c r="I187" s="4">
        <f t="shared" si="62"/>
        <v>10000</v>
      </c>
      <c r="J187" s="17">
        <f t="shared" si="63"/>
        <v>0.05</v>
      </c>
      <c r="K187" s="17">
        <f t="shared" si="64"/>
        <v>0.31</v>
      </c>
      <c r="L187" s="17">
        <f t="shared" si="65"/>
        <v>0.64</v>
      </c>
      <c r="M187" s="4">
        <f t="shared" si="66"/>
        <v>17750</v>
      </c>
    </row>
    <row r="188" spans="1:13" x14ac:dyDescent="0.3">
      <c r="A188" s="1">
        <f t="shared" si="60"/>
        <v>186</v>
      </c>
      <c r="B188" s="18">
        <v>500</v>
      </c>
      <c r="C188" s="1">
        <f t="shared" si="61"/>
        <v>3080</v>
      </c>
      <c r="D188" s="4">
        <f t="shared" si="67"/>
        <v>6420</v>
      </c>
      <c r="E188" s="4">
        <f t="shared" si="68"/>
        <v>306</v>
      </c>
      <c r="F188" s="10">
        <f t="shared" si="70"/>
        <v>1.6700000000000006</v>
      </c>
      <c r="G188" s="9">
        <f t="shared" si="69"/>
        <v>17900</v>
      </c>
      <c r="I188" s="4">
        <f t="shared" si="62"/>
        <v>10000</v>
      </c>
      <c r="J188" s="17">
        <f t="shared" si="63"/>
        <v>0.05</v>
      </c>
      <c r="K188" s="17">
        <f t="shared" si="64"/>
        <v>0.308</v>
      </c>
      <c r="L188" s="17">
        <f t="shared" si="65"/>
        <v>0.64200000000000002</v>
      </c>
      <c r="M188" s="4">
        <f t="shared" si="66"/>
        <v>17900</v>
      </c>
    </row>
    <row r="189" spans="1:13" x14ac:dyDescent="0.3">
      <c r="A189" s="1">
        <f t="shared" si="60"/>
        <v>187</v>
      </c>
      <c r="B189" s="18">
        <v>500</v>
      </c>
      <c r="C189" s="1">
        <f t="shared" si="61"/>
        <v>3060</v>
      </c>
      <c r="D189" s="4">
        <f t="shared" si="67"/>
        <v>6440</v>
      </c>
      <c r="E189" s="4">
        <f t="shared" si="68"/>
        <v>307</v>
      </c>
      <c r="F189" s="10">
        <f t="shared" si="70"/>
        <v>1.6800000000000006</v>
      </c>
      <c r="G189" s="9">
        <f t="shared" si="69"/>
        <v>18050</v>
      </c>
      <c r="I189" s="4">
        <f t="shared" si="62"/>
        <v>10000</v>
      </c>
      <c r="J189" s="17">
        <f t="shared" si="63"/>
        <v>0.05</v>
      </c>
      <c r="K189" s="17">
        <f t="shared" si="64"/>
        <v>0.30599999999999999</v>
      </c>
      <c r="L189" s="17">
        <f t="shared" si="65"/>
        <v>0.64400000000000002</v>
      </c>
      <c r="M189" s="4">
        <f t="shared" si="66"/>
        <v>18050</v>
      </c>
    </row>
    <row r="190" spans="1:13" x14ac:dyDescent="0.3">
      <c r="A190" s="1">
        <f t="shared" si="60"/>
        <v>188</v>
      </c>
      <c r="B190" s="18">
        <v>500</v>
      </c>
      <c r="C190" s="1">
        <f t="shared" si="61"/>
        <v>3040</v>
      </c>
      <c r="D190" s="4">
        <f t="shared" si="67"/>
        <v>6460</v>
      </c>
      <c r="E190" s="4">
        <f t="shared" si="68"/>
        <v>308</v>
      </c>
      <c r="F190" s="10">
        <f t="shared" si="70"/>
        <v>1.6900000000000006</v>
      </c>
      <c r="G190" s="9">
        <f t="shared" si="69"/>
        <v>18200</v>
      </c>
      <c r="I190" s="4">
        <f t="shared" si="62"/>
        <v>10000</v>
      </c>
      <c r="J190" s="17">
        <f t="shared" si="63"/>
        <v>0.05</v>
      </c>
      <c r="K190" s="17">
        <f t="shared" si="64"/>
        <v>0.30399999999999999</v>
      </c>
      <c r="L190" s="17">
        <f t="shared" si="65"/>
        <v>0.64600000000000002</v>
      </c>
      <c r="M190" s="4">
        <f t="shared" si="66"/>
        <v>18200</v>
      </c>
    </row>
    <row r="191" spans="1:13" x14ac:dyDescent="0.3">
      <c r="A191" s="1">
        <f t="shared" si="60"/>
        <v>189</v>
      </c>
      <c r="B191" s="18">
        <v>500</v>
      </c>
      <c r="C191" s="1">
        <f t="shared" si="61"/>
        <v>3020</v>
      </c>
      <c r="D191" s="4">
        <f t="shared" si="67"/>
        <v>6480</v>
      </c>
      <c r="E191" s="4">
        <f t="shared" si="68"/>
        <v>309</v>
      </c>
      <c r="F191" s="10">
        <f t="shared" si="70"/>
        <v>1.7000000000000006</v>
      </c>
      <c r="G191" s="9">
        <f t="shared" si="69"/>
        <v>18350</v>
      </c>
      <c r="I191" s="4">
        <f t="shared" si="62"/>
        <v>10000</v>
      </c>
      <c r="J191" s="17">
        <f t="shared" si="63"/>
        <v>0.05</v>
      </c>
      <c r="K191" s="17">
        <f t="shared" si="64"/>
        <v>0.30199999999999999</v>
      </c>
      <c r="L191" s="17">
        <f t="shared" si="65"/>
        <v>0.64800000000000002</v>
      </c>
      <c r="M191" s="4">
        <f t="shared" si="66"/>
        <v>18350</v>
      </c>
    </row>
    <row r="192" spans="1:13" x14ac:dyDescent="0.3">
      <c r="A192" s="1">
        <f t="shared" si="60"/>
        <v>190</v>
      </c>
      <c r="B192" s="18">
        <v>500</v>
      </c>
      <c r="C192" s="1">
        <f t="shared" si="61"/>
        <v>3000</v>
      </c>
      <c r="D192" s="4">
        <f t="shared" si="67"/>
        <v>6500</v>
      </c>
      <c r="E192" s="4">
        <f t="shared" si="68"/>
        <v>310</v>
      </c>
      <c r="F192" s="10">
        <f t="shared" si="70"/>
        <v>1.7100000000000006</v>
      </c>
      <c r="G192" s="9">
        <f t="shared" si="69"/>
        <v>18500</v>
      </c>
      <c r="I192" s="4">
        <f t="shared" si="62"/>
        <v>10000</v>
      </c>
      <c r="J192" s="17">
        <f t="shared" si="63"/>
        <v>0.05</v>
      </c>
      <c r="K192" s="17">
        <f t="shared" si="64"/>
        <v>0.3</v>
      </c>
      <c r="L192" s="17">
        <f t="shared" si="65"/>
        <v>0.65</v>
      </c>
      <c r="M192" s="4">
        <f t="shared" si="66"/>
        <v>18500</v>
      </c>
    </row>
    <row r="193" spans="1:13" x14ac:dyDescent="0.3">
      <c r="A193" s="1">
        <f t="shared" si="60"/>
        <v>191</v>
      </c>
      <c r="B193" s="18">
        <v>500</v>
      </c>
      <c r="C193" s="1">
        <f t="shared" si="61"/>
        <v>2980</v>
      </c>
      <c r="D193" s="4">
        <f t="shared" si="67"/>
        <v>6520</v>
      </c>
      <c r="E193" s="4">
        <f t="shared" si="68"/>
        <v>311</v>
      </c>
      <c r="F193" s="10">
        <f t="shared" si="70"/>
        <v>1.7200000000000006</v>
      </c>
      <c r="G193" s="9">
        <f t="shared" si="69"/>
        <v>18650</v>
      </c>
      <c r="I193" s="4">
        <f t="shared" si="62"/>
        <v>10000</v>
      </c>
      <c r="J193" s="17">
        <f t="shared" si="63"/>
        <v>0.05</v>
      </c>
      <c r="K193" s="17">
        <f t="shared" si="64"/>
        <v>0.29799999999999999</v>
      </c>
      <c r="L193" s="17">
        <f t="shared" si="65"/>
        <v>0.65200000000000002</v>
      </c>
      <c r="M193" s="4">
        <f t="shared" si="66"/>
        <v>18650</v>
      </c>
    </row>
    <row r="194" spans="1:13" x14ac:dyDescent="0.3">
      <c r="A194" s="1">
        <f t="shared" si="60"/>
        <v>192</v>
      </c>
      <c r="B194" s="18">
        <v>500</v>
      </c>
      <c r="C194" s="1">
        <f t="shared" si="61"/>
        <v>2960</v>
      </c>
      <c r="D194" s="4">
        <f t="shared" si="67"/>
        <v>6540</v>
      </c>
      <c r="E194" s="4">
        <f t="shared" si="68"/>
        <v>312</v>
      </c>
      <c r="F194" s="10">
        <f t="shared" si="70"/>
        <v>1.7300000000000006</v>
      </c>
      <c r="G194" s="9">
        <f t="shared" si="69"/>
        <v>18800</v>
      </c>
      <c r="I194" s="4">
        <f t="shared" si="62"/>
        <v>10000</v>
      </c>
      <c r="J194" s="17">
        <f t="shared" si="63"/>
        <v>0.05</v>
      </c>
      <c r="K194" s="17">
        <f t="shared" si="64"/>
        <v>0.29599999999999999</v>
      </c>
      <c r="L194" s="17">
        <f t="shared" si="65"/>
        <v>0.65400000000000003</v>
      </c>
      <c r="M194" s="4">
        <f t="shared" si="66"/>
        <v>18800</v>
      </c>
    </row>
    <row r="195" spans="1:13" x14ac:dyDescent="0.3">
      <c r="A195" s="1">
        <f t="shared" si="60"/>
        <v>193</v>
      </c>
      <c r="B195" s="18">
        <v>500</v>
      </c>
      <c r="C195" s="1">
        <f t="shared" si="61"/>
        <v>2940</v>
      </c>
      <c r="D195" s="4">
        <f t="shared" si="67"/>
        <v>6560</v>
      </c>
      <c r="E195" s="4">
        <f t="shared" si="68"/>
        <v>313</v>
      </c>
      <c r="F195" s="10">
        <f t="shared" si="70"/>
        <v>1.7400000000000007</v>
      </c>
      <c r="G195" s="9">
        <f t="shared" si="69"/>
        <v>18950</v>
      </c>
      <c r="I195" s="4">
        <f t="shared" si="62"/>
        <v>10000</v>
      </c>
      <c r="J195" s="17">
        <f t="shared" si="63"/>
        <v>0.05</v>
      </c>
      <c r="K195" s="17">
        <f t="shared" si="64"/>
        <v>0.29399999999999998</v>
      </c>
      <c r="L195" s="17">
        <f t="shared" si="65"/>
        <v>0.65600000000000003</v>
      </c>
      <c r="M195" s="4">
        <f t="shared" si="66"/>
        <v>18950</v>
      </c>
    </row>
    <row r="196" spans="1:13" x14ac:dyDescent="0.3">
      <c r="A196" s="1">
        <f t="shared" si="60"/>
        <v>194</v>
      </c>
      <c r="B196" s="18">
        <v>500</v>
      </c>
      <c r="C196" s="1">
        <f t="shared" si="61"/>
        <v>2920</v>
      </c>
      <c r="D196" s="4">
        <f t="shared" si="67"/>
        <v>6580</v>
      </c>
      <c r="E196" s="4">
        <f t="shared" si="68"/>
        <v>314</v>
      </c>
      <c r="F196" s="10">
        <f t="shared" si="70"/>
        <v>1.7500000000000007</v>
      </c>
      <c r="G196" s="9">
        <f t="shared" si="69"/>
        <v>19100</v>
      </c>
      <c r="I196" s="4">
        <f t="shared" si="62"/>
        <v>10000</v>
      </c>
      <c r="J196" s="17">
        <f t="shared" si="63"/>
        <v>0.05</v>
      </c>
      <c r="K196" s="17">
        <f t="shared" si="64"/>
        <v>0.29199999999999998</v>
      </c>
      <c r="L196" s="17">
        <f t="shared" si="65"/>
        <v>0.65800000000000003</v>
      </c>
      <c r="M196" s="4">
        <f t="shared" si="66"/>
        <v>19100</v>
      </c>
    </row>
    <row r="197" spans="1:13" x14ac:dyDescent="0.3">
      <c r="A197" s="1">
        <f t="shared" si="60"/>
        <v>195</v>
      </c>
      <c r="B197" s="18">
        <v>500</v>
      </c>
      <c r="C197" s="1">
        <f t="shared" si="61"/>
        <v>2900</v>
      </c>
      <c r="D197" s="4">
        <f t="shared" si="67"/>
        <v>6600</v>
      </c>
      <c r="E197" s="4">
        <f t="shared" si="68"/>
        <v>315</v>
      </c>
      <c r="F197" s="10">
        <f t="shared" si="70"/>
        <v>1.7600000000000007</v>
      </c>
      <c r="G197" s="9">
        <f t="shared" si="69"/>
        <v>19250</v>
      </c>
      <c r="I197" s="4">
        <f t="shared" si="62"/>
        <v>10000</v>
      </c>
      <c r="J197" s="17">
        <f t="shared" si="63"/>
        <v>0.05</v>
      </c>
      <c r="K197" s="17">
        <f t="shared" si="64"/>
        <v>0.28999999999999998</v>
      </c>
      <c r="L197" s="17">
        <f t="shared" si="65"/>
        <v>0.66</v>
      </c>
      <c r="M197" s="4">
        <f t="shared" si="66"/>
        <v>19250</v>
      </c>
    </row>
    <row r="198" spans="1:13" x14ac:dyDescent="0.3">
      <c r="A198" s="1">
        <f t="shared" si="60"/>
        <v>196</v>
      </c>
      <c r="B198" s="18">
        <v>500</v>
      </c>
      <c r="C198" s="1">
        <f t="shared" si="61"/>
        <v>2880</v>
      </c>
      <c r="D198" s="4">
        <f t="shared" si="67"/>
        <v>6620</v>
      </c>
      <c r="E198" s="4">
        <f t="shared" si="68"/>
        <v>316</v>
      </c>
      <c r="F198" s="10">
        <f t="shared" si="70"/>
        <v>1.7700000000000007</v>
      </c>
      <c r="G198" s="9">
        <f t="shared" si="69"/>
        <v>19400</v>
      </c>
      <c r="I198" s="4">
        <f t="shared" si="62"/>
        <v>10000</v>
      </c>
      <c r="J198" s="17">
        <f t="shared" si="63"/>
        <v>0.05</v>
      </c>
      <c r="K198" s="17">
        <f t="shared" si="64"/>
        <v>0.28799999999999998</v>
      </c>
      <c r="L198" s="17">
        <f t="shared" si="65"/>
        <v>0.66200000000000003</v>
      </c>
      <c r="M198" s="4">
        <f t="shared" si="66"/>
        <v>19400</v>
      </c>
    </row>
    <row r="199" spans="1:13" x14ac:dyDescent="0.3">
      <c r="A199" s="1">
        <f t="shared" si="60"/>
        <v>197</v>
      </c>
      <c r="B199" s="18">
        <v>500</v>
      </c>
      <c r="C199" s="1">
        <f t="shared" si="61"/>
        <v>2860</v>
      </c>
      <c r="D199" s="4">
        <f t="shared" si="67"/>
        <v>6640</v>
      </c>
      <c r="E199" s="4">
        <f t="shared" si="68"/>
        <v>317</v>
      </c>
      <c r="F199" s="10">
        <f t="shared" si="70"/>
        <v>1.7800000000000007</v>
      </c>
      <c r="G199" s="9">
        <f t="shared" si="69"/>
        <v>19550</v>
      </c>
      <c r="I199" s="4">
        <f t="shared" si="62"/>
        <v>10000</v>
      </c>
      <c r="J199" s="17">
        <f t="shared" si="63"/>
        <v>0.05</v>
      </c>
      <c r="K199" s="17">
        <f t="shared" si="64"/>
        <v>0.28599999999999998</v>
      </c>
      <c r="L199" s="17">
        <f t="shared" si="65"/>
        <v>0.66400000000000003</v>
      </c>
      <c r="M199" s="4">
        <f t="shared" si="66"/>
        <v>19550</v>
      </c>
    </row>
    <row r="200" spans="1:13" x14ac:dyDescent="0.3">
      <c r="A200" s="1">
        <f t="shared" si="60"/>
        <v>198</v>
      </c>
      <c r="B200" s="18">
        <v>500</v>
      </c>
      <c r="C200" s="1">
        <f t="shared" si="61"/>
        <v>2840</v>
      </c>
      <c r="D200" s="4">
        <f t="shared" si="67"/>
        <v>6660</v>
      </c>
      <c r="E200" s="4">
        <f t="shared" si="68"/>
        <v>318</v>
      </c>
      <c r="F200" s="10">
        <f t="shared" si="70"/>
        <v>1.7900000000000007</v>
      </c>
      <c r="G200" s="9">
        <f t="shared" si="69"/>
        <v>19700</v>
      </c>
      <c r="I200" s="4">
        <f t="shared" si="62"/>
        <v>10000</v>
      </c>
      <c r="J200" s="17">
        <f t="shared" si="63"/>
        <v>0.05</v>
      </c>
      <c r="K200" s="17">
        <f t="shared" si="64"/>
        <v>0.28399999999999997</v>
      </c>
      <c r="L200" s="17">
        <f t="shared" si="65"/>
        <v>0.66600000000000004</v>
      </c>
      <c r="M200" s="4">
        <f t="shared" si="66"/>
        <v>19700</v>
      </c>
    </row>
    <row r="201" spans="1:13" x14ac:dyDescent="0.3">
      <c r="A201" s="1">
        <f t="shared" si="60"/>
        <v>199</v>
      </c>
      <c r="B201" s="18">
        <v>500</v>
      </c>
      <c r="C201" s="1">
        <f t="shared" si="61"/>
        <v>2820</v>
      </c>
      <c r="D201" s="4">
        <f t="shared" si="67"/>
        <v>6680</v>
      </c>
      <c r="E201" s="4">
        <f t="shared" si="68"/>
        <v>319</v>
      </c>
      <c r="F201" s="10">
        <f t="shared" si="70"/>
        <v>1.8000000000000007</v>
      </c>
      <c r="G201" s="9">
        <f t="shared" si="69"/>
        <v>19850</v>
      </c>
      <c r="I201" s="4">
        <f t="shared" si="62"/>
        <v>10000</v>
      </c>
      <c r="J201" s="17">
        <f t="shared" si="63"/>
        <v>0.05</v>
      </c>
      <c r="K201" s="17">
        <f t="shared" si="64"/>
        <v>0.28199999999999997</v>
      </c>
      <c r="L201" s="17">
        <f t="shared" si="65"/>
        <v>0.66800000000000004</v>
      </c>
      <c r="M201" s="4">
        <f t="shared" si="66"/>
        <v>19850</v>
      </c>
    </row>
    <row r="202" spans="1:13" x14ac:dyDescent="0.3">
      <c r="A202" s="1">
        <f t="shared" si="60"/>
        <v>200</v>
      </c>
      <c r="B202" s="18">
        <v>500</v>
      </c>
      <c r="C202" s="1">
        <f t="shared" si="61"/>
        <v>2800</v>
      </c>
      <c r="D202" s="4">
        <f t="shared" si="67"/>
        <v>6700</v>
      </c>
      <c r="E202" s="4">
        <f t="shared" si="68"/>
        <v>320</v>
      </c>
      <c r="F202" s="10">
        <f t="shared" si="70"/>
        <v>1.8100000000000007</v>
      </c>
      <c r="G202" s="9">
        <f t="shared" si="69"/>
        <v>20000</v>
      </c>
      <c r="I202" s="4">
        <f t="shared" si="62"/>
        <v>10000</v>
      </c>
      <c r="J202" s="17">
        <f t="shared" si="63"/>
        <v>0.05</v>
      </c>
      <c r="K202" s="17">
        <f t="shared" si="64"/>
        <v>0.28000000000000003</v>
      </c>
      <c r="L202" s="17">
        <f t="shared" si="65"/>
        <v>0.67</v>
      </c>
      <c r="M202" s="4">
        <f t="shared" si="66"/>
        <v>20000</v>
      </c>
    </row>
    <row r="203" spans="1:13" x14ac:dyDescent="0.3">
      <c r="A203" s="1">
        <f t="shared" si="60"/>
        <v>201</v>
      </c>
      <c r="B203" s="18">
        <v>400</v>
      </c>
      <c r="C203" s="1">
        <f t="shared" si="61"/>
        <v>2880</v>
      </c>
      <c r="D203" s="4">
        <f t="shared" si="67"/>
        <v>6720</v>
      </c>
      <c r="E203" s="4">
        <f t="shared" si="68"/>
        <v>321</v>
      </c>
      <c r="F203" s="10">
        <f t="shared" si="70"/>
        <v>1.8200000000000007</v>
      </c>
      <c r="G203" s="9">
        <f t="shared" si="69"/>
        <v>20150</v>
      </c>
      <c r="I203" s="4">
        <f t="shared" si="62"/>
        <v>10000</v>
      </c>
      <c r="J203" s="17">
        <f t="shared" si="63"/>
        <v>0.04</v>
      </c>
      <c r="K203" s="17">
        <f t="shared" si="64"/>
        <v>0.28799999999999998</v>
      </c>
      <c r="L203" s="17">
        <f t="shared" si="65"/>
        <v>0.67200000000000004</v>
      </c>
      <c r="M203" s="4">
        <f t="shared" si="66"/>
        <v>20150</v>
      </c>
    </row>
    <row r="204" spans="1:13" x14ac:dyDescent="0.3">
      <c r="A204" s="1">
        <f t="shared" si="60"/>
        <v>202</v>
      </c>
      <c r="B204" s="18">
        <v>400</v>
      </c>
      <c r="C204" s="1">
        <f t="shared" si="61"/>
        <v>2860</v>
      </c>
      <c r="D204" s="4">
        <f t="shared" si="67"/>
        <v>6740</v>
      </c>
      <c r="E204" s="4">
        <f t="shared" si="68"/>
        <v>322</v>
      </c>
      <c r="F204" s="10">
        <f t="shared" si="70"/>
        <v>1.8300000000000007</v>
      </c>
      <c r="G204" s="9">
        <f t="shared" si="69"/>
        <v>20300</v>
      </c>
      <c r="I204" s="4">
        <f t="shared" si="62"/>
        <v>10000</v>
      </c>
      <c r="J204" s="17">
        <f t="shared" si="63"/>
        <v>0.04</v>
      </c>
      <c r="K204" s="17">
        <f t="shared" si="64"/>
        <v>0.28599999999999998</v>
      </c>
      <c r="L204" s="17">
        <f t="shared" si="65"/>
        <v>0.67400000000000004</v>
      </c>
      <c r="M204" s="4">
        <f t="shared" si="66"/>
        <v>20300</v>
      </c>
    </row>
    <row r="205" spans="1:13" x14ac:dyDescent="0.3">
      <c r="A205" s="1">
        <f t="shared" si="60"/>
        <v>203</v>
      </c>
      <c r="B205" s="18">
        <v>400</v>
      </c>
      <c r="C205" s="1">
        <f t="shared" si="61"/>
        <v>2840</v>
      </c>
      <c r="D205" s="4">
        <f t="shared" si="67"/>
        <v>6760</v>
      </c>
      <c r="E205" s="4">
        <f t="shared" si="68"/>
        <v>323</v>
      </c>
      <c r="F205" s="10">
        <f t="shared" si="70"/>
        <v>1.8400000000000007</v>
      </c>
      <c r="G205" s="9">
        <f t="shared" si="69"/>
        <v>20450</v>
      </c>
      <c r="I205" s="4">
        <f t="shared" si="62"/>
        <v>10000</v>
      </c>
      <c r="J205" s="17">
        <f t="shared" si="63"/>
        <v>0.04</v>
      </c>
      <c r="K205" s="17">
        <f t="shared" si="64"/>
        <v>0.28399999999999997</v>
      </c>
      <c r="L205" s="17">
        <f t="shared" si="65"/>
        <v>0.67600000000000005</v>
      </c>
      <c r="M205" s="4">
        <f t="shared" si="66"/>
        <v>20450</v>
      </c>
    </row>
    <row r="206" spans="1:13" x14ac:dyDescent="0.3">
      <c r="A206" s="1">
        <f t="shared" si="60"/>
        <v>204</v>
      </c>
      <c r="B206" s="18">
        <v>400</v>
      </c>
      <c r="C206" s="1">
        <f t="shared" si="61"/>
        <v>2820</v>
      </c>
      <c r="D206" s="4">
        <f t="shared" si="67"/>
        <v>6780</v>
      </c>
      <c r="E206" s="4">
        <f t="shared" si="68"/>
        <v>324</v>
      </c>
      <c r="F206" s="10">
        <f t="shared" si="70"/>
        <v>1.8500000000000008</v>
      </c>
      <c r="G206" s="9">
        <f t="shared" si="69"/>
        <v>20600</v>
      </c>
      <c r="I206" s="4">
        <f t="shared" si="62"/>
        <v>10000</v>
      </c>
      <c r="J206" s="17">
        <f t="shared" si="63"/>
        <v>0.04</v>
      </c>
      <c r="K206" s="17">
        <f t="shared" si="64"/>
        <v>0.28199999999999997</v>
      </c>
      <c r="L206" s="17">
        <f t="shared" si="65"/>
        <v>0.67800000000000005</v>
      </c>
      <c r="M206" s="4">
        <f t="shared" si="66"/>
        <v>20600</v>
      </c>
    </row>
    <row r="207" spans="1:13" x14ac:dyDescent="0.3">
      <c r="A207" s="1">
        <f t="shared" si="60"/>
        <v>205</v>
      </c>
      <c r="B207" s="18">
        <v>400</v>
      </c>
      <c r="C207" s="1">
        <f t="shared" si="61"/>
        <v>2800</v>
      </c>
      <c r="D207" s="4">
        <f t="shared" si="67"/>
        <v>6800</v>
      </c>
      <c r="E207" s="4">
        <f t="shared" si="68"/>
        <v>325</v>
      </c>
      <c r="F207" s="10">
        <f t="shared" si="70"/>
        <v>1.8600000000000008</v>
      </c>
      <c r="G207" s="9">
        <f t="shared" si="69"/>
        <v>20750</v>
      </c>
      <c r="I207" s="4">
        <f t="shared" si="62"/>
        <v>10000</v>
      </c>
      <c r="J207" s="17">
        <f t="shared" si="63"/>
        <v>0.04</v>
      </c>
      <c r="K207" s="17">
        <f t="shared" si="64"/>
        <v>0.28000000000000003</v>
      </c>
      <c r="L207" s="17">
        <f t="shared" si="65"/>
        <v>0.68</v>
      </c>
      <c r="M207" s="4">
        <f t="shared" si="66"/>
        <v>20750</v>
      </c>
    </row>
    <row r="208" spans="1:13" x14ac:dyDescent="0.3">
      <c r="A208" s="1">
        <f t="shared" si="60"/>
        <v>206</v>
      </c>
      <c r="B208" s="18">
        <v>400</v>
      </c>
      <c r="C208" s="1">
        <f t="shared" si="61"/>
        <v>2780</v>
      </c>
      <c r="D208" s="4">
        <f t="shared" si="67"/>
        <v>6820</v>
      </c>
      <c r="E208" s="4">
        <f t="shared" si="68"/>
        <v>326</v>
      </c>
      <c r="F208" s="10">
        <f t="shared" si="70"/>
        <v>1.8700000000000008</v>
      </c>
      <c r="G208" s="9">
        <f t="shared" si="69"/>
        <v>20900</v>
      </c>
      <c r="I208" s="4">
        <f t="shared" si="62"/>
        <v>10000</v>
      </c>
      <c r="J208" s="17">
        <f t="shared" si="63"/>
        <v>0.04</v>
      </c>
      <c r="K208" s="17">
        <f t="shared" si="64"/>
        <v>0.27800000000000002</v>
      </c>
      <c r="L208" s="17">
        <f t="shared" si="65"/>
        <v>0.68200000000000005</v>
      </c>
      <c r="M208" s="4">
        <f t="shared" si="66"/>
        <v>20900</v>
      </c>
    </row>
    <row r="209" spans="1:13" x14ac:dyDescent="0.3">
      <c r="A209" s="1">
        <f t="shared" si="60"/>
        <v>207</v>
      </c>
      <c r="B209" s="18">
        <v>400</v>
      </c>
      <c r="C209" s="1">
        <f t="shared" si="61"/>
        <v>2760</v>
      </c>
      <c r="D209" s="4">
        <f t="shared" si="67"/>
        <v>6840</v>
      </c>
      <c r="E209" s="4">
        <f t="shared" si="68"/>
        <v>327</v>
      </c>
      <c r="F209" s="10">
        <f t="shared" si="70"/>
        <v>1.8800000000000008</v>
      </c>
      <c r="G209" s="9">
        <f t="shared" si="69"/>
        <v>21050</v>
      </c>
      <c r="I209" s="4">
        <f t="shared" si="62"/>
        <v>10000</v>
      </c>
      <c r="J209" s="17">
        <f t="shared" si="63"/>
        <v>0.04</v>
      </c>
      <c r="K209" s="17">
        <f t="shared" si="64"/>
        <v>0.27600000000000002</v>
      </c>
      <c r="L209" s="17">
        <f t="shared" si="65"/>
        <v>0.68400000000000005</v>
      </c>
      <c r="M209" s="4">
        <f t="shared" si="66"/>
        <v>21050</v>
      </c>
    </row>
    <row r="210" spans="1:13" x14ac:dyDescent="0.3">
      <c r="A210" s="1">
        <f t="shared" si="60"/>
        <v>208</v>
      </c>
      <c r="B210" s="18">
        <v>400</v>
      </c>
      <c r="C210" s="1">
        <f t="shared" si="61"/>
        <v>2740</v>
      </c>
      <c r="D210" s="4">
        <f t="shared" si="67"/>
        <v>6860</v>
      </c>
      <c r="E210" s="4">
        <f t="shared" si="68"/>
        <v>328</v>
      </c>
      <c r="F210" s="10">
        <f t="shared" si="70"/>
        <v>1.8900000000000008</v>
      </c>
      <c r="G210" s="9">
        <f t="shared" si="69"/>
        <v>21200</v>
      </c>
      <c r="I210" s="4">
        <f t="shared" si="62"/>
        <v>10000</v>
      </c>
      <c r="J210" s="17">
        <f t="shared" si="63"/>
        <v>0.04</v>
      </c>
      <c r="K210" s="17">
        <f t="shared" si="64"/>
        <v>0.27400000000000002</v>
      </c>
      <c r="L210" s="17">
        <f t="shared" si="65"/>
        <v>0.68600000000000005</v>
      </c>
      <c r="M210" s="4">
        <f t="shared" si="66"/>
        <v>21200</v>
      </c>
    </row>
    <row r="211" spans="1:13" x14ac:dyDescent="0.3">
      <c r="A211" s="1">
        <f t="shared" si="60"/>
        <v>209</v>
      </c>
      <c r="B211" s="18">
        <v>400</v>
      </c>
      <c r="C211" s="1">
        <f t="shared" si="61"/>
        <v>2720</v>
      </c>
      <c r="D211" s="4">
        <f t="shared" si="67"/>
        <v>6880</v>
      </c>
      <c r="E211" s="4">
        <f t="shared" si="68"/>
        <v>329</v>
      </c>
      <c r="F211" s="10">
        <f t="shared" si="70"/>
        <v>1.9000000000000008</v>
      </c>
      <c r="G211" s="9">
        <f t="shared" si="69"/>
        <v>21350</v>
      </c>
      <c r="I211" s="4">
        <f t="shared" si="62"/>
        <v>10000</v>
      </c>
      <c r="J211" s="17">
        <f t="shared" si="63"/>
        <v>0.04</v>
      </c>
      <c r="K211" s="17">
        <f t="shared" si="64"/>
        <v>0.27200000000000002</v>
      </c>
      <c r="L211" s="17">
        <f t="shared" si="65"/>
        <v>0.68799999999999994</v>
      </c>
      <c r="M211" s="4">
        <f t="shared" si="66"/>
        <v>21350</v>
      </c>
    </row>
    <row r="212" spans="1:13" x14ac:dyDescent="0.3">
      <c r="A212" s="1">
        <f t="shared" si="60"/>
        <v>210</v>
      </c>
      <c r="B212" s="18">
        <v>400</v>
      </c>
      <c r="C212" s="1">
        <f t="shared" si="61"/>
        <v>2700</v>
      </c>
      <c r="D212" s="4">
        <f t="shared" si="67"/>
        <v>6900</v>
      </c>
      <c r="E212" s="4">
        <f t="shared" si="68"/>
        <v>330</v>
      </c>
      <c r="F212" s="10">
        <f t="shared" si="70"/>
        <v>1.9100000000000008</v>
      </c>
      <c r="G212" s="9">
        <f t="shared" si="69"/>
        <v>21500</v>
      </c>
      <c r="I212" s="4">
        <f t="shared" si="62"/>
        <v>10000</v>
      </c>
      <c r="J212" s="17">
        <f t="shared" si="63"/>
        <v>0.04</v>
      </c>
      <c r="K212" s="17">
        <f t="shared" si="64"/>
        <v>0.27</v>
      </c>
      <c r="L212" s="17">
        <f t="shared" si="65"/>
        <v>0.69</v>
      </c>
      <c r="M212" s="4">
        <f t="shared" si="66"/>
        <v>21500</v>
      </c>
    </row>
    <row r="213" spans="1:13" x14ac:dyDescent="0.3">
      <c r="A213" s="1">
        <f t="shared" si="60"/>
        <v>211</v>
      </c>
      <c r="B213" s="18">
        <v>400</v>
      </c>
      <c r="C213" s="1">
        <f t="shared" si="61"/>
        <v>2680</v>
      </c>
      <c r="D213" s="4">
        <f t="shared" si="67"/>
        <v>6920</v>
      </c>
      <c r="E213" s="4">
        <f t="shared" si="68"/>
        <v>331</v>
      </c>
      <c r="F213" s="10">
        <f t="shared" si="70"/>
        <v>1.9200000000000008</v>
      </c>
      <c r="G213" s="9">
        <f t="shared" si="69"/>
        <v>21650</v>
      </c>
      <c r="I213" s="4">
        <f t="shared" si="62"/>
        <v>10000</v>
      </c>
      <c r="J213" s="17">
        <f t="shared" si="63"/>
        <v>0.04</v>
      </c>
      <c r="K213" s="17">
        <f t="shared" si="64"/>
        <v>0.26800000000000002</v>
      </c>
      <c r="L213" s="17">
        <f t="shared" si="65"/>
        <v>0.69199999999999995</v>
      </c>
      <c r="M213" s="4">
        <f t="shared" si="66"/>
        <v>21650</v>
      </c>
    </row>
    <row r="214" spans="1:13" x14ac:dyDescent="0.3">
      <c r="A214" s="1">
        <f t="shared" si="60"/>
        <v>212</v>
      </c>
      <c r="B214" s="18">
        <v>400</v>
      </c>
      <c r="C214" s="1">
        <f t="shared" si="61"/>
        <v>2660</v>
      </c>
      <c r="D214" s="4">
        <f t="shared" si="67"/>
        <v>6940</v>
      </c>
      <c r="E214" s="4">
        <f t="shared" si="68"/>
        <v>332</v>
      </c>
      <c r="F214" s="10">
        <f t="shared" si="70"/>
        <v>1.9300000000000008</v>
      </c>
      <c r="G214" s="9">
        <f t="shared" si="69"/>
        <v>21800</v>
      </c>
      <c r="I214" s="4">
        <f t="shared" si="62"/>
        <v>10000</v>
      </c>
      <c r="J214" s="17">
        <f t="shared" si="63"/>
        <v>0.04</v>
      </c>
      <c r="K214" s="17">
        <f t="shared" si="64"/>
        <v>0.26600000000000001</v>
      </c>
      <c r="L214" s="17">
        <f t="shared" si="65"/>
        <v>0.69399999999999995</v>
      </c>
      <c r="M214" s="4">
        <f t="shared" si="66"/>
        <v>21800</v>
      </c>
    </row>
    <row r="215" spans="1:13" x14ac:dyDescent="0.3">
      <c r="A215" s="1">
        <f t="shared" si="60"/>
        <v>213</v>
      </c>
      <c r="B215" s="18">
        <v>400</v>
      </c>
      <c r="C215" s="1">
        <f t="shared" si="61"/>
        <v>2640</v>
      </c>
      <c r="D215" s="4">
        <f t="shared" si="67"/>
        <v>6960</v>
      </c>
      <c r="E215" s="4">
        <f t="shared" si="68"/>
        <v>333</v>
      </c>
      <c r="F215" s="10">
        <f t="shared" si="70"/>
        <v>1.9400000000000008</v>
      </c>
      <c r="G215" s="9">
        <f t="shared" si="69"/>
        <v>21950</v>
      </c>
      <c r="I215" s="4">
        <f t="shared" si="62"/>
        <v>10000</v>
      </c>
      <c r="J215" s="17">
        <f t="shared" si="63"/>
        <v>0.04</v>
      </c>
      <c r="K215" s="17">
        <f t="shared" si="64"/>
        <v>0.26400000000000001</v>
      </c>
      <c r="L215" s="17">
        <f t="shared" si="65"/>
        <v>0.69599999999999995</v>
      </c>
      <c r="M215" s="4">
        <f t="shared" si="66"/>
        <v>21950</v>
      </c>
    </row>
    <row r="216" spans="1:13" x14ac:dyDescent="0.3">
      <c r="A216" s="1">
        <f t="shared" si="60"/>
        <v>214</v>
      </c>
      <c r="B216" s="18">
        <v>400</v>
      </c>
      <c r="C216" s="1">
        <f t="shared" si="61"/>
        <v>2620</v>
      </c>
      <c r="D216" s="4">
        <f t="shared" si="67"/>
        <v>6980</v>
      </c>
      <c r="E216" s="4">
        <f t="shared" si="68"/>
        <v>334</v>
      </c>
      <c r="F216" s="10">
        <f t="shared" si="70"/>
        <v>1.9500000000000008</v>
      </c>
      <c r="G216" s="9">
        <f t="shared" si="69"/>
        <v>22100</v>
      </c>
      <c r="I216" s="4">
        <f t="shared" si="62"/>
        <v>10000</v>
      </c>
      <c r="J216" s="17">
        <f t="shared" si="63"/>
        <v>0.04</v>
      </c>
      <c r="K216" s="17">
        <f t="shared" si="64"/>
        <v>0.26200000000000001</v>
      </c>
      <c r="L216" s="17">
        <f t="shared" si="65"/>
        <v>0.69799999999999995</v>
      </c>
      <c r="M216" s="4">
        <f t="shared" si="66"/>
        <v>22100</v>
      </c>
    </row>
    <row r="217" spans="1:13" x14ac:dyDescent="0.3">
      <c r="A217" s="1">
        <f t="shared" si="60"/>
        <v>215</v>
      </c>
      <c r="B217" s="18">
        <v>400</v>
      </c>
      <c r="C217" s="1">
        <f t="shared" si="61"/>
        <v>2600</v>
      </c>
      <c r="D217" s="4">
        <f t="shared" si="67"/>
        <v>7000</v>
      </c>
      <c r="E217" s="4">
        <f t="shared" si="68"/>
        <v>335</v>
      </c>
      <c r="F217" s="10">
        <f t="shared" si="70"/>
        <v>1.9600000000000009</v>
      </c>
      <c r="G217" s="9">
        <f t="shared" si="69"/>
        <v>22250</v>
      </c>
      <c r="I217" s="4">
        <f t="shared" si="62"/>
        <v>10000</v>
      </c>
      <c r="J217" s="17">
        <f t="shared" si="63"/>
        <v>0.04</v>
      </c>
      <c r="K217" s="17">
        <f t="shared" si="64"/>
        <v>0.26</v>
      </c>
      <c r="L217" s="17">
        <f t="shared" si="65"/>
        <v>0.7</v>
      </c>
      <c r="M217" s="4">
        <f t="shared" si="66"/>
        <v>22250</v>
      </c>
    </row>
    <row r="218" spans="1:13" x14ac:dyDescent="0.3">
      <c r="A218" s="1">
        <f t="shared" si="60"/>
        <v>216</v>
      </c>
      <c r="B218" s="18">
        <v>400</v>
      </c>
      <c r="C218" s="1">
        <f t="shared" si="61"/>
        <v>2580</v>
      </c>
      <c r="D218" s="4">
        <f t="shared" si="67"/>
        <v>7020</v>
      </c>
      <c r="E218" s="4">
        <f t="shared" si="68"/>
        <v>336</v>
      </c>
      <c r="F218" s="10">
        <f t="shared" si="70"/>
        <v>1.9700000000000009</v>
      </c>
      <c r="G218" s="9">
        <f t="shared" si="69"/>
        <v>22400</v>
      </c>
      <c r="I218" s="4">
        <f t="shared" si="62"/>
        <v>10000</v>
      </c>
      <c r="J218" s="17">
        <f t="shared" si="63"/>
        <v>0.04</v>
      </c>
      <c r="K218" s="17">
        <f t="shared" si="64"/>
        <v>0.25800000000000001</v>
      </c>
      <c r="L218" s="17">
        <f t="shared" si="65"/>
        <v>0.70199999999999996</v>
      </c>
      <c r="M218" s="4">
        <f t="shared" si="66"/>
        <v>22400</v>
      </c>
    </row>
    <row r="219" spans="1:13" x14ac:dyDescent="0.3">
      <c r="A219" s="1">
        <f t="shared" si="60"/>
        <v>217</v>
      </c>
      <c r="B219" s="18">
        <v>400</v>
      </c>
      <c r="C219" s="1">
        <f t="shared" si="61"/>
        <v>2560</v>
      </c>
      <c r="D219" s="4">
        <f t="shared" si="67"/>
        <v>7040</v>
      </c>
      <c r="E219" s="4">
        <f t="shared" si="68"/>
        <v>337</v>
      </c>
      <c r="F219" s="10">
        <f t="shared" si="70"/>
        <v>1.9800000000000009</v>
      </c>
      <c r="G219" s="9">
        <f t="shared" si="69"/>
        <v>22550</v>
      </c>
      <c r="I219" s="4">
        <f t="shared" si="62"/>
        <v>10000</v>
      </c>
      <c r="J219" s="17">
        <f t="shared" si="63"/>
        <v>0.04</v>
      </c>
      <c r="K219" s="17">
        <f t="shared" si="64"/>
        <v>0.25600000000000001</v>
      </c>
      <c r="L219" s="17">
        <f t="shared" si="65"/>
        <v>0.70399999999999996</v>
      </c>
      <c r="M219" s="4">
        <f t="shared" si="66"/>
        <v>22550</v>
      </c>
    </row>
    <row r="220" spans="1:13" x14ac:dyDescent="0.3">
      <c r="A220" s="1">
        <f t="shared" si="60"/>
        <v>218</v>
      </c>
      <c r="B220" s="18">
        <v>400</v>
      </c>
      <c r="C220" s="1">
        <f t="shared" si="61"/>
        <v>2540</v>
      </c>
      <c r="D220" s="4">
        <f t="shared" si="67"/>
        <v>7060</v>
      </c>
      <c r="E220" s="4">
        <f t="shared" si="68"/>
        <v>338</v>
      </c>
      <c r="F220" s="10">
        <f t="shared" si="70"/>
        <v>1.9900000000000009</v>
      </c>
      <c r="G220" s="9">
        <f t="shared" si="69"/>
        <v>22700</v>
      </c>
      <c r="I220" s="4">
        <f t="shared" si="62"/>
        <v>10000</v>
      </c>
      <c r="J220" s="17">
        <f t="shared" si="63"/>
        <v>0.04</v>
      </c>
      <c r="K220" s="17">
        <f t="shared" si="64"/>
        <v>0.254</v>
      </c>
      <c r="L220" s="17">
        <f t="shared" si="65"/>
        <v>0.70599999999999996</v>
      </c>
      <c r="M220" s="4">
        <f t="shared" si="66"/>
        <v>22700</v>
      </c>
    </row>
    <row r="221" spans="1:13" x14ac:dyDescent="0.3">
      <c r="A221" s="1">
        <f t="shared" si="60"/>
        <v>219</v>
      </c>
      <c r="B221" s="18">
        <v>400</v>
      </c>
      <c r="C221" s="1">
        <f t="shared" si="61"/>
        <v>2520</v>
      </c>
      <c r="D221" s="4">
        <f t="shared" si="67"/>
        <v>7080</v>
      </c>
      <c r="E221" s="4">
        <f t="shared" si="68"/>
        <v>339</v>
      </c>
      <c r="F221" s="10">
        <f t="shared" si="70"/>
        <v>2.0000000000000009</v>
      </c>
      <c r="G221" s="9">
        <f t="shared" si="69"/>
        <v>22850</v>
      </c>
      <c r="I221" s="4">
        <f t="shared" si="62"/>
        <v>10000</v>
      </c>
      <c r="J221" s="17">
        <f t="shared" si="63"/>
        <v>0.04</v>
      </c>
      <c r="K221" s="17">
        <f t="shared" si="64"/>
        <v>0.252</v>
      </c>
      <c r="L221" s="17">
        <f t="shared" si="65"/>
        <v>0.70799999999999996</v>
      </c>
      <c r="M221" s="4">
        <f t="shared" si="66"/>
        <v>22850</v>
      </c>
    </row>
    <row r="222" spans="1:13" x14ac:dyDescent="0.3">
      <c r="A222" s="1">
        <f t="shared" si="60"/>
        <v>220</v>
      </c>
      <c r="B222" s="18">
        <v>400</v>
      </c>
      <c r="C222" s="1">
        <f t="shared" si="61"/>
        <v>2500</v>
      </c>
      <c r="D222" s="4">
        <f t="shared" si="67"/>
        <v>7100</v>
      </c>
      <c r="E222" s="4">
        <f t="shared" si="68"/>
        <v>340</v>
      </c>
      <c r="F222" s="10">
        <f t="shared" si="70"/>
        <v>2.0100000000000007</v>
      </c>
      <c r="G222" s="9">
        <f t="shared" si="69"/>
        <v>23000</v>
      </c>
      <c r="I222" s="4">
        <f t="shared" si="62"/>
        <v>10000</v>
      </c>
      <c r="J222" s="17">
        <f t="shared" si="63"/>
        <v>0.04</v>
      </c>
      <c r="K222" s="17">
        <f t="shared" si="64"/>
        <v>0.25</v>
      </c>
      <c r="L222" s="17">
        <f t="shared" si="65"/>
        <v>0.71</v>
      </c>
      <c r="M222" s="4">
        <f t="shared" si="66"/>
        <v>23000</v>
      </c>
    </row>
    <row r="223" spans="1:13" x14ac:dyDescent="0.3">
      <c r="A223" s="1">
        <f t="shared" ref="A223:A286" si="71">A222+1</f>
        <v>221</v>
      </c>
      <c r="B223" s="18">
        <v>400</v>
      </c>
      <c r="C223" s="1">
        <f t="shared" si="61"/>
        <v>2480</v>
      </c>
      <c r="D223" s="4">
        <f t="shared" si="67"/>
        <v>7120</v>
      </c>
      <c r="E223" s="4">
        <f t="shared" si="68"/>
        <v>341</v>
      </c>
      <c r="F223" s="10">
        <f t="shared" si="70"/>
        <v>2.0200000000000005</v>
      </c>
      <c r="G223" s="9">
        <f t="shared" si="69"/>
        <v>23150</v>
      </c>
      <c r="I223" s="4">
        <f t="shared" si="62"/>
        <v>10000</v>
      </c>
      <c r="J223" s="17">
        <f t="shared" si="63"/>
        <v>0.04</v>
      </c>
      <c r="K223" s="17">
        <f t="shared" si="64"/>
        <v>0.248</v>
      </c>
      <c r="L223" s="17">
        <f t="shared" si="65"/>
        <v>0.71199999999999997</v>
      </c>
      <c r="M223" s="4">
        <f t="shared" si="66"/>
        <v>23150</v>
      </c>
    </row>
    <row r="224" spans="1:13" x14ac:dyDescent="0.3">
      <c r="A224" s="1">
        <f t="shared" si="71"/>
        <v>222</v>
      </c>
      <c r="B224" s="18">
        <v>400</v>
      </c>
      <c r="C224" s="1">
        <f t="shared" si="61"/>
        <v>2460</v>
      </c>
      <c r="D224" s="4">
        <f t="shared" si="67"/>
        <v>7140</v>
      </c>
      <c r="E224" s="4">
        <f t="shared" si="68"/>
        <v>342</v>
      </c>
      <c r="F224" s="10">
        <f t="shared" si="70"/>
        <v>2.0300000000000002</v>
      </c>
      <c r="G224" s="9">
        <f t="shared" si="69"/>
        <v>23300</v>
      </c>
      <c r="I224" s="4">
        <f t="shared" si="62"/>
        <v>10000</v>
      </c>
      <c r="J224" s="17">
        <f t="shared" si="63"/>
        <v>0.04</v>
      </c>
      <c r="K224" s="17">
        <f t="shared" si="64"/>
        <v>0.246</v>
      </c>
      <c r="L224" s="17">
        <f t="shared" si="65"/>
        <v>0.71399999999999997</v>
      </c>
      <c r="M224" s="4">
        <f t="shared" si="66"/>
        <v>23300</v>
      </c>
    </row>
    <row r="225" spans="1:13" x14ac:dyDescent="0.3">
      <c r="A225" s="1">
        <f t="shared" si="71"/>
        <v>223</v>
      </c>
      <c r="B225" s="18">
        <v>400</v>
      </c>
      <c r="C225" s="1">
        <f t="shared" si="61"/>
        <v>2440</v>
      </c>
      <c r="D225" s="4">
        <f t="shared" si="67"/>
        <v>7160</v>
      </c>
      <c r="E225" s="4">
        <f t="shared" si="68"/>
        <v>343</v>
      </c>
      <c r="F225" s="10">
        <f t="shared" si="70"/>
        <v>2.04</v>
      </c>
      <c r="G225" s="9">
        <f t="shared" si="69"/>
        <v>23450</v>
      </c>
      <c r="I225" s="4">
        <f t="shared" si="62"/>
        <v>10000</v>
      </c>
      <c r="J225" s="17">
        <f t="shared" si="63"/>
        <v>0.04</v>
      </c>
      <c r="K225" s="17">
        <f t="shared" si="64"/>
        <v>0.24399999999999999</v>
      </c>
      <c r="L225" s="17">
        <f t="shared" si="65"/>
        <v>0.71599999999999997</v>
      </c>
      <c r="M225" s="4">
        <f t="shared" si="66"/>
        <v>23450</v>
      </c>
    </row>
    <row r="226" spans="1:13" x14ac:dyDescent="0.3">
      <c r="A226" s="1">
        <f t="shared" si="71"/>
        <v>224</v>
      </c>
      <c r="B226" s="18">
        <v>400</v>
      </c>
      <c r="C226" s="1">
        <f t="shared" si="61"/>
        <v>2420</v>
      </c>
      <c r="D226" s="4">
        <f t="shared" si="67"/>
        <v>7180</v>
      </c>
      <c r="E226" s="4">
        <f t="shared" si="68"/>
        <v>344</v>
      </c>
      <c r="F226" s="10">
        <f t="shared" si="70"/>
        <v>2.0499999999999998</v>
      </c>
      <c r="G226" s="9">
        <f t="shared" si="69"/>
        <v>23600</v>
      </c>
      <c r="I226" s="4">
        <f t="shared" si="62"/>
        <v>10000</v>
      </c>
      <c r="J226" s="17">
        <f t="shared" si="63"/>
        <v>0.04</v>
      </c>
      <c r="K226" s="17">
        <f t="shared" si="64"/>
        <v>0.24199999999999999</v>
      </c>
      <c r="L226" s="17">
        <f t="shared" si="65"/>
        <v>0.71799999999999997</v>
      </c>
      <c r="M226" s="4">
        <f t="shared" si="66"/>
        <v>23600</v>
      </c>
    </row>
    <row r="227" spans="1:13" x14ac:dyDescent="0.3">
      <c r="A227" s="1">
        <f t="shared" si="71"/>
        <v>225</v>
      </c>
      <c r="B227" s="18">
        <v>400</v>
      </c>
      <c r="C227" s="1">
        <f t="shared" si="61"/>
        <v>2400</v>
      </c>
      <c r="D227" s="4">
        <f t="shared" si="67"/>
        <v>7200</v>
      </c>
      <c r="E227" s="4">
        <f t="shared" si="68"/>
        <v>345</v>
      </c>
      <c r="F227" s="10">
        <f t="shared" si="70"/>
        <v>2.0599999999999996</v>
      </c>
      <c r="G227" s="9">
        <f t="shared" si="69"/>
        <v>23750</v>
      </c>
      <c r="I227" s="4">
        <f t="shared" si="62"/>
        <v>10000</v>
      </c>
      <c r="J227" s="17">
        <f t="shared" si="63"/>
        <v>0.04</v>
      </c>
      <c r="K227" s="17">
        <f t="shared" si="64"/>
        <v>0.24</v>
      </c>
      <c r="L227" s="17">
        <f t="shared" si="65"/>
        <v>0.72</v>
      </c>
      <c r="M227" s="4">
        <f t="shared" si="66"/>
        <v>23750</v>
      </c>
    </row>
    <row r="228" spans="1:13" x14ac:dyDescent="0.3">
      <c r="A228" s="1">
        <f t="shared" si="71"/>
        <v>226</v>
      </c>
      <c r="B228" s="18">
        <v>400</v>
      </c>
      <c r="C228" s="1">
        <f t="shared" si="61"/>
        <v>2380</v>
      </c>
      <c r="D228" s="4">
        <f t="shared" si="67"/>
        <v>7220</v>
      </c>
      <c r="E228" s="4">
        <f t="shared" si="68"/>
        <v>346</v>
      </c>
      <c r="F228" s="10">
        <f t="shared" si="70"/>
        <v>2.0699999999999994</v>
      </c>
      <c r="G228" s="9">
        <f t="shared" si="69"/>
        <v>23900</v>
      </c>
      <c r="I228" s="4">
        <f t="shared" si="62"/>
        <v>10000</v>
      </c>
      <c r="J228" s="17">
        <f t="shared" si="63"/>
        <v>0.04</v>
      </c>
      <c r="K228" s="17">
        <f t="shared" si="64"/>
        <v>0.23799999999999999</v>
      </c>
      <c r="L228" s="17">
        <f t="shared" si="65"/>
        <v>0.72199999999999998</v>
      </c>
      <c r="M228" s="4">
        <f t="shared" si="66"/>
        <v>23900</v>
      </c>
    </row>
    <row r="229" spans="1:13" x14ac:dyDescent="0.3">
      <c r="A229" s="1">
        <f t="shared" si="71"/>
        <v>227</v>
      </c>
      <c r="B229" s="18">
        <v>400</v>
      </c>
      <c r="C229" s="1">
        <f t="shared" si="61"/>
        <v>2360</v>
      </c>
      <c r="D229" s="4">
        <f t="shared" si="67"/>
        <v>7240</v>
      </c>
      <c r="E229" s="4">
        <f t="shared" si="68"/>
        <v>347</v>
      </c>
      <c r="F229" s="10">
        <f t="shared" si="70"/>
        <v>2.0799999999999992</v>
      </c>
      <c r="G229" s="9">
        <f t="shared" si="69"/>
        <v>24050</v>
      </c>
      <c r="I229" s="4">
        <f t="shared" si="62"/>
        <v>10000</v>
      </c>
      <c r="J229" s="17">
        <f t="shared" si="63"/>
        <v>0.04</v>
      </c>
      <c r="K229" s="17">
        <f t="shared" si="64"/>
        <v>0.23599999999999999</v>
      </c>
      <c r="L229" s="17">
        <f t="shared" si="65"/>
        <v>0.72399999999999998</v>
      </c>
      <c r="M229" s="4">
        <f t="shared" si="66"/>
        <v>24050</v>
      </c>
    </row>
    <row r="230" spans="1:13" x14ac:dyDescent="0.3">
      <c r="A230" s="1">
        <f t="shared" si="71"/>
        <v>228</v>
      </c>
      <c r="B230" s="18">
        <v>400</v>
      </c>
      <c r="C230" s="1">
        <f t="shared" ref="C230:C293" si="72">10000-B230-D230</f>
        <v>2340</v>
      </c>
      <c r="D230" s="4">
        <f t="shared" si="67"/>
        <v>7260</v>
      </c>
      <c r="E230" s="4">
        <f t="shared" si="68"/>
        <v>348</v>
      </c>
      <c r="F230" s="10">
        <f t="shared" si="70"/>
        <v>2.089999999999999</v>
      </c>
      <c r="G230" s="9">
        <f t="shared" si="69"/>
        <v>24200</v>
      </c>
      <c r="I230" s="4">
        <f t="shared" ref="I230:I293" si="73">SUM(B230:D230)</f>
        <v>10000</v>
      </c>
      <c r="J230" s="17">
        <f t="shared" ref="J230:J293" si="74">B230/10000</f>
        <v>0.04</v>
      </c>
      <c r="K230" s="17">
        <f t="shared" ref="K230:K293" si="75">C230/10000</f>
        <v>0.23400000000000001</v>
      </c>
      <c r="L230" s="17">
        <f t="shared" ref="L230:L293" si="76">D230/10000</f>
        <v>0.72599999999999998</v>
      </c>
      <c r="M230" s="4">
        <f t="shared" ref="M230:M293" si="77">G230</f>
        <v>24200</v>
      </c>
    </row>
    <row r="231" spans="1:13" x14ac:dyDescent="0.3">
      <c r="A231" s="1">
        <f t="shared" si="71"/>
        <v>229</v>
      </c>
      <c r="B231" s="18">
        <v>400</v>
      </c>
      <c r="C231" s="1">
        <f t="shared" si="72"/>
        <v>2320</v>
      </c>
      <c r="D231" s="4">
        <f t="shared" si="67"/>
        <v>7280</v>
      </c>
      <c r="E231" s="4">
        <f t="shared" si="68"/>
        <v>349</v>
      </c>
      <c r="F231" s="10">
        <f t="shared" si="70"/>
        <v>2.0999999999999988</v>
      </c>
      <c r="G231" s="9">
        <f t="shared" si="69"/>
        <v>24350</v>
      </c>
      <c r="I231" s="4">
        <f t="shared" si="73"/>
        <v>10000</v>
      </c>
      <c r="J231" s="17">
        <f t="shared" si="74"/>
        <v>0.04</v>
      </c>
      <c r="K231" s="17">
        <f t="shared" si="75"/>
        <v>0.23200000000000001</v>
      </c>
      <c r="L231" s="17">
        <f t="shared" si="76"/>
        <v>0.72799999999999998</v>
      </c>
      <c r="M231" s="4">
        <f t="shared" si="77"/>
        <v>24350</v>
      </c>
    </row>
    <row r="232" spans="1:13" x14ac:dyDescent="0.3">
      <c r="A232" s="1">
        <f t="shared" si="71"/>
        <v>230</v>
      </c>
      <c r="B232" s="18">
        <v>400</v>
      </c>
      <c r="C232" s="1">
        <f t="shared" si="72"/>
        <v>2300</v>
      </c>
      <c r="D232" s="4">
        <f t="shared" ref="D232:D295" si="78">D231+20</f>
        <v>7300</v>
      </c>
      <c r="E232" s="4">
        <f t="shared" ref="E232:E295" si="79">E231+1</f>
        <v>350</v>
      </c>
      <c r="F232" s="10">
        <f t="shared" si="70"/>
        <v>2.1099999999999985</v>
      </c>
      <c r="G232" s="9">
        <f t="shared" ref="G232:G295" si="80">G231+150</f>
        <v>24500</v>
      </c>
      <c r="I232" s="4">
        <f t="shared" si="73"/>
        <v>10000</v>
      </c>
      <c r="J232" s="17">
        <f t="shared" si="74"/>
        <v>0.04</v>
      </c>
      <c r="K232" s="17">
        <f t="shared" si="75"/>
        <v>0.23</v>
      </c>
      <c r="L232" s="17">
        <f t="shared" si="76"/>
        <v>0.73</v>
      </c>
      <c r="M232" s="4">
        <f t="shared" si="77"/>
        <v>24500</v>
      </c>
    </row>
    <row r="233" spans="1:13" x14ac:dyDescent="0.3">
      <c r="A233" s="1">
        <f t="shared" si="71"/>
        <v>231</v>
      </c>
      <c r="B233" s="18">
        <v>400</v>
      </c>
      <c r="C233" s="1">
        <f t="shared" si="72"/>
        <v>2280</v>
      </c>
      <c r="D233" s="4">
        <f t="shared" si="78"/>
        <v>7320</v>
      </c>
      <c r="E233" s="4">
        <f t="shared" si="79"/>
        <v>351</v>
      </c>
      <c r="F233" s="10">
        <f t="shared" ref="F233:F296" si="81">F232+0.01</f>
        <v>2.1199999999999983</v>
      </c>
      <c r="G233" s="9">
        <f t="shared" si="80"/>
        <v>24650</v>
      </c>
      <c r="I233" s="4">
        <f t="shared" si="73"/>
        <v>10000</v>
      </c>
      <c r="J233" s="17">
        <f t="shared" si="74"/>
        <v>0.04</v>
      </c>
      <c r="K233" s="17">
        <f t="shared" si="75"/>
        <v>0.22800000000000001</v>
      </c>
      <c r="L233" s="17">
        <f t="shared" si="76"/>
        <v>0.73199999999999998</v>
      </c>
      <c r="M233" s="4">
        <f t="shared" si="77"/>
        <v>24650</v>
      </c>
    </row>
    <row r="234" spans="1:13" x14ac:dyDescent="0.3">
      <c r="A234" s="1">
        <f t="shared" si="71"/>
        <v>232</v>
      </c>
      <c r="B234" s="18">
        <v>400</v>
      </c>
      <c r="C234" s="1">
        <f t="shared" si="72"/>
        <v>2260</v>
      </c>
      <c r="D234" s="4">
        <f t="shared" si="78"/>
        <v>7340</v>
      </c>
      <c r="E234" s="4">
        <f t="shared" si="79"/>
        <v>352</v>
      </c>
      <c r="F234" s="10">
        <f t="shared" si="81"/>
        <v>2.1299999999999981</v>
      </c>
      <c r="G234" s="9">
        <f t="shared" si="80"/>
        <v>24800</v>
      </c>
      <c r="I234" s="4">
        <f t="shared" si="73"/>
        <v>10000</v>
      </c>
      <c r="J234" s="17">
        <f t="shared" si="74"/>
        <v>0.04</v>
      </c>
      <c r="K234" s="17">
        <f t="shared" si="75"/>
        <v>0.22600000000000001</v>
      </c>
      <c r="L234" s="17">
        <f t="shared" si="76"/>
        <v>0.73399999999999999</v>
      </c>
      <c r="M234" s="4">
        <f t="shared" si="77"/>
        <v>24800</v>
      </c>
    </row>
    <row r="235" spans="1:13" x14ac:dyDescent="0.3">
      <c r="A235" s="1">
        <f t="shared" si="71"/>
        <v>233</v>
      </c>
      <c r="B235" s="18">
        <v>400</v>
      </c>
      <c r="C235" s="1">
        <f t="shared" si="72"/>
        <v>2240</v>
      </c>
      <c r="D235" s="4">
        <f t="shared" si="78"/>
        <v>7360</v>
      </c>
      <c r="E235" s="4">
        <f t="shared" si="79"/>
        <v>353</v>
      </c>
      <c r="F235" s="10">
        <f t="shared" si="81"/>
        <v>2.1399999999999979</v>
      </c>
      <c r="G235" s="9">
        <f t="shared" si="80"/>
        <v>24950</v>
      </c>
      <c r="I235" s="4">
        <f t="shared" si="73"/>
        <v>10000</v>
      </c>
      <c r="J235" s="17">
        <f t="shared" si="74"/>
        <v>0.04</v>
      </c>
      <c r="K235" s="17">
        <f t="shared" si="75"/>
        <v>0.224</v>
      </c>
      <c r="L235" s="17">
        <f t="shared" si="76"/>
        <v>0.73599999999999999</v>
      </c>
      <c r="M235" s="4">
        <f t="shared" si="77"/>
        <v>24950</v>
      </c>
    </row>
    <row r="236" spans="1:13" x14ac:dyDescent="0.3">
      <c r="A236" s="1">
        <f t="shared" si="71"/>
        <v>234</v>
      </c>
      <c r="B236" s="18">
        <v>400</v>
      </c>
      <c r="C236" s="1">
        <f t="shared" si="72"/>
        <v>2220</v>
      </c>
      <c r="D236" s="4">
        <f t="shared" si="78"/>
        <v>7380</v>
      </c>
      <c r="E236" s="4">
        <f t="shared" si="79"/>
        <v>354</v>
      </c>
      <c r="F236" s="10">
        <f t="shared" si="81"/>
        <v>2.1499999999999977</v>
      </c>
      <c r="G236" s="9">
        <f t="shared" si="80"/>
        <v>25100</v>
      </c>
      <c r="I236" s="4">
        <f t="shared" si="73"/>
        <v>10000</v>
      </c>
      <c r="J236" s="17">
        <f t="shared" si="74"/>
        <v>0.04</v>
      </c>
      <c r="K236" s="17">
        <f t="shared" si="75"/>
        <v>0.222</v>
      </c>
      <c r="L236" s="17">
        <f t="shared" si="76"/>
        <v>0.73799999999999999</v>
      </c>
      <c r="M236" s="4">
        <f t="shared" si="77"/>
        <v>25100</v>
      </c>
    </row>
    <row r="237" spans="1:13" x14ac:dyDescent="0.3">
      <c r="A237" s="1">
        <f t="shared" si="71"/>
        <v>235</v>
      </c>
      <c r="B237" s="18">
        <v>400</v>
      </c>
      <c r="C237" s="1">
        <f t="shared" si="72"/>
        <v>2200</v>
      </c>
      <c r="D237" s="4">
        <f t="shared" si="78"/>
        <v>7400</v>
      </c>
      <c r="E237" s="4">
        <f t="shared" si="79"/>
        <v>355</v>
      </c>
      <c r="F237" s="10">
        <f t="shared" si="81"/>
        <v>2.1599999999999975</v>
      </c>
      <c r="G237" s="9">
        <f t="shared" si="80"/>
        <v>25250</v>
      </c>
      <c r="I237" s="4">
        <f t="shared" si="73"/>
        <v>10000</v>
      </c>
      <c r="J237" s="17">
        <f t="shared" si="74"/>
        <v>0.04</v>
      </c>
      <c r="K237" s="17">
        <f t="shared" si="75"/>
        <v>0.22</v>
      </c>
      <c r="L237" s="17">
        <f t="shared" si="76"/>
        <v>0.74</v>
      </c>
      <c r="M237" s="4">
        <f t="shared" si="77"/>
        <v>25250</v>
      </c>
    </row>
    <row r="238" spans="1:13" x14ac:dyDescent="0.3">
      <c r="A238" s="1">
        <f t="shared" si="71"/>
        <v>236</v>
      </c>
      <c r="B238" s="18">
        <v>400</v>
      </c>
      <c r="C238" s="1">
        <f t="shared" si="72"/>
        <v>2180</v>
      </c>
      <c r="D238" s="4">
        <f t="shared" si="78"/>
        <v>7420</v>
      </c>
      <c r="E238" s="4">
        <f t="shared" si="79"/>
        <v>356</v>
      </c>
      <c r="F238" s="10">
        <f t="shared" si="81"/>
        <v>2.1699999999999973</v>
      </c>
      <c r="G238" s="9">
        <f t="shared" si="80"/>
        <v>25400</v>
      </c>
      <c r="I238" s="4">
        <f t="shared" si="73"/>
        <v>10000</v>
      </c>
      <c r="J238" s="17">
        <f t="shared" si="74"/>
        <v>0.04</v>
      </c>
      <c r="K238" s="17">
        <f t="shared" si="75"/>
        <v>0.218</v>
      </c>
      <c r="L238" s="17">
        <f t="shared" si="76"/>
        <v>0.74199999999999999</v>
      </c>
      <c r="M238" s="4">
        <f t="shared" si="77"/>
        <v>25400</v>
      </c>
    </row>
    <row r="239" spans="1:13" x14ac:dyDescent="0.3">
      <c r="A239" s="1">
        <f t="shared" si="71"/>
        <v>237</v>
      </c>
      <c r="B239" s="18">
        <v>400</v>
      </c>
      <c r="C239" s="1">
        <f t="shared" si="72"/>
        <v>2160</v>
      </c>
      <c r="D239" s="4">
        <f t="shared" si="78"/>
        <v>7440</v>
      </c>
      <c r="E239" s="4">
        <f t="shared" si="79"/>
        <v>357</v>
      </c>
      <c r="F239" s="10">
        <f t="shared" si="81"/>
        <v>2.1799999999999971</v>
      </c>
      <c r="G239" s="9">
        <f t="shared" si="80"/>
        <v>25550</v>
      </c>
      <c r="I239" s="4">
        <f t="shared" si="73"/>
        <v>10000</v>
      </c>
      <c r="J239" s="17">
        <f t="shared" si="74"/>
        <v>0.04</v>
      </c>
      <c r="K239" s="17">
        <f t="shared" si="75"/>
        <v>0.216</v>
      </c>
      <c r="L239" s="17">
        <f t="shared" si="76"/>
        <v>0.74399999999999999</v>
      </c>
      <c r="M239" s="4">
        <f t="shared" si="77"/>
        <v>25550</v>
      </c>
    </row>
    <row r="240" spans="1:13" x14ac:dyDescent="0.3">
      <c r="A240" s="1">
        <f t="shared" si="71"/>
        <v>238</v>
      </c>
      <c r="B240" s="18">
        <v>400</v>
      </c>
      <c r="C240" s="1">
        <f t="shared" si="72"/>
        <v>2140</v>
      </c>
      <c r="D240" s="4">
        <f t="shared" si="78"/>
        <v>7460</v>
      </c>
      <c r="E240" s="4">
        <f t="shared" si="79"/>
        <v>358</v>
      </c>
      <c r="F240" s="10">
        <f t="shared" si="81"/>
        <v>2.1899999999999968</v>
      </c>
      <c r="G240" s="9">
        <f t="shared" si="80"/>
        <v>25700</v>
      </c>
      <c r="I240" s="4">
        <f t="shared" si="73"/>
        <v>10000</v>
      </c>
      <c r="J240" s="17">
        <f t="shared" si="74"/>
        <v>0.04</v>
      </c>
      <c r="K240" s="17">
        <f t="shared" si="75"/>
        <v>0.214</v>
      </c>
      <c r="L240" s="17">
        <f t="shared" si="76"/>
        <v>0.746</v>
      </c>
      <c r="M240" s="4">
        <f t="shared" si="77"/>
        <v>25700</v>
      </c>
    </row>
    <row r="241" spans="1:13" x14ac:dyDescent="0.3">
      <c r="A241" s="1">
        <f t="shared" si="71"/>
        <v>239</v>
      </c>
      <c r="B241" s="18">
        <v>400</v>
      </c>
      <c r="C241" s="1">
        <f t="shared" si="72"/>
        <v>2120</v>
      </c>
      <c r="D241" s="4">
        <f t="shared" si="78"/>
        <v>7480</v>
      </c>
      <c r="E241" s="4">
        <f t="shared" si="79"/>
        <v>359</v>
      </c>
      <c r="F241" s="10">
        <f t="shared" si="81"/>
        <v>2.1999999999999966</v>
      </c>
      <c r="G241" s="9">
        <f t="shared" si="80"/>
        <v>25850</v>
      </c>
      <c r="I241" s="4">
        <f t="shared" si="73"/>
        <v>10000</v>
      </c>
      <c r="J241" s="17">
        <f t="shared" si="74"/>
        <v>0.04</v>
      </c>
      <c r="K241" s="17">
        <f t="shared" si="75"/>
        <v>0.21199999999999999</v>
      </c>
      <c r="L241" s="17">
        <f t="shared" si="76"/>
        <v>0.748</v>
      </c>
      <c r="M241" s="4">
        <f t="shared" si="77"/>
        <v>25850</v>
      </c>
    </row>
    <row r="242" spans="1:13" x14ac:dyDescent="0.3">
      <c r="A242" s="1">
        <f t="shared" si="71"/>
        <v>240</v>
      </c>
      <c r="B242" s="18">
        <v>400</v>
      </c>
      <c r="C242" s="1">
        <f t="shared" si="72"/>
        <v>2100</v>
      </c>
      <c r="D242" s="4">
        <f t="shared" si="78"/>
        <v>7500</v>
      </c>
      <c r="E242" s="4">
        <f t="shared" si="79"/>
        <v>360</v>
      </c>
      <c r="F242" s="10">
        <f t="shared" si="81"/>
        <v>2.2099999999999964</v>
      </c>
      <c r="G242" s="9">
        <f t="shared" si="80"/>
        <v>26000</v>
      </c>
      <c r="I242" s="4">
        <f t="shared" si="73"/>
        <v>10000</v>
      </c>
      <c r="J242" s="17">
        <f t="shared" si="74"/>
        <v>0.04</v>
      </c>
      <c r="K242" s="17">
        <f t="shared" si="75"/>
        <v>0.21</v>
      </c>
      <c r="L242" s="17">
        <f t="shared" si="76"/>
        <v>0.75</v>
      </c>
      <c r="M242" s="4">
        <f t="shared" si="77"/>
        <v>26000</v>
      </c>
    </row>
    <row r="243" spans="1:13" x14ac:dyDescent="0.3">
      <c r="A243" s="1">
        <f t="shared" si="71"/>
        <v>241</v>
      </c>
      <c r="B243" s="18">
        <v>400</v>
      </c>
      <c r="C243" s="1">
        <f t="shared" si="72"/>
        <v>2080</v>
      </c>
      <c r="D243" s="4">
        <f t="shared" si="78"/>
        <v>7520</v>
      </c>
      <c r="E243" s="4">
        <f t="shared" si="79"/>
        <v>361</v>
      </c>
      <c r="F243" s="10">
        <f t="shared" si="81"/>
        <v>2.2199999999999962</v>
      </c>
      <c r="G243" s="9">
        <f t="shared" si="80"/>
        <v>26150</v>
      </c>
      <c r="I243" s="4">
        <f t="shared" si="73"/>
        <v>10000</v>
      </c>
      <c r="J243" s="17">
        <f t="shared" si="74"/>
        <v>0.04</v>
      </c>
      <c r="K243" s="17">
        <f t="shared" si="75"/>
        <v>0.20799999999999999</v>
      </c>
      <c r="L243" s="17">
        <f t="shared" si="76"/>
        <v>0.752</v>
      </c>
      <c r="M243" s="4">
        <f t="shared" si="77"/>
        <v>26150</v>
      </c>
    </row>
    <row r="244" spans="1:13" x14ac:dyDescent="0.3">
      <c r="A244" s="1">
        <f t="shared" si="71"/>
        <v>242</v>
      </c>
      <c r="B244" s="18">
        <v>400</v>
      </c>
      <c r="C244" s="1">
        <f t="shared" si="72"/>
        <v>2060</v>
      </c>
      <c r="D244" s="4">
        <f t="shared" si="78"/>
        <v>7540</v>
      </c>
      <c r="E244" s="4">
        <f t="shared" si="79"/>
        <v>362</v>
      </c>
      <c r="F244" s="10">
        <f t="shared" si="81"/>
        <v>2.229999999999996</v>
      </c>
      <c r="G244" s="9">
        <f t="shared" si="80"/>
        <v>26300</v>
      </c>
      <c r="I244" s="4">
        <f t="shared" si="73"/>
        <v>10000</v>
      </c>
      <c r="J244" s="17">
        <f t="shared" si="74"/>
        <v>0.04</v>
      </c>
      <c r="K244" s="17">
        <f t="shared" si="75"/>
        <v>0.20599999999999999</v>
      </c>
      <c r="L244" s="17">
        <f t="shared" si="76"/>
        <v>0.754</v>
      </c>
      <c r="M244" s="4">
        <f t="shared" si="77"/>
        <v>26300</v>
      </c>
    </row>
    <row r="245" spans="1:13" x14ac:dyDescent="0.3">
      <c r="A245" s="1">
        <f t="shared" si="71"/>
        <v>243</v>
      </c>
      <c r="B245" s="18">
        <v>400</v>
      </c>
      <c r="C245" s="1">
        <f t="shared" si="72"/>
        <v>2040</v>
      </c>
      <c r="D245" s="4">
        <f t="shared" si="78"/>
        <v>7560</v>
      </c>
      <c r="E245" s="4">
        <f t="shared" si="79"/>
        <v>363</v>
      </c>
      <c r="F245" s="10">
        <f t="shared" si="81"/>
        <v>2.2399999999999958</v>
      </c>
      <c r="G245" s="9">
        <f t="shared" si="80"/>
        <v>26450</v>
      </c>
      <c r="I245" s="4">
        <f t="shared" si="73"/>
        <v>10000</v>
      </c>
      <c r="J245" s="17">
        <f t="shared" si="74"/>
        <v>0.04</v>
      </c>
      <c r="K245" s="17">
        <f t="shared" si="75"/>
        <v>0.20399999999999999</v>
      </c>
      <c r="L245" s="17">
        <f t="shared" si="76"/>
        <v>0.75600000000000001</v>
      </c>
      <c r="M245" s="4">
        <f t="shared" si="77"/>
        <v>26450</v>
      </c>
    </row>
    <row r="246" spans="1:13" x14ac:dyDescent="0.3">
      <c r="A246" s="1">
        <f t="shared" si="71"/>
        <v>244</v>
      </c>
      <c r="B246" s="18">
        <v>400</v>
      </c>
      <c r="C246" s="1">
        <f t="shared" si="72"/>
        <v>2020</v>
      </c>
      <c r="D246" s="4">
        <f t="shared" si="78"/>
        <v>7580</v>
      </c>
      <c r="E246" s="4">
        <f t="shared" si="79"/>
        <v>364</v>
      </c>
      <c r="F246" s="10">
        <f t="shared" si="81"/>
        <v>2.2499999999999956</v>
      </c>
      <c r="G246" s="9">
        <f t="shared" si="80"/>
        <v>26600</v>
      </c>
      <c r="I246" s="4">
        <f t="shared" si="73"/>
        <v>10000</v>
      </c>
      <c r="J246" s="17">
        <f t="shared" si="74"/>
        <v>0.04</v>
      </c>
      <c r="K246" s="17">
        <f t="shared" si="75"/>
        <v>0.20200000000000001</v>
      </c>
      <c r="L246" s="17">
        <f t="shared" si="76"/>
        <v>0.75800000000000001</v>
      </c>
      <c r="M246" s="4">
        <f t="shared" si="77"/>
        <v>26600</v>
      </c>
    </row>
    <row r="247" spans="1:13" x14ac:dyDescent="0.3">
      <c r="A247" s="1">
        <f t="shared" si="71"/>
        <v>245</v>
      </c>
      <c r="B247" s="18">
        <v>400</v>
      </c>
      <c r="C247" s="1">
        <f t="shared" si="72"/>
        <v>2000</v>
      </c>
      <c r="D247" s="4">
        <f t="shared" si="78"/>
        <v>7600</v>
      </c>
      <c r="E247" s="4">
        <f t="shared" si="79"/>
        <v>365</v>
      </c>
      <c r="F247" s="10">
        <f t="shared" si="81"/>
        <v>2.2599999999999953</v>
      </c>
      <c r="G247" s="9">
        <f t="shared" si="80"/>
        <v>26750</v>
      </c>
      <c r="I247" s="4">
        <f t="shared" si="73"/>
        <v>10000</v>
      </c>
      <c r="J247" s="17">
        <f t="shared" si="74"/>
        <v>0.04</v>
      </c>
      <c r="K247" s="17">
        <f t="shared" si="75"/>
        <v>0.2</v>
      </c>
      <c r="L247" s="17">
        <f t="shared" si="76"/>
        <v>0.76</v>
      </c>
      <c r="M247" s="4">
        <f t="shared" si="77"/>
        <v>26750</v>
      </c>
    </row>
    <row r="248" spans="1:13" x14ac:dyDescent="0.3">
      <c r="A248" s="1">
        <f t="shared" si="71"/>
        <v>246</v>
      </c>
      <c r="B248" s="18">
        <v>400</v>
      </c>
      <c r="C248" s="1">
        <f t="shared" si="72"/>
        <v>1980</v>
      </c>
      <c r="D248" s="4">
        <f t="shared" si="78"/>
        <v>7620</v>
      </c>
      <c r="E248" s="4">
        <f t="shared" si="79"/>
        <v>366</v>
      </c>
      <c r="F248" s="10">
        <f t="shared" si="81"/>
        <v>2.2699999999999951</v>
      </c>
      <c r="G248" s="9">
        <f t="shared" si="80"/>
        <v>26900</v>
      </c>
      <c r="I248" s="4">
        <f t="shared" si="73"/>
        <v>10000</v>
      </c>
      <c r="J248" s="17">
        <f t="shared" si="74"/>
        <v>0.04</v>
      </c>
      <c r="K248" s="17">
        <f t="shared" si="75"/>
        <v>0.19800000000000001</v>
      </c>
      <c r="L248" s="17">
        <f t="shared" si="76"/>
        <v>0.76200000000000001</v>
      </c>
      <c r="M248" s="4">
        <f t="shared" si="77"/>
        <v>26900</v>
      </c>
    </row>
    <row r="249" spans="1:13" x14ac:dyDescent="0.3">
      <c r="A249" s="1">
        <f t="shared" si="71"/>
        <v>247</v>
      </c>
      <c r="B249" s="18">
        <v>400</v>
      </c>
      <c r="C249" s="1">
        <f t="shared" si="72"/>
        <v>1960</v>
      </c>
      <c r="D249" s="4">
        <f t="shared" si="78"/>
        <v>7640</v>
      </c>
      <c r="E249" s="4">
        <f t="shared" si="79"/>
        <v>367</v>
      </c>
      <c r="F249" s="10">
        <f t="shared" si="81"/>
        <v>2.2799999999999949</v>
      </c>
      <c r="G249" s="9">
        <f t="shared" si="80"/>
        <v>27050</v>
      </c>
      <c r="I249" s="4">
        <f t="shared" si="73"/>
        <v>10000</v>
      </c>
      <c r="J249" s="17">
        <f t="shared" si="74"/>
        <v>0.04</v>
      </c>
      <c r="K249" s="17">
        <f t="shared" si="75"/>
        <v>0.19600000000000001</v>
      </c>
      <c r="L249" s="17">
        <f t="shared" si="76"/>
        <v>0.76400000000000001</v>
      </c>
      <c r="M249" s="4">
        <f t="shared" si="77"/>
        <v>27050</v>
      </c>
    </row>
    <row r="250" spans="1:13" x14ac:dyDescent="0.3">
      <c r="A250" s="1">
        <f t="shared" si="71"/>
        <v>248</v>
      </c>
      <c r="B250" s="18">
        <v>400</v>
      </c>
      <c r="C250" s="1">
        <f t="shared" si="72"/>
        <v>1940</v>
      </c>
      <c r="D250" s="4">
        <f t="shared" si="78"/>
        <v>7660</v>
      </c>
      <c r="E250" s="4">
        <f t="shared" si="79"/>
        <v>368</v>
      </c>
      <c r="F250" s="10">
        <f t="shared" si="81"/>
        <v>2.2899999999999947</v>
      </c>
      <c r="G250" s="9">
        <f t="shared" si="80"/>
        <v>27200</v>
      </c>
      <c r="I250" s="4">
        <f t="shared" si="73"/>
        <v>10000</v>
      </c>
      <c r="J250" s="17">
        <f t="shared" si="74"/>
        <v>0.04</v>
      </c>
      <c r="K250" s="17">
        <f t="shared" si="75"/>
        <v>0.19400000000000001</v>
      </c>
      <c r="L250" s="17">
        <f t="shared" si="76"/>
        <v>0.76600000000000001</v>
      </c>
      <c r="M250" s="4">
        <f t="shared" si="77"/>
        <v>27200</v>
      </c>
    </row>
    <row r="251" spans="1:13" x14ac:dyDescent="0.3">
      <c r="A251" s="1">
        <f t="shared" si="71"/>
        <v>249</v>
      </c>
      <c r="B251" s="18">
        <v>400</v>
      </c>
      <c r="C251" s="1">
        <f t="shared" si="72"/>
        <v>1920</v>
      </c>
      <c r="D251" s="4">
        <f t="shared" si="78"/>
        <v>7680</v>
      </c>
      <c r="E251" s="4">
        <f t="shared" si="79"/>
        <v>369</v>
      </c>
      <c r="F251" s="10">
        <f t="shared" si="81"/>
        <v>2.2999999999999945</v>
      </c>
      <c r="G251" s="9">
        <f t="shared" si="80"/>
        <v>27350</v>
      </c>
      <c r="I251" s="4">
        <f t="shared" si="73"/>
        <v>10000</v>
      </c>
      <c r="J251" s="17">
        <f t="shared" si="74"/>
        <v>0.04</v>
      </c>
      <c r="K251" s="17">
        <f t="shared" si="75"/>
        <v>0.192</v>
      </c>
      <c r="L251" s="17">
        <f t="shared" si="76"/>
        <v>0.76800000000000002</v>
      </c>
      <c r="M251" s="4">
        <f t="shared" si="77"/>
        <v>27350</v>
      </c>
    </row>
    <row r="252" spans="1:13" x14ac:dyDescent="0.3">
      <c r="A252" s="1">
        <f t="shared" si="71"/>
        <v>250</v>
      </c>
      <c r="B252" s="1">
        <v>400</v>
      </c>
      <c r="C252" s="1">
        <f t="shared" si="72"/>
        <v>1900</v>
      </c>
      <c r="D252" s="4">
        <f t="shared" si="78"/>
        <v>7700</v>
      </c>
      <c r="E252" s="4">
        <f t="shared" si="79"/>
        <v>370</v>
      </c>
      <c r="F252" s="10">
        <f t="shared" si="81"/>
        <v>2.3099999999999943</v>
      </c>
      <c r="G252" s="9">
        <f t="shared" si="80"/>
        <v>27500</v>
      </c>
      <c r="I252" s="4">
        <f t="shared" si="73"/>
        <v>10000</v>
      </c>
      <c r="J252" s="17">
        <f t="shared" si="74"/>
        <v>0.04</v>
      </c>
      <c r="K252" s="17">
        <f t="shared" si="75"/>
        <v>0.19</v>
      </c>
      <c r="L252" s="17">
        <f t="shared" si="76"/>
        <v>0.77</v>
      </c>
      <c r="M252" s="4">
        <f t="shared" si="77"/>
        <v>27500</v>
      </c>
    </row>
    <row r="253" spans="1:13" x14ac:dyDescent="0.3">
      <c r="A253" s="1">
        <f t="shared" si="71"/>
        <v>251</v>
      </c>
      <c r="B253" s="1">
        <v>400</v>
      </c>
      <c r="C253" s="1">
        <f t="shared" si="72"/>
        <v>1880</v>
      </c>
      <c r="D253" s="4">
        <f t="shared" si="78"/>
        <v>7720</v>
      </c>
      <c r="E253" s="4">
        <f t="shared" si="79"/>
        <v>371</v>
      </c>
      <c r="F253" s="10">
        <f t="shared" si="81"/>
        <v>2.3199999999999941</v>
      </c>
      <c r="G253" s="9">
        <f t="shared" si="80"/>
        <v>27650</v>
      </c>
      <c r="I253" s="4">
        <f t="shared" si="73"/>
        <v>10000</v>
      </c>
      <c r="J253" s="17">
        <f t="shared" si="74"/>
        <v>0.04</v>
      </c>
      <c r="K253" s="17">
        <f t="shared" si="75"/>
        <v>0.188</v>
      </c>
      <c r="L253" s="17">
        <f t="shared" si="76"/>
        <v>0.77200000000000002</v>
      </c>
      <c r="M253" s="4">
        <f t="shared" si="77"/>
        <v>27650</v>
      </c>
    </row>
    <row r="254" spans="1:13" x14ac:dyDescent="0.3">
      <c r="A254" s="1">
        <f t="shared" si="71"/>
        <v>252</v>
      </c>
      <c r="B254" s="1">
        <v>400</v>
      </c>
      <c r="C254" s="1">
        <f t="shared" si="72"/>
        <v>1860</v>
      </c>
      <c r="D254" s="4">
        <f t="shared" si="78"/>
        <v>7740</v>
      </c>
      <c r="E254" s="4">
        <f t="shared" si="79"/>
        <v>372</v>
      </c>
      <c r="F254" s="10">
        <f t="shared" si="81"/>
        <v>2.3299999999999939</v>
      </c>
      <c r="G254" s="9">
        <f t="shared" si="80"/>
        <v>27800</v>
      </c>
      <c r="I254" s="4">
        <f t="shared" si="73"/>
        <v>10000</v>
      </c>
      <c r="J254" s="17">
        <f t="shared" si="74"/>
        <v>0.04</v>
      </c>
      <c r="K254" s="17">
        <f t="shared" si="75"/>
        <v>0.186</v>
      </c>
      <c r="L254" s="17">
        <f t="shared" si="76"/>
        <v>0.77400000000000002</v>
      </c>
      <c r="M254" s="4">
        <f t="shared" si="77"/>
        <v>27800</v>
      </c>
    </row>
    <row r="255" spans="1:13" x14ac:dyDescent="0.3">
      <c r="A255" s="1">
        <f t="shared" si="71"/>
        <v>253</v>
      </c>
      <c r="B255" s="1">
        <v>400</v>
      </c>
      <c r="C255" s="1">
        <f t="shared" si="72"/>
        <v>1840</v>
      </c>
      <c r="D255" s="4">
        <f t="shared" si="78"/>
        <v>7760</v>
      </c>
      <c r="E255" s="4">
        <f t="shared" si="79"/>
        <v>373</v>
      </c>
      <c r="F255" s="10">
        <f t="shared" si="81"/>
        <v>2.3399999999999936</v>
      </c>
      <c r="G255" s="9">
        <f t="shared" si="80"/>
        <v>27950</v>
      </c>
      <c r="I255" s="4">
        <f t="shared" si="73"/>
        <v>10000</v>
      </c>
      <c r="J255" s="17">
        <f t="shared" si="74"/>
        <v>0.04</v>
      </c>
      <c r="K255" s="17">
        <f t="shared" si="75"/>
        <v>0.184</v>
      </c>
      <c r="L255" s="17">
        <f t="shared" si="76"/>
        <v>0.77600000000000002</v>
      </c>
      <c r="M255" s="4">
        <f t="shared" si="77"/>
        <v>27950</v>
      </c>
    </row>
    <row r="256" spans="1:13" x14ac:dyDescent="0.3">
      <c r="A256" s="1">
        <f t="shared" si="71"/>
        <v>254</v>
      </c>
      <c r="B256" s="1">
        <v>400</v>
      </c>
      <c r="C256" s="1">
        <f t="shared" si="72"/>
        <v>1820</v>
      </c>
      <c r="D256" s="4">
        <f t="shared" si="78"/>
        <v>7780</v>
      </c>
      <c r="E256" s="4">
        <f t="shared" si="79"/>
        <v>374</v>
      </c>
      <c r="F256" s="10">
        <f t="shared" si="81"/>
        <v>2.3499999999999934</v>
      </c>
      <c r="G256" s="9">
        <f t="shared" si="80"/>
        <v>28100</v>
      </c>
      <c r="I256" s="4">
        <f t="shared" si="73"/>
        <v>10000</v>
      </c>
      <c r="J256" s="17">
        <f t="shared" si="74"/>
        <v>0.04</v>
      </c>
      <c r="K256" s="17">
        <f t="shared" si="75"/>
        <v>0.182</v>
      </c>
      <c r="L256" s="17">
        <f t="shared" si="76"/>
        <v>0.77800000000000002</v>
      </c>
      <c r="M256" s="4">
        <f t="shared" si="77"/>
        <v>28100</v>
      </c>
    </row>
    <row r="257" spans="1:13" x14ac:dyDescent="0.3">
      <c r="A257" s="1">
        <f t="shared" si="71"/>
        <v>255</v>
      </c>
      <c r="B257" s="1">
        <v>400</v>
      </c>
      <c r="C257" s="1">
        <f t="shared" si="72"/>
        <v>1800</v>
      </c>
      <c r="D257" s="4">
        <f t="shared" si="78"/>
        <v>7800</v>
      </c>
      <c r="E257" s="4">
        <f t="shared" si="79"/>
        <v>375</v>
      </c>
      <c r="F257" s="10">
        <f t="shared" si="81"/>
        <v>2.3599999999999932</v>
      </c>
      <c r="G257" s="9">
        <f t="shared" si="80"/>
        <v>28250</v>
      </c>
      <c r="I257" s="4">
        <f t="shared" si="73"/>
        <v>10000</v>
      </c>
      <c r="J257" s="17">
        <f t="shared" si="74"/>
        <v>0.04</v>
      </c>
      <c r="K257" s="17">
        <f t="shared" si="75"/>
        <v>0.18</v>
      </c>
      <c r="L257" s="17">
        <f t="shared" si="76"/>
        <v>0.78</v>
      </c>
      <c r="M257" s="4">
        <f t="shared" si="77"/>
        <v>28250</v>
      </c>
    </row>
    <row r="258" spans="1:13" x14ac:dyDescent="0.3">
      <c r="A258" s="1">
        <f t="shared" si="71"/>
        <v>256</v>
      </c>
      <c r="B258" s="1">
        <v>400</v>
      </c>
      <c r="C258" s="1">
        <f t="shared" si="72"/>
        <v>1780</v>
      </c>
      <c r="D258" s="4">
        <f t="shared" si="78"/>
        <v>7820</v>
      </c>
      <c r="E258" s="4">
        <f t="shared" si="79"/>
        <v>376</v>
      </c>
      <c r="F258" s="10">
        <f t="shared" si="81"/>
        <v>2.369999999999993</v>
      </c>
      <c r="G258" s="9">
        <f t="shared" si="80"/>
        <v>28400</v>
      </c>
      <c r="I258" s="4">
        <f t="shared" si="73"/>
        <v>10000</v>
      </c>
      <c r="J258" s="17">
        <f t="shared" si="74"/>
        <v>0.04</v>
      </c>
      <c r="K258" s="17">
        <f t="shared" si="75"/>
        <v>0.17799999999999999</v>
      </c>
      <c r="L258" s="17">
        <f t="shared" si="76"/>
        <v>0.78200000000000003</v>
      </c>
      <c r="M258" s="4">
        <f t="shared" si="77"/>
        <v>28400</v>
      </c>
    </row>
    <row r="259" spans="1:13" x14ac:dyDescent="0.3">
      <c r="A259" s="1">
        <f t="shared" si="71"/>
        <v>257</v>
      </c>
      <c r="B259" s="1">
        <v>400</v>
      </c>
      <c r="C259" s="1">
        <f t="shared" si="72"/>
        <v>1760</v>
      </c>
      <c r="D259" s="4">
        <f t="shared" si="78"/>
        <v>7840</v>
      </c>
      <c r="E259" s="4">
        <f t="shared" si="79"/>
        <v>377</v>
      </c>
      <c r="F259" s="10">
        <f t="shared" si="81"/>
        <v>2.3799999999999928</v>
      </c>
      <c r="G259" s="9">
        <f t="shared" si="80"/>
        <v>28550</v>
      </c>
      <c r="I259" s="4">
        <f t="shared" si="73"/>
        <v>10000</v>
      </c>
      <c r="J259" s="17">
        <f t="shared" si="74"/>
        <v>0.04</v>
      </c>
      <c r="K259" s="17">
        <f t="shared" si="75"/>
        <v>0.17599999999999999</v>
      </c>
      <c r="L259" s="17">
        <f t="shared" si="76"/>
        <v>0.78400000000000003</v>
      </c>
      <c r="M259" s="4">
        <f t="shared" si="77"/>
        <v>28550</v>
      </c>
    </row>
    <row r="260" spans="1:13" x14ac:dyDescent="0.3">
      <c r="A260" s="1">
        <f t="shared" si="71"/>
        <v>258</v>
      </c>
      <c r="B260" s="1">
        <v>400</v>
      </c>
      <c r="C260" s="1">
        <f t="shared" si="72"/>
        <v>1740</v>
      </c>
      <c r="D260" s="4">
        <f t="shared" si="78"/>
        <v>7860</v>
      </c>
      <c r="E260" s="4">
        <f t="shared" si="79"/>
        <v>378</v>
      </c>
      <c r="F260" s="10">
        <f t="shared" si="81"/>
        <v>2.3899999999999926</v>
      </c>
      <c r="G260" s="9">
        <f t="shared" si="80"/>
        <v>28700</v>
      </c>
      <c r="I260" s="4">
        <f t="shared" si="73"/>
        <v>10000</v>
      </c>
      <c r="J260" s="17">
        <f t="shared" si="74"/>
        <v>0.04</v>
      </c>
      <c r="K260" s="17">
        <f t="shared" si="75"/>
        <v>0.17399999999999999</v>
      </c>
      <c r="L260" s="17">
        <f t="shared" si="76"/>
        <v>0.78600000000000003</v>
      </c>
      <c r="M260" s="4">
        <f t="shared" si="77"/>
        <v>28700</v>
      </c>
    </row>
    <row r="261" spans="1:13" x14ac:dyDescent="0.3">
      <c r="A261" s="1">
        <f t="shared" si="71"/>
        <v>259</v>
      </c>
      <c r="B261" s="1">
        <v>400</v>
      </c>
      <c r="C261" s="1">
        <f t="shared" si="72"/>
        <v>1720</v>
      </c>
      <c r="D261" s="4">
        <f t="shared" si="78"/>
        <v>7880</v>
      </c>
      <c r="E261" s="4">
        <f t="shared" si="79"/>
        <v>379</v>
      </c>
      <c r="F261" s="10">
        <f t="shared" si="81"/>
        <v>2.3999999999999924</v>
      </c>
      <c r="G261" s="9">
        <f t="shared" si="80"/>
        <v>28850</v>
      </c>
      <c r="I261" s="4">
        <f t="shared" si="73"/>
        <v>10000</v>
      </c>
      <c r="J261" s="17">
        <f t="shared" si="74"/>
        <v>0.04</v>
      </c>
      <c r="K261" s="17">
        <f t="shared" si="75"/>
        <v>0.17199999999999999</v>
      </c>
      <c r="L261" s="17">
        <f t="shared" si="76"/>
        <v>0.78800000000000003</v>
      </c>
      <c r="M261" s="4">
        <f t="shared" si="77"/>
        <v>28850</v>
      </c>
    </row>
    <row r="262" spans="1:13" x14ac:dyDescent="0.3">
      <c r="A262" s="1">
        <f t="shared" si="71"/>
        <v>260</v>
      </c>
      <c r="B262" s="1">
        <v>400</v>
      </c>
      <c r="C262" s="1">
        <f t="shared" si="72"/>
        <v>1700</v>
      </c>
      <c r="D262" s="4">
        <f t="shared" si="78"/>
        <v>7900</v>
      </c>
      <c r="E262" s="4">
        <f t="shared" si="79"/>
        <v>380</v>
      </c>
      <c r="F262" s="10">
        <f t="shared" si="81"/>
        <v>2.4099999999999921</v>
      </c>
      <c r="G262" s="9">
        <f t="shared" si="80"/>
        <v>29000</v>
      </c>
      <c r="I262" s="4">
        <f t="shared" si="73"/>
        <v>10000</v>
      </c>
      <c r="J262" s="17">
        <f t="shared" si="74"/>
        <v>0.04</v>
      </c>
      <c r="K262" s="17">
        <f t="shared" si="75"/>
        <v>0.17</v>
      </c>
      <c r="L262" s="17">
        <f t="shared" si="76"/>
        <v>0.79</v>
      </c>
      <c r="M262" s="4">
        <f t="shared" si="77"/>
        <v>29000</v>
      </c>
    </row>
    <row r="263" spans="1:13" x14ac:dyDescent="0.3">
      <c r="A263" s="1">
        <f t="shared" si="71"/>
        <v>261</v>
      </c>
      <c r="B263" s="1">
        <v>400</v>
      </c>
      <c r="C263" s="1">
        <f t="shared" si="72"/>
        <v>1680</v>
      </c>
      <c r="D263" s="4">
        <f t="shared" si="78"/>
        <v>7920</v>
      </c>
      <c r="E263" s="4">
        <f t="shared" si="79"/>
        <v>381</v>
      </c>
      <c r="F263" s="10">
        <f t="shared" si="81"/>
        <v>2.4199999999999919</v>
      </c>
      <c r="G263" s="9">
        <f t="shared" si="80"/>
        <v>29150</v>
      </c>
      <c r="I263" s="4">
        <f t="shared" si="73"/>
        <v>10000</v>
      </c>
      <c r="J263" s="17">
        <f t="shared" si="74"/>
        <v>0.04</v>
      </c>
      <c r="K263" s="17">
        <f t="shared" si="75"/>
        <v>0.16800000000000001</v>
      </c>
      <c r="L263" s="17">
        <f t="shared" si="76"/>
        <v>0.79200000000000004</v>
      </c>
      <c r="M263" s="4">
        <f t="shared" si="77"/>
        <v>29150</v>
      </c>
    </row>
    <row r="264" spans="1:13" x14ac:dyDescent="0.3">
      <c r="A264" s="1">
        <f t="shared" si="71"/>
        <v>262</v>
      </c>
      <c r="B264" s="1">
        <v>400</v>
      </c>
      <c r="C264" s="1">
        <f t="shared" si="72"/>
        <v>1660</v>
      </c>
      <c r="D264" s="4">
        <f t="shared" si="78"/>
        <v>7940</v>
      </c>
      <c r="E264" s="4">
        <f t="shared" si="79"/>
        <v>382</v>
      </c>
      <c r="F264" s="10">
        <f t="shared" si="81"/>
        <v>2.4299999999999917</v>
      </c>
      <c r="G264" s="9">
        <f t="shared" si="80"/>
        <v>29300</v>
      </c>
      <c r="I264" s="4">
        <f t="shared" si="73"/>
        <v>10000</v>
      </c>
      <c r="J264" s="17">
        <f t="shared" si="74"/>
        <v>0.04</v>
      </c>
      <c r="K264" s="17">
        <f t="shared" si="75"/>
        <v>0.16600000000000001</v>
      </c>
      <c r="L264" s="17">
        <f t="shared" si="76"/>
        <v>0.79400000000000004</v>
      </c>
      <c r="M264" s="4">
        <f t="shared" si="77"/>
        <v>29300</v>
      </c>
    </row>
    <row r="265" spans="1:13" x14ac:dyDescent="0.3">
      <c r="A265" s="1">
        <f t="shared" si="71"/>
        <v>263</v>
      </c>
      <c r="B265" s="1">
        <v>400</v>
      </c>
      <c r="C265" s="1">
        <f t="shared" si="72"/>
        <v>1640</v>
      </c>
      <c r="D265" s="4">
        <f t="shared" si="78"/>
        <v>7960</v>
      </c>
      <c r="E265" s="4">
        <f t="shared" si="79"/>
        <v>383</v>
      </c>
      <c r="F265" s="10">
        <f t="shared" si="81"/>
        <v>2.4399999999999915</v>
      </c>
      <c r="G265" s="9">
        <f t="shared" si="80"/>
        <v>29450</v>
      </c>
      <c r="I265" s="4">
        <f t="shared" si="73"/>
        <v>10000</v>
      </c>
      <c r="J265" s="17">
        <f t="shared" si="74"/>
        <v>0.04</v>
      </c>
      <c r="K265" s="17">
        <f t="shared" si="75"/>
        <v>0.16400000000000001</v>
      </c>
      <c r="L265" s="17">
        <f t="shared" si="76"/>
        <v>0.79600000000000004</v>
      </c>
      <c r="M265" s="4">
        <f t="shared" si="77"/>
        <v>29450</v>
      </c>
    </row>
    <row r="266" spans="1:13" x14ac:dyDescent="0.3">
      <c r="A266" s="1">
        <f t="shared" si="71"/>
        <v>264</v>
      </c>
      <c r="B266" s="1">
        <v>400</v>
      </c>
      <c r="C266" s="1">
        <f t="shared" si="72"/>
        <v>1620</v>
      </c>
      <c r="D266" s="4">
        <f t="shared" si="78"/>
        <v>7980</v>
      </c>
      <c r="E266" s="4">
        <f t="shared" si="79"/>
        <v>384</v>
      </c>
      <c r="F266" s="10">
        <f t="shared" si="81"/>
        <v>2.4499999999999913</v>
      </c>
      <c r="G266" s="9">
        <f t="shared" si="80"/>
        <v>29600</v>
      </c>
      <c r="I266" s="4">
        <f t="shared" si="73"/>
        <v>10000</v>
      </c>
      <c r="J266" s="17">
        <f t="shared" si="74"/>
        <v>0.04</v>
      </c>
      <c r="K266" s="17">
        <f t="shared" si="75"/>
        <v>0.16200000000000001</v>
      </c>
      <c r="L266" s="17">
        <f t="shared" si="76"/>
        <v>0.79800000000000004</v>
      </c>
      <c r="M266" s="4">
        <f t="shared" si="77"/>
        <v>29600</v>
      </c>
    </row>
    <row r="267" spans="1:13" x14ac:dyDescent="0.3">
      <c r="A267" s="1">
        <f t="shared" si="71"/>
        <v>265</v>
      </c>
      <c r="B267" s="1">
        <v>400</v>
      </c>
      <c r="C267" s="1">
        <f t="shared" si="72"/>
        <v>1600</v>
      </c>
      <c r="D267" s="4">
        <f t="shared" si="78"/>
        <v>8000</v>
      </c>
      <c r="E267" s="4">
        <f t="shared" si="79"/>
        <v>385</v>
      </c>
      <c r="F267" s="10">
        <f t="shared" si="81"/>
        <v>2.4599999999999911</v>
      </c>
      <c r="G267" s="9">
        <f t="shared" si="80"/>
        <v>29750</v>
      </c>
      <c r="I267" s="4">
        <f t="shared" si="73"/>
        <v>10000</v>
      </c>
      <c r="J267" s="17">
        <f t="shared" si="74"/>
        <v>0.04</v>
      </c>
      <c r="K267" s="17">
        <f t="shared" si="75"/>
        <v>0.16</v>
      </c>
      <c r="L267" s="17">
        <f t="shared" si="76"/>
        <v>0.8</v>
      </c>
      <c r="M267" s="4">
        <f t="shared" si="77"/>
        <v>29750</v>
      </c>
    </row>
    <row r="268" spans="1:13" x14ac:dyDescent="0.3">
      <c r="A268" s="1">
        <f t="shared" si="71"/>
        <v>266</v>
      </c>
      <c r="B268" s="1">
        <v>400</v>
      </c>
      <c r="C268" s="1">
        <f t="shared" si="72"/>
        <v>1580</v>
      </c>
      <c r="D268" s="4">
        <f t="shared" si="78"/>
        <v>8020</v>
      </c>
      <c r="E268" s="4">
        <f t="shared" si="79"/>
        <v>386</v>
      </c>
      <c r="F268" s="10">
        <f t="shared" si="81"/>
        <v>2.4699999999999909</v>
      </c>
      <c r="G268" s="9">
        <f t="shared" si="80"/>
        <v>29900</v>
      </c>
      <c r="I268" s="4">
        <f t="shared" si="73"/>
        <v>10000</v>
      </c>
      <c r="J268" s="17">
        <f t="shared" si="74"/>
        <v>0.04</v>
      </c>
      <c r="K268" s="17">
        <f t="shared" si="75"/>
        <v>0.158</v>
      </c>
      <c r="L268" s="17">
        <f t="shared" si="76"/>
        <v>0.80200000000000005</v>
      </c>
      <c r="M268" s="4">
        <f t="shared" si="77"/>
        <v>29900</v>
      </c>
    </row>
    <row r="269" spans="1:13" x14ac:dyDescent="0.3">
      <c r="A269" s="1">
        <f t="shared" si="71"/>
        <v>267</v>
      </c>
      <c r="B269" s="1">
        <v>400</v>
      </c>
      <c r="C269" s="1">
        <f t="shared" si="72"/>
        <v>1560</v>
      </c>
      <c r="D269" s="4">
        <f t="shared" si="78"/>
        <v>8040</v>
      </c>
      <c r="E269" s="4">
        <f t="shared" si="79"/>
        <v>387</v>
      </c>
      <c r="F269" s="10">
        <f t="shared" si="81"/>
        <v>2.4799999999999907</v>
      </c>
      <c r="G269" s="9">
        <f t="shared" si="80"/>
        <v>30050</v>
      </c>
      <c r="I269" s="4">
        <f t="shared" si="73"/>
        <v>10000</v>
      </c>
      <c r="J269" s="17">
        <f t="shared" si="74"/>
        <v>0.04</v>
      </c>
      <c r="K269" s="17">
        <f t="shared" si="75"/>
        <v>0.156</v>
      </c>
      <c r="L269" s="17">
        <f t="shared" si="76"/>
        <v>0.80400000000000005</v>
      </c>
      <c r="M269" s="4">
        <f t="shared" si="77"/>
        <v>30050</v>
      </c>
    </row>
    <row r="270" spans="1:13" x14ac:dyDescent="0.3">
      <c r="A270" s="1">
        <f t="shared" si="71"/>
        <v>268</v>
      </c>
      <c r="B270" s="1">
        <v>400</v>
      </c>
      <c r="C270" s="1">
        <f t="shared" si="72"/>
        <v>1540</v>
      </c>
      <c r="D270" s="4">
        <f t="shared" si="78"/>
        <v>8060</v>
      </c>
      <c r="E270" s="4">
        <f t="shared" si="79"/>
        <v>388</v>
      </c>
      <c r="F270" s="10">
        <f t="shared" si="81"/>
        <v>2.4899999999999904</v>
      </c>
      <c r="G270" s="9">
        <f t="shared" si="80"/>
        <v>30200</v>
      </c>
      <c r="I270" s="4">
        <f t="shared" si="73"/>
        <v>10000</v>
      </c>
      <c r="J270" s="17">
        <f t="shared" si="74"/>
        <v>0.04</v>
      </c>
      <c r="K270" s="17">
        <f t="shared" si="75"/>
        <v>0.154</v>
      </c>
      <c r="L270" s="17">
        <f t="shared" si="76"/>
        <v>0.80600000000000005</v>
      </c>
      <c r="M270" s="4">
        <f t="shared" si="77"/>
        <v>30200</v>
      </c>
    </row>
    <row r="271" spans="1:13" x14ac:dyDescent="0.3">
      <c r="A271" s="1">
        <f t="shared" si="71"/>
        <v>269</v>
      </c>
      <c r="B271" s="1">
        <v>400</v>
      </c>
      <c r="C271" s="1">
        <f t="shared" si="72"/>
        <v>1520</v>
      </c>
      <c r="D271" s="4">
        <f t="shared" si="78"/>
        <v>8080</v>
      </c>
      <c r="E271" s="4">
        <f t="shared" si="79"/>
        <v>389</v>
      </c>
      <c r="F271" s="10">
        <f t="shared" si="81"/>
        <v>2.4999999999999902</v>
      </c>
      <c r="G271" s="9">
        <f t="shared" si="80"/>
        <v>30350</v>
      </c>
      <c r="I271" s="4">
        <f t="shared" si="73"/>
        <v>10000</v>
      </c>
      <c r="J271" s="17">
        <f t="shared" si="74"/>
        <v>0.04</v>
      </c>
      <c r="K271" s="17">
        <f t="shared" si="75"/>
        <v>0.152</v>
      </c>
      <c r="L271" s="17">
        <f t="shared" si="76"/>
        <v>0.80800000000000005</v>
      </c>
      <c r="M271" s="4">
        <f t="shared" si="77"/>
        <v>30350</v>
      </c>
    </row>
    <row r="272" spans="1:13" x14ac:dyDescent="0.3">
      <c r="A272" s="1">
        <f t="shared" si="71"/>
        <v>270</v>
      </c>
      <c r="B272" s="1">
        <v>400</v>
      </c>
      <c r="C272" s="1">
        <f t="shared" si="72"/>
        <v>1500</v>
      </c>
      <c r="D272" s="4">
        <f t="shared" si="78"/>
        <v>8100</v>
      </c>
      <c r="E272" s="4">
        <f t="shared" si="79"/>
        <v>390</v>
      </c>
      <c r="F272" s="10">
        <f t="shared" si="81"/>
        <v>2.50999999999999</v>
      </c>
      <c r="G272" s="9">
        <f t="shared" si="80"/>
        <v>30500</v>
      </c>
      <c r="I272" s="4">
        <f t="shared" si="73"/>
        <v>10000</v>
      </c>
      <c r="J272" s="17">
        <f t="shared" si="74"/>
        <v>0.04</v>
      </c>
      <c r="K272" s="17">
        <f t="shared" si="75"/>
        <v>0.15</v>
      </c>
      <c r="L272" s="17">
        <f t="shared" si="76"/>
        <v>0.81</v>
      </c>
      <c r="M272" s="4">
        <f t="shared" si="77"/>
        <v>30500</v>
      </c>
    </row>
    <row r="273" spans="1:13" x14ac:dyDescent="0.3">
      <c r="A273" s="1">
        <f t="shared" si="71"/>
        <v>271</v>
      </c>
      <c r="B273" s="1">
        <v>400</v>
      </c>
      <c r="C273" s="1">
        <f t="shared" si="72"/>
        <v>1480</v>
      </c>
      <c r="D273" s="4">
        <f t="shared" si="78"/>
        <v>8120</v>
      </c>
      <c r="E273" s="4">
        <f t="shared" si="79"/>
        <v>391</v>
      </c>
      <c r="F273" s="10">
        <f t="shared" si="81"/>
        <v>2.5199999999999898</v>
      </c>
      <c r="G273" s="9">
        <f t="shared" si="80"/>
        <v>30650</v>
      </c>
      <c r="I273" s="4">
        <f t="shared" si="73"/>
        <v>10000</v>
      </c>
      <c r="J273" s="17">
        <f t="shared" si="74"/>
        <v>0.04</v>
      </c>
      <c r="K273" s="17">
        <f t="shared" si="75"/>
        <v>0.14799999999999999</v>
      </c>
      <c r="L273" s="17">
        <f t="shared" si="76"/>
        <v>0.81200000000000006</v>
      </c>
      <c r="M273" s="4">
        <f t="shared" si="77"/>
        <v>30650</v>
      </c>
    </row>
    <row r="274" spans="1:13" x14ac:dyDescent="0.3">
      <c r="A274" s="1">
        <f t="shared" si="71"/>
        <v>272</v>
      </c>
      <c r="B274" s="1">
        <v>400</v>
      </c>
      <c r="C274" s="1">
        <f t="shared" si="72"/>
        <v>1460</v>
      </c>
      <c r="D274" s="4">
        <f t="shared" si="78"/>
        <v>8140</v>
      </c>
      <c r="E274" s="4">
        <f t="shared" si="79"/>
        <v>392</v>
      </c>
      <c r="F274" s="10">
        <f t="shared" si="81"/>
        <v>2.5299999999999896</v>
      </c>
      <c r="G274" s="9">
        <f t="shared" si="80"/>
        <v>30800</v>
      </c>
      <c r="I274" s="4">
        <f t="shared" si="73"/>
        <v>10000</v>
      </c>
      <c r="J274" s="17">
        <f t="shared" si="74"/>
        <v>0.04</v>
      </c>
      <c r="K274" s="17">
        <f t="shared" si="75"/>
        <v>0.14599999999999999</v>
      </c>
      <c r="L274" s="17">
        <f t="shared" si="76"/>
        <v>0.81399999999999995</v>
      </c>
      <c r="M274" s="4">
        <f t="shared" si="77"/>
        <v>30800</v>
      </c>
    </row>
    <row r="275" spans="1:13" x14ac:dyDescent="0.3">
      <c r="A275" s="1">
        <f t="shared" si="71"/>
        <v>273</v>
      </c>
      <c r="B275" s="1">
        <v>400</v>
      </c>
      <c r="C275" s="1">
        <f t="shared" si="72"/>
        <v>1440</v>
      </c>
      <c r="D275" s="4">
        <f t="shared" si="78"/>
        <v>8160</v>
      </c>
      <c r="E275" s="4">
        <f t="shared" si="79"/>
        <v>393</v>
      </c>
      <c r="F275" s="10">
        <f t="shared" si="81"/>
        <v>2.5399999999999894</v>
      </c>
      <c r="G275" s="9">
        <f t="shared" si="80"/>
        <v>30950</v>
      </c>
      <c r="I275" s="4">
        <f t="shared" si="73"/>
        <v>10000</v>
      </c>
      <c r="J275" s="17">
        <f t="shared" si="74"/>
        <v>0.04</v>
      </c>
      <c r="K275" s="17">
        <f t="shared" si="75"/>
        <v>0.14399999999999999</v>
      </c>
      <c r="L275" s="17">
        <f t="shared" si="76"/>
        <v>0.81599999999999995</v>
      </c>
      <c r="M275" s="4">
        <f t="shared" si="77"/>
        <v>30950</v>
      </c>
    </row>
    <row r="276" spans="1:13" x14ac:dyDescent="0.3">
      <c r="A276" s="1">
        <f t="shared" si="71"/>
        <v>274</v>
      </c>
      <c r="B276" s="1">
        <v>400</v>
      </c>
      <c r="C276" s="1">
        <f t="shared" si="72"/>
        <v>1420</v>
      </c>
      <c r="D276" s="4">
        <f t="shared" si="78"/>
        <v>8180</v>
      </c>
      <c r="E276" s="4">
        <f t="shared" si="79"/>
        <v>394</v>
      </c>
      <c r="F276" s="10">
        <f t="shared" si="81"/>
        <v>2.5499999999999892</v>
      </c>
      <c r="G276" s="9">
        <f t="shared" si="80"/>
        <v>31100</v>
      </c>
      <c r="I276" s="4">
        <f t="shared" si="73"/>
        <v>10000</v>
      </c>
      <c r="J276" s="17">
        <f t="shared" si="74"/>
        <v>0.04</v>
      </c>
      <c r="K276" s="17">
        <f t="shared" si="75"/>
        <v>0.14199999999999999</v>
      </c>
      <c r="L276" s="17">
        <f t="shared" si="76"/>
        <v>0.81799999999999995</v>
      </c>
      <c r="M276" s="4">
        <f t="shared" si="77"/>
        <v>31100</v>
      </c>
    </row>
    <row r="277" spans="1:13" x14ac:dyDescent="0.3">
      <c r="A277" s="1">
        <f t="shared" si="71"/>
        <v>275</v>
      </c>
      <c r="B277" s="1">
        <v>400</v>
      </c>
      <c r="C277" s="1">
        <f t="shared" si="72"/>
        <v>1400</v>
      </c>
      <c r="D277" s="4">
        <f t="shared" si="78"/>
        <v>8200</v>
      </c>
      <c r="E277" s="4">
        <f t="shared" si="79"/>
        <v>395</v>
      </c>
      <c r="F277" s="10">
        <f t="shared" si="81"/>
        <v>2.559999999999989</v>
      </c>
      <c r="G277" s="9">
        <f t="shared" si="80"/>
        <v>31250</v>
      </c>
      <c r="I277" s="4">
        <f t="shared" si="73"/>
        <v>10000</v>
      </c>
      <c r="J277" s="17">
        <f t="shared" si="74"/>
        <v>0.04</v>
      </c>
      <c r="K277" s="17">
        <f t="shared" si="75"/>
        <v>0.14000000000000001</v>
      </c>
      <c r="L277" s="17">
        <f t="shared" si="76"/>
        <v>0.82</v>
      </c>
      <c r="M277" s="4">
        <f t="shared" si="77"/>
        <v>31250</v>
      </c>
    </row>
    <row r="278" spans="1:13" x14ac:dyDescent="0.3">
      <c r="A278" s="1">
        <f t="shared" si="71"/>
        <v>276</v>
      </c>
      <c r="B278" s="1">
        <v>400</v>
      </c>
      <c r="C278" s="1">
        <f t="shared" si="72"/>
        <v>1380</v>
      </c>
      <c r="D278" s="4">
        <f t="shared" si="78"/>
        <v>8220</v>
      </c>
      <c r="E278" s="4">
        <f t="shared" si="79"/>
        <v>396</v>
      </c>
      <c r="F278" s="10">
        <f t="shared" si="81"/>
        <v>2.5699999999999887</v>
      </c>
      <c r="G278" s="9">
        <f t="shared" si="80"/>
        <v>31400</v>
      </c>
      <c r="I278" s="4">
        <f t="shared" si="73"/>
        <v>10000</v>
      </c>
      <c r="J278" s="17">
        <f t="shared" si="74"/>
        <v>0.04</v>
      </c>
      <c r="K278" s="17">
        <f t="shared" si="75"/>
        <v>0.13800000000000001</v>
      </c>
      <c r="L278" s="17">
        <f t="shared" si="76"/>
        <v>0.82199999999999995</v>
      </c>
      <c r="M278" s="4">
        <f t="shared" si="77"/>
        <v>31400</v>
      </c>
    </row>
    <row r="279" spans="1:13" x14ac:dyDescent="0.3">
      <c r="A279" s="1">
        <f t="shared" si="71"/>
        <v>277</v>
      </c>
      <c r="B279" s="1">
        <v>400</v>
      </c>
      <c r="C279" s="1">
        <f t="shared" si="72"/>
        <v>1360</v>
      </c>
      <c r="D279" s="4">
        <f t="shared" si="78"/>
        <v>8240</v>
      </c>
      <c r="E279" s="4">
        <f t="shared" si="79"/>
        <v>397</v>
      </c>
      <c r="F279" s="10">
        <f t="shared" si="81"/>
        <v>2.5799999999999885</v>
      </c>
      <c r="G279" s="9">
        <f t="shared" si="80"/>
        <v>31550</v>
      </c>
      <c r="I279" s="4">
        <f t="shared" si="73"/>
        <v>10000</v>
      </c>
      <c r="J279" s="17">
        <f t="shared" si="74"/>
        <v>0.04</v>
      </c>
      <c r="K279" s="17">
        <f t="shared" si="75"/>
        <v>0.13600000000000001</v>
      </c>
      <c r="L279" s="17">
        <f t="shared" si="76"/>
        <v>0.82399999999999995</v>
      </c>
      <c r="M279" s="4">
        <f t="shared" si="77"/>
        <v>31550</v>
      </c>
    </row>
    <row r="280" spans="1:13" x14ac:dyDescent="0.3">
      <c r="A280" s="1">
        <f t="shared" si="71"/>
        <v>278</v>
      </c>
      <c r="B280" s="1">
        <v>400</v>
      </c>
      <c r="C280" s="1">
        <f t="shared" si="72"/>
        <v>1340</v>
      </c>
      <c r="D280" s="4">
        <f t="shared" si="78"/>
        <v>8260</v>
      </c>
      <c r="E280" s="4">
        <f t="shared" si="79"/>
        <v>398</v>
      </c>
      <c r="F280" s="10">
        <f t="shared" si="81"/>
        <v>2.5899999999999883</v>
      </c>
      <c r="G280" s="9">
        <f t="shared" si="80"/>
        <v>31700</v>
      </c>
      <c r="I280" s="4">
        <f t="shared" si="73"/>
        <v>10000</v>
      </c>
      <c r="J280" s="17">
        <f t="shared" si="74"/>
        <v>0.04</v>
      </c>
      <c r="K280" s="17">
        <f t="shared" si="75"/>
        <v>0.13400000000000001</v>
      </c>
      <c r="L280" s="17">
        <f t="shared" si="76"/>
        <v>0.82599999999999996</v>
      </c>
      <c r="M280" s="4">
        <f t="shared" si="77"/>
        <v>31700</v>
      </c>
    </row>
    <row r="281" spans="1:13" x14ac:dyDescent="0.3">
      <c r="A281" s="1">
        <f t="shared" si="71"/>
        <v>279</v>
      </c>
      <c r="B281" s="1">
        <v>400</v>
      </c>
      <c r="C281" s="1">
        <f t="shared" si="72"/>
        <v>1320</v>
      </c>
      <c r="D281" s="4">
        <f t="shared" si="78"/>
        <v>8280</v>
      </c>
      <c r="E281" s="4">
        <f t="shared" si="79"/>
        <v>399</v>
      </c>
      <c r="F281" s="10">
        <f t="shared" si="81"/>
        <v>2.5999999999999881</v>
      </c>
      <c r="G281" s="9">
        <f t="shared" si="80"/>
        <v>31850</v>
      </c>
      <c r="I281" s="4">
        <f t="shared" si="73"/>
        <v>10000</v>
      </c>
      <c r="J281" s="17">
        <f t="shared" si="74"/>
        <v>0.04</v>
      </c>
      <c r="K281" s="17">
        <f t="shared" si="75"/>
        <v>0.13200000000000001</v>
      </c>
      <c r="L281" s="17">
        <f t="shared" si="76"/>
        <v>0.82799999999999996</v>
      </c>
      <c r="M281" s="4">
        <f t="shared" si="77"/>
        <v>31850</v>
      </c>
    </row>
    <row r="282" spans="1:13" x14ac:dyDescent="0.3">
      <c r="A282" s="1">
        <f t="shared" si="71"/>
        <v>280</v>
      </c>
      <c r="B282" s="1">
        <v>400</v>
      </c>
      <c r="C282" s="1">
        <f t="shared" si="72"/>
        <v>1300</v>
      </c>
      <c r="D282" s="4">
        <f t="shared" si="78"/>
        <v>8300</v>
      </c>
      <c r="E282" s="4">
        <f t="shared" si="79"/>
        <v>400</v>
      </c>
      <c r="F282" s="10">
        <f t="shared" si="81"/>
        <v>2.6099999999999879</v>
      </c>
      <c r="G282" s="9">
        <f t="shared" si="80"/>
        <v>32000</v>
      </c>
      <c r="I282" s="4">
        <f t="shared" si="73"/>
        <v>10000</v>
      </c>
      <c r="J282" s="17">
        <f t="shared" si="74"/>
        <v>0.04</v>
      </c>
      <c r="K282" s="17">
        <f t="shared" si="75"/>
        <v>0.13</v>
      </c>
      <c r="L282" s="17">
        <f t="shared" si="76"/>
        <v>0.83</v>
      </c>
      <c r="M282" s="4">
        <f t="shared" si="77"/>
        <v>32000</v>
      </c>
    </row>
    <row r="283" spans="1:13" x14ac:dyDescent="0.3">
      <c r="A283" s="1">
        <f t="shared" si="71"/>
        <v>281</v>
      </c>
      <c r="B283" s="1">
        <v>400</v>
      </c>
      <c r="C283" s="1">
        <f t="shared" si="72"/>
        <v>1280</v>
      </c>
      <c r="D283" s="4">
        <f t="shared" si="78"/>
        <v>8320</v>
      </c>
      <c r="E283" s="4">
        <f t="shared" si="79"/>
        <v>401</v>
      </c>
      <c r="F283" s="10">
        <f t="shared" si="81"/>
        <v>2.6199999999999877</v>
      </c>
      <c r="G283" s="9">
        <f t="shared" si="80"/>
        <v>32150</v>
      </c>
      <c r="I283" s="4">
        <f t="shared" si="73"/>
        <v>10000</v>
      </c>
      <c r="J283" s="17">
        <f t="shared" si="74"/>
        <v>0.04</v>
      </c>
      <c r="K283" s="17">
        <f t="shared" si="75"/>
        <v>0.128</v>
      </c>
      <c r="L283" s="17">
        <f t="shared" si="76"/>
        <v>0.83199999999999996</v>
      </c>
      <c r="M283" s="4">
        <f t="shared" si="77"/>
        <v>32150</v>
      </c>
    </row>
    <row r="284" spans="1:13" x14ac:dyDescent="0.3">
      <c r="A284" s="1">
        <f t="shared" si="71"/>
        <v>282</v>
      </c>
      <c r="B284" s="1">
        <v>400</v>
      </c>
      <c r="C284" s="1">
        <f t="shared" si="72"/>
        <v>1260</v>
      </c>
      <c r="D284" s="4">
        <f t="shared" si="78"/>
        <v>8340</v>
      </c>
      <c r="E284" s="4">
        <f t="shared" si="79"/>
        <v>402</v>
      </c>
      <c r="F284" s="10">
        <f t="shared" si="81"/>
        <v>2.6299999999999875</v>
      </c>
      <c r="G284" s="9">
        <f t="shared" si="80"/>
        <v>32300</v>
      </c>
      <c r="I284" s="4">
        <f t="shared" si="73"/>
        <v>10000</v>
      </c>
      <c r="J284" s="17">
        <f t="shared" si="74"/>
        <v>0.04</v>
      </c>
      <c r="K284" s="17">
        <f t="shared" si="75"/>
        <v>0.126</v>
      </c>
      <c r="L284" s="17">
        <f t="shared" si="76"/>
        <v>0.83399999999999996</v>
      </c>
      <c r="M284" s="4">
        <f t="shared" si="77"/>
        <v>32300</v>
      </c>
    </row>
    <row r="285" spans="1:13" x14ac:dyDescent="0.3">
      <c r="A285" s="1">
        <f t="shared" si="71"/>
        <v>283</v>
      </c>
      <c r="B285" s="1">
        <v>400</v>
      </c>
      <c r="C285" s="1">
        <f t="shared" si="72"/>
        <v>1240</v>
      </c>
      <c r="D285" s="4">
        <f t="shared" si="78"/>
        <v>8360</v>
      </c>
      <c r="E285" s="4">
        <f t="shared" si="79"/>
        <v>403</v>
      </c>
      <c r="F285" s="10">
        <f t="shared" si="81"/>
        <v>2.6399999999999872</v>
      </c>
      <c r="G285" s="9">
        <f t="shared" si="80"/>
        <v>32450</v>
      </c>
      <c r="I285" s="4">
        <f t="shared" si="73"/>
        <v>10000</v>
      </c>
      <c r="J285" s="17">
        <f t="shared" si="74"/>
        <v>0.04</v>
      </c>
      <c r="K285" s="17">
        <f t="shared" si="75"/>
        <v>0.124</v>
      </c>
      <c r="L285" s="17">
        <f t="shared" si="76"/>
        <v>0.83599999999999997</v>
      </c>
      <c r="M285" s="4">
        <f t="shared" si="77"/>
        <v>32450</v>
      </c>
    </row>
    <row r="286" spans="1:13" x14ac:dyDescent="0.3">
      <c r="A286" s="1">
        <f t="shared" si="71"/>
        <v>284</v>
      </c>
      <c r="B286" s="1">
        <v>400</v>
      </c>
      <c r="C286" s="1">
        <f t="shared" si="72"/>
        <v>1220</v>
      </c>
      <c r="D286" s="4">
        <f t="shared" si="78"/>
        <v>8380</v>
      </c>
      <c r="E286" s="4">
        <f t="shared" si="79"/>
        <v>404</v>
      </c>
      <c r="F286" s="10">
        <f t="shared" si="81"/>
        <v>2.649999999999987</v>
      </c>
      <c r="G286" s="9">
        <f t="shared" si="80"/>
        <v>32600</v>
      </c>
      <c r="I286" s="4">
        <f t="shared" si="73"/>
        <v>10000</v>
      </c>
      <c r="J286" s="17">
        <f t="shared" si="74"/>
        <v>0.04</v>
      </c>
      <c r="K286" s="17">
        <f t="shared" si="75"/>
        <v>0.122</v>
      </c>
      <c r="L286" s="17">
        <f t="shared" si="76"/>
        <v>0.83799999999999997</v>
      </c>
      <c r="M286" s="4">
        <f t="shared" si="77"/>
        <v>32600</v>
      </c>
    </row>
    <row r="287" spans="1:13" x14ac:dyDescent="0.3">
      <c r="A287" s="1">
        <f t="shared" ref="A287:A350" si="82">A286+1</f>
        <v>285</v>
      </c>
      <c r="B287" s="1">
        <v>400</v>
      </c>
      <c r="C287" s="1">
        <f t="shared" si="72"/>
        <v>1200</v>
      </c>
      <c r="D287" s="4">
        <f t="shared" si="78"/>
        <v>8400</v>
      </c>
      <c r="E287" s="4">
        <f t="shared" si="79"/>
        <v>405</v>
      </c>
      <c r="F287" s="10">
        <f t="shared" si="81"/>
        <v>2.6599999999999868</v>
      </c>
      <c r="G287" s="9">
        <f t="shared" si="80"/>
        <v>32750</v>
      </c>
      <c r="I287" s="4">
        <f t="shared" si="73"/>
        <v>10000</v>
      </c>
      <c r="J287" s="17">
        <f t="shared" si="74"/>
        <v>0.04</v>
      </c>
      <c r="K287" s="17">
        <f t="shared" si="75"/>
        <v>0.12</v>
      </c>
      <c r="L287" s="17">
        <f t="shared" si="76"/>
        <v>0.84</v>
      </c>
      <c r="M287" s="4">
        <f t="shared" si="77"/>
        <v>32750</v>
      </c>
    </row>
    <row r="288" spans="1:13" x14ac:dyDescent="0.3">
      <c r="A288" s="1">
        <f t="shared" si="82"/>
        <v>286</v>
      </c>
      <c r="B288" s="1">
        <v>400</v>
      </c>
      <c r="C288" s="1">
        <f t="shared" si="72"/>
        <v>1180</v>
      </c>
      <c r="D288" s="4">
        <f t="shared" si="78"/>
        <v>8420</v>
      </c>
      <c r="E288" s="4">
        <f t="shared" si="79"/>
        <v>406</v>
      </c>
      <c r="F288" s="10">
        <f t="shared" si="81"/>
        <v>2.6699999999999866</v>
      </c>
      <c r="G288" s="9">
        <f t="shared" si="80"/>
        <v>32900</v>
      </c>
      <c r="I288" s="4">
        <f t="shared" si="73"/>
        <v>10000</v>
      </c>
      <c r="J288" s="17">
        <f t="shared" si="74"/>
        <v>0.04</v>
      </c>
      <c r="K288" s="17">
        <f t="shared" si="75"/>
        <v>0.11799999999999999</v>
      </c>
      <c r="L288" s="17">
        <f t="shared" si="76"/>
        <v>0.84199999999999997</v>
      </c>
      <c r="M288" s="4">
        <f t="shared" si="77"/>
        <v>32900</v>
      </c>
    </row>
    <row r="289" spans="1:13" x14ac:dyDescent="0.3">
      <c r="A289" s="1">
        <f t="shared" si="82"/>
        <v>287</v>
      </c>
      <c r="B289" s="1">
        <v>400</v>
      </c>
      <c r="C289" s="1">
        <f t="shared" si="72"/>
        <v>1160</v>
      </c>
      <c r="D289" s="4">
        <f t="shared" si="78"/>
        <v>8440</v>
      </c>
      <c r="E289" s="4">
        <f t="shared" si="79"/>
        <v>407</v>
      </c>
      <c r="F289" s="10">
        <f t="shared" si="81"/>
        <v>2.6799999999999864</v>
      </c>
      <c r="G289" s="9">
        <f t="shared" si="80"/>
        <v>33050</v>
      </c>
      <c r="I289" s="4">
        <f t="shared" si="73"/>
        <v>10000</v>
      </c>
      <c r="J289" s="17">
        <f t="shared" si="74"/>
        <v>0.04</v>
      </c>
      <c r="K289" s="17">
        <f t="shared" si="75"/>
        <v>0.11600000000000001</v>
      </c>
      <c r="L289" s="17">
        <f t="shared" si="76"/>
        <v>0.84399999999999997</v>
      </c>
      <c r="M289" s="4">
        <f t="shared" si="77"/>
        <v>33050</v>
      </c>
    </row>
    <row r="290" spans="1:13" x14ac:dyDescent="0.3">
      <c r="A290" s="1">
        <f t="shared" si="82"/>
        <v>288</v>
      </c>
      <c r="B290" s="1">
        <v>400</v>
      </c>
      <c r="C290" s="1">
        <f t="shared" si="72"/>
        <v>1140</v>
      </c>
      <c r="D290" s="4">
        <f t="shared" si="78"/>
        <v>8460</v>
      </c>
      <c r="E290" s="4">
        <f t="shared" si="79"/>
        <v>408</v>
      </c>
      <c r="F290" s="10">
        <f t="shared" si="81"/>
        <v>2.6899999999999862</v>
      </c>
      <c r="G290" s="9">
        <f t="shared" si="80"/>
        <v>33200</v>
      </c>
      <c r="I290" s="4">
        <f t="shared" si="73"/>
        <v>10000</v>
      </c>
      <c r="J290" s="17">
        <f t="shared" si="74"/>
        <v>0.04</v>
      </c>
      <c r="K290" s="17">
        <f t="shared" si="75"/>
        <v>0.114</v>
      </c>
      <c r="L290" s="17">
        <f t="shared" si="76"/>
        <v>0.84599999999999997</v>
      </c>
      <c r="M290" s="4">
        <f t="shared" si="77"/>
        <v>33200</v>
      </c>
    </row>
    <row r="291" spans="1:13" x14ac:dyDescent="0.3">
      <c r="A291" s="1">
        <f t="shared" si="82"/>
        <v>289</v>
      </c>
      <c r="B291" s="1">
        <v>400</v>
      </c>
      <c r="C291" s="1">
        <f t="shared" si="72"/>
        <v>1120</v>
      </c>
      <c r="D291" s="4">
        <f t="shared" si="78"/>
        <v>8480</v>
      </c>
      <c r="E291" s="4">
        <f t="shared" si="79"/>
        <v>409</v>
      </c>
      <c r="F291" s="10">
        <f t="shared" si="81"/>
        <v>2.699999999999986</v>
      </c>
      <c r="G291" s="9">
        <f t="shared" si="80"/>
        <v>33350</v>
      </c>
      <c r="I291" s="4">
        <f t="shared" si="73"/>
        <v>10000</v>
      </c>
      <c r="J291" s="17">
        <f t="shared" si="74"/>
        <v>0.04</v>
      </c>
      <c r="K291" s="17">
        <f t="shared" si="75"/>
        <v>0.112</v>
      </c>
      <c r="L291" s="17">
        <f t="shared" si="76"/>
        <v>0.84799999999999998</v>
      </c>
      <c r="M291" s="4">
        <f t="shared" si="77"/>
        <v>33350</v>
      </c>
    </row>
    <row r="292" spans="1:13" x14ac:dyDescent="0.3">
      <c r="A292" s="1">
        <f t="shared" si="82"/>
        <v>290</v>
      </c>
      <c r="B292" s="1">
        <v>400</v>
      </c>
      <c r="C292" s="1">
        <f t="shared" si="72"/>
        <v>1100</v>
      </c>
      <c r="D292" s="4">
        <f t="shared" si="78"/>
        <v>8500</v>
      </c>
      <c r="E292" s="4">
        <f t="shared" si="79"/>
        <v>410</v>
      </c>
      <c r="F292" s="10">
        <f t="shared" si="81"/>
        <v>2.7099999999999858</v>
      </c>
      <c r="G292" s="9">
        <f t="shared" si="80"/>
        <v>33500</v>
      </c>
      <c r="I292" s="4">
        <f t="shared" si="73"/>
        <v>10000</v>
      </c>
      <c r="J292" s="17">
        <f t="shared" si="74"/>
        <v>0.04</v>
      </c>
      <c r="K292" s="17">
        <f t="shared" si="75"/>
        <v>0.11</v>
      </c>
      <c r="L292" s="17">
        <f t="shared" si="76"/>
        <v>0.85</v>
      </c>
      <c r="M292" s="4">
        <f t="shared" si="77"/>
        <v>33500</v>
      </c>
    </row>
    <row r="293" spans="1:13" x14ac:dyDescent="0.3">
      <c r="A293" s="1">
        <f t="shared" si="82"/>
        <v>291</v>
      </c>
      <c r="B293" s="1">
        <v>400</v>
      </c>
      <c r="C293" s="1">
        <f t="shared" si="72"/>
        <v>1080</v>
      </c>
      <c r="D293" s="4">
        <f t="shared" si="78"/>
        <v>8520</v>
      </c>
      <c r="E293" s="4">
        <f t="shared" si="79"/>
        <v>411</v>
      </c>
      <c r="F293" s="10">
        <f t="shared" si="81"/>
        <v>2.7199999999999855</v>
      </c>
      <c r="G293" s="9">
        <f t="shared" si="80"/>
        <v>33650</v>
      </c>
      <c r="I293" s="4">
        <f t="shared" si="73"/>
        <v>10000</v>
      </c>
      <c r="J293" s="17">
        <f t="shared" si="74"/>
        <v>0.04</v>
      </c>
      <c r="K293" s="17">
        <f t="shared" si="75"/>
        <v>0.108</v>
      </c>
      <c r="L293" s="17">
        <f t="shared" si="76"/>
        <v>0.85199999999999998</v>
      </c>
      <c r="M293" s="4">
        <f t="shared" si="77"/>
        <v>33650</v>
      </c>
    </row>
    <row r="294" spans="1:13" x14ac:dyDescent="0.3">
      <c r="A294" s="1">
        <f t="shared" si="82"/>
        <v>292</v>
      </c>
      <c r="B294" s="1">
        <v>400</v>
      </c>
      <c r="C294" s="1">
        <f t="shared" ref="C294:C345" si="83">10000-B294-D294</f>
        <v>1060</v>
      </c>
      <c r="D294" s="4">
        <f t="shared" si="78"/>
        <v>8540</v>
      </c>
      <c r="E294" s="4">
        <f t="shared" si="79"/>
        <v>412</v>
      </c>
      <c r="F294" s="10">
        <f t="shared" si="81"/>
        <v>2.7299999999999853</v>
      </c>
      <c r="G294" s="9">
        <f t="shared" si="80"/>
        <v>33800</v>
      </c>
      <c r="I294" s="4">
        <f t="shared" ref="I294:I345" si="84">SUM(B294:D294)</f>
        <v>10000</v>
      </c>
      <c r="J294" s="17">
        <f t="shared" ref="J294:J345" si="85">B294/10000</f>
        <v>0.04</v>
      </c>
      <c r="K294" s="17">
        <f t="shared" ref="K294:K345" si="86">C294/10000</f>
        <v>0.106</v>
      </c>
      <c r="L294" s="17">
        <f t="shared" ref="L294:L345" si="87">D294/10000</f>
        <v>0.85399999999999998</v>
      </c>
      <c r="M294" s="4">
        <f t="shared" ref="M294:M345" si="88">G294</f>
        <v>33800</v>
      </c>
    </row>
    <row r="295" spans="1:13" x14ac:dyDescent="0.3">
      <c r="A295" s="1">
        <f t="shared" si="82"/>
        <v>293</v>
      </c>
      <c r="B295" s="1">
        <v>400</v>
      </c>
      <c r="C295" s="1">
        <f t="shared" si="83"/>
        <v>1040</v>
      </c>
      <c r="D295" s="4">
        <f t="shared" si="78"/>
        <v>8560</v>
      </c>
      <c r="E295" s="4">
        <f t="shared" si="79"/>
        <v>413</v>
      </c>
      <c r="F295" s="10">
        <f t="shared" si="81"/>
        <v>2.7399999999999851</v>
      </c>
      <c r="G295" s="9">
        <f t="shared" si="80"/>
        <v>33950</v>
      </c>
      <c r="I295" s="4">
        <f t="shared" si="84"/>
        <v>10000</v>
      </c>
      <c r="J295" s="17">
        <f t="shared" si="85"/>
        <v>0.04</v>
      </c>
      <c r="K295" s="17">
        <f t="shared" si="86"/>
        <v>0.104</v>
      </c>
      <c r="L295" s="17">
        <f t="shared" si="87"/>
        <v>0.85599999999999998</v>
      </c>
      <c r="M295" s="4">
        <f t="shared" si="88"/>
        <v>33950</v>
      </c>
    </row>
    <row r="296" spans="1:13" x14ac:dyDescent="0.3">
      <c r="A296" s="1">
        <f t="shared" si="82"/>
        <v>294</v>
      </c>
      <c r="B296" s="1">
        <v>400</v>
      </c>
      <c r="C296" s="1">
        <f t="shared" si="83"/>
        <v>1020</v>
      </c>
      <c r="D296" s="4">
        <f t="shared" ref="D296:D359" si="89">D295+20</f>
        <v>8580</v>
      </c>
      <c r="E296" s="4">
        <f t="shared" ref="E296:E345" si="90">E295+1</f>
        <v>414</v>
      </c>
      <c r="F296" s="10">
        <f t="shared" si="81"/>
        <v>2.7499999999999849</v>
      </c>
      <c r="G296" s="9">
        <f t="shared" ref="G296:G345" si="91">G295+150</f>
        <v>34100</v>
      </c>
      <c r="I296" s="4">
        <f t="shared" si="84"/>
        <v>10000</v>
      </c>
      <c r="J296" s="17">
        <f t="shared" si="85"/>
        <v>0.04</v>
      </c>
      <c r="K296" s="17">
        <f t="shared" si="86"/>
        <v>0.10199999999999999</v>
      </c>
      <c r="L296" s="17">
        <f t="shared" si="87"/>
        <v>0.85799999999999998</v>
      </c>
      <c r="M296" s="4">
        <f t="shared" si="88"/>
        <v>34100</v>
      </c>
    </row>
    <row r="297" spans="1:13" x14ac:dyDescent="0.3">
      <c r="A297" s="1">
        <f t="shared" si="82"/>
        <v>295</v>
      </c>
      <c r="B297" s="1">
        <v>400</v>
      </c>
      <c r="C297" s="1">
        <f t="shared" si="83"/>
        <v>1000</v>
      </c>
      <c r="D297" s="4">
        <f t="shared" si="89"/>
        <v>8600</v>
      </c>
      <c r="E297" s="4">
        <f t="shared" si="90"/>
        <v>415</v>
      </c>
      <c r="F297" s="10">
        <f t="shared" ref="F297:F345" si="92">F296+0.01</f>
        <v>2.7599999999999847</v>
      </c>
      <c r="G297" s="9">
        <f t="shared" si="91"/>
        <v>34250</v>
      </c>
      <c r="I297" s="4">
        <f t="shared" si="84"/>
        <v>10000</v>
      </c>
      <c r="J297" s="17">
        <f t="shared" si="85"/>
        <v>0.04</v>
      </c>
      <c r="K297" s="17">
        <f t="shared" si="86"/>
        <v>0.1</v>
      </c>
      <c r="L297" s="17">
        <f t="shared" si="87"/>
        <v>0.86</v>
      </c>
      <c r="M297" s="4">
        <f t="shared" si="88"/>
        <v>34250</v>
      </c>
    </row>
    <row r="298" spans="1:13" x14ac:dyDescent="0.3">
      <c r="A298" s="1">
        <f t="shared" si="82"/>
        <v>296</v>
      </c>
      <c r="B298" s="1">
        <v>400</v>
      </c>
      <c r="C298" s="1">
        <f t="shared" si="83"/>
        <v>980</v>
      </c>
      <c r="D298" s="4">
        <f t="shared" si="89"/>
        <v>8620</v>
      </c>
      <c r="E298" s="4">
        <f t="shared" si="90"/>
        <v>416</v>
      </c>
      <c r="F298" s="10">
        <f t="shared" si="92"/>
        <v>2.7699999999999845</v>
      </c>
      <c r="G298" s="9">
        <f t="shared" si="91"/>
        <v>34400</v>
      </c>
      <c r="I298" s="4">
        <f t="shared" si="84"/>
        <v>10000</v>
      </c>
      <c r="J298" s="17">
        <f t="shared" si="85"/>
        <v>0.04</v>
      </c>
      <c r="K298" s="17">
        <f t="shared" si="86"/>
        <v>9.8000000000000004E-2</v>
      </c>
      <c r="L298" s="17">
        <f t="shared" si="87"/>
        <v>0.86199999999999999</v>
      </c>
      <c r="M298" s="4">
        <f t="shared" si="88"/>
        <v>34400</v>
      </c>
    </row>
    <row r="299" spans="1:13" x14ac:dyDescent="0.3">
      <c r="A299" s="1">
        <f t="shared" si="82"/>
        <v>297</v>
      </c>
      <c r="B299" s="1">
        <v>400</v>
      </c>
      <c r="C299" s="1">
        <f t="shared" si="83"/>
        <v>960</v>
      </c>
      <c r="D299" s="4">
        <f t="shared" si="89"/>
        <v>8640</v>
      </c>
      <c r="E299" s="4">
        <f t="shared" si="90"/>
        <v>417</v>
      </c>
      <c r="F299" s="10">
        <f t="shared" si="92"/>
        <v>2.7799999999999843</v>
      </c>
      <c r="G299" s="9">
        <f t="shared" si="91"/>
        <v>34550</v>
      </c>
      <c r="I299" s="4">
        <f t="shared" si="84"/>
        <v>10000</v>
      </c>
      <c r="J299" s="17">
        <f t="shared" si="85"/>
        <v>0.04</v>
      </c>
      <c r="K299" s="17">
        <f t="shared" si="86"/>
        <v>9.6000000000000002E-2</v>
      </c>
      <c r="L299" s="17">
        <f t="shared" si="87"/>
        <v>0.86399999999999999</v>
      </c>
      <c r="M299" s="4">
        <f t="shared" si="88"/>
        <v>34550</v>
      </c>
    </row>
    <row r="300" spans="1:13" x14ac:dyDescent="0.3">
      <c r="A300" s="1">
        <f t="shared" si="82"/>
        <v>298</v>
      </c>
      <c r="B300" s="1">
        <v>400</v>
      </c>
      <c r="C300" s="1">
        <f t="shared" si="83"/>
        <v>940</v>
      </c>
      <c r="D300" s="4">
        <f t="shared" si="89"/>
        <v>8660</v>
      </c>
      <c r="E300" s="4">
        <f t="shared" si="90"/>
        <v>418</v>
      </c>
      <c r="F300" s="10">
        <f t="shared" si="92"/>
        <v>2.789999999999984</v>
      </c>
      <c r="G300" s="9">
        <f t="shared" si="91"/>
        <v>34700</v>
      </c>
      <c r="I300" s="4">
        <f t="shared" si="84"/>
        <v>10000</v>
      </c>
      <c r="J300" s="17">
        <f t="shared" si="85"/>
        <v>0.04</v>
      </c>
      <c r="K300" s="17">
        <f t="shared" si="86"/>
        <v>9.4E-2</v>
      </c>
      <c r="L300" s="17">
        <f t="shared" si="87"/>
        <v>0.86599999999999999</v>
      </c>
      <c r="M300" s="4">
        <f t="shared" si="88"/>
        <v>34700</v>
      </c>
    </row>
    <row r="301" spans="1:13" x14ac:dyDescent="0.3">
      <c r="A301" s="1">
        <f t="shared" si="82"/>
        <v>299</v>
      </c>
      <c r="B301" s="1">
        <v>400</v>
      </c>
      <c r="C301" s="1">
        <f t="shared" si="83"/>
        <v>920</v>
      </c>
      <c r="D301" s="4">
        <f t="shared" si="89"/>
        <v>8680</v>
      </c>
      <c r="E301" s="4">
        <f t="shared" si="90"/>
        <v>419</v>
      </c>
      <c r="F301" s="10">
        <f t="shared" si="92"/>
        <v>2.7999999999999838</v>
      </c>
      <c r="G301" s="9">
        <f t="shared" si="91"/>
        <v>34850</v>
      </c>
      <c r="I301" s="4">
        <f t="shared" si="84"/>
        <v>10000</v>
      </c>
      <c r="J301" s="17">
        <f t="shared" si="85"/>
        <v>0.04</v>
      </c>
      <c r="K301" s="17">
        <f t="shared" si="86"/>
        <v>9.1999999999999998E-2</v>
      </c>
      <c r="L301" s="17">
        <f t="shared" si="87"/>
        <v>0.86799999999999999</v>
      </c>
      <c r="M301" s="4">
        <f t="shared" si="88"/>
        <v>34850</v>
      </c>
    </row>
    <row r="302" spans="1:13" x14ac:dyDescent="0.3">
      <c r="A302" s="1">
        <f t="shared" si="82"/>
        <v>300</v>
      </c>
      <c r="B302" s="1">
        <v>400</v>
      </c>
      <c r="C302" s="1">
        <f t="shared" si="83"/>
        <v>900</v>
      </c>
      <c r="D302" s="4">
        <f t="shared" si="89"/>
        <v>8700</v>
      </c>
      <c r="E302" s="4">
        <f t="shared" si="90"/>
        <v>420</v>
      </c>
      <c r="F302" s="10">
        <f t="shared" si="92"/>
        <v>2.8099999999999836</v>
      </c>
      <c r="G302" s="9">
        <f t="shared" si="91"/>
        <v>35000</v>
      </c>
      <c r="I302" s="4">
        <f t="shared" si="84"/>
        <v>10000</v>
      </c>
      <c r="J302" s="17">
        <f t="shared" si="85"/>
        <v>0.04</v>
      </c>
      <c r="K302" s="17">
        <f t="shared" si="86"/>
        <v>0.09</v>
      </c>
      <c r="L302" s="17">
        <f t="shared" si="87"/>
        <v>0.87</v>
      </c>
      <c r="M302" s="4">
        <f t="shared" si="88"/>
        <v>35000</v>
      </c>
    </row>
    <row r="303" spans="1:13" x14ac:dyDescent="0.3">
      <c r="A303" s="1">
        <f t="shared" si="82"/>
        <v>301</v>
      </c>
      <c r="B303" s="1">
        <v>300</v>
      </c>
      <c r="C303" s="1">
        <f t="shared" si="83"/>
        <v>980</v>
      </c>
      <c r="D303" s="4">
        <f t="shared" si="89"/>
        <v>8720</v>
      </c>
      <c r="E303" s="4">
        <f t="shared" si="90"/>
        <v>421</v>
      </c>
      <c r="F303" s="10">
        <f t="shared" si="92"/>
        <v>2.8199999999999834</v>
      </c>
      <c r="G303" s="9">
        <f t="shared" si="91"/>
        <v>35150</v>
      </c>
      <c r="I303" s="4">
        <f t="shared" si="84"/>
        <v>10000</v>
      </c>
      <c r="J303" s="17">
        <f t="shared" si="85"/>
        <v>0.03</v>
      </c>
      <c r="K303" s="17">
        <f t="shared" si="86"/>
        <v>9.8000000000000004E-2</v>
      </c>
      <c r="L303" s="17">
        <f t="shared" si="87"/>
        <v>0.872</v>
      </c>
      <c r="M303" s="4">
        <f t="shared" si="88"/>
        <v>35150</v>
      </c>
    </row>
    <row r="304" spans="1:13" x14ac:dyDescent="0.3">
      <c r="A304" s="1">
        <f t="shared" si="82"/>
        <v>302</v>
      </c>
      <c r="B304" s="1">
        <v>300</v>
      </c>
      <c r="C304" s="1">
        <f t="shared" si="83"/>
        <v>960</v>
      </c>
      <c r="D304" s="4">
        <f t="shared" si="89"/>
        <v>8740</v>
      </c>
      <c r="E304" s="4">
        <f t="shared" si="90"/>
        <v>422</v>
      </c>
      <c r="F304" s="10">
        <f t="shared" si="92"/>
        <v>2.8299999999999832</v>
      </c>
      <c r="G304" s="9">
        <f t="shared" si="91"/>
        <v>35300</v>
      </c>
      <c r="I304" s="4">
        <f t="shared" si="84"/>
        <v>10000</v>
      </c>
      <c r="J304" s="17">
        <f t="shared" si="85"/>
        <v>0.03</v>
      </c>
      <c r="K304" s="17">
        <f t="shared" si="86"/>
        <v>9.6000000000000002E-2</v>
      </c>
      <c r="L304" s="17">
        <f t="shared" si="87"/>
        <v>0.874</v>
      </c>
      <c r="M304" s="4">
        <f t="shared" si="88"/>
        <v>35300</v>
      </c>
    </row>
    <row r="305" spans="1:13" x14ac:dyDescent="0.3">
      <c r="A305" s="1">
        <f t="shared" si="82"/>
        <v>303</v>
      </c>
      <c r="B305" s="1">
        <v>300</v>
      </c>
      <c r="C305" s="1">
        <f t="shared" si="83"/>
        <v>940</v>
      </c>
      <c r="D305" s="4">
        <f t="shared" si="89"/>
        <v>8760</v>
      </c>
      <c r="E305" s="4">
        <f t="shared" si="90"/>
        <v>423</v>
      </c>
      <c r="F305" s="10">
        <f t="shared" si="92"/>
        <v>2.839999999999983</v>
      </c>
      <c r="G305" s="9">
        <f t="shared" si="91"/>
        <v>35450</v>
      </c>
      <c r="I305" s="4">
        <f t="shared" si="84"/>
        <v>10000</v>
      </c>
      <c r="J305" s="17">
        <f t="shared" si="85"/>
        <v>0.03</v>
      </c>
      <c r="K305" s="17">
        <f t="shared" si="86"/>
        <v>9.4E-2</v>
      </c>
      <c r="L305" s="17">
        <f t="shared" si="87"/>
        <v>0.876</v>
      </c>
      <c r="M305" s="4">
        <f t="shared" si="88"/>
        <v>35450</v>
      </c>
    </row>
    <row r="306" spans="1:13" x14ac:dyDescent="0.3">
      <c r="A306" s="1">
        <f t="shared" si="82"/>
        <v>304</v>
      </c>
      <c r="B306" s="1">
        <v>300</v>
      </c>
      <c r="C306" s="1">
        <f t="shared" si="83"/>
        <v>920</v>
      </c>
      <c r="D306" s="4">
        <f t="shared" si="89"/>
        <v>8780</v>
      </c>
      <c r="E306" s="4">
        <f t="shared" si="90"/>
        <v>424</v>
      </c>
      <c r="F306" s="10">
        <f t="shared" si="92"/>
        <v>2.8499999999999828</v>
      </c>
      <c r="G306" s="9">
        <f t="shared" si="91"/>
        <v>35600</v>
      </c>
      <c r="I306" s="4">
        <f t="shared" si="84"/>
        <v>10000</v>
      </c>
      <c r="J306" s="17">
        <f t="shared" si="85"/>
        <v>0.03</v>
      </c>
      <c r="K306" s="17">
        <f t="shared" si="86"/>
        <v>9.1999999999999998E-2</v>
      </c>
      <c r="L306" s="17">
        <f t="shared" si="87"/>
        <v>0.878</v>
      </c>
      <c r="M306" s="4">
        <f t="shared" si="88"/>
        <v>35600</v>
      </c>
    </row>
    <row r="307" spans="1:13" x14ac:dyDescent="0.3">
      <c r="A307" s="1">
        <f t="shared" si="82"/>
        <v>305</v>
      </c>
      <c r="B307" s="1">
        <v>300</v>
      </c>
      <c r="C307" s="1">
        <f t="shared" si="83"/>
        <v>900</v>
      </c>
      <c r="D307" s="4">
        <f t="shared" si="89"/>
        <v>8800</v>
      </c>
      <c r="E307" s="4">
        <f t="shared" si="90"/>
        <v>425</v>
      </c>
      <c r="F307" s="10">
        <f t="shared" si="92"/>
        <v>2.8599999999999826</v>
      </c>
      <c r="G307" s="9">
        <f t="shared" si="91"/>
        <v>35750</v>
      </c>
      <c r="I307" s="4">
        <f t="shared" si="84"/>
        <v>10000</v>
      </c>
      <c r="J307" s="17">
        <f t="shared" si="85"/>
        <v>0.03</v>
      </c>
      <c r="K307" s="17">
        <f t="shared" si="86"/>
        <v>0.09</v>
      </c>
      <c r="L307" s="17">
        <f t="shared" si="87"/>
        <v>0.88</v>
      </c>
      <c r="M307" s="4">
        <f t="shared" si="88"/>
        <v>35750</v>
      </c>
    </row>
    <row r="308" spans="1:13" x14ac:dyDescent="0.3">
      <c r="A308" s="1">
        <f t="shared" si="82"/>
        <v>306</v>
      </c>
      <c r="B308" s="1">
        <v>300</v>
      </c>
      <c r="C308" s="1">
        <f t="shared" si="83"/>
        <v>880</v>
      </c>
      <c r="D308" s="4">
        <f t="shared" si="89"/>
        <v>8820</v>
      </c>
      <c r="E308" s="4">
        <f t="shared" si="90"/>
        <v>426</v>
      </c>
      <c r="F308" s="10">
        <f t="shared" si="92"/>
        <v>2.8699999999999823</v>
      </c>
      <c r="G308" s="9">
        <f t="shared" si="91"/>
        <v>35900</v>
      </c>
      <c r="I308" s="4">
        <f t="shared" si="84"/>
        <v>10000</v>
      </c>
      <c r="J308" s="17">
        <f t="shared" si="85"/>
        <v>0.03</v>
      </c>
      <c r="K308" s="17">
        <f t="shared" si="86"/>
        <v>8.7999999999999995E-2</v>
      </c>
      <c r="L308" s="17">
        <f t="shared" si="87"/>
        <v>0.88200000000000001</v>
      </c>
      <c r="M308" s="4">
        <f t="shared" si="88"/>
        <v>35900</v>
      </c>
    </row>
    <row r="309" spans="1:13" x14ac:dyDescent="0.3">
      <c r="A309" s="1">
        <f t="shared" si="82"/>
        <v>307</v>
      </c>
      <c r="B309" s="1">
        <v>300</v>
      </c>
      <c r="C309" s="1">
        <f t="shared" si="83"/>
        <v>860</v>
      </c>
      <c r="D309" s="4">
        <f t="shared" si="89"/>
        <v>8840</v>
      </c>
      <c r="E309" s="4">
        <f t="shared" si="90"/>
        <v>427</v>
      </c>
      <c r="F309" s="10">
        <f t="shared" si="92"/>
        <v>2.8799999999999821</v>
      </c>
      <c r="G309" s="9">
        <f t="shared" si="91"/>
        <v>36050</v>
      </c>
      <c r="I309" s="4">
        <f t="shared" si="84"/>
        <v>10000</v>
      </c>
      <c r="J309" s="17">
        <f t="shared" si="85"/>
        <v>0.03</v>
      </c>
      <c r="K309" s="17">
        <f t="shared" si="86"/>
        <v>8.5999999999999993E-2</v>
      </c>
      <c r="L309" s="17">
        <f t="shared" si="87"/>
        <v>0.88400000000000001</v>
      </c>
      <c r="M309" s="4">
        <f t="shared" si="88"/>
        <v>36050</v>
      </c>
    </row>
    <row r="310" spans="1:13" x14ac:dyDescent="0.3">
      <c r="A310" s="1">
        <f t="shared" si="82"/>
        <v>308</v>
      </c>
      <c r="B310" s="1">
        <v>300</v>
      </c>
      <c r="C310" s="1">
        <f t="shared" si="83"/>
        <v>840</v>
      </c>
      <c r="D310" s="4">
        <f t="shared" si="89"/>
        <v>8860</v>
      </c>
      <c r="E310" s="4">
        <f t="shared" si="90"/>
        <v>428</v>
      </c>
      <c r="F310" s="10">
        <f t="shared" si="92"/>
        <v>2.8899999999999819</v>
      </c>
      <c r="G310" s="9">
        <f t="shared" si="91"/>
        <v>36200</v>
      </c>
      <c r="I310" s="4">
        <f t="shared" si="84"/>
        <v>10000</v>
      </c>
      <c r="J310" s="17">
        <f t="shared" si="85"/>
        <v>0.03</v>
      </c>
      <c r="K310" s="17">
        <f t="shared" si="86"/>
        <v>8.4000000000000005E-2</v>
      </c>
      <c r="L310" s="17">
        <f t="shared" si="87"/>
        <v>0.88600000000000001</v>
      </c>
      <c r="M310" s="4">
        <f t="shared" si="88"/>
        <v>36200</v>
      </c>
    </row>
    <row r="311" spans="1:13" x14ac:dyDescent="0.3">
      <c r="A311" s="1">
        <f t="shared" si="82"/>
        <v>309</v>
      </c>
      <c r="B311" s="1">
        <v>300</v>
      </c>
      <c r="C311" s="1">
        <f t="shared" si="83"/>
        <v>820</v>
      </c>
      <c r="D311" s="4">
        <f t="shared" si="89"/>
        <v>8880</v>
      </c>
      <c r="E311" s="4">
        <f t="shared" si="90"/>
        <v>429</v>
      </c>
      <c r="F311" s="10">
        <f t="shared" si="92"/>
        <v>2.8999999999999817</v>
      </c>
      <c r="G311" s="9">
        <f t="shared" si="91"/>
        <v>36350</v>
      </c>
      <c r="I311" s="4">
        <f t="shared" si="84"/>
        <v>10000</v>
      </c>
      <c r="J311" s="17">
        <f t="shared" si="85"/>
        <v>0.03</v>
      </c>
      <c r="K311" s="17">
        <f t="shared" si="86"/>
        <v>8.2000000000000003E-2</v>
      </c>
      <c r="L311" s="17">
        <f t="shared" si="87"/>
        <v>0.88800000000000001</v>
      </c>
      <c r="M311" s="4">
        <f t="shared" si="88"/>
        <v>36350</v>
      </c>
    </row>
    <row r="312" spans="1:13" x14ac:dyDescent="0.3">
      <c r="A312" s="1">
        <f t="shared" si="82"/>
        <v>310</v>
      </c>
      <c r="B312" s="1">
        <v>300</v>
      </c>
      <c r="C312" s="1">
        <f t="shared" si="83"/>
        <v>800</v>
      </c>
      <c r="D312" s="4">
        <f t="shared" si="89"/>
        <v>8900</v>
      </c>
      <c r="E312" s="4">
        <f t="shared" si="90"/>
        <v>430</v>
      </c>
      <c r="F312" s="10">
        <f t="shared" si="92"/>
        <v>2.9099999999999815</v>
      </c>
      <c r="G312" s="9">
        <f t="shared" si="91"/>
        <v>36500</v>
      </c>
      <c r="I312" s="4">
        <f t="shared" si="84"/>
        <v>10000</v>
      </c>
      <c r="J312" s="17">
        <f t="shared" si="85"/>
        <v>0.03</v>
      </c>
      <c r="K312" s="17">
        <f t="shared" si="86"/>
        <v>0.08</v>
      </c>
      <c r="L312" s="17">
        <f t="shared" si="87"/>
        <v>0.89</v>
      </c>
      <c r="M312" s="4">
        <f t="shared" si="88"/>
        <v>36500</v>
      </c>
    </row>
    <row r="313" spans="1:13" x14ac:dyDescent="0.3">
      <c r="A313" s="1">
        <f t="shared" si="82"/>
        <v>311</v>
      </c>
      <c r="B313" s="1">
        <v>300</v>
      </c>
      <c r="C313" s="1">
        <f t="shared" si="83"/>
        <v>780</v>
      </c>
      <c r="D313" s="4">
        <f t="shared" si="89"/>
        <v>8920</v>
      </c>
      <c r="E313" s="4">
        <f t="shared" si="90"/>
        <v>431</v>
      </c>
      <c r="F313" s="10">
        <f t="shared" si="92"/>
        <v>2.9199999999999813</v>
      </c>
      <c r="G313" s="9">
        <f t="shared" si="91"/>
        <v>36650</v>
      </c>
      <c r="I313" s="4">
        <f t="shared" si="84"/>
        <v>10000</v>
      </c>
      <c r="J313" s="17">
        <f t="shared" si="85"/>
        <v>0.03</v>
      </c>
      <c r="K313" s="17">
        <f t="shared" si="86"/>
        <v>7.8E-2</v>
      </c>
      <c r="L313" s="17">
        <f t="shared" si="87"/>
        <v>0.89200000000000002</v>
      </c>
      <c r="M313" s="4">
        <f t="shared" si="88"/>
        <v>36650</v>
      </c>
    </row>
    <row r="314" spans="1:13" x14ac:dyDescent="0.3">
      <c r="A314" s="1">
        <f t="shared" si="82"/>
        <v>312</v>
      </c>
      <c r="B314" s="1">
        <v>300</v>
      </c>
      <c r="C314" s="1">
        <f t="shared" si="83"/>
        <v>760</v>
      </c>
      <c r="D314" s="4">
        <f t="shared" si="89"/>
        <v>8940</v>
      </c>
      <c r="E314" s="4">
        <f t="shared" si="90"/>
        <v>432</v>
      </c>
      <c r="F314" s="10">
        <f t="shared" si="92"/>
        <v>2.9299999999999811</v>
      </c>
      <c r="G314" s="9">
        <f t="shared" si="91"/>
        <v>36800</v>
      </c>
      <c r="I314" s="4">
        <f t="shared" si="84"/>
        <v>10000</v>
      </c>
      <c r="J314" s="17">
        <f t="shared" si="85"/>
        <v>0.03</v>
      </c>
      <c r="K314" s="17">
        <f t="shared" si="86"/>
        <v>7.5999999999999998E-2</v>
      </c>
      <c r="L314" s="17">
        <f t="shared" si="87"/>
        <v>0.89400000000000002</v>
      </c>
      <c r="M314" s="4">
        <f t="shared" si="88"/>
        <v>36800</v>
      </c>
    </row>
    <row r="315" spans="1:13" x14ac:dyDescent="0.3">
      <c r="A315" s="1">
        <f t="shared" si="82"/>
        <v>313</v>
      </c>
      <c r="B315" s="1">
        <v>300</v>
      </c>
      <c r="C315" s="1">
        <f t="shared" si="83"/>
        <v>740</v>
      </c>
      <c r="D315" s="4">
        <f t="shared" si="89"/>
        <v>8960</v>
      </c>
      <c r="E315" s="4">
        <f t="shared" si="90"/>
        <v>433</v>
      </c>
      <c r="F315" s="10">
        <f t="shared" si="92"/>
        <v>2.9399999999999809</v>
      </c>
      <c r="G315" s="9">
        <f t="shared" si="91"/>
        <v>36950</v>
      </c>
      <c r="I315" s="4">
        <f t="shared" si="84"/>
        <v>10000</v>
      </c>
      <c r="J315" s="17">
        <f t="shared" si="85"/>
        <v>0.03</v>
      </c>
      <c r="K315" s="17">
        <f t="shared" si="86"/>
        <v>7.3999999999999996E-2</v>
      </c>
      <c r="L315" s="17">
        <f t="shared" si="87"/>
        <v>0.89600000000000002</v>
      </c>
      <c r="M315" s="4">
        <f t="shared" si="88"/>
        <v>36950</v>
      </c>
    </row>
    <row r="316" spans="1:13" x14ac:dyDescent="0.3">
      <c r="A316" s="1">
        <f t="shared" si="82"/>
        <v>314</v>
      </c>
      <c r="B316" s="1">
        <v>300</v>
      </c>
      <c r="C316" s="1">
        <f t="shared" si="83"/>
        <v>720</v>
      </c>
      <c r="D316" s="4">
        <f t="shared" si="89"/>
        <v>8980</v>
      </c>
      <c r="E316" s="4">
        <f t="shared" si="90"/>
        <v>434</v>
      </c>
      <c r="F316" s="10">
        <f t="shared" si="92"/>
        <v>2.9499999999999806</v>
      </c>
      <c r="G316" s="9">
        <f t="shared" si="91"/>
        <v>37100</v>
      </c>
      <c r="I316" s="4">
        <f t="shared" si="84"/>
        <v>10000</v>
      </c>
      <c r="J316" s="17">
        <f t="shared" si="85"/>
        <v>0.03</v>
      </c>
      <c r="K316" s="17">
        <f t="shared" si="86"/>
        <v>7.1999999999999995E-2</v>
      </c>
      <c r="L316" s="17">
        <f t="shared" si="87"/>
        <v>0.89800000000000002</v>
      </c>
      <c r="M316" s="4">
        <f t="shared" si="88"/>
        <v>37100</v>
      </c>
    </row>
    <row r="317" spans="1:13" x14ac:dyDescent="0.3">
      <c r="A317" s="1">
        <f t="shared" si="82"/>
        <v>315</v>
      </c>
      <c r="B317" s="1">
        <v>300</v>
      </c>
      <c r="C317" s="1">
        <f t="shared" si="83"/>
        <v>700</v>
      </c>
      <c r="D317" s="4">
        <f t="shared" si="89"/>
        <v>9000</v>
      </c>
      <c r="E317" s="4">
        <f t="shared" si="90"/>
        <v>435</v>
      </c>
      <c r="F317" s="10">
        <f t="shared" si="92"/>
        <v>2.9599999999999804</v>
      </c>
      <c r="G317" s="9">
        <f t="shared" si="91"/>
        <v>37250</v>
      </c>
      <c r="I317" s="4">
        <f t="shared" si="84"/>
        <v>10000</v>
      </c>
      <c r="J317" s="17">
        <f t="shared" si="85"/>
        <v>0.03</v>
      </c>
      <c r="K317" s="17">
        <f t="shared" si="86"/>
        <v>7.0000000000000007E-2</v>
      </c>
      <c r="L317" s="17">
        <f t="shared" si="87"/>
        <v>0.9</v>
      </c>
      <c r="M317" s="4">
        <f t="shared" si="88"/>
        <v>37250</v>
      </c>
    </row>
    <row r="318" spans="1:13" x14ac:dyDescent="0.3">
      <c r="A318" s="1">
        <f t="shared" si="82"/>
        <v>316</v>
      </c>
      <c r="B318" s="1">
        <v>300</v>
      </c>
      <c r="C318" s="1">
        <f t="shared" si="83"/>
        <v>680</v>
      </c>
      <c r="D318" s="4">
        <f t="shared" si="89"/>
        <v>9020</v>
      </c>
      <c r="E318" s="4">
        <f t="shared" si="90"/>
        <v>436</v>
      </c>
      <c r="F318" s="10">
        <f t="shared" si="92"/>
        <v>2.9699999999999802</v>
      </c>
      <c r="G318" s="9">
        <f t="shared" si="91"/>
        <v>37400</v>
      </c>
      <c r="I318" s="4">
        <f t="shared" si="84"/>
        <v>10000</v>
      </c>
      <c r="J318" s="17">
        <f t="shared" si="85"/>
        <v>0.03</v>
      </c>
      <c r="K318" s="17">
        <f t="shared" si="86"/>
        <v>6.8000000000000005E-2</v>
      </c>
      <c r="L318" s="17">
        <f t="shared" si="87"/>
        <v>0.90200000000000002</v>
      </c>
      <c r="M318" s="4">
        <f t="shared" si="88"/>
        <v>37400</v>
      </c>
    </row>
    <row r="319" spans="1:13" x14ac:dyDescent="0.3">
      <c r="A319" s="1">
        <f t="shared" si="82"/>
        <v>317</v>
      </c>
      <c r="B319" s="1">
        <v>300</v>
      </c>
      <c r="C319" s="1">
        <f t="shared" si="83"/>
        <v>660</v>
      </c>
      <c r="D319" s="4">
        <f t="shared" si="89"/>
        <v>9040</v>
      </c>
      <c r="E319" s="4">
        <f t="shared" si="90"/>
        <v>437</v>
      </c>
      <c r="F319" s="10">
        <f t="shared" si="92"/>
        <v>2.97999999999998</v>
      </c>
      <c r="G319" s="9">
        <f t="shared" si="91"/>
        <v>37550</v>
      </c>
      <c r="I319" s="4">
        <f t="shared" si="84"/>
        <v>10000</v>
      </c>
      <c r="J319" s="17">
        <f t="shared" si="85"/>
        <v>0.03</v>
      </c>
      <c r="K319" s="17">
        <f t="shared" si="86"/>
        <v>6.6000000000000003E-2</v>
      </c>
      <c r="L319" s="17">
        <f t="shared" si="87"/>
        <v>0.90400000000000003</v>
      </c>
      <c r="M319" s="4">
        <f t="shared" si="88"/>
        <v>37550</v>
      </c>
    </row>
    <row r="320" spans="1:13" x14ac:dyDescent="0.3">
      <c r="A320" s="1">
        <f t="shared" si="82"/>
        <v>318</v>
      </c>
      <c r="B320" s="1">
        <v>300</v>
      </c>
      <c r="C320" s="1">
        <f t="shared" si="83"/>
        <v>640</v>
      </c>
      <c r="D320" s="4">
        <f t="shared" si="89"/>
        <v>9060</v>
      </c>
      <c r="E320" s="4">
        <f t="shared" si="90"/>
        <v>438</v>
      </c>
      <c r="F320" s="10">
        <f t="shared" si="92"/>
        <v>2.9899999999999798</v>
      </c>
      <c r="G320" s="9">
        <f t="shared" si="91"/>
        <v>37700</v>
      </c>
      <c r="I320" s="4">
        <f t="shared" si="84"/>
        <v>10000</v>
      </c>
      <c r="J320" s="17">
        <f t="shared" si="85"/>
        <v>0.03</v>
      </c>
      <c r="K320" s="17">
        <f t="shared" si="86"/>
        <v>6.4000000000000001E-2</v>
      </c>
      <c r="L320" s="17">
        <f t="shared" si="87"/>
        <v>0.90600000000000003</v>
      </c>
      <c r="M320" s="4">
        <f t="shared" si="88"/>
        <v>37700</v>
      </c>
    </row>
    <row r="321" spans="1:13" x14ac:dyDescent="0.3">
      <c r="A321" s="1">
        <f t="shared" si="82"/>
        <v>319</v>
      </c>
      <c r="B321" s="1">
        <v>300</v>
      </c>
      <c r="C321" s="1">
        <f t="shared" si="83"/>
        <v>620</v>
      </c>
      <c r="D321" s="4">
        <f t="shared" si="89"/>
        <v>9080</v>
      </c>
      <c r="E321" s="4">
        <f t="shared" si="90"/>
        <v>439</v>
      </c>
      <c r="F321" s="10">
        <f t="shared" si="92"/>
        <v>2.9999999999999796</v>
      </c>
      <c r="G321" s="9">
        <f t="shared" si="91"/>
        <v>37850</v>
      </c>
      <c r="I321" s="4">
        <f t="shared" si="84"/>
        <v>10000</v>
      </c>
      <c r="J321" s="17">
        <f t="shared" si="85"/>
        <v>0.03</v>
      </c>
      <c r="K321" s="17">
        <f t="shared" si="86"/>
        <v>6.2E-2</v>
      </c>
      <c r="L321" s="17">
        <f t="shared" si="87"/>
        <v>0.90800000000000003</v>
      </c>
      <c r="M321" s="4">
        <f t="shared" si="88"/>
        <v>37850</v>
      </c>
    </row>
    <row r="322" spans="1:13" x14ac:dyDescent="0.3">
      <c r="A322" s="1">
        <f t="shared" si="82"/>
        <v>320</v>
      </c>
      <c r="B322" s="1">
        <v>300</v>
      </c>
      <c r="C322" s="1">
        <f t="shared" si="83"/>
        <v>600</v>
      </c>
      <c r="D322" s="4">
        <f t="shared" si="89"/>
        <v>9100</v>
      </c>
      <c r="E322" s="4">
        <f t="shared" si="90"/>
        <v>440</v>
      </c>
      <c r="F322" s="10">
        <f t="shared" si="92"/>
        <v>3.0099999999999794</v>
      </c>
      <c r="G322" s="9">
        <f t="shared" si="91"/>
        <v>38000</v>
      </c>
      <c r="I322" s="4">
        <f t="shared" si="84"/>
        <v>10000</v>
      </c>
      <c r="J322" s="17">
        <f t="shared" si="85"/>
        <v>0.03</v>
      </c>
      <c r="K322" s="17">
        <f t="shared" si="86"/>
        <v>0.06</v>
      </c>
      <c r="L322" s="17">
        <f t="shared" si="87"/>
        <v>0.91</v>
      </c>
      <c r="M322" s="4">
        <f t="shared" si="88"/>
        <v>38000</v>
      </c>
    </row>
    <row r="323" spans="1:13" x14ac:dyDescent="0.3">
      <c r="A323" s="1">
        <f t="shared" si="82"/>
        <v>321</v>
      </c>
      <c r="B323" s="1">
        <v>300</v>
      </c>
      <c r="C323" s="1">
        <f t="shared" si="83"/>
        <v>580</v>
      </c>
      <c r="D323" s="4">
        <f t="shared" si="89"/>
        <v>9120</v>
      </c>
      <c r="E323" s="4">
        <f t="shared" si="90"/>
        <v>441</v>
      </c>
      <c r="F323" s="10">
        <f t="shared" si="92"/>
        <v>3.0199999999999791</v>
      </c>
      <c r="G323" s="9">
        <f t="shared" si="91"/>
        <v>38150</v>
      </c>
      <c r="I323" s="4">
        <f t="shared" si="84"/>
        <v>10000</v>
      </c>
      <c r="J323" s="17">
        <f t="shared" si="85"/>
        <v>0.03</v>
      </c>
      <c r="K323" s="17">
        <f t="shared" si="86"/>
        <v>5.8000000000000003E-2</v>
      </c>
      <c r="L323" s="17">
        <f t="shared" si="87"/>
        <v>0.91200000000000003</v>
      </c>
      <c r="M323" s="4">
        <f t="shared" si="88"/>
        <v>38150</v>
      </c>
    </row>
    <row r="324" spans="1:13" x14ac:dyDescent="0.3">
      <c r="A324" s="1">
        <f t="shared" si="82"/>
        <v>322</v>
      </c>
      <c r="B324" s="1">
        <v>300</v>
      </c>
      <c r="C324" s="1">
        <f t="shared" si="83"/>
        <v>560</v>
      </c>
      <c r="D324" s="4">
        <f t="shared" si="89"/>
        <v>9140</v>
      </c>
      <c r="E324" s="4">
        <f t="shared" si="90"/>
        <v>442</v>
      </c>
      <c r="F324" s="10">
        <f t="shared" si="92"/>
        <v>3.0299999999999789</v>
      </c>
      <c r="G324" s="9">
        <f t="shared" si="91"/>
        <v>38300</v>
      </c>
      <c r="I324" s="4">
        <f t="shared" si="84"/>
        <v>10000</v>
      </c>
      <c r="J324" s="17">
        <f t="shared" si="85"/>
        <v>0.03</v>
      </c>
      <c r="K324" s="17">
        <f t="shared" si="86"/>
        <v>5.6000000000000001E-2</v>
      </c>
      <c r="L324" s="17">
        <f t="shared" si="87"/>
        <v>0.91400000000000003</v>
      </c>
      <c r="M324" s="4">
        <f t="shared" si="88"/>
        <v>38300</v>
      </c>
    </row>
    <row r="325" spans="1:13" x14ac:dyDescent="0.3">
      <c r="A325" s="1">
        <f t="shared" si="82"/>
        <v>323</v>
      </c>
      <c r="B325" s="1">
        <v>300</v>
      </c>
      <c r="C325" s="1">
        <f t="shared" si="83"/>
        <v>540</v>
      </c>
      <c r="D325" s="4">
        <f t="shared" si="89"/>
        <v>9160</v>
      </c>
      <c r="E325" s="4">
        <f t="shared" si="90"/>
        <v>443</v>
      </c>
      <c r="F325" s="10">
        <f t="shared" si="92"/>
        <v>3.0399999999999787</v>
      </c>
      <c r="G325" s="9">
        <f t="shared" si="91"/>
        <v>38450</v>
      </c>
      <c r="I325" s="4">
        <f t="shared" si="84"/>
        <v>10000</v>
      </c>
      <c r="J325" s="17">
        <f t="shared" si="85"/>
        <v>0.03</v>
      </c>
      <c r="K325" s="17">
        <f t="shared" si="86"/>
        <v>5.3999999999999999E-2</v>
      </c>
      <c r="L325" s="17">
        <f t="shared" si="87"/>
        <v>0.91600000000000004</v>
      </c>
      <c r="M325" s="4">
        <f t="shared" si="88"/>
        <v>38450</v>
      </c>
    </row>
    <row r="326" spans="1:13" x14ac:dyDescent="0.3">
      <c r="A326" s="1">
        <f t="shared" si="82"/>
        <v>324</v>
      </c>
      <c r="B326" s="1">
        <v>300</v>
      </c>
      <c r="C326" s="1">
        <f t="shared" si="83"/>
        <v>520</v>
      </c>
      <c r="D326" s="4">
        <f t="shared" si="89"/>
        <v>9180</v>
      </c>
      <c r="E326" s="4">
        <f t="shared" si="90"/>
        <v>444</v>
      </c>
      <c r="F326" s="10">
        <f t="shared" si="92"/>
        <v>3.0499999999999785</v>
      </c>
      <c r="G326" s="9">
        <f t="shared" si="91"/>
        <v>38600</v>
      </c>
      <c r="I326" s="4">
        <f t="shared" si="84"/>
        <v>10000</v>
      </c>
      <c r="J326" s="17">
        <f t="shared" si="85"/>
        <v>0.03</v>
      </c>
      <c r="K326" s="17">
        <f t="shared" si="86"/>
        <v>5.1999999999999998E-2</v>
      </c>
      <c r="L326" s="17">
        <f t="shared" si="87"/>
        <v>0.91800000000000004</v>
      </c>
      <c r="M326" s="4">
        <f t="shared" si="88"/>
        <v>38600</v>
      </c>
    </row>
    <row r="327" spans="1:13" x14ac:dyDescent="0.3">
      <c r="A327" s="1">
        <f t="shared" si="82"/>
        <v>325</v>
      </c>
      <c r="B327" s="1">
        <v>300</v>
      </c>
      <c r="C327" s="1">
        <f t="shared" si="83"/>
        <v>500</v>
      </c>
      <c r="D327" s="4">
        <f t="shared" si="89"/>
        <v>9200</v>
      </c>
      <c r="E327" s="4">
        <f t="shared" si="90"/>
        <v>445</v>
      </c>
      <c r="F327" s="10">
        <f t="shared" si="92"/>
        <v>3.0599999999999783</v>
      </c>
      <c r="G327" s="9">
        <f t="shared" si="91"/>
        <v>38750</v>
      </c>
      <c r="I327" s="4">
        <f t="shared" si="84"/>
        <v>10000</v>
      </c>
      <c r="J327" s="17">
        <f t="shared" si="85"/>
        <v>0.03</v>
      </c>
      <c r="K327" s="17">
        <f t="shared" si="86"/>
        <v>0.05</v>
      </c>
      <c r="L327" s="17">
        <f t="shared" si="87"/>
        <v>0.92</v>
      </c>
      <c r="M327" s="4">
        <f t="shared" si="88"/>
        <v>38750</v>
      </c>
    </row>
    <row r="328" spans="1:13" x14ac:dyDescent="0.3">
      <c r="A328" s="1">
        <f t="shared" si="82"/>
        <v>326</v>
      </c>
      <c r="B328" s="1">
        <v>300</v>
      </c>
      <c r="C328" s="1">
        <f t="shared" si="83"/>
        <v>480</v>
      </c>
      <c r="D328" s="4">
        <f t="shared" si="89"/>
        <v>9220</v>
      </c>
      <c r="E328" s="4">
        <f t="shared" si="90"/>
        <v>446</v>
      </c>
      <c r="F328" s="10">
        <f t="shared" si="92"/>
        <v>3.0699999999999781</v>
      </c>
      <c r="G328" s="9">
        <f t="shared" si="91"/>
        <v>38900</v>
      </c>
      <c r="I328" s="4">
        <f t="shared" si="84"/>
        <v>10000</v>
      </c>
      <c r="J328" s="17">
        <f t="shared" si="85"/>
        <v>0.03</v>
      </c>
      <c r="K328" s="17">
        <f t="shared" si="86"/>
        <v>4.8000000000000001E-2</v>
      </c>
      <c r="L328" s="17">
        <f t="shared" si="87"/>
        <v>0.92200000000000004</v>
      </c>
      <c r="M328" s="4">
        <f t="shared" si="88"/>
        <v>38900</v>
      </c>
    </row>
    <row r="329" spans="1:13" x14ac:dyDescent="0.3">
      <c r="A329" s="1">
        <f t="shared" si="82"/>
        <v>327</v>
      </c>
      <c r="B329" s="1">
        <v>300</v>
      </c>
      <c r="C329" s="1">
        <f t="shared" si="83"/>
        <v>460</v>
      </c>
      <c r="D329" s="4">
        <f t="shared" si="89"/>
        <v>9240</v>
      </c>
      <c r="E329" s="4">
        <f t="shared" si="90"/>
        <v>447</v>
      </c>
      <c r="F329" s="10">
        <f t="shared" si="92"/>
        <v>3.0799999999999779</v>
      </c>
      <c r="G329" s="9">
        <f t="shared" si="91"/>
        <v>39050</v>
      </c>
      <c r="I329" s="4">
        <f t="shared" si="84"/>
        <v>10000</v>
      </c>
      <c r="J329" s="17">
        <f t="shared" si="85"/>
        <v>0.03</v>
      </c>
      <c r="K329" s="17">
        <f t="shared" si="86"/>
        <v>4.5999999999999999E-2</v>
      </c>
      <c r="L329" s="17">
        <f t="shared" si="87"/>
        <v>0.92400000000000004</v>
      </c>
      <c r="M329" s="4">
        <f t="shared" si="88"/>
        <v>39050</v>
      </c>
    </row>
    <row r="330" spans="1:13" x14ac:dyDescent="0.3">
      <c r="A330" s="1">
        <f t="shared" si="82"/>
        <v>328</v>
      </c>
      <c r="B330" s="1">
        <v>300</v>
      </c>
      <c r="C330" s="1">
        <f t="shared" si="83"/>
        <v>440</v>
      </c>
      <c r="D330" s="4">
        <f t="shared" si="89"/>
        <v>9260</v>
      </c>
      <c r="E330" s="4">
        <f t="shared" si="90"/>
        <v>448</v>
      </c>
      <c r="F330" s="10">
        <f t="shared" si="92"/>
        <v>3.0899999999999777</v>
      </c>
      <c r="G330" s="9">
        <f t="shared" si="91"/>
        <v>39200</v>
      </c>
      <c r="I330" s="4">
        <f t="shared" si="84"/>
        <v>10000</v>
      </c>
      <c r="J330" s="17">
        <f t="shared" si="85"/>
        <v>0.03</v>
      </c>
      <c r="K330" s="17">
        <f t="shared" si="86"/>
        <v>4.3999999999999997E-2</v>
      </c>
      <c r="L330" s="17">
        <f t="shared" si="87"/>
        <v>0.92600000000000005</v>
      </c>
      <c r="M330" s="4">
        <f t="shared" si="88"/>
        <v>39200</v>
      </c>
    </row>
    <row r="331" spans="1:13" x14ac:dyDescent="0.3">
      <c r="A331" s="1">
        <f t="shared" si="82"/>
        <v>329</v>
      </c>
      <c r="B331" s="1">
        <v>300</v>
      </c>
      <c r="C331" s="1">
        <f t="shared" si="83"/>
        <v>420</v>
      </c>
      <c r="D331" s="4">
        <f t="shared" si="89"/>
        <v>9280</v>
      </c>
      <c r="E331" s="4">
        <f t="shared" si="90"/>
        <v>449</v>
      </c>
      <c r="F331" s="10">
        <f t="shared" si="92"/>
        <v>3.0999999999999774</v>
      </c>
      <c r="G331" s="9">
        <f t="shared" si="91"/>
        <v>39350</v>
      </c>
      <c r="I331" s="4">
        <f t="shared" si="84"/>
        <v>10000</v>
      </c>
      <c r="J331" s="17">
        <f t="shared" si="85"/>
        <v>0.03</v>
      </c>
      <c r="K331" s="17">
        <f t="shared" si="86"/>
        <v>4.2000000000000003E-2</v>
      </c>
      <c r="L331" s="17">
        <f t="shared" si="87"/>
        <v>0.92800000000000005</v>
      </c>
      <c r="M331" s="4">
        <f t="shared" si="88"/>
        <v>39350</v>
      </c>
    </row>
    <row r="332" spans="1:13" x14ac:dyDescent="0.3">
      <c r="A332" s="1">
        <f t="shared" si="82"/>
        <v>330</v>
      </c>
      <c r="B332" s="1">
        <v>300</v>
      </c>
      <c r="C332" s="1">
        <f t="shared" si="83"/>
        <v>400</v>
      </c>
      <c r="D332" s="4">
        <f t="shared" si="89"/>
        <v>9300</v>
      </c>
      <c r="E332" s="4">
        <f t="shared" si="90"/>
        <v>450</v>
      </c>
      <c r="F332" s="10">
        <f t="shared" si="92"/>
        <v>3.1099999999999772</v>
      </c>
      <c r="G332" s="9">
        <f t="shared" si="91"/>
        <v>39500</v>
      </c>
      <c r="I332" s="4">
        <f t="shared" si="84"/>
        <v>10000</v>
      </c>
      <c r="J332" s="17">
        <f t="shared" si="85"/>
        <v>0.03</v>
      </c>
      <c r="K332" s="17">
        <f t="shared" si="86"/>
        <v>0.04</v>
      </c>
      <c r="L332" s="17">
        <f t="shared" si="87"/>
        <v>0.93</v>
      </c>
      <c r="M332" s="4">
        <f t="shared" si="88"/>
        <v>39500</v>
      </c>
    </row>
    <row r="333" spans="1:13" x14ac:dyDescent="0.3">
      <c r="A333" s="1">
        <f t="shared" si="82"/>
        <v>331</v>
      </c>
      <c r="B333" s="1">
        <v>300</v>
      </c>
      <c r="C333" s="1">
        <f t="shared" si="83"/>
        <v>380</v>
      </c>
      <c r="D333" s="4">
        <f t="shared" si="89"/>
        <v>9320</v>
      </c>
      <c r="E333" s="4">
        <f t="shared" si="90"/>
        <v>451</v>
      </c>
      <c r="F333" s="10">
        <f t="shared" si="92"/>
        <v>3.119999999999977</v>
      </c>
      <c r="G333" s="9">
        <f t="shared" si="91"/>
        <v>39650</v>
      </c>
      <c r="I333" s="4">
        <f t="shared" si="84"/>
        <v>10000</v>
      </c>
      <c r="J333" s="17">
        <f t="shared" si="85"/>
        <v>0.03</v>
      </c>
      <c r="K333" s="17">
        <f t="shared" si="86"/>
        <v>3.7999999999999999E-2</v>
      </c>
      <c r="L333" s="17">
        <f t="shared" si="87"/>
        <v>0.93200000000000005</v>
      </c>
      <c r="M333" s="4">
        <f t="shared" si="88"/>
        <v>39650</v>
      </c>
    </row>
    <row r="334" spans="1:13" x14ac:dyDescent="0.3">
      <c r="A334" s="1">
        <f t="shared" si="82"/>
        <v>332</v>
      </c>
      <c r="B334" s="1">
        <v>300</v>
      </c>
      <c r="C334" s="1">
        <f t="shared" si="83"/>
        <v>360</v>
      </c>
      <c r="D334" s="4">
        <f t="shared" si="89"/>
        <v>9340</v>
      </c>
      <c r="E334" s="4">
        <f t="shared" si="90"/>
        <v>452</v>
      </c>
      <c r="F334" s="10">
        <f t="shared" si="92"/>
        <v>3.1299999999999768</v>
      </c>
      <c r="G334" s="9">
        <f t="shared" si="91"/>
        <v>39800</v>
      </c>
      <c r="I334" s="4">
        <f t="shared" si="84"/>
        <v>10000</v>
      </c>
      <c r="J334" s="17">
        <f t="shared" si="85"/>
        <v>0.03</v>
      </c>
      <c r="K334" s="17">
        <f t="shared" si="86"/>
        <v>3.5999999999999997E-2</v>
      </c>
      <c r="L334" s="17">
        <f t="shared" si="87"/>
        <v>0.93400000000000005</v>
      </c>
      <c r="M334" s="4">
        <f t="shared" si="88"/>
        <v>39800</v>
      </c>
    </row>
    <row r="335" spans="1:13" x14ac:dyDescent="0.3">
      <c r="A335" s="1">
        <f t="shared" si="82"/>
        <v>333</v>
      </c>
      <c r="B335" s="1">
        <v>300</v>
      </c>
      <c r="C335" s="1">
        <f t="shared" si="83"/>
        <v>340</v>
      </c>
      <c r="D335" s="4">
        <f t="shared" si="89"/>
        <v>9360</v>
      </c>
      <c r="E335" s="4">
        <f t="shared" si="90"/>
        <v>453</v>
      </c>
      <c r="F335" s="10">
        <f t="shared" si="92"/>
        <v>3.1399999999999766</v>
      </c>
      <c r="G335" s="9">
        <f t="shared" si="91"/>
        <v>39950</v>
      </c>
      <c r="I335" s="4">
        <f t="shared" si="84"/>
        <v>10000</v>
      </c>
      <c r="J335" s="17">
        <f t="shared" si="85"/>
        <v>0.03</v>
      </c>
      <c r="K335" s="17">
        <f t="shared" si="86"/>
        <v>3.4000000000000002E-2</v>
      </c>
      <c r="L335" s="17">
        <f t="shared" si="87"/>
        <v>0.93600000000000005</v>
      </c>
      <c r="M335" s="4">
        <f t="shared" si="88"/>
        <v>39950</v>
      </c>
    </row>
    <row r="336" spans="1:13" x14ac:dyDescent="0.3">
      <c r="A336" s="1">
        <f t="shared" si="82"/>
        <v>334</v>
      </c>
      <c r="B336" s="1">
        <v>300</v>
      </c>
      <c r="C336" s="1">
        <f t="shared" si="83"/>
        <v>320</v>
      </c>
      <c r="D336" s="4">
        <f t="shared" si="89"/>
        <v>9380</v>
      </c>
      <c r="E336" s="4">
        <f t="shared" si="90"/>
        <v>454</v>
      </c>
      <c r="F336" s="10">
        <f t="shared" si="92"/>
        <v>3.1499999999999764</v>
      </c>
      <c r="G336" s="9">
        <f t="shared" si="91"/>
        <v>40100</v>
      </c>
      <c r="I336" s="4">
        <f t="shared" si="84"/>
        <v>10000</v>
      </c>
      <c r="J336" s="17">
        <f t="shared" si="85"/>
        <v>0.03</v>
      </c>
      <c r="K336" s="17">
        <f t="shared" si="86"/>
        <v>3.2000000000000001E-2</v>
      </c>
      <c r="L336" s="17">
        <f t="shared" si="87"/>
        <v>0.93799999999999994</v>
      </c>
      <c r="M336" s="4">
        <f t="shared" si="88"/>
        <v>40100</v>
      </c>
    </row>
    <row r="337" spans="1:13" x14ac:dyDescent="0.3">
      <c r="A337" s="1">
        <f t="shared" si="82"/>
        <v>335</v>
      </c>
      <c r="B337" s="1">
        <v>300</v>
      </c>
      <c r="C337" s="1">
        <f t="shared" si="83"/>
        <v>300</v>
      </c>
      <c r="D337" s="4">
        <f t="shared" si="89"/>
        <v>9400</v>
      </c>
      <c r="E337" s="4">
        <f t="shared" si="90"/>
        <v>455</v>
      </c>
      <c r="F337" s="10">
        <f t="shared" si="92"/>
        <v>3.1599999999999762</v>
      </c>
      <c r="G337" s="9">
        <f t="shared" si="91"/>
        <v>40250</v>
      </c>
      <c r="I337" s="4">
        <f t="shared" si="84"/>
        <v>10000</v>
      </c>
      <c r="J337" s="17">
        <f t="shared" si="85"/>
        <v>0.03</v>
      </c>
      <c r="K337" s="17">
        <f t="shared" si="86"/>
        <v>0.03</v>
      </c>
      <c r="L337" s="17">
        <f t="shared" si="87"/>
        <v>0.94</v>
      </c>
      <c r="M337" s="4">
        <f t="shared" si="88"/>
        <v>40250</v>
      </c>
    </row>
    <row r="338" spans="1:13" x14ac:dyDescent="0.3">
      <c r="A338" s="1">
        <f t="shared" si="82"/>
        <v>336</v>
      </c>
      <c r="B338" s="1">
        <v>300</v>
      </c>
      <c r="C338" s="1">
        <f t="shared" si="83"/>
        <v>300</v>
      </c>
      <c r="D338" s="4">
        <v>9400</v>
      </c>
      <c r="E338" s="4">
        <f t="shared" si="90"/>
        <v>456</v>
      </c>
      <c r="F338" s="10">
        <f t="shared" si="92"/>
        <v>3.1699999999999759</v>
      </c>
      <c r="G338" s="9">
        <f t="shared" si="91"/>
        <v>40400</v>
      </c>
      <c r="I338" s="4">
        <f t="shared" si="84"/>
        <v>10000</v>
      </c>
      <c r="J338" s="17">
        <f t="shared" si="85"/>
        <v>0.03</v>
      </c>
      <c r="K338" s="17">
        <f t="shared" si="86"/>
        <v>0.03</v>
      </c>
      <c r="L338" s="17">
        <f t="shared" si="87"/>
        <v>0.94</v>
      </c>
      <c r="M338" s="4">
        <f t="shared" si="88"/>
        <v>40400</v>
      </c>
    </row>
    <row r="339" spans="1:13" x14ac:dyDescent="0.3">
      <c r="A339" s="1">
        <f t="shared" si="82"/>
        <v>337</v>
      </c>
      <c r="B339" s="1">
        <v>300</v>
      </c>
      <c r="C339" s="1">
        <f t="shared" si="83"/>
        <v>300</v>
      </c>
      <c r="D339" s="4">
        <v>9400</v>
      </c>
      <c r="E339" s="4">
        <f t="shared" si="90"/>
        <v>457</v>
      </c>
      <c r="F339" s="10">
        <f t="shared" si="92"/>
        <v>3.1799999999999757</v>
      </c>
      <c r="G339" s="9">
        <f t="shared" si="91"/>
        <v>40550</v>
      </c>
      <c r="I339" s="4">
        <f t="shared" si="84"/>
        <v>10000</v>
      </c>
      <c r="J339" s="17">
        <f t="shared" si="85"/>
        <v>0.03</v>
      </c>
      <c r="K339" s="17">
        <f t="shared" si="86"/>
        <v>0.03</v>
      </c>
      <c r="L339" s="17">
        <f t="shared" si="87"/>
        <v>0.94</v>
      </c>
      <c r="M339" s="4">
        <f t="shared" si="88"/>
        <v>40550</v>
      </c>
    </row>
    <row r="340" spans="1:13" x14ac:dyDescent="0.3">
      <c r="A340" s="1">
        <f t="shared" si="82"/>
        <v>338</v>
      </c>
      <c r="B340" s="1">
        <v>300</v>
      </c>
      <c r="C340" s="1">
        <f t="shared" si="83"/>
        <v>300</v>
      </c>
      <c r="D340" s="4">
        <v>9400</v>
      </c>
      <c r="E340" s="4">
        <f t="shared" si="90"/>
        <v>458</v>
      </c>
      <c r="F340" s="10">
        <f t="shared" si="92"/>
        <v>3.1899999999999755</v>
      </c>
      <c r="G340" s="9">
        <f t="shared" si="91"/>
        <v>40700</v>
      </c>
      <c r="I340" s="4">
        <f t="shared" si="84"/>
        <v>10000</v>
      </c>
      <c r="J340" s="17">
        <f t="shared" si="85"/>
        <v>0.03</v>
      </c>
      <c r="K340" s="17">
        <f t="shared" si="86"/>
        <v>0.03</v>
      </c>
      <c r="L340" s="17">
        <f t="shared" si="87"/>
        <v>0.94</v>
      </c>
      <c r="M340" s="4">
        <f t="shared" si="88"/>
        <v>40700</v>
      </c>
    </row>
    <row r="341" spans="1:13" x14ac:dyDescent="0.3">
      <c r="A341" s="1">
        <f t="shared" si="82"/>
        <v>339</v>
      </c>
      <c r="B341" s="1">
        <v>300</v>
      </c>
      <c r="C341" s="1">
        <f t="shared" si="83"/>
        <v>300</v>
      </c>
      <c r="D341" s="4">
        <v>9400</v>
      </c>
      <c r="E341" s="4">
        <f t="shared" si="90"/>
        <v>459</v>
      </c>
      <c r="F341" s="10">
        <f t="shared" si="92"/>
        <v>3.1999999999999753</v>
      </c>
      <c r="G341" s="9">
        <f t="shared" si="91"/>
        <v>40850</v>
      </c>
      <c r="I341" s="4">
        <f t="shared" si="84"/>
        <v>10000</v>
      </c>
      <c r="J341" s="17">
        <f t="shared" si="85"/>
        <v>0.03</v>
      </c>
      <c r="K341" s="17">
        <f t="shared" si="86"/>
        <v>0.03</v>
      </c>
      <c r="L341" s="17">
        <f t="shared" si="87"/>
        <v>0.94</v>
      </c>
      <c r="M341" s="4">
        <f t="shared" si="88"/>
        <v>40850</v>
      </c>
    </row>
    <row r="342" spans="1:13" x14ac:dyDescent="0.3">
      <c r="A342" s="1">
        <f t="shared" si="82"/>
        <v>340</v>
      </c>
      <c r="B342" s="1">
        <v>300</v>
      </c>
      <c r="C342" s="1">
        <f t="shared" si="83"/>
        <v>300</v>
      </c>
      <c r="D342" s="4">
        <v>9400</v>
      </c>
      <c r="E342" s="4">
        <f t="shared" si="90"/>
        <v>460</v>
      </c>
      <c r="F342" s="10">
        <f t="shared" si="92"/>
        <v>3.2099999999999751</v>
      </c>
      <c r="G342" s="9">
        <f t="shared" si="91"/>
        <v>41000</v>
      </c>
      <c r="I342" s="4">
        <f t="shared" si="84"/>
        <v>10000</v>
      </c>
      <c r="J342" s="17">
        <f t="shared" si="85"/>
        <v>0.03</v>
      </c>
      <c r="K342" s="17">
        <f t="shared" si="86"/>
        <v>0.03</v>
      </c>
      <c r="L342" s="17">
        <f t="shared" si="87"/>
        <v>0.94</v>
      </c>
      <c r="M342" s="4">
        <f t="shared" si="88"/>
        <v>41000</v>
      </c>
    </row>
    <row r="343" spans="1:13" x14ac:dyDescent="0.3">
      <c r="A343" s="1">
        <f t="shared" si="82"/>
        <v>341</v>
      </c>
      <c r="B343" s="1">
        <v>300</v>
      </c>
      <c r="C343" s="1">
        <f t="shared" si="83"/>
        <v>300</v>
      </c>
      <c r="D343" s="4">
        <v>9400</v>
      </c>
      <c r="E343" s="4">
        <f t="shared" si="90"/>
        <v>461</v>
      </c>
      <c r="F343" s="10">
        <f t="shared" si="92"/>
        <v>3.2199999999999749</v>
      </c>
      <c r="G343" s="9">
        <f t="shared" si="91"/>
        <v>41150</v>
      </c>
      <c r="I343" s="4">
        <f t="shared" si="84"/>
        <v>10000</v>
      </c>
      <c r="J343" s="17">
        <f t="shared" si="85"/>
        <v>0.03</v>
      </c>
      <c r="K343" s="17">
        <f t="shared" si="86"/>
        <v>0.03</v>
      </c>
      <c r="L343" s="17">
        <f t="shared" si="87"/>
        <v>0.94</v>
      </c>
      <c r="M343" s="4">
        <f t="shared" si="88"/>
        <v>41150</v>
      </c>
    </row>
    <row r="344" spans="1:13" x14ac:dyDescent="0.3">
      <c r="A344" s="1">
        <f t="shared" si="82"/>
        <v>342</v>
      </c>
      <c r="B344" s="1">
        <v>300</v>
      </c>
      <c r="C344" s="1">
        <f t="shared" si="83"/>
        <v>300</v>
      </c>
      <c r="D344" s="4">
        <v>9400</v>
      </c>
      <c r="E344" s="4">
        <f t="shared" si="90"/>
        <v>462</v>
      </c>
      <c r="F344" s="10">
        <f t="shared" si="92"/>
        <v>3.2299999999999747</v>
      </c>
      <c r="G344" s="9">
        <f t="shared" si="91"/>
        <v>41300</v>
      </c>
      <c r="I344" s="4">
        <f t="shared" si="84"/>
        <v>10000</v>
      </c>
      <c r="J344" s="17">
        <f t="shared" si="85"/>
        <v>0.03</v>
      </c>
      <c r="K344" s="17">
        <f t="shared" si="86"/>
        <v>0.03</v>
      </c>
      <c r="L344" s="17">
        <f t="shared" si="87"/>
        <v>0.94</v>
      </c>
      <c r="M344" s="4">
        <f t="shared" si="88"/>
        <v>41300</v>
      </c>
    </row>
    <row r="345" spans="1:13" x14ac:dyDescent="0.3">
      <c r="A345" s="1">
        <f t="shared" si="82"/>
        <v>343</v>
      </c>
      <c r="B345" s="1">
        <v>300</v>
      </c>
      <c r="C345" s="1">
        <f t="shared" si="83"/>
        <v>300</v>
      </c>
      <c r="D345" s="4">
        <v>9400</v>
      </c>
      <c r="E345" s="4">
        <f t="shared" si="90"/>
        <v>463</v>
      </c>
      <c r="F345" s="10">
        <f t="shared" si="92"/>
        <v>3.2399999999999745</v>
      </c>
      <c r="G345" s="9">
        <f t="shared" si="91"/>
        <v>41450</v>
      </c>
      <c r="I345" s="4">
        <f t="shared" si="84"/>
        <v>10000</v>
      </c>
      <c r="J345" s="17">
        <f t="shared" si="85"/>
        <v>0.03</v>
      </c>
      <c r="K345" s="17">
        <f t="shared" si="86"/>
        <v>0.03</v>
      </c>
      <c r="L345" s="17">
        <f t="shared" si="87"/>
        <v>0.94</v>
      </c>
      <c r="M345" s="4">
        <f t="shared" si="88"/>
        <v>41450</v>
      </c>
    </row>
    <row r="346" spans="1:13" x14ac:dyDescent="0.3">
      <c r="A346" s="1">
        <f t="shared" si="82"/>
        <v>344</v>
      </c>
      <c r="B346" s="1">
        <v>300</v>
      </c>
      <c r="C346" s="1">
        <f t="shared" ref="C346:C353" si="93">10000-B346-D346</f>
        <v>300</v>
      </c>
      <c r="D346" s="4">
        <v>9400</v>
      </c>
      <c r="E346" s="4">
        <f t="shared" ref="E346:E409" si="94">E345+1</f>
        <v>464</v>
      </c>
      <c r="F346" s="10">
        <f t="shared" ref="F346:F409" si="95">F345+0.01</f>
        <v>3.2499999999999742</v>
      </c>
      <c r="G346" s="9">
        <f t="shared" ref="G346:G409" si="96">G345+150</f>
        <v>41600</v>
      </c>
      <c r="I346" s="4">
        <f t="shared" ref="I346:I409" si="97">SUM(B346:D346)</f>
        <v>10000</v>
      </c>
      <c r="J346" s="17">
        <f t="shared" ref="J346:J409" si="98">B346/10000</f>
        <v>0.03</v>
      </c>
      <c r="K346" s="17">
        <f t="shared" ref="K346:K409" si="99">C346/10000</f>
        <v>0.03</v>
      </c>
      <c r="L346" s="17">
        <f t="shared" ref="L346:L409" si="100">D346/10000</f>
        <v>0.94</v>
      </c>
      <c r="M346" s="4">
        <f t="shared" ref="M346:M409" si="101">G346</f>
        <v>41600</v>
      </c>
    </row>
    <row r="347" spans="1:13" x14ac:dyDescent="0.3">
      <c r="A347" s="1">
        <f t="shared" si="82"/>
        <v>345</v>
      </c>
      <c r="B347" s="1">
        <v>300</v>
      </c>
      <c r="C347" s="1">
        <f t="shared" si="93"/>
        <v>300</v>
      </c>
      <c r="D347" s="4">
        <v>9400</v>
      </c>
      <c r="E347" s="4">
        <f t="shared" si="94"/>
        <v>465</v>
      </c>
      <c r="F347" s="10">
        <f t="shared" si="95"/>
        <v>3.259999999999974</v>
      </c>
      <c r="G347" s="9">
        <f t="shared" si="96"/>
        <v>41750</v>
      </c>
      <c r="I347" s="4">
        <f t="shared" si="97"/>
        <v>10000</v>
      </c>
      <c r="J347" s="17">
        <f t="shared" si="98"/>
        <v>0.03</v>
      </c>
      <c r="K347" s="17">
        <f t="shared" si="99"/>
        <v>0.03</v>
      </c>
      <c r="L347" s="17">
        <f t="shared" si="100"/>
        <v>0.94</v>
      </c>
      <c r="M347" s="4">
        <f t="shared" si="101"/>
        <v>41750</v>
      </c>
    </row>
    <row r="348" spans="1:13" x14ac:dyDescent="0.3">
      <c r="A348" s="1">
        <f t="shared" si="82"/>
        <v>346</v>
      </c>
      <c r="B348" s="1">
        <v>300</v>
      </c>
      <c r="C348" s="1">
        <f t="shared" si="93"/>
        <v>300</v>
      </c>
      <c r="D348" s="4">
        <v>9400</v>
      </c>
      <c r="E348" s="4">
        <f t="shared" si="94"/>
        <v>466</v>
      </c>
      <c r="F348" s="10">
        <f t="shared" si="95"/>
        <v>3.2699999999999738</v>
      </c>
      <c r="G348" s="9">
        <f t="shared" si="96"/>
        <v>41900</v>
      </c>
      <c r="I348" s="4">
        <f t="shared" si="97"/>
        <v>10000</v>
      </c>
      <c r="J348" s="17">
        <f t="shared" si="98"/>
        <v>0.03</v>
      </c>
      <c r="K348" s="17">
        <f t="shared" si="99"/>
        <v>0.03</v>
      </c>
      <c r="L348" s="17">
        <f t="shared" si="100"/>
        <v>0.94</v>
      </c>
      <c r="M348" s="4">
        <f t="shared" si="101"/>
        <v>41900</v>
      </c>
    </row>
    <row r="349" spans="1:13" x14ac:dyDescent="0.3">
      <c r="A349" s="1">
        <f t="shared" si="82"/>
        <v>347</v>
      </c>
      <c r="B349" s="1">
        <v>300</v>
      </c>
      <c r="C349" s="1">
        <f t="shared" si="93"/>
        <v>300</v>
      </c>
      <c r="D349" s="4">
        <v>9400</v>
      </c>
      <c r="E349" s="4">
        <f t="shared" si="94"/>
        <v>467</v>
      </c>
      <c r="F349" s="10">
        <f t="shared" si="95"/>
        <v>3.2799999999999736</v>
      </c>
      <c r="G349" s="9">
        <f t="shared" si="96"/>
        <v>42050</v>
      </c>
      <c r="I349" s="4">
        <f t="shared" si="97"/>
        <v>10000</v>
      </c>
      <c r="J349" s="17">
        <f t="shared" si="98"/>
        <v>0.03</v>
      </c>
      <c r="K349" s="17">
        <f t="shared" si="99"/>
        <v>0.03</v>
      </c>
      <c r="L349" s="17">
        <f t="shared" si="100"/>
        <v>0.94</v>
      </c>
      <c r="M349" s="4">
        <f t="shared" si="101"/>
        <v>42050</v>
      </c>
    </row>
    <row r="350" spans="1:13" x14ac:dyDescent="0.3">
      <c r="A350" s="1">
        <f t="shared" si="82"/>
        <v>348</v>
      </c>
      <c r="B350" s="1">
        <v>300</v>
      </c>
      <c r="C350" s="1">
        <f t="shared" si="93"/>
        <v>300</v>
      </c>
      <c r="D350" s="4">
        <v>9400</v>
      </c>
      <c r="E350" s="4">
        <f t="shared" si="94"/>
        <v>468</v>
      </c>
      <c r="F350" s="10">
        <f t="shared" si="95"/>
        <v>3.2899999999999734</v>
      </c>
      <c r="G350" s="9">
        <f t="shared" si="96"/>
        <v>42200</v>
      </c>
      <c r="I350" s="4">
        <f t="shared" si="97"/>
        <v>10000</v>
      </c>
      <c r="J350" s="17">
        <f t="shared" si="98"/>
        <v>0.03</v>
      </c>
      <c r="K350" s="17">
        <f t="shared" si="99"/>
        <v>0.03</v>
      </c>
      <c r="L350" s="17">
        <f t="shared" si="100"/>
        <v>0.94</v>
      </c>
      <c r="M350" s="4">
        <f t="shared" si="101"/>
        <v>42200</v>
      </c>
    </row>
    <row r="351" spans="1:13" x14ac:dyDescent="0.3">
      <c r="A351" s="1">
        <f t="shared" ref="A351:A414" si="102">A350+1</f>
        <v>349</v>
      </c>
      <c r="B351" s="1">
        <v>300</v>
      </c>
      <c r="C351" s="1">
        <f t="shared" si="93"/>
        <v>300</v>
      </c>
      <c r="D351" s="4">
        <v>9400</v>
      </c>
      <c r="E351" s="4">
        <f t="shared" si="94"/>
        <v>469</v>
      </c>
      <c r="F351" s="10">
        <f t="shared" si="95"/>
        <v>3.2999999999999732</v>
      </c>
      <c r="G351" s="9">
        <f t="shared" si="96"/>
        <v>42350</v>
      </c>
      <c r="I351" s="4">
        <f t="shared" si="97"/>
        <v>10000</v>
      </c>
      <c r="J351" s="17">
        <f t="shared" si="98"/>
        <v>0.03</v>
      </c>
      <c r="K351" s="17">
        <f t="shared" si="99"/>
        <v>0.03</v>
      </c>
      <c r="L351" s="17">
        <f t="shared" si="100"/>
        <v>0.94</v>
      </c>
      <c r="M351" s="4">
        <f t="shared" si="101"/>
        <v>42350</v>
      </c>
    </row>
    <row r="352" spans="1:13" x14ac:dyDescent="0.3">
      <c r="A352" s="1">
        <f t="shared" si="102"/>
        <v>350</v>
      </c>
      <c r="B352" s="1">
        <v>300</v>
      </c>
      <c r="C352" s="1">
        <f t="shared" si="93"/>
        <v>300</v>
      </c>
      <c r="D352" s="4">
        <v>9400</v>
      </c>
      <c r="E352" s="4">
        <f t="shared" si="94"/>
        <v>470</v>
      </c>
      <c r="F352" s="10">
        <f t="shared" si="95"/>
        <v>3.309999999999973</v>
      </c>
      <c r="G352" s="9">
        <f t="shared" si="96"/>
        <v>42500</v>
      </c>
      <c r="I352" s="4">
        <f t="shared" si="97"/>
        <v>10000</v>
      </c>
      <c r="J352" s="17">
        <f t="shared" si="98"/>
        <v>0.03</v>
      </c>
      <c r="K352" s="17">
        <f t="shared" si="99"/>
        <v>0.03</v>
      </c>
      <c r="L352" s="17">
        <f t="shared" si="100"/>
        <v>0.94</v>
      </c>
      <c r="M352" s="4">
        <f t="shared" si="101"/>
        <v>42500</v>
      </c>
    </row>
    <row r="353" spans="1:13" x14ac:dyDescent="0.3">
      <c r="A353" s="1">
        <f t="shared" si="102"/>
        <v>351</v>
      </c>
      <c r="B353" s="1">
        <v>300</v>
      </c>
      <c r="C353" s="1">
        <f t="shared" si="93"/>
        <v>300</v>
      </c>
      <c r="D353" s="4">
        <v>9400</v>
      </c>
      <c r="E353" s="4">
        <f t="shared" si="94"/>
        <v>471</v>
      </c>
      <c r="F353" s="10">
        <f t="shared" si="95"/>
        <v>3.3199999999999728</v>
      </c>
      <c r="G353" s="9">
        <f t="shared" si="96"/>
        <v>42650</v>
      </c>
      <c r="I353" s="4">
        <f t="shared" si="97"/>
        <v>10000</v>
      </c>
      <c r="J353" s="17">
        <f t="shared" si="98"/>
        <v>0.03</v>
      </c>
      <c r="K353" s="17">
        <f t="shared" si="99"/>
        <v>0.03</v>
      </c>
      <c r="L353" s="17">
        <f t="shared" si="100"/>
        <v>0.94</v>
      </c>
      <c r="M353" s="4">
        <f t="shared" si="101"/>
        <v>42650</v>
      </c>
    </row>
    <row r="354" spans="1:13" x14ac:dyDescent="0.3">
      <c r="A354" s="1">
        <f t="shared" si="102"/>
        <v>352</v>
      </c>
      <c r="B354" s="1">
        <v>300</v>
      </c>
      <c r="C354" s="1">
        <f t="shared" ref="C354:C417" si="103">10000-B354-D354</f>
        <v>300</v>
      </c>
      <c r="D354" s="4">
        <v>9400</v>
      </c>
      <c r="E354" s="4">
        <f t="shared" si="94"/>
        <v>472</v>
      </c>
      <c r="F354" s="10">
        <f t="shared" si="95"/>
        <v>3.3299999999999725</v>
      </c>
      <c r="G354" s="9">
        <f t="shared" si="96"/>
        <v>42800</v>
      </c>
      <c r="I354" s="4">
        <f t="shared" si="97"/>
        <v>10000</v>
      </c>
      <c r="J354" s="17">
        <f t="shared" si="98"/>
        <v>0.03</v>
      </c>
      <c r="K354" s="17">
        <f t="shared" si="99"/>
        <v>0.03</v>
      </c>
      <c r="L354" s="17">
        <f t="shared" si="100"/>
        <v>0.94</v>
      </c>
      <c r="M354" s="4">
        <f t="shared" si="101"/>
        <v>42800</v>
      </c>
    </row>
    <row r="355" spans="1:13" x14ac:dyDescent="0.3">
      <c r="A355" s="1">
        <f t="shared" si="102"/>
        <v>353</v>
      </c>
      <c r="B355" s="1">
        <v>300</v>
      </c>
      <c r="C355" s="1">
        <f t="shared" si="103"/>
        <v>300</v>
      </c>
      <c r="D355" s="4">
        <v>9400</v>
      </c>
      <c r="E355" s="4">
        <f t="shared" si="94"/>
        <v>473</v>
      </c>
      <c r="F355" s="10">
        <f t="shared" si="95"/>
        <v>3.3399999999999723</v>
      </c>
      <c r="G355" s="9">
        <f t="shared" si="96"/>
        <v>42950</v>
      </c>
      <c r="I355" s="4">
        <f t="shared" si="97"/>
        <v>10000</v>
      </c>
      <c r="J355" s="17">
        <f t="shared" si="98"/>
        <v>0.03</v>
      </c>
      <c r="K355" s="17">
        <f t="shared" si="99"/>
        <v>0.03</v>
      </c>
      <c r="L355" s="17">
        <f t="shared" si="100"/>
        <v>0.94</v>
      </c>
      <c r="M355" s="4">
        <f t="shared" si="101"/>
        <v>42950</v>
      </c>
    </row>
    <row r="356" spans="1:13" x14ac:dyDescent="0.3">
      <c r="A356" s="1">
        <f t="shared" si="102"/>
        <v>354</v>
      </c>
      <c r="B356" s="1">
        <v>300</v>
      </c>
      <c r="C356" s="1">
        <f t="shared" si="103"/>
        <v>300</v>
      </c>
      <c r="D356" s="4">
        <v>9400</v>
      </c>
      <c r="E356" s="4">
        <f t="shared" si="94"/>
        <v>474</v>
      </c>
      <c r="F356" s="10">
        <f t="shared" si="95"/>
        <v>3.3499999999999721</v>
      </c>
      <c r="G356" s="9">
        <f t="shared" si="96"/>
        <v>43100</v>
      </c>
      <c r="I356" s="4">
        <f t="shared" si="97"/>
        <v>10000</v>
      </c>
      <c r="J356" s="17">
        <f t="shared" si="98"/>
        <v>0.03</v>
      </c>
      <c r="K356" s="17">
        <f t="shared" si="99"/>
        <v>0.03</v>
      </c>
      <c r="L356" s="17">
        <f t="shared" si="100"/>
        <v>0.94</v>
      </c>
      <c r="M356" s="4">
        <f t="shared" si="101"/>
        <v>43100</v>
      </c>
    </row>
    <row r="357" spans="1:13" x14ac:dyDescent="0.3">
      <c r="A357" s="1">
        <f t="shared" si="102"/>
        <v>355</v>
      </c>
      <c r="B357" s="1">
        <v>300</v>
      </c>
      <c r="C357" s="1">
        <f t="shared" si="103"/>
        <v>300</v>
      </c>
      <c r="D357" s="4">
        <v>9400</v>
      </c>
      <c r="E357" s="4">
        <f t="shared" si="94"/>
        <v>475</v>
      </c>
      <c r="F357" s="10">
        <f t="shared" si="95"/>
        <v>3.3599999999999719</v>
      </c>
      <c r="G357" s="9">
        <f t="shared" si="96"/>
        <v>43250</v>
      </c>
      <c r="I357" s="4">
        <f t="shared" si="97"/>
        <v>10000</v>
      </c>
      <c r="J357" s="17">
        <f t="shared" si="98"/>
        <v>0.03</v>
      </c>
      <c r="K357" s="17">
        <f t="shared" si="99"/>
        <v>0.03</v>
      </c>
      <c r="L357" s="17">
        <f t="shared" si="100"/>
        <v>0.94</v>
      </c>
      <c r="M357" s="4">
        <f t="shared" si="101"/>
        <v>43250</v>
      </c>
    </row>
    <row r="358" spans="1:13" x14ac:dyDescent="0.3">
      <c r="A358" s="1">
        <f t="shared" si="102"/>
        <v>356</v>
      </c>
      <c r="B358" s="1">
        <v>300</v>
      </c>
      <c r="C358" s="1">
        <f t="shared" si="103"/>
        <v>300</v>
      </c>
      <c r="D358" s="4">
        <v>9400</v>
      </c>
      <c r="E358" s="4">
        <f t="shared" si="94"/>
        <v>476</v>
      </c>
      <c r="F358" s="10">
        <f t="shared" si="95"/>
        <v>3.3699999999999717</v>
      </c>
      <c r="G358" s="9">
        <f t="shared" si="96"/>
        <v>43400</v>
      </c>
      <c r="I358" s="4">
        <f t="shared" si="97"/>
        <v>10000</v>
      </c>
      <c r="J358" s="17">
        <f t="shared" si="98"/>
        <v>0.03</v>
      </c>
      <c r="K358" s="17">
        <f t="shared" si="99"/>
        <v>0.03</v>
      </c>
      <c r="L358" s="17">
        <f t="shared" si="100"/>
        <v>0.94</v>
      </c>
      <c r="M358" s="4">
        <f t="shared" si="101"/>
        <v>43400</v>
      </c>
    </row>
    <row r="359" spans="1:13" x14ac:dyDescent="0.3">
      <c r="A359" s="1">
        <f t="shared" si="102"/>
        <v>357</v>
      </c>
      <c r="B359" s="1">
        <v>300</v>
      </c>
      <c r="C359" s="1">
        <f t="shared" si="103"/>
        <v>300</v>
      </c>
      <c r="D359" s="4">
        <v>9400</v>
      </c>
      <c r="E359" s="4">
        <f t="shared" si="94"/>
        <v>477</v>
      </c>
      <c r="F359" s="10">
        <f t="shared" si="95"/>
        <v>3.3799999999999715</v>
      </c>
      <c r="G359" s="9">
        <f t="shared" si="96"/>
        <v>43550</v>
      </c>
      <c r="I359" s="4">
        <f t="shared" si="97"/>
        <v>10000</v>
      </c>
      <c r="J359" s="17">
        <f t="shared" si="98"/>
        <v>0.03</v>
      </c>
      <c r="K359" s="17">
        <f t="shared" si="99"/>
        <v>0.03</v>
      </c>
      <c r="L359" s="17">
        <f t="shared" si="100"/>
        <v>0.94</v>
      </c>
      <c r="M359" s="4">
        <f t="shared" si="101"/>
        <v>43550</v>
      </c>
    </row>
    <row r="360" spans="1:13" x14ac:dyDescent="0.3">
      <c r="A360" s="1">
        <f t="shared" si="102"/>
        <v>358</v>
      </c>
      <c r="B360" s="1">
        <v>300</v>
      </c>
      <c r="C360" s="1">
        <f t="shared" si="103"/>
        <v>300</v>
      </c>
      <c r="D360" s="4">
        <v>9400</v>
      </c>
      <c r="E360" s="4">
        <f t="shared" si="94"/>
        <v>478</v>
      </c>
      <c r="F360" s="10">
        <f t="shared" si="95"/>
        <v>3.3899999999999713</v>
      </c>
      <c r="G360" s="9">
        <f t="shared" si="96"/>
        <v>43700</v>
      </c>
      <c r="I360" s="4">
        <f t="shared" si="97"/>
        <v>10000</v>
      </c>
      <c r="J360" s="17">
        <f t="shared" si="98"/>
        <v>0.03</v>
      </c>
      <c r="K360" s="17">
        <f t="shared" si="99"/>
        <v>0.03</v>
      </c>
      <c r="L360" s="17">
        <f t="shared" si="100"/>
        <v>0.94</v>
      </c>
      <c r="M360" s="4">
        <f t="shared" si="101"/>
        <v>43700</v>
      </c>
    </row>
    <row r="361" spans="1:13" x14ac:dyDescent="0.3">
      <c r="A361" s="1">
        <f t="shared" si="102"/>
        <v>359</v>
      </c>
      <c r="B361" s="1">
        <v>300</v>
      </c>
      <c r="C361" s="1">
        <f t="shared" si="103"/>
        <v>300</v>
      </c>
      <c r="D361" s="4">
        <v>9400</v>
      </c>
      <c r="E361" s="4">
        <f t="shared" si="94"/>
        <v>479</v>
      </c>
      <c r="F361" s="10">
        <f t="shared" si="95"/>
        <v>3.399999999999971</v>
      </c>
      <c r="G361" s="9">
        <f t="shared" si="96"/>
        <v>43850</v>
      </c>
      <c r="I361" s="4">
        <f t="shared" si="97"/>
        <v>10000</v>
      </c>
      <c r="J361" s="17">
        <f t="shared" si="98"/>
        <v>0.03</v>
      </c>
      <c r="K361" s="17">
        <f t="shared" si="99"/>
        <v>0.03</v>
      </c>
      <c r="L361" s="17">
        <f t="shared" si="100"/>
        <v>0.94</v>
      </c>
      <c r="M361" s="4">
        <f t="shared" si="101"/>
        <v>43850</v>
      </c>
    </row>
    <row r="362" spans="1:13" x14ac:dyDescent="0.3">
      <c r="A362" s="1">
        <f t="shared" si="102"/>
        <v>360</v>
      </c>
      <c r="B362" s="1">
        <v>300</v>
      </c>
      <c r="C362" s="1">
        <f t="shared" si="103"/>
        <v>300</v>
      </c>
      <c r="D362" s="4">
        <v>9400</v>
      </c>
      <c r="E362" s="4">
        <f t="shared" si="94"/>
        <v>480</v>
      </c>
      <c r="F362" s="10">
        <f t="shared" si="95"/>
        <v>3.4099999999999708</v>
      </c>
      <c r="G362" s="9">
        <f t="shared" si="96"/>
        <v>44000</v>
      </c>
      <c r="I362" s="4">
        <f t="shared" si="97"/>
        <v>10000</v>
      </c>
      <c r="J362" s="17">
        <f t="shared" si="98"/>
        <v>0.03</v>
      </c>
      <c r="K362" s="17">
        <f t="shared" si="99"/>
        <v>0.03</v>
      </c>
      <c r="L362" s="17">
        <f t="shared" si="100"/>
        <v>0.94</v>
      </c>
      <c r="M362" s="4">
        <f t="shared" si="101"/>
        <v>44000</v>
      </c>
    </row>
    <row r="363" spans="1:13" x14ac:dyDescent="0.3">
      <c r="A363" s="1">
        <f t="shared" si="102"/>
        <v>361</v>
      </c>
      <c r="B363" s="1">
        <v>300</v>
      </c>
      <c r="C363" s="1">
        <f t="shared" si="103"/>
        <v>300</v>
      </c>
      <c r="D363" s="4">
        <v>9400</v>
      </c>
      <c r="E363" s="4">
        <f t="shared" si="94"/>
        <v>481</v>
      </c>
      <c r="F363" s="10">
        <f t="shared" si="95"/>
        <v>3.4199999999999706</v>
      </c>
      <c r="G363" s="9">
        <f t="shared" si="96"/>
        <v>44150</v>
      </c>
      <c r="I363" s="4">
        <f t="shared" si="97"/>
        <v>10000</v>
      </c>
      <c r="J363" s="17">
        <f t="shared" si="98"/>
        <v>0.03</v>
      </c>
      <c r="K363" s="17">
        <f t="shared" si="99"/>
        <v>0.03</v>
      </c>
      <c r="L363" s="17">
        <f t="shared" si="100"/>
        <v>0.94</v>
      </c>
      <c r="M363" s="4">
        <f t="shared" si="101"/>
        <v>44150</v>
      </c>
    </row>
    <row r="364" spans="1:13" x14ac:dyDescent="0.3">
      <c r="A364" s="1">
        <f t="shared" si="102"/>
        <v>362</v>
      </c>
      <c r="B364" s="1">
        <v>300</v>
      </c>
      <c r="C364" s="1">
        <f t="shared" si="103"/>
        <v>300</v>
      </c>
      <c r="D364" s="4">
        <v>9400</v>
      </c>
      <c r="E364" s="4">
        <f t="shared" si="94"/>
        <v>482</v>
      </c>
      <c r="F364" s="10">
        <f t="shared" si="95"/>
        <v>3.4299999999999704</v>
      </c>
      <c r="G364" s="9">
        <f t="shared" si="96"/>
        <v>44300</v>
      </c>
      <c r="I364" s="4">
        <f t="shared" si="97"/>
        <v>10000</v>
      </c>
      <c r="J364" s="17">
        <f t="shared" si="98"/>
        <v>0.03</v>
      </c>
      <c r="K364" s="17">
        <f t="shared" si="99"/>
        <v>0.03</v>
      </c>
      <c r="L364" s="17">
        <f t="shared" si="100"/>
        <v>0.94</v>
      </c>
      <c r="M364" s="4">
        <f t="shared" si="101"/>
        <v>44300</v>
      </c>
    </row>
    <row r="365" spans="1:13" x14ac:dyDescent="0.3">
      <c r="A365" s="1">
        <f t="shared" si="102"/>
        <v>363</v>
      </c>
      <c r="B365" s="1">
        <v>300</v>
      </c>
      <c r="C365" s="1">
        <f t="shared" si="103"/>
        <v>300</v>
      </c>
      <c r="D365" s="4">
        <v>9400</v>
      </c>
      <c r="E365" s="4">
        <f t="shared" si="94"/>
        <v>483</v>
      </c>
      <c r="F365" s="10">
        <f t="shared" si="95"/>
        <v>3.4399999999999702</v>
      </c>
      <c r="G365" s="9">
        <f t="shared" si="96"/>
        <v>44450</v>
      </c>
      <c r="I365" s="4">
        <f t="shared" si="97"/>
        <v>10000</v>
      </c>
      <c r="J365" s="17">
        <f t="shared" si="98"/>
        <v>0.03</v>
      </c>
      <c r="K365" s="17">
        <f t="shared" si="99"/>
        <v>0.03</v>
      </c>
      <c r="L365" s="17">
        <f t="shared" si="100"/>
        <v>0.94</v>
      </c>
      <c r="M365" s="4">
        <f t="shared" si="101"/>
        <v>44450</v>
      </c>
    </row>
    <row r="366" spans="1:13" x14ac:dyDescent="0.3">
      <c r="A366" s="1">
        <f t="shared" si="102"/>
        <v>364</v>
      </c>
      <c r="B366" s="1">
        <v>300</v>
      </c>
      <c r="C366" s="1">
        <f t="shared" si="103"/>
        <v>300</v>
      </c>
      <c r="D366" s="4">
        <v>9400</v>
      </c>
      <c r="E366" s="4">
        <f t="shared" si="94"/>
        <v>484</v>
      </c>
      <c r="F366" s="10">
        <f t="shared" si="95"/>
        <v>3.44999999999997</v>
      </c>
      <c r="G366" s="9">
        <f t="shared" si="96"/>
        <v>44600</v>
      </c>
      <c r="I366" s="4">
        <f t="shared" si="97"/>
        <v>10000</v>
      </c>
      <c r="J366" s="17">
        <f t="shared" si="98"/>
        <v>0.03</v>
      </c>
      <c r="K366" s="17">
        <f t="shared" si="99"/>
        <v>0.03</v>
      </c>
      <c r="L366" s="17">
        <f t="shared" si="100"/>
        <v>0.94</v>
      </c>
      <c r="M366" s="4">
        <f t="shared" si="101"/>
        <v>44600</v>
      </c>
    </row>
    <row r="367" spans="1:13" x14ac:dyDescent="0.3">
      <c r="A367" s="1">
        <f t="shared" si="102"/>
        <v>365</v>
      </c>
      <c r="B367" s="1">
        <v>300</v>
      </c>
      <c r="C367" s="1">
        <f t="shared" si="103"/>
        <v>300</v>
      </c>
      <c r="D367" s="4">
        <v>9400</v>
      </c>
      <c r="E367" s="4">
        <f t="shared" si="94"/>
        <v>485</v>
      </c>
      <c r="F367" s="10">
        <f t="shared" si="95"/>
        <v>3.4599999999999698</v>
      </c>
      <c r="G367" s="9">
        <f t="shared" si="96"/>
        <v>44750</v>
      </c>
      <c r="I367" s="4">
        <f t="shared" si="97"/>
        <v>10000</v>
      </c>
      <c r="J367" s="17">
        <f t="shared" si="98"/>
        <v>0.03</v>
      </c>
      <c r="K367" s="17">
        <f t="shared" si="99"/>
        <v>0.03</v>
      </c>
      <c r="L367" s="17">
        <f t="shared" si="100"/>
        <v>0.94</v>
      </c>
      <c r="M367" s="4">
        <f t="shared" si="101"/>
        <v>44750</v>
      </c>
    </row>
    <row r="368" spans="1:13" x14ac:dyDescent="0.3">
      <c r="A368" s="1">
        <f t="shared" si="102"/>
        <v>366</v>
      </c>
      <c r="B368" s="1">
        <v>300</v>
      </c>
      <c r="C368" s="1">
        <f t="shared" si="103"/>
        <v>300</v>
      </c>
      <c r="D368" s="4">
        <v>9400</v>
      </c>
      <c r="E368" s="4">
        <f t="shared" si="94"/>
        <v>486</v>
      </c>
      <c r="F368" s="10">
        <f t="shared" si="95"/>
        <v>3.4699999999999696</v>
      </c>
      <c r="G368" s="9">
        <f t="shared" si="96"/>
        <v>44900</v>
      </c>
      <c r="I368" s="4">
        <f t="shared" si="97"/>
        <v>10000</v>
      </c>
      <c r="J368" s="17">
        <f t="shared" si="98"/>
        <v>0.03</v>
      </c>
      <c r="K368" s="17">
        <f t="shared" si="99"/>
        <v>0.03</v>
      </c>
      <c r="L368" s="17">
        <f t="shared" si="100"/>
        <v>0.94</v>
      </c>
      <c r="M368" s="4">
        <f t="shared" si="101"/>
        <v>44900</v>
      </c>
    </row>
    <row r="369" spans="1:13" x14ac:dyDescent="0.3">
      <c r="A369" s="1">
        <f t="shared" si="102"/>
        <v>367</v>
      </c>
      <c r="B369" s="1">
        <v>300</v>
      </c>
      <c r="C369" s="1">
        <f t="shared" si="103"/>
        <v>300</v>
      </c>
      <c r="D369" s="4">
        <v>9400</v>
      </c>
      <c r="E369" s="4">
        <f t="shared" si="94"/>
        <v>487</v>
      </c>
      <c r="F369" s="10">
        <f t="shared" si="95"/>
        <v>3.4799999999999693</v>
      </c>
      <c r="G369" s="9">
        <f t="shared" si="96"/>
        <v>45050</v>
      </c>
      <c r="I369" s="4">
        <f t="shared" si="97"/>
        <v>10000</v>
      </c>
      <c r="J369" s="17">
        <f t="shared" si="98"/>
        <v>0.03</v>
      </c>
      <c r="K369" s="17">
        <f t="shared" si="99"/>
        <v>0.03</v>
      </c>
      <c r="L369" s="17">
        <f t="shared" si="100"/>
        <v>0.94</v>
      </c>
      <c r="M369" s="4">
        <f t="shared" si="101"/>
        <v>45050</v>
      </c>
    </row>
    <row r="370" spans="1:13" x14ac:dyDescent="0.3">
      <c r="A370" s="1">
        <f t="shared" si="102"/>
        <v>368</v>
      </c>
      <c r="B370" s="1">
        <v>300</v>
      </c>
      <c r="C370" s="1">
        <f t="shared" si="103"/>
        <v>300</v>
      </c>
      <c r="D370" s="4">
        <v>9400</v>
      </c>
      <c r="E370" s="4">
        <f t="shared" si="94"/>
        <v>488</v>
      </c>
      <c r="F370" s="10">
        <f t="shared" si="95"/>
        <v>3.4899999999999691</v>
      </c>
      <c r="G370" s="9">
        <f t="shared" si="96"/>
        <v>45200</v>
      </c>
      <c r="I370" s="4">
        <f t="shared" si="97"/>
        <v>10000</v>
      </c>
      <c r="J370" s="17">
        <f t="shared" si="98"/>
        <v>0.03</v>
      </c>
      <c r="K370" s="17">
        <f t="shared" si="99"/>
        <v>0.03</v>
      </c>
      <c r="L370" s="17">
        <f t="shared" si="100"/>
        <v>0.94</v>
      </c>
      <c r="M370" s="4">
        <f t="shared" si="101"/>
        <v>45200</v>
      </c>
    </row>
    <row r="371" spans="1:13" x14ac:dyDescent="0.3">
      <c r="A371" s="1">
        <f t="shared" si="102"/>
        <v>369</v>
      </c>
      <c r="B371" s="1">
        <v>300</v>
      </c>
      <c r="C371" s="1">
        <f t="shared" si="103"/>
        <v>300</v>
      </c>
      <c r="D371" s="4">
        <v>9400</v>
      </c>
      <c r="E371" s="4">
        <f t="shared" si="94"/>
        <v>489</v>
      </c>
      <c r="F371" s="10">
        <f t="shared" si="95"/>
        <v>3.4999999999999689</v>
      </c>
      <c r="G371" s="9">
        <f t="shared" si="96"/>
        <v>45350</v>
      </c>
      <c r="I371" s="4">
        <f t="shared" si="97"/>
        <v>10000</v>
      </c>
      <c r="J371" s="17">
        <f t="shared" si="98"/>
        <v>0.03</v>
      </c>
      <c r="K371" s="17">
        <f t="shared" si="99"/>
        <v>0.03</v>
      </c>
      <c r="L371" s="17">
        <f t="shared" si="100"/>
        <v>0.94</v>
      </c>
      <c r="M371" s="4">
        <f t="shared" si="101"/>
        <v>45350</v>
      </c>
    </row>
    <row r="372" spans="1:13" x14ac:dyDescent="0.3">
      <c r="A372" s="1">
        <f t="shared" si="102"/>
        <v>370</v>
      </c>
      <c r="B372" s="1">
        <v>300</v>
      </c>
      <c r="C372" s="1">
        <f t="shared" si="103"/>
        <v>300</v>
      </c>
      <c r="D372" s="4">
        <v>9400</v>
      </c>
      <c r="E372" s="4">
        <f t="shared" si="94"/>
        <v>490</v>
      </c>
      <c r="F372" s="10">
        <f t="shared" si="95"/>
        <v>3.5099999999999687</v>
      </c>
      <c r="G372" s="9">
        <f t="shared" si="96"/>
        <v>45500</v>
      </c>
      <c r="I372" s="4">
        <f t="shared" si="97"/>
        <v>10000</v>
      </c>
      <c r="J372" s="17">
        <f t="shared" si="98"/>
        <v>0.03</v>
      </c>
      <c r="K372" s="17">
        <f t="shared" si="99"/>
        <v>0.03</v>
      </c>
      <c r="L372" s="17">
        <f t="shared" si="100"/>
        <v>0.94</v>
      </c>
      <c r="M372" s="4">
        <f t="shared" si="101"/>
        <v>45500</v>
      </c>
    </row>
    <row r="373" spans="1:13" x14ac:dyDescent="0.3">
      <c r="A373" s="1">
        <f t="shared" si="102"/>
        <v>371</v>
      </c>
      <c r="B373" s="1">
        <v>300</v>
      </c>
      <c r="C373" s="1">
        <f t="shared" si="103"/>
        <v>300</v>
      </c>
      <c r="D373" s="4">
        <v>9400</v>
      </c>
      <c r="E373" s="4">
        <f t="shared" si="94"/>
        <v>491</v>
      </c>
      <c r="F373" s="10">
        <f t="shared" si="95"/>
        <v>3.5199999999999685</v>
      </c>
      <c r="G373" s="9">
        <f t="shared" si="96"/>
        <v>45650</v>
      </c>
      <c r="I373" s="4">
        <f t="shared" si="97"/>
        <v>10000</v>
      </c>
      <c r="J373" s="17">
        <f t="shared" si="98"/>
        <v>0.03</v>
      </c>
      <c r="K373" s="17">
        <f t="shared" si="99"/>
        <v>0.03</v>
      </c>
      <c r="L373" s="17">
        <f t="shared" si="100"/>
        <v>0.94</v>
      </c>
      <c r="M373" s="4">
        <f t="shared" si="101"/>
        <v>45650</v>
      </c>
    </row>
    <row r="374" spans="1:13" x14ac:dyDescent="0.3">
      <c r="A374" s="1">
        <f t="shared" si="102"/>
        <v>372</v>
      </c>
      <c r="B374" s="1">
        <v>300</v>
      </c>
      <c r="C374" s="1">
        <f t="shared" si="103"/>
        <v>300</v>
      </c>
      <c r="D374" s="4">
        <v>9400</v>
      </c>
      <c r="E374" s="4">
        <f t="shared" si="94"/>
        <v>492</v>
      </c>
      <c r="F374" s="10">
        <f t="shared" si="95"/>
        <v>3.5299999999999683</v>
      </c>
      <c r="G374" s="9">
        <f t="shared" si="96"/>
        <v>45800</v>
      </c>
      <c r="I374" s="4">
        <f t="shared" si="97"/>
        <v>10000</v>
      </c>
      <c r="J374" s="17">
        <f t="shared" si="98"/>
        <v>0.03</v>
      </c>
      <c r="K374" s="17">
        <f t="shared" si="99"/>
        <v>0.03</v>
      </c>
      <c r="L374" s="17">
        <f t="shared" si="100"/>
        <v>0.94</v>
      </c>
      <c r="M374" s="4">
        <f t="shared" si="101"/>
        <v>45800</v>
      </c>
    </row>
    <row r="375" spans="1:13" x14ac:dyDescent="0.3">
      <c r="A375" s="1">
        <f t="shared" si="102"/>
        <v>373</v>
      </c>
      <c r="B375" s="1">
        <v>300</v>
      </c>
      <c r="C375" s="1">
        <f t="shared" si="103"/>
        <v>300</v>
      </c>
      <c r="D375" s="4">
        <v>9400</v>
      </c>
      <c r="E375" s="4">
        <f t="shared" si="94"/>
        <v>493</v>
      </c>
      <c r="F375" s="10">
        <f t="shared" si="95"/>
        <v>3.5399999999999681</v>
      </c>
      <c r="G375" s="9">
        <f t="shared" si="96"/>
        <v>45950</v>
      </c>
      <c r="I375" s="4">
        <f t="shared" si="97"/>
        <v>10000</v>
      </c>
      <c r="J375" s="17">
        <f t="shared" si="98"/>
        <v>0.03</v>
      </c>
      <c r="K375" s="17">
        <f t="shared" si="99"/>
        <v>0.03</v>
      </c>
      <c r="L375" s="17">
        <f t="shared" si="100"/>
        <v>0.94</v>
      </c>
      <c r="M375" s="4">
        <f t="shared" si="101"/>
        <v>45950</v>
      </c>
    </row>
    <row r="376" spans="1:13" x14ac:dyDescent="0.3">
      <c r="A376" s="1">
        <f t="shared" si="102"/>
        <v>374</v>
      </c>
      <c r="B376" s="1">
        <v>300</v>
      </c>
      <c r="C376" s="1">
        <f t="shared" si="103"/>
        <v>300</v>
      </c>
      <c r="D376" s="4">
        <v>9400</v>
      </c>
      <c r="E376" s="4">
        <f t="shared" si="94"/>
        <v>494</v>
      </c>
      <c r="F376" s="10">
        <f t="shared" si="95"/>
        <v>3.5499999999999678</v>
      </c>
      <c r="G376" s="9">
        <f t="shared" si="96"/>
        <v>46100</v>
      </c>
      <c r="I376" s="4">
        <f t="shared" si="97"/>
        <v>10000</v>
      </c>
      <c r="J376" s="17">
        <f t="shared" si="98"/>
        <v>0.03</v>
      </c>
      <c r="K376" s="17">
        <f t="shared" si="99"/>
        <v>0.03</v>
      </c>
      <c r="L376" s="17">
        <f t="shared" si="100"/>
        <v>0.94</v>
      </c>
      <c r="M376" s="4">
        <f t="shared" si="101"/>
        <v>46100</v>
      </c>
    </row>
    <row r="377" spans="1:13" x14ac:dyDescent="0.3">
      <c r="A377" s="1">
        <f t="shared" si="102"/>
        <v>375</v>
      </c>
      <c r="B377" s="1">
        <v>300</v>
      </c>
      <c r="C377" s="1">
        <f t="shared" si="103"/>
        <v>300</v>
      </c>
      <c r="D377" s="4">
        <v>9400</v>
      </c>
      <c r="E377" s="4">
        <f t="shared" si="94"/>
        <v>495</v>
      </c>
      <c r="F377" s="10">
        <f t="shared" si="95"/>
        <v>3.5599999999999676</v>
      </c>
      <c r="G377" s="9">
        <f t="shared" si="96"/>
        <v>46250</v>
      </c>
      <c r="I377" s="4">
        <f t="shared" si="97"/>
        <v>10000</v>
      </c>
      <c r="J377" s="17">
        <f t="shared" si="98"/>
        <v>0.03</v>
      </c>
      <c r="K377" s="17">
        <f t="shared" si="99"/>
        <v>0.03</v>
      </c>
      <c r="L377" s="17">
        <f t="shared" si="100"/>
        <v>0.94</v>
      </c>
      <c r="M377" s="4">
        <f t="shared" si="101"/>
        <v>46250</v>
      </c>
    </row>
    <row r="378" spans="1:13" x14ac:dyDescent="0.3">
      <c r="A378" s="1">
        <f t="shared" si="102"/>
        <v>376</v>
      </c>
      <c r="B378" s="1">
        <v>300</v>
      </c>
      <c r="C378" s="1">
        <f t="shared" si="103"/>
        <v>300</v>
      </c>
      <c r="D378" s="4">
        <v>9400</v>
      </c>
      <c r="E378" s="4">
        <f t="shared" si="94"/>
        <v>496</v>
      </c>
      <c r="F378" s="10">
        <f t="shared" si="95"/>
        <v>3.5699999999999674</v>
      </c>
      <c r="G378" s="9">
        <f t="shared" si="96"/>
        <v>46400</v>
      </c>
      <c r="I378" s="4">
        <f t="shared" si="97"/>
        <v>10000</v>
      </c>
      <c r="J378" s="17">
        <f t="shared" si="98"/>
        <v>0.03</v>
      </c>
      <c r="K378" s="17">
        <f t="shared" si="99"/>
        <v>0.03</v>
      </c>
      <c r="L378" s="17">
        <f t="shared" si="100"/>
        <v>0.94</v>
      </c>
      <c r="M378" s="4">
        <f t="shared" si="101"/>
        <v>46400</v>
      </c>
    </row>
    <row r="379" spans="1:13" x14ac:dyDescent="0.3">
      <c r="A379" s="1">
        <f t="shared" si="102"/>
        <v>377</v>
      </c>
      <c r="B379" s="1">
        <v>300</v>
      </c>
      <c r="C379" s="1">
        <f t="shared" si="103"/>
        <v>300</v>
      </c>
      <c r="D379" s="4">
        <v>9400</v>
      </c>
      <c r="E379" s="4">
        <f t="shared" si="94"/>
        <v>497</v>
      </c>
      <c r="F379" s="10">
        <f t="shared" si="95"/>
        <v>3.5799999999999672</v>
      </c>
      <c r="G379" s="9">
        <f t="shared" si="96"/>
        <v>46550</v>
      </c>
      <c r="I379" s="4">
        <f t="shared" si="97"/>
        <v>10000</v>
      </c>
      <c r="J379" s="17">
        <f t="shared" si="98"/>
        <v>0.03</v>
      </c>
      <c r="K379" s="17">
        <f t="shared" si="99"/>
        <v>0.03</v>
      </c>
      <c r="L379" s="17">
        <f t="shared" si="100"/>
        <v>0.94</v>
      </c>
      <c r="M379" s="4">
        <f t="shared" si="101"/>
        <v>46550</v>
      </c>
    </row>
    <row r="380" spans="1:13" x14ac:dyDescent="0.3">
      <c r="A380" s="1">
        <f t="shared" si="102"/>
        <v>378</v>
      </c>
      <c r="B380" s="1">
        <v>300</v>
      </c>
      <c r="C380" s="1">
        <f t="shared" si="103"/>
        <v>300</v>
      </c>
      <c r="D380" s="4">
        <v>9400</v>
      </c>
      <c r="E380" s="4">
        <f t="shared" si="94"/>
        <v>498</v>
      </c>
      <c r="F380" s="10">
        <f t="shared" si="95"/>
        <v>3.589999999999967</v>
      </c>
      <c r="G380" s="9">
        <f t="shared" si="96"/>
        <v>46700</v>
      </c>
      <c r="I380" s="4">
        <f t="shared" si="97"/>
        <v>10000</v>
      </c>
      <c r="J380" s="17">
        <f t="shared" si="98"/>
        <v>0.03</v>
      </c>
      <c r="K380" s="17">
        <f t="shared" si="99"/>
        <v>0.03</v>
      </c>
      <c r="L380" s="17">
        <f t="shared" si="100"/>
        <v>0.94</v>
      </c>
      <c r="M380" s="4">
        <f t="shared" si="101"/>
        <v>46700</v>
      </c>
    </row>
    <row r="381" spans="1:13" x14ac:dyDescent="0.3">
      <c r="A381" s="1">
        <f t="shared" si="102"/>
        <v>379</v>
      </c>
      <c r="B381" s="1">
        <v>300</v>
      </c>
      <c r="C381" s="1">
        <f t="shared" si="103"/>
        <v>300</v>
      </c>
      <c r="D381" s="4">
        <v>9400</v>
      </c>
      <c r="E381" s="4">
        <f t="shared" si="94"/>
        <v>499</v>
      </c>
      <c r="F381" s="10">
        <f t="shared" si="95"/>
        <v>3.5999999999999668</v>
      </c>
      <c r="G381" s="9">
        <f t="shared" si="96"/>
        <v>46850</v>
      </c>
      <c r="I381" s="4">
        <f t="shared" si="97"/>
        <v>10000</v>
      </c>
      <c r="J381" s="17">
        <f t="shared" si="98"/>
        <v>0.03</v>
      </c>
      <c r="K381" s="17">
        <f t="shared" si="99"/>
        <v>0.03</v>
      </c>
      <c r="L381" s="17">
        <f t="shared" si="100"/>
        <v>0.94</v>
      </c>
      <c r="M381" s="4">
        <f t="shared" si="101"/>
        <v>46850</v>
      </c>
    </row>
    <row r="382" spans="1:13" x14ac:dyDescent="0.3">
      <c r="A382" s="1">
        <f t="shared" si="102"/>
        <v>380</v>
      </c>
      <c r="B382" s="1">
        <v>300</v>
      </c>
      <c r="C382" s="1">
        <f t="shared" si="103"/>
        <v>300</v>
      </c>
      <c r="D382" s="4">
        <v>9400</v>
      </c>
      <c r="E382" s="4">
        <f t="shared" si="94"/>
        <v>500</v>
      </c>
      <c r="F382" s="10">
        <f t="shared" si="95"/>
        <v>3.6099999999999666</v>
      </c>
      <c r="G382" s="9">
        <f t="shared" si="96"/>
        <v>47000</v>
      </c>
      <c r="I382" s="4">
        <f t="shared" si="97"/>
        <v>10000</v>
      </c>
      <c r="J382" s="17">
        <f t="shared" si="98"/>
        <v>0.03</v>
      </c>
      <c r="K382" s="17">
        <f t="shared" si="99"/>
        <v>0.03</v>
      </c>
      <c r="L382" s="17">
        <f t="shared" si="100"/>
        <v>0.94</v>
      </c>
      <c r="M382" s="4">
        <f t="shared" si="101"/>
        <v>47000</v>
      </c>
    </row>
    <row r="383" spans="1:13" x14ac:dyDescent="0.3">
      <c r="A383" s="1">
        <f t="shared" si="102"/>
        <v>381</v>
      </c>
      <c r="B383" s="1">
        <v>300</v>
      </c>
      <c r="C383" s="1">
        <f t="shared" si="103"/>
        <v>300</v>
      </c>
      <c r="D383" s="4">
        <v>9400</v>
      </c>
      <c r="E383" s="4">
        <f t="shared" si="94"/>
        <v>501</v>
      </c>
      <c r="F383" s="10">
        <f t="shared" si="95"/>
        <v>3.6199999999999664</v>
      </c>
      <c r="G383" s="9">
        <f t="shared" si="96"/>
        <v>47150</v>
      </c>
      <c r="I383" s="4">
        <f t="shared" si="97"/>
        <v>10000</v>
      </c>
      <c r="J383" s="17">
        <f t="shared" si="98"/>
        <v>0.03</v>
      </c>
      <c r="K383" s="17">
        <f t="shared" si="99"/>
        <v>0.03</v>
      </c>
      <c r="L383" s="17">
        <f t="shared" si="100"/>
        <v>0.94</v>
      </c>
      <c r="M383" s="4">
        <f t="shared" si="101"/>
        <v>47150</v>
      </c>
    </row>
    <row r="384" spans="1:13" x14ac:dyDescent="0.3">
      <c r="A384" s="1">
        <f t="shared" si="102"/>
        <v>382</v>
      </c>
      <c r="B384" s="1">
        <v>300</v>
      </c>
      <c r="C384" s="1">
        <f t="shared" si="103"/>
        <v>300</v>
      </c>
      <c r="D384" s="4">
        <v>9400</v>
      </c>
      <c r="E384" s="4">
        <f t="shared" si="94"/>
        <v>502</v>
      </c>
      <c r="F384" s="10">
        <f t="shared" si="95"/>
        <v>3.6299999999999661</v>
      </c>
      <c r="G384" s="9">
        <f t="shared" si="96"/>
        <v>47300</v>
      </c>
      <c r="I384" s="4">
        <f t="shared" si="97"/>
        <v>10000</v>
      </c>
      <c r="J384" s="17">
        <f t="shared" si="98"/>
        <v>0.03</v>
      </c>
      <c r="K384" s="17">
        <f t="shared" si="99"/>
        <v>0.03</v>
      </c>
      <c r="L384" s="17">
        <f t="shared" si="100"/>
        <v>0.94</v>
      </c>
      <c r="M384" s="4">
        <f t="shared" si="101"/>
        <v>47300</v>
      </c>
    </row>
    <row r="385" spans="1:13" x14ac:dyDescent="0.3">
      <c r="A385" s="1">
        <f t="shared" si="102"/>
        <v>383</v>
      </c>
      <c r="B385" s="1">
        <v>300</v>
      </c>
      <c r="C385" s="1">
        <f t="shared" si="103"/>
        <v>300</v>
      </c>
      <c r="D385" s="4">
        <v>9400</v>
      </c>
      <c r="E385" s="4">
        <f t="shared" si="94"/>
        <v>503</v>
      </c>
      <c r="F385" s="10">
        <f t="shared" si="95"/>
        <v>3.6399999999999659</v>
      </c>
      <c r="G385" s="9">
        <f t="shared" si="96"/>
        <v>47450</v>
      </c>
      <c r="I385" s="4">
        <f t="shared" si="97"/>
        <v>10000</v>
      </c>
      <c r="J385" s="17">
        <f t="shared" si="98"/>
        <v>0.03</v>
      </c>
      <c r="K385" s="17">
        <f t="shared" si="99"/>
        <v>0.03</v>
      </c>
      <c r="L385" s="17">
        <f t="shared" si="100"/>
        <v>0.94</v>
      </c>
      <c r="M385" s="4">
        <f t="shared" si="101"/>
        <v>47450</v>
      </c>
    </row>
    <row r="386" spans="1:13" x14ac:dyDescent="0.3">
      <c r="A386" s="1">
        <f t="shared" si="102"/>
        <v>384</v>
      </c>
      <c r="B386" s="1">
        <v>300</v>
      </c>
      <c r="C386" s="1">
        <f t="shared" si="103"/>
        <v>300</v>
      </c>
      <c r="D386" s="4">
        <v>9400</v>
      </c>
      <c r="E386" s="4">
        <f t="shared" si="94"/>
        <v>504</v>
      </c>
      <c r="F386" s="10">
        <f t="shared" si="95"/>
        <v>3.6499999999999657</v>
      </c>
      <c r="G386" s="9">
        <f t="shared" si="96"/>
        <v>47600</v>
      </c>
      <c r="I386" s="4">
        <f t="shared" si="97"/>
        <v>10000</v>
      </c>
      <c r="J386" s="17">
        <f t="shared" si="98"/>
        <v>0.03</v>
      </c>
      <c r="K386" s="17">
        <f t="shared" si="99"/>
        <v>0.03</v>
      </c>
      <c r="L386" s="17">
        <f t="shared" si="100"/>
        <v>0.94</v>
      </c>
      <c r="M386" s="4">
        <f t="shared" si="101"/>
        <v>47600</v>
      </c>
    </row>
    <row r="387" spans="1:13" x14ac:dyDescent="0.3">
      <c r="A387" s="1">
        <f t="shared" si="102"/>
        <v>385</v>
      </c>
      <c r="B387" s="1">
        <v>300</v>
      </c>
      <c r="C387" s="1">
        <f t="shared" si="103"/>
        <v>300</v>
      </c>
      <c r="D387" s="4">
        <v>9400</v>
      </c>
      <c r="E387" s="4">
        <f t="shared" si="94"/>
        <v>505</v>
      </c>
      <c r="F387" s="10">
        <f t="shared" si="95"/>
        <v>3.6599999999999655</v>
      </c>
      <c r="G387" s="9">
        <f t="shared" si="96"/>
        <v>47750</v>
      </c>
      <c r="I387" s="4">
        <f t="shared" si="97"/>
        <v>10000</v>
      </c>
      <c r="J387" s="17">
        <f t="shared" si="98"/>
        <v>0.03</v>
      </c>
      <c r="K387" s="17">
        <f t="shared" si="99"/>
        <v>0.03</v>
      </c>
      <c r="L387" s="17">
        <f t="shared" si="100"/>
        <v>0.94</v>
      </c>
      <c r="M387" s="4">
        <f t="shared" si="101"/>
        <v>47750</v>
      </c>
    </row>
    <row r="388" spans="1:13" x14ac:dyDescent="0.3">
      <c r="A388" s="1">
        <f t="shared" si="102"/>
        <v>386</v>
      </c>
      <c r="B388" s="1">
        <v>300</v>
      </c>
      <c r="C388" s="1">
        <f t="shared" si="103"/>
        <v>300</v>
      </c>
      <c r="D388" s="4">
        <v>9400</v>
      </c>
      <c r="E388" s="4">
        <f t="shared" si="94"/>
        <v>506</v>
      </c>
      <c r="F388" s="10">
        <f t="shared" si="95"/>
        <v>3.6699999999999653</v>
      </c>
      <c r="G388" s="9">
        <f t="shared" si="96"/>
        <v>47900</v>
      </c>
      <c r="I388" s="4">
        <f t="shared" si="97"/>
        <v>10000</v>
      </c>
      <c r="J388" s="17">
        <f t="shared" si="98"/>
        <v>0.03</v>
      </c>
      <c r="K388" s="17">
        <f t="shared" si="99"/>
        <v>0.03</v>
      </c>
      <c r="L388" s="17">
        <f t="shared" si="100"/>
        <v>0.94</v>
      </c>
      <c r="M388" s="4">
        <f t="shared" si="101"/>
        <v>47900</v>
      </c>
    </row>
    <row r="389" spans="1:13" x14ac:dyDescent="0.3">
      <c r="A389" s="1">
        <f t="shared" si="102"/>
        <v>387</v>
      </c>
      <c r="B389" s="1">
        <v>300</v>
      </c>
      <c r="C389" s="1">
        <f t="shared" si="103"/>
        <v>300</v>
      </c>
      <c r="D389" s="4">
        <v>9400</v>
      </c>
      <c r="E389" s="4">
        <f t="shared" si="94"/>
        <v>507</v>
      </c>
      <c r="F389" s="10">
        <f t="shared" si="95"/>
        <v>3.6799999999999651</v>
      </c>
      <c r="G389" s="9">
        <f t="shared" si="96"/>
        <v>48050</v>
      </c>
      <c r="I389" s="4">
        <f t="shared" si="97"/>
        <v>10000</v>
      </c>
      <c r="J389" s="17">
        <f t="shared" si="98"/>
        <v>0.03</v>
      </c>
      <c r="K389" s="17">
        <f t="shared" si="99"/>
        <v>0.03</v>
      </c>
      <c r="L389" s="17">
        <f t="shared" si="100"/>
        <v>0.94</v>
      </c>
      <c r="M389" s="4">
        <f t="shared" si="101"/>
        <v>48050</v>
      </c>
    </row>
    <row r="390" spans="1:13" x14ac:dyDescent="0.3">
      <c r="A390" s="1">
        <f t="shared" si="102"/>
        <v>388</v>
      </c>
      <c r="B390" s="1">
        <v>300</v>
      </c>
      <c r="C390" s="1">
        <f t="shared" si="103"/>
        <v>300</v>
      </c>
      <c r="D390" s="4">
        <v>9400</v>
      </c>
      <c r="E390" s="4">
        <f t="shared" si="94"/>
        <v>508</v>
      </c>
      <c r="F390" s="10">
        <f t="shared" si="95"/>
        <v>3.6899999999999649</v>
      </c>
      <c r="G390" s="9">
        <f t="shared" si="96"/>
        <v>48200</v>
      </c>
      <c r="I390" s="4">
        <f t="shared" si="97"/>
        <v>10000</v>
      </c>
      <c r="J390" s="17">
        <f t="shared" si="98"/>
        <v>0.03</v>
      </c>
      <c r="K390" s="17">
        <f t="shared" si="99"/>
        <v>0.03</v>
      </c>
      <c r="L390" s="17">
        <f t="shared" si="100"/>
        <v>0.94</v>
      </c>
      <c r="M390" s="4">
        <f t="shared" si="101"/>
        <v>48200</v>
      </c>
    </row>
    <row r="391" spans="1:13" x14ac:dyDescent="0.3">
      <c r="A391" s="1">
        <f t="shared" si="102"/>
        <v>389</v>
      </c>
      <c r="B391" s="1">
        <v>300</v>
      </c>
      <c r="C391" s="1">
        <f t="shared" si="103"/>
        <v>300</v>
      </c>
      <c r="D391" s="4">
        <v>9400</v>
      </c>
      <c r="E391" s="4">
        <f t="shared" si="94"/>
        <v>509</v>
      </c>
      <c r="F391" s="10">
        <f t="shared" si="95"/>
        <v>3.6999999999999647</v>
      </c>
      <c r="G391" s="9">
        <f t="shared" si="96"/>
        <v>48350</v>
      </c>
      <c r="I391" s="4">
        <f t="shared" si="97"/>
        <v>10000</v>
      </c>
      <c r="J391" s="17">
        <f t="shared" si="98"/>
        <v>0.03</v>
      </c>
      <c r="K391" s="17">
        <f t="shared" si="99"/>
        <v>0.03</v>
      </c>
      <c r="L391" s="17">
        <f t="shared" si="100"/>
        <v>0.94</v>
      </c>
      <c r="M391" s="4">
        <f t="shared" si="101"/>
        <v>48350</v>
      </c>
    </row>
    <row r="392" spans="1:13" x14ac:dyDescent="0.3">
      <c r="A392" s="1">
        <f t="shared" si="102"/>
        <v>390</v>
      </c>
      <c r="B392" s="1">
        <v>300</v>
      </c>
      <c r="C392" s="1">
        <f t="shared" si="103"/>
        <v>300</v>
      </c>
      <c r="D392" s="4">
        <v>9400</v>
      </c>
      <c r="E392" s="4">
        <f t="shared" si="94"/>
        <v>510</v>
      </c>
      <c r="F392" s="10">
        <f t="shared" si="95"/>
        <v>3.7099999999999644</v>
      </c>
      <c r="G392" s="9">
        <f t="shared" si="96"/>
        <v>48500</v>
      </c>
      <c r="I392" s="4">
        <f t="shared" si="97"/>
        <v>10000</v>
      </c>
      <c r="J392" s="17">
        <f t="shared" si="98"/>
        <v>0.03</v>
      </c>
      <c r="K392" s="17">
        <f t="shared" si="99"/>
        <v>0.03</v>
      </c>
      <c r="L392" s="17">
        <f t="shared" si="100"/>
        <v>0.94</v>
      </c>
      <c r="M392" s="4">
        <f t="shared" si="101"/>
        <v>48500</v>
      </c>
    </row>
    <row r="393" spans="1:13" x14ac:dyDescent="0.3">
      <c r="A393" s="1">
        <f t="shared" si="102"/>
        <v>391</v>
      </c>
      <c r="B393" s="1">
        <v>300</v>
      </c>
      <c r="C393" s="1">
        <f t="shared" si="103"/>
        <v>300</v>
      </c>
      <c r="D393" s="4">
        <v>9400</v>
      </c>
      <c r="E393" s="4">
        <f t="shared" si="94"/>
        <v>511</v>
      </c>
      <c r="F393" s="10">
        <f t="shared" si="95"/>
        <v>3.7199999999999642</v>
      </c>
      <c r="G393" s="9">
        <f t="shared" si="96"/>
        <v>48650</v>
      </c>
      <c r="I393" s="4">
        <f t="shared" si="97"/>
        <v>10000</v>
      </c>
      <c r="J393" s="17">
        <f t="shared" si="98"/>
        <v>0.03</v>
      </c>
      <c r="K393" s="17">
        <f t="shared" si="99"/>
        <v>0.03</v>
      </c>
      <c r="L393" s="17">
        <f t="shared" si="100"/>
        <v>0.94</v>
      </c>
      <c r="M393" s="4">
        <f t="shared" si="101"/>
        <v>48650</v>
      </c>
    </row>
    <row r="394" spans="1:13" x14ac:dyDescent="0.3">
      <c r="A394" s="1">
        <f t="shared" si="102"/>
        <v>392</v>
      </c>
      <c r="B394" s="1">
        <v>300</v>
      </c>
      <c r="C394" s="1">
        <f t="shared" si="103"/>
        <v>300</v>
      </c>
      <c r="D394" s="4">
        <v>9400</v>
      </c>
      <c r="E394" s="4">
        <f t="shared" si="94"/>
        <v>512</v>
      </c>
      <c r="F394" s="10">
        <f t="shared" si="95"/>
        <v>3.729999999999964</v>
      </c>
      <c r="G394" s="9">
        <f t="shared" si="96"/>
        <v>48800</v>
      </c>
      <c r="I394" s="4">
        <f t="shared" si="97"/>
        <v>10000</v>
      </c>
      <c r="J394" s="17">
        <f t="shared" si="98"/>
        <v>0.03</v>
      </c>
      <c r="K394" s="17">
        <f t="shared" si="99"/>
        <v>0.03</v>
      </c>
      <c r="L394" s="17">
        <f t="shared" si="100"/>
        <v>0.94</v>
      </c>
      <c r="M394" s="4">
        <f t="shared" si="101"/>
        <v>48800</v>
      </c>
    </row>
    <row r="395" spans="1:13" x14ac:dyDescent="0.3">
      <c r="A395" s="1">
        <f t="shared" si="102"/>
        <v>393</v>
      </c>
      <c r="B395" s="1">
        <v>300</v>
      </c>
      <c r="C395" s="1">
        <f t="shared" si="103"/>
        <v>300</v>
      </c>
      <c r="D395" s="4">
        <v>9400</v>
      </c>
      <c r="E395" s="4">
        <f t="shared" si="94"/>
        <v>513</v>
      </c>
      <c r="F395" s="10">
        <f t="shared" si="95"/>
        <v>3.7399999999999638</v>
      </c>
      <c r="G395" s="9">
        <f t="shared" si="96"/>
        <v>48950</v>
      </c>
      <c r="I395" s="4">
        <f t="shared" si="97"/>
        <v>10000</v>
      </c>
      <c r="J395" s="17">
        <f t="shared" si="98"/>
        <v>0.03</v>
      </c>
      <c r="K395" s="17">
        <f t="shared" si="99"/>
        <v>0.03</v>
      </c>
      <c r="L395" s="17">
        <f t="shared" si="100"/>
        <v>0.94</v>
      </c>
      <c r="M395" s="4">
        <f t="shared" si="101"/>
        <v>48950</v>
      </c>
    </row>
    <row r="396" spans="1:13" x14ac:dyDescent="0.3">
      <c r="A396" s="1">
        <f t="shared" si="102"/>
        <v>394</v>
      </c>
      <c r="B396" s="1">
        <v>300</v>
      </c>
      <c r="C396" s="1">
        <f t="shared" si="103"/>
        <v>300</v>
      </c>
      <c r="D396" s="4">
        <v>9400</v>
      </c>
      <c r="E396" s="4">
        <f t="shared" si="94"/>
        <v>514</v>
      </c>
      <c r="F396" s="10">
        <f t="shared" si="95"/>
        <v>3.7499999999999636</v>
      </c>
      <c r="G396" s="9">
        <f t="shared" si="96"/>
        <v>49100</v>
      </c>
      <c r="I396" s="4">
        <f t="shared" si="97"/>
        <v>10000</v>
      </c>
      <c r="J396" s="17">
        <f t="shared" si="98"/>
        <v>0.03</v>
      </c>
      <c r="K396" s="17">
        <f t="shared" si="99"/>
        <v>0.03</v>
      </c>
      <c r="L396" s="17">
        <f t="shared" si="100"/>
        <v>0.94</v>
      </c>
      <c r="M396" s="4">
        <f t="shared" si="101"/>
        <v>49100</v>
      </c>
    </row>
    <row r="397" spans="1:13" x14ac:dyDescent="0.3">
      <c r="A397" s="1">
        <f t="shared" si="102"/>
        <v>395</v>
      </c>
      <c r="B397" s="1">
        <v>300</v>
      </c>
      <c r="C397" s="1">
        <f t="shared" si="103"/>
        <v>300</v>
      </c>
      <c r="D397" s="4">
        <v>9400</v>
      </c>
      <c r="E397" s="4">
        <f t="shared" si="94"/>
        <v>515</v>
      </c>
      <c r="F397" s="10">
        <f t="shared" si="95"/>
        <v>3.7599999999999634</v>
      </c>
      <c r="G397" s="9">
        <f t="shared" si="96"/>
        <v>49250</v>
      </c>
      <c r="I397" s="4">
        <f t="shared" si="97"/>
        <v>10000</v>
      </c>
      <c r="J397" s="17">
        <f t="shared" si="98"/>
        <v>0.03</v>
      </c>
      <c r="K397" s="17">
        <f t="shared" si="99"/>
        <v>0.03</v>
      </c>
      <c r="L397" s="17">
        <f t="shared" si="100"/>
        <v>0.94</v>
      </c>
      <c r="M397" s="4">
        <f t="shared" si="101"/>
        <v>49250</v>
      </c>
    </row>
    <row r="398" spans="1:13" x14ac:dyDescent="0.3">
      <c r="A398" s="1">
        <f t="shared" si="102"/>
        <v>396</v>
      </c>
      <c r="B398" s="1">
        <v>300</v>
      </c>
      <c r="C398" s="1">
        <f t="shared" si="103"/>
        <v>300</v>
      </c>
      <c r="D398" s="4">
        <v>9400</v>
      </c>
      <c r="E398" s="4">
        <f t="shared" si="94"/>
        <v>516</v>
      </c>
      <c r="F398" s="10">
        <f t="shared" si="95"/>
        <v>3.7699999999999632</v>
      </c>
      <c r="G398" s="9">
        <f t="shared" si="96"/>
        <v>49400</v>
      </c>
      <c r="I398" s="4">
        <f t="shared" si="97"/>
        <v>10000</v>
      </c>
      <c r="J398" s="17">
        <f t="shared" si="98"/>
        <v>0.03</v>
      </c>
      <c r="K398" s="17">
        <f t="shared" si="99"/>
        <v>0.03</v>
      </c>
      <c r="L398" s="17">
        <f t="shared" si="100"/>
        <v>0.94</v>
      </c>
      <c r="M398" s="4">
        <f t="shared" si="101"/>
        <v>49400</v>
      </c>
    </row>
    <row r="399" spans="1:13" x14ac:dyDescent="0.3">
      <c r="A399" s="1">
        <f t="shared" si="102"/>
        <v>397</v>
      </c>
      <c r="B399" s="1">
        <v>300</v>
      </c>
      <c r="C399" s="1">
        <f t="shared" si="103"/>
        <v>300</v>
      </c>
      <c r="D399" s="4">
        <v>9400</v>
      </c>
      <c r="E399" s="4">
        <f t="shared" si="94"/>
        <v>517</v>
      </c>
      <c r="F399" s="10">
        <f t="shared" si="95"/>
        <v>3.7799999999999629</v>
      </c>
      <c r="G399" s="9">
        <f t="shared" si="96"/>
        <v>49550</v>
      </c>
      <c r="I399" s="4">
        <f t="shared" si="97"/>
        <v>10000</v>
      </c>
      <c r="J399" s="17">
        <f t="shared" si="98"/>
        <v>0.03</v>
      </c>
      <c r="K399" s="17">
        <f t="shared" si="99"/>
        <v>0.03</v>
      </c>
      <c r="L399" s="17">
        <f t="shared" si="100"/>
        <v>0.94</v>
      </c>
      <c r="M399" s="4">
        <f t="shared" si="101"/>
        <v>49550</v>
      </c>
    </row>
    <row r="400" spans="1:13" x14ac:dyDescent="0.3">
      <c r="A400" s="1">
        <f t="shared" si="102"/>
        <v>398</v>
      </c>
      <c r="B400" s="1">
        <v>300</v>
      </c>
      <c r="C400" s="1">
        <f t="shared" si="103"/>
        <v>300</v>
      </c>
      <c r="D400" s="4">
        <v>9400</v>
      </c>
      <c r="E400" s="4">
        <f t="shared" si="94"/>
        <v>518</v>
      </c>
      <c r="F400" s="10">
        <f t="shared" si="95"/>
        <v>3.7899999999999627</v>
      </c>
      <c r="G400" s="9">
        <f t="shared" si="96"/>
        <v>49700</v>
      </c>
      <c r="I400" s="4">
        <f t="shared" si="97"/>
        <v>10000</v>
      </c>
      <c r="J400" s="17">
        <f t="shared" si="98"/>
        <v>0.03</v>
      </c>
      <c r="K400" s="17">
        <f t="shared" si="99"/>
        <v>0.03</v>
      </c>
      <c r="L400" s="17">
        <f t="shared" si="100"/>
        <v>0.94</v>
      </c>
      <c r="M400" s="4">
        <f t="shared" si="101"/>
        <v>49700</v>
      </c>
    </row>
    <row r="401" spans="1:13" x14ac:dyDescent="0.3">
      <c r="A401" s="1">
        <f t="shared" si="102"/>
        <v>399</v>
      </c>
      <c r="B401" s="1">
        <v>300</v>
      </c>
      <c r="C401" s="1">
        <f t="shared" si="103"/>
        <v>300</v>
      </c>
      <c r="D401" s="4">
        <v>9400</v>
      </c>
      <c r="E401" s="4">
        <f t="shared" si="94"/>
        <v>519</v>
      </c>
      <c r="F401" s="10">
        <f t="shared" si="95"/>
        <v>3.7999999999999625</v>
      </c>
      <c r="G401" s="9">
        <f t="shared" si="96"/>
        <v>49850</v>
      </c>
      <c r="I401" s="4">
        <f t="shared" si="97"/>
        <v>10000</v>
      </c>
      <c r="J401" s="17">
        <f t="shared" si="98"/>
        <v>0.03</v>
      </c>
      <c r="K401" s="17">
        <f t="shared" si="99"/>
        <v>0.03</v>
      </c>
      <c r="L401" s="17">
        <f t="shared" si="100"/>
        <v>0.94</v>
      </c>
      <c r="M401" s="4">
        <f t="shared" si="101"/>
        <v>49850</v>
      </c>
    </row>
    <row r="402" spans="1:13" x14ac:dyDescent="0.3">
      <c r="A402" s="1">
        <f t="shared" si="102"/>
        <v>400</v>
      </c>
      <c r="B402" s="1">
        <v>300</v>
      </c>
      <c r="C402" s="1">
        <f t="shared" si="103"/>
        <v>300</v>
      </c>
      <c r="D402" s="4">
        <v>9400</v>
      </c>
      <c r="E402" s="4">
        <f t="shared" si="94"/>
        <v>520</v>
      </c>
      <c r="F402" s="10">
        <f t="shared" si="95"/>
        <v>3.8099999999999623</v>
      </c>
      <c r="G402" s="9">
        <f t="shared" si="96"/>
        <v>50000</v>
      </c>
      <c r="I402" s="4">
        <f t="shared" si="97"/>
        <v>10000</v>
      </c>
      <c r="J402" s="17">
        <f t="shared" si="98"/>
        <v>0.03</v>
      </c>
      <c r="K402" s="17">
        <f t="shared" si="99"/>
        <v>0.03</v>
      </c>
      <c r="L402" s="17">
        <f t="shared" si="100"/>
        <v>0.94</v>
      </c>
      <c r="M402" s="4">
        <f t="shared" si="101"/>
        <v>50000</v>
      </c>
    </row>
    <row r="403" spans="1:13" x14ac:dyDescent="0.3">
      <c r="A403" s="1">
        <f t="shared" si="102"/>
        <v>401</v>
      </c>
      <c r="B403" s="1">
        <v>200</v>
      </c>
      <c r="C403" s="1">
        <f t="shared" si="103"/>
        <v>290</v>
      </c>
      <c r="D403" s="4">
        <v>9510</v>
      </c>
      <c r="E403" s="4">
        <f t="shared" si="94"/>
        <v>521</v>
      </c>
      <c r="F403" s="10">
        <f t="shared" si="95"/>
        <v>3.8199999999999621</v>
      </c>
      <c r="G403" s="9">
        <f t="shared" si="96"/>
        <v>50150</v>
      </c>
      <c r="I403" s="4">
        <f t="shared" si="97"/>
        <v>10000</v>
      </c>
      <c r="J403" s="17">
        <f t="shared" si="98"/>
        <v>0.02</v>
      </c>
      <c r="K403" s="17">
        <f t="shared" si="99"/>
        <v>2.9000000000000001E-2</v>
      </c>
      <c r="L403" s="17">
        <f t="shared" si="100"/>
        <v>0.95099999999999996</v>
      </c>
      <c r="M403" s="4">
        <f t="shared" si="101"/>
        <v>50150</v>
      </c>
    </row>
    <row r="404" spans="1:13" x14ac:dyDescent="0.3">
      <c r="A404" s="1">
        <f t="shared" si="102"/>
        <v>402</v>
      </c>
      <c r="B404" s="1">
        <v>200</v>
      </c>
      <c r="C404" s="1">
        <f t="shared" si="103"/>
        <v>280</v>
      </c>
      <c r="D404" s="4">
        <f t="shared" ref="D404:D422" si="104">D403+10</f>
        <v>9520</v>
      </c>
      <c r="E404" s="4">
        <f t="shared" si="94"/>
        <v>522</v>
      </c>
      <c r="F404" s="10">
        <f t="shared" si="95"/>
        <v>3.8299999999999619</v>
      </c>
      <c r="G404" s="9">
        <f t="shared" si="96"/>
        <v>50300</v>
      </c>
      <c r="I404" s="4">
        <f t="shared" si="97"/>
        <v>10000</v>
      </c>
      <c r="J404" s="17">
        <f t="shared" si="98"/>
        <v>0.02</v>
      </c>
      <c r="K404" s="17">
        <f t="shared" si="99"/>
        <v>2.8000000000000001E-2</v>
      </c>
      <c r="L404" s="17">
        <f t="shared" si="100"/>
        <v>0.95199999999999996</v>
      </c>
      <c r="M404" s="4">
        <f t="shared" si="101"/>
        <v>50300</v>
      </c>
    </row>
    <row r="405" spans="1:13" x14ac:dyDescent="0.3">
      <c r="A405" s="1">
        <f t="shared" si="102"/>
        <v>403</v>
      </c>
      <c r="B405" s="1">
        <v>200</v>
      </c>
      <c r="C405" s="1">
        <f t="shared" si="103"/>
        <v>270</v>
      </c>
      <c r="D405" s="4">
        <f t="shared" si="104"/>
        <v>9530</v>
      </c>
      <c r="E405" s="4">
        <f t="shared" si="94"/>
        <v>523</v>
      </c>
      <c r="F405" s="10">
        <f t="shared" si="95"/>
        <v>3.8399999999999617</v>
      </c>
      <c r="G405" s="9">
        <f t="shared" si="96"/>
        <v>50450</v>
      </c>
      <c r="I405" s="4">
        <f t="shared" si="97"/>
        <v>10000</v>
      </c>
      <c r="J405" s="17">
        <f t="shared" si="98"/>
        <v>0.02</v>
      </c>
      <c r="K405" s="17">
        <f t="shared" si="99"/>
        <v>2.7E-2</v>
      </c>
      <c r="L405" s="17">
        <f t="shared" si="100"/>
        <v>0.95299999999999996</v>
      </c>
      <c r="M405" s="4">
        <f t="shared" si="101"/>
        <v>50450</v>
      </c>
    </row>
    <row r="406" spans="1:13" x14ac:dyDescent="0.3">
      <c r="A406" s="1">
        <f t="shared" si="102"/>
        <v>404</v>
      </c>
      <c r="B406" s="1">
        <v>200</v>
      </c>
      <c r="C406" s="1">
        <f t="shared" si="103"/>
        <v>260</v>
      </c>
      <c r="D406" s="4">
        <f t="shared" si="104"/>
        <v>9540</v>
      </c>
      <c r="E406" s="4">
        <f t="shared" si="94"/>
        <v>524</v>
      </c>
      <c r="F406" s="10">
        <f t="shared" si="95"/>
        <v>3.8499999999999615</v>
      </c>
      <c r="G406" s="9">
        <f t="shared" si="96"/>
        <v>50600</v>
      </c>
      <c r="I406" s="4">
        <f t="shared" si="97"/>
        <v>10000</v>
      </c>
      <c r="J406" s="17">
        <f t="shared" si="98"/>
        <v>0.02</v>
      </c>
      <c r="K406" s="17">
        <f t="shared" si="99"/>
        <v>2.5999999999999999E-2</v>
      </c>
      <c r="L406" s="17">
        <f t="shared" si="100"/>
        <v>0.95399999999999996</v>
      </c>
      <c r="M406" s="4">
        <f t="shared" si="101"/>
        <v>50600</v>
      </c>
    </row>
    <row r="407" spans="1:13" x14ac:dyDescent="0.3">
      <c r="A407" s="1">
        <f t="shared" si="102"/>
        <v>405</v>
      </c>
      <c r="B407" s="1">
        <v>200</v>
      </c>
      <c r="C407" s="1">
        <f t="shared" si="103"/>
        <v>250</v>
      </c>
      <c r="D407" s="4">
        <f t="shared" si="104"/>
        <v>9550</v>
      </c>
      <c r="E407" s="4">
        <f t="shared" si="94"/>
        <v>525</v>
      </c>
      <c r="F407" s="10">
        <f t="shared" si="95"/>
        <v>3.8599999999999612</v>
      </c>
      <c r="G407" s="9">
        <f t="shared" si="96"/>
        <v>50750</v>
      </c>
      <c r="I407" s="4">
        <f t="shared" si="97"/>
        <v>10000</v>
      </c>
      <c r="J407" s="17">
        <f t="shared" si="98"/>
        <v>0.02</v>
      </c>
      <c r="K407" s="17">
        <f t="shared" si="99"/>
        <v>2.5000000000000001E-2</v>
      </c>
      <c r="L407" s="17">
        <f t="shared" si="100"/>
        <v>0.95499999999999996</v>
      </c>
      <c r="M407" s="4">
        <f t="shared" si="101"/>
        <v>50750</v>
      </c>
    </row>
    <row r="408" spans="1:13" x14ac:dyDescent="0.3">
      <c r="A408" s="1">
        <f t="shared" si="102"/>
        <v>406</v>
      </c>
      <c r="B408" s="1">
        <v>200</v>
      </c>
      <c r="C408" s="1">
        <f t="shared" si="103"/>
        <v>240</v>
      </c>
      <c r="D408" s="4">
        <f t="shared" si="104"/>
        <v>9560</v>
      </c>
      <c r="E408" s="4">
        <f t="shared" si="94"/>
        <v>526</v>
      </c>
      <c r="F408" s="10">
        <f t="shared" si="95"/>
        <v>3.869999999999961</v>
      </c>
      <c r="G408" s="9">
        <f t="shared" si="96"/>
        <v>50900</v>
      </c>
      <c r="I408" s="4">
        <f t="shared" si="97"/>
        <v>10000</v>
      </c>
      <c r="J408" s="17">
        <f t="shared" si="98"/>
        <v>0.02</v>
      </c>
      <c r="K408" s="17">
        <f t="shared" si="99"/>
        <v>2.4E-2</v>
      </c>
      <c r="L408" s="17">
        <f t="shared" si="100"/>
        <v>0.95599999999999996</v>
      </c>
      <c r="M408" s="4">
        <f t="shared" si="101"/>
        <v>50900</v>
      </c>
    </row>
    <row r="409" spans="1:13" x14ac:dyDescent="0.3">
      <c r="A409" s="1">
        <f t="shared" si="102"/>
        <v>407</v>
      </c>
      <c r="B409" s="1">
        <v>200</v>
      </c>
      <c r="C409" s="1">
        <f t="shared" si="103"/>
        <v>230</v>
      </c>
      <c r="D409" s="4">
        <f t="shared" si="104"/>
        <v>9570</v>
      </c>
      <c r="E409" s="4">
        <f t="shared" si="94"/>
        <v>527</v>
      </c>
      <c r="F409" s="10">
        <f t="shared" si="95"/>
        <v>3.8799999999999608</v>
      </c>
      <c r="G409" s="9">
        <f t="shared" si="96"/>
        <v>51050</v>
      </c>
      <c r="I409" s="4">
        <f t="shared" si="97"/>
        <v>10000</v>
      </c>
      <c r="J409" s="17">
        <f t="shared" si="98"/>
        <v>0.02</v>
      </c>
      <c r="K409" s="17">
        <f t="shared" si="99"/>
        <v>2.3E-2</v>
      </c>
      <c r="L409" s="17">
        <f t="shared" si="100"/>
        <v>0.95699999999999996</v>
      </c>
      <c r="M409" s="4">
        <f t="shared" si="101"/>
        <v>51050</v>
      </c>
    </row>
    <row r="410" spans="1:13" x14ac:dyDescent="0.3">
      <c r="A410" s="1">
        <f t="shared" si="102"/>
        <v>408</v>
      </c>
      <c r="B410" s="1">
        <v>200</v>
      </c>
      <c r="C410" s="1">
        <f t="shared" si="103"/>
        <v>220</v>
      </c>
      <c r="D410" s="4">
        <f t="shared" si="104"/>
        <v>9580</v>
      </c>
      <c r="E410" s="4">
        <f t="shared" ref="E410:E473" si="105">E409+1</f>
        <v>528</v>
      </c>
      <c r="F410" s="10">
        <f t="shared" ref="F410:F473" si="106">F409+0.01</f>
        <v>3.8899999999999606</v>
      </c>
      <c r="G410" s="9">
        <f t="shared" ref="G410:G473" si="107">G409+150</f>
        <v>51200</v>
      </c>
      <c r="I410" s="4">
        <f t="shared" ref="I410:I473" si="108">SUM(B410:D410)</f>
        <v>10000</v>
      </c>
      <c r="J410" s="17">
        <f t="shared" ref="J410:J473" si="109">B410/10000</f>
        <v>0.02</v>
      </c>
      <c r="K410" s="17">
        <f t="shared" ref="K410:K473" si="110">C410/10000</f>
        <v>2.1999999999999999E-2</v>
      </c>
      <c r="L410" s="17">
        <f t="shared" ref="L410:L473" si="111">D410/10000</f>
        <v>0.95799999999999996</v>
      </c>
      <c r="M410" s="4">
        <f t="shared" ref="M410:M473" si="112">G410</f>
        <v>51200</v>
      </c>
    </row>
    <row r="411" spans="1:13" x14ac:dyDescent="0.3">
      <c r="A411" s="1">
        <f t="shared" si="102"/>
        <v>409</v>
      </c>
      <c r="B411" s="1">
        <v>200</v>
      </c>
      <c r="C411" s="1">
        <f t="shared" si="103"/>
        <v>210</v>
      </c>
      <c r="D411" s="4">
        <f t="shared" si="104"/>
        <v>9590</v>
      </c>
      <c r="E411" s="4">
        <f t="shared" si="105"/>
        <v>529</v>
      </c>
      <c r="F411" s="10">
        <f t="shared" si="106"/>
        <v>3.8999999999999604</v>
      </c>
      <c r="G411" s="9">
        <f t="shared" si="107"/>
        <v>51350</v>
      </c>
      <c r="I411" s="4">
        <f t="shared" si="108"/>
        <v>10000</v>
      </c>
      <c r="J411" s="17">
        <f t="shared" si="109"/>
        <v>0.02</v>
      </c>
      <c r="K411" s="17">
        <f t="shared" si="110"/>
        <v>2.1000000000000001E-2</v>
      </c>
      <c r="L411" s="17">
        <f t="shared" si="111"/>
        <v>0.95899999999999996</v>
      </c>
      <c r="M411" s="4">
        <f t="shared" si="112"/>
        <v>51350</v>
      </c>
    </row>
    <row r="412" spans="1:13" x14ac:dyDescent="0.3">
      <c r="A412" s="1">
        <f t="shared" si="102"/>
        <v>410</v>
      </c>
      <c r="B412" s="1">
        <v>200</v>
      </c>
      <c r="C412" s="1">
        <f t="shared" si="103"/>
        <v>200</v>
      </c>
      <c r="D412" s="4">
        <f t="shared" si="104"/>
        <v>9600</v>
      </c>
      <c r="E412" s="4">
        <f t="shared" si="105"/>
        <v>530</v>
      </c>
      <c r="F412" s="10">
        <f t="shared" si="106"/>
        <v>3.9099999999999602</v>
      </c>
      <c r="G412" s="9">
        <f t="shared" si="107"/>
        <v>51500</v>
      </c>
      <c r="I412" s="4">
        <f t="shared" si="108"/>
        <v>10000</v>
      </c>
      <c r="J412" s="17">
        <f t="shared" si="109"/>
        <v>0.02</v>
      </c>
      <c r="K412" s="17">
        <f t="shared" si="110"/>
        <v>0.02</v>
      </c>
      <c r="L412" s="17">
        <f t="shared" si="111"/>
        <v>0.96</v>
      </c>
      <c r="M412" s="4">
        <f t="shared" si="112"/>
        <v>51500</v>
      </c>
    </row>
    <row r="413" spans="1:13" x14ac:dyDescent="0.3">
      <c r="A413" s="1">
        <f t="shared" si="102"/>
        <v>411</v>
      </c>
      <c r="B413" s="1">
        <v>200</v>
      </c>
      <c r="C413" s="1">
        <f t="shared" si="103"/>
        <v>200</v>
      </c>
      <c r="D413" s="4">
        <v>9600</v>
      </c>
      <c r="E413" s="4">
        <f t="shared" si="105"/>
        <v>531</v>
      </c>
      <c r="F413" s="10">
        <f t="shared" si="106"/>
        <v>3.91999999999996</v>
      </c>
      <c r="G413" s="9">
        <f t="shared" si="107"/>
        <v>51650</v>
      </c>
      <c r="I413" s="4">
        <f t="shared" si="108"/>
        <v>10000</v>
      </c>
      <c r="J413" s="17">
        <f t="shared" si="109"/>
        <v>0.02</v>
      </c>
      <c r="K413" s="17">
        <f t="shared" si="110"/>
        <v>0.02</v>
      </c>
      <c r="L413" s="17">
        <f t="shared" si="111"/>
        <v>0.96</v>
      </c>
      <c r="M413" s="4">
        <f t="shared" si="112"/>
        <v>51650</v>
      </c>
    </row>
    <row r="414" spans="1:13" x14ac:dyDescent="0.3">
      <c r="A414" s="1">
        <f t="shared" si="102"/>
        <v>412</v>
      </c>
      <c r="B414" s="1">
        <v>200</v>
      </c>
      <c r="C414" s="1">
        <f t="shared" si="103"/>
        <v>200</v>
      </c>
      <c r="D414" s="4">
        <v>9600</v>
      </c>
      <c r="E414" s="4">
        <f t="shared" si="105"/>
        <v>532</v>
      </c>
      <c r="F414" s="10">
        <f t="shared" si="106"/>
        <v>3.9299999999999597</v>
      </c>
      <c r="G414" s="9">
        <f t="shared" si="107"/>
        <v>51800</v>
      </c>
      <c r="I414" s="4">
        <f t="shared" si="108"/>
        <v>10000</v>
      </c>
      <c r="J414" s="17">
        <f t="shared" si="109"/>
        <v>0.02</v>
      </c>
      <c r="K414" s="17">
        <f t="shared" si="110"/>
        <v>0.02</v>
      </c>
      <c r="L414" s="17">
        <f t="shared" si="111"/>
        <v>0.96</v>
      </c>
      <c r="M414" s="4">
        <f t="shared" si="112"/>
        <v>51800</v>
      </c>
    </row>
    <row r="415" spans="1:13" x14ac:dyDescent="0.3">
      <c r="A415" s="1">
        <f t="shared" ref="A415:A478" si="113">A414+1</f>
        <v>413</v>
      </c>
      <c r="B415" s="1">
        <v>200</v>
      </c>
      <c r="C415" s="1">
        <f t="shared" si="103"/>
        <v>200</v>
      </c>
      <c r="D415" s="4">
        <v>9600</v>
      </c>
      <c r="E415" s="4">
        <f t="shared" si="105"/>
        <v>533</v>
      </c>
      <c r="F415" s="10">
        <f t="shared" si="106"/>
        <v>3.9399999999999595</v>
      </c>
      <c r="G415" s="9">
        <f t="shared" si="107"/>
        <v>51950</v>
      </c>
      <c r="I415" s="4">
        <f t="shared" si="108"/>
        <v>10000</v>
      </c>
      <c r="J415" s="17">
        <f t="shared" si="109"/>
        <v>0.02</v>
      </c>
      <c r="K415" s="17">
        <f t="shared" si="110"/>
        <v>0.02</v>
      </c>
      <c r="L415" s="17">
        <f t="shared" si="111"/>
        <v>0.96</v>
      </c>
      <c r="M415" s="4">
        <f t="shared" si="112"/>
        <v>51950</v>
      </c>
    </row>
    <row r="416" spans="1:13" x14ac:dyDescent="0.3">
      <c r="A416" s="1">
        <f t="shared" si="113"/>
        <v>414</v>
      </c>
      <c r="B416" s="1">
        <v>200</v>
      </c>
      <c r="C416" s="1">
        <f t="shared" si="103"/>
        <v>200</v>
      </c>
      <c r="D416" s="4">
        <v>9600</v>
      </c>
      <c r="E416" s="4">
        <f t="shared" si="105"/>
        <v>534</v>
      </c>
      <c r="F416" s="10">
        <f t="shared" si="106"/>
        <v>3.9499999999999593</v>
      </c>
      <c r="G416" s="9">
        <f t="shared" si="107"/>
        <v>52100</v>
      </c>
      <c r="I416" s="4">
        <f t="shared" si="108"/>
        <v>10000</v>
      </c>
      <c r="J416" s="17">
        <f t="shared" si="109"/>
        <v>0.02</v>
      </c>
      <c r="K416" s="17">
        <f t="shared" si="110"/>
        <v>0.02</v>
      </c>
      <c r="L416" s="17">
        <f t="shared" si="111"/>
        <v>0.96</v>
      </c>
      <c r="M416" s="4">
        <f t="shared" si="112"/>
        <v>52100</v>
      </c>
    </row>
    <row r="417" spans="1:13" x14ac:dyDescent="0.3">
      <c r="A417" s="1">
        <f t="shared" si="113"/>
        <v>415</v>
      </c>
      <c r="B417" s="1">
        <v>200</v>
      </c>
      <c r="C417" s="1">
        <f t="shared" si="103"/>
        <v>200</v>
      </c>
      <c r="D417" s="4">
        <v>9600</v>
      </c>
      <c r="E417" s="4">
        <f t="shared" si="105"/>
        <v>535</v>
      </c>
      <c r="F417" s="10">
        <f t="shared" si="106"/>
        <v>3.9599999999999591</v>
      </c>
      <c r="G417" s="9">
        <f t="shared" si="107"/>
        <v>52250</v>
      </c>
      <c r="I417" s="4">
        <f t="shared" si="108"/>
        <v>10000</v>
      </c>
      <c r="J417" s="17">
        <f t="shared" si="109"/>
        <v>0.02</v>
      </c>
      <c r="K417" s="17">
        <f t="shared" si="110"/>
        <v>0.02</v>
      </c>
      <c r="L417" s="17">
        <f t="shared" si="111"/>
        <v>0.96</v>
      </c>
      <c r="M417" s="4">
        <f t="shared" si="112"/>
        <v>52250</v>
      </c>
    </row>
    <row r="418" spans="1:13" x14ac:dyDescent="0.3">
      <c r="A418" s="1">
        <f t="shared" si="113"/>
        <v>416</v>
      </c>
      <c r="B418" s="1">
        <v>200</v>
      </c>
      <c r="C418" s="1">
        <f t="shared" ref="C418:C481" si="114">10000-B418-D418</f>
        <v>200</v>
      </c>
      <c r="D418" s="4">
        <v>9600</v>
      </c>
      <c r="E418" s="4">
        <f t="shared" si="105"/>
        <v>536</v>
      </c>
      <c r="F418" s="10">
        <f t="shared" si="106"/>
        <v>3.9699999999999589</v>
      </c>
      <c r="G418" s="9">
        <f t="shared" si="107"/>
        <v>52400</v>
      </c>
      <c r="I418" s="4">
        <f t="shared" si="108"/>
        <v>10000</v>
      </c>
      <c r="J418" s="17">
        <f t="shared" si="109"/>
        <v>0.02</v>
      </c>
      <c r="K418" s="17">
        <f t="shared" si="110"/>
        <v>0.02</v>
      </c>
      <c r="L418" s="17">
        <f t="shared" si="111"/>
        <v>0.96</v>
      </c>
      <c r="M418" s="4">
        <f t="shared" si="112"/>
        <v>52400</v>
      </c>
    </row>
    <row r="419" spans="1:13" x14ac:dyDescent="0.3">
      <c r="A419" s="1">
        <f t="shared" si="113"/>
        <v>417</v>
      </c>
      <c r="B419" s="1">
        <v>200</v>
      </c>
      <c r="C419" s="1">
        <f t="shared" si="114"/>
        <v>200</v>
      </c>
      <c r="D419" s="4">
        <v>9600</v>
      </c>
      <c r="E419" s="4">
        <f t="shared" si="105"/>
        <v>537</v>
      </c>
      <c r="F419" s="10">
        <f t="shared" si="106"/>
        <v>3.9799999999999587</v>
      </c>
      <c r="G419" s="9">
        <f t="shared" si="107"/>
        <v>52550</v>
      </c>
      <c r="I419" s="4">
        <f t="shared" si="108"/>
        <v>10000</v>
      </c>
      <c r="J419" s="17">
        <f t="shared" si="109"/>
        <v>0.02</v>
      </c>
      <c r="K419" s="17">
        <f t="shared" si="110"/>
        <v>0.02</v>
      </c>
      <c r="L419" s="17">
        <f t="shared" si="111"/>
        <v>0.96</v>
      </c>
      <c r="M419" s="4">
        <f t="shared" si="112"/>
        <v>52550</v>
      </c>
    </row>
    <row r="420" spans="1:13" x14ac:dyDescent="0.3">
      <c r="A420" s="1">
        <f t="shared" si="113"/>
        <v>418</v>
      </c>
      <c r="B420" s="1">
        <v>200</v>
      </c>
      <c r="C420" s="1">
        <f t="shared" si="114"/>
        <v>200</v>
      </c>
      <c r="D420" s="4">
        <v>9600</v>
      </c>
      <c r="E420" s="4">
        <f t="shared" si="105"/>
        <v>538</v>
      </c>
      <c r="F420" s="10">
        <f t="shared" si="106"/>
        <v>3.9899999999999585</v>
      </c>
      <c r="G420" s="9">
        <f t="shared" si="107"/>
        <v>52700</v>
      </c>
      <c r="I420" s="4">
        <f t="shared" si="108"/>
        <v>10000</v>
      </c>
      <c r="J420" s="17">
        <f t="shared" si="109"/>
        <v>0.02</v>
      </c>
      <c r="K420" s="17">
        <f t="shared" si="110"/>
        <v>0.02</v>
      </c>
      <c r="L420" s="17">
        <f t="shared" si="111"/>
        <v>0.96</v>
      </c>
      <c r="M420" s="4">
        <f t="shared" si="112"/>
        <v>52700</v>
      </c>
    </row>
    <row r="421" spans="1:13" x14ac:dyDescent="0.3">
      <c r="A421" s="1">
        <f t="shared" si="113"/>
        <v>419</v>
      </c>
      <c r="B421" s="1">
        <v>200</v>
      </c>
      <c r="C421" s="1">
        <f t="shared" si="114"/>
        <v>200</v>
      </c>
      <c r="D421" s="4">
        <v>9600</v>
      </c>
      <c r="E421" s="4">
        <f t="shared" si="105"/>
        <v>539</v>
      </c>
      <c r="F421" s="10">
        <f t="shared" si="106"/>
        <v>3.9999999999999583</v>
      </c>
      <c r="G421" s="9">
        <f t="shared" si="107"/>
        <v>52850</v>
      </c>
      <c r="I421" s="4">
        <f t="shared" si="108"/>
        <v>10000</v>
      </c>
      <c r="J421" s="17">
        <f t="shared" si="109"/>
        <v>0.02</v>
      </c>
      <c r="K421" s="17">
        <f t="shared" si="110"/>
        <v>0.02</v>
      </c>
      <c r="L421" s="17">
        <f t="shared" si="111"/>
        <v>0.96</v>
      </c>
      <c r="M421" s="4">
        <f t="shared" si="112"/>
        <v>52850</v>
      </c>
    </row>
    <row r="422" spans="1:13" x14ac:dyDescent="0.3">
      <c r="A422" s="1">
        <f t="shared" si="113"/>
        <v>420</v>
      </c>
      <c r="B422" s="1">
        <v>200</v>
      </c>
      <c r="C422" s="1">
        <f t="shared" si="114"/>
        <v>200</v>
      </c>
      <c r="D422" s="4">
        <v>9600</v>
      </c>
      <c r="E422" s="4">
        <f t="shared" si="105"/>
        <v>540</v>
      </c>
      <c r="F422" s="10">
        <f t="shared" si="106"/>
        <v>4.009999999999958</v>
      </c>
      <c r="G422" s="9">
        <f t="shared" si="107"/>
        <v>53000</v>
      </c>
      <c r="I422" s="4">
        <f t="shared" si="108"/>
        <v>10000</v>
      </c>
      <c r="J422" s="17">
        <f t="shared" si="109"/>
        <v>0.02</v>
      </c>
      <c r="K422" s="17">
        <f t="shared" si="110"/>
        <v>0.02</v>
      </c>
      <c r="L422" s="17">
        <f t="shared" si="111"/>
        <v>0.96</v>
      </c>
      <c r="M422" s="4">
        <f t="shared" si="112"/>
        <v>53000</v>
      </c>
    </row>
    <row r="423" spans="1:13" x14ac:dyDescent="0.3">
      <c r="A423" s="1">
        <f t="shared" si="113"/>
        <v>421</v>
      </c>
      <c r="B423" s="1">
        <v>200</v>
      </c>
      <c r="C423" s="1">
        <f t="shared" si="114"/>
        <v>200</v>
      </c>
      <c r="D423" s="4">
        <v>9600</v>
      </c>
      <c r="E423" s="4">
        <f t="shared" si="105"/>
        <v>541</v>
      </c>
      <c r="F423" s="10">
        <f t="shared" si="106"/>
        <v>4.0199999999999578</v>
      </c>
      <c r="G423" s="9">
        <f t="shared" si="107"/>
        <v>53150</v>
      </c>
      <c r="I423" s="4">
        <f t="shared" si="108"/>
        <v>10000</v>
      </c>
      <c r="J423" s="17">
        <f t="shared" si="109"/>
        <v>0.02</v>
      </c>
      <c r="K423" s="17">
        <f t="shared" si="110"/>
        <v>0.02</v>
      </c>
      <c r="L423" s="17">
        <f t="shared" si="111"/>
        <v>0.96</v>
      </c>
      <c r="M423" s="4">
        <f t="shared" si="112"/>
        <v>53150</v>
      </c>
    </row>
    <row r="424" spans="1:13" x14ac:dyDescent="0.3">
      <c r="A424" s="1">
        <f t="shared" si="113"/>
        <v>422</v>
      </c>
      <c r="B424" s="1">
        <v>200</v>
      </c>
      <c r="C424" s="1">
        <f t="shared" si="114"/>
        <v>200</v>
      </c>
      <c r="D424" s="4">
        <v>9600</v>
      </c>
      <c r="E424" s="4">
        <f t="shared" si="105"/>
        <v>542</v>
      </c>
      <c r="F424" s="10">
        <f t="shared" si="106"/>
        <v>4.0299999999999576</v>
      </c>
      <c r="G424" s="9">
        <f t="shared" si="107"/>
        <v>53300</v>
      </c>
      <c r="I424" s="4">
        <f t="shared" si="108"/>
        <v>10000</v>
      </c>
      <c r="J424" s="17">
        <f t="shared" si="109"/>
        <v>0.02</v>
      </c>
      <c r="K424" s="17">
        <f t="shared" si="110"/>
        <v>0.02</v>
      </c>
      <c r="L424" s="17">
        <f t="shared" si="111"/>
        <v>0.96</v>
      </c>
      <c r="M424" s="4">
        <f t="shared" si="112"/>
        <v>53300</v>
      </c>
    </row>
    <row r="425" spans="1:13" x14ac:dyDescent="0.3">
      <c r="A425" s="1">
        <f t="shared" si="113"/>
        <v>423</v>
      </c>
      <c r="B425" s="1">
        <v>200</v>
      </c>
      <c r="C425" s="1">
        <f t="shared" si="114"/>
        <v>200</v>
      </c>
      <c r="D425" s="4">
        <v>9600</v>
      </c>
      <c r="E425" s="4">
        <f t="shared" si="105"/>
        <v>543</v>
      </c>
      <c r="F425" s="10">
        <f t="shared" si="106"/>
        <v>4.0399999999999574</v>
      </c>
      <c r="G425" s="9">
        <f t="shared" si="107"/>
        <v>53450</v>
      </c>
      <c r="I425" s="4">
        <f t="shared" si="108"/>
        <v>10000</v>
      </c>
      <c r="J425" s="17">
        <f t="shared" si="109"/>
        <v>0.02</v>
      </c>
      <c r="K425" s="17">
        <f t="shared" si="110"/>
        <v>0.02</v>
      </c>
      <c r="L425" s="17">
        <f t="shared" si="111"/>
        <v>0.96</v>
      </c>
      <c r="M425" s="4">
        <f t="shared" si="112"/>
        <v>53450</v>
      </c>
    </row>
    <row r="426" spans="1:13" x14ac:dyDescent="0.3">
      <c r="A426" s="1">
        <f t="shared" si="113"/>
        <v>424</v>
      </c>
      <c r="B426" s="1">
        <v>200</v>
      </c>
      <c r="C426" s="1">
        <f t="shared" si="114"/>
        <v>200</v>
      </c>
      <c r="D426" s="4">
        <v>9600</v>
      </c>
      <c r="E426" s="4">
        <f t="shared" si="105"/>
        <v>544</v>
      </c>
      <c r="F426" s="10">
        <f t="shared" si="106"/>
        <v>4.0499999999999572</v>
      </c>
      <c r="G426" s="9">
        <f t="shared" si="107"/>
        <v>53600</v>
      </c>
      <c r="I426" s="4">
        <f t="shared" si="108"/>
        <v>10000</v>
      </c>
      <c r="J426" s="17">
        <f t="shared" si="109"/>
        <v>0.02</v>
      </c>
      <c r="K426" s="17">
        <f t="shared" si="110"/>
        <v>0.02</v>
      </c>
      <c r="L426" s="17">
        <f t="shared" si="111"/>
        <v>0.96</v>
      </c>
      <c r="M426" s="4">
        <f t="shared" si="112"/>
        <v>53600</v>
      </c>
    </row>
    <row r="427" spans="1:13" x14ac:dyDescent="0.3">
      <c r="A427" s="1">
        <f t="shared" si="113"/>
        <v>425</v>
      </c>
      <c r="B427" s="1">
        <v>200</v>
      </c>
      <c r="C427" s="1">
        <f t="shared" si="114"/>
        <v>200</v>
      </c>
      <c r="D427" s="4">
        <v>9600</v>
      </c>
      <c r="E427" s="4">
        <f t="shared" si="105"/>
        <v>545</v>
      </c>
      <c r="F427" s="10">
        <f t="shared" si="106"/>
        <v>4.059999999999957</v>
      </c>
      <c r="G427" s="9">
        <f t="shared" si="107"/>
        <v>53750</v>
      </c>
      <c r="I427" s="4">
        <f t="shared" si="108"/>
        <v>10000</v>
      </c>
      <c r="J427" s="17">
        <f t="shared" si="109"/>
        <v>0.02</v>
      </c>
      <c r="K427" s="17">
        <f t="shared" si="110"/>
        <v>0.02</v>
      </c>
      <c r="L427" s="17">
        <f t="shared" si="111"/>
        <v>0.96</v>
      </c>
      <c r="M427" s="4">
        <f t="shared" si="112"/>
        <v>53750</v>
      </c>
    </row>
    <row r="428" spans="1:13" x14ac:dyDescent="0.3">
      <c r="A428" s="1">
        <f t="shared" si="113"/>
        <v>426</v>
      </c>
      <c r="B428" s="1">
        <v>200</v>
      </c>
      <c r="C428" s="1">
        <f t="shared" si="114"/>
        <v>200</v>
      </c>
      <c r="D428" s="4">
        <v>9600</v>
      </c>
      <c r="E428" s="4">
        <f t="shared" si="105"/>
        <v>546</v>
      </c>
      <c r="F428" s="10">
        <f t="shared" si="106"/>
        <v>4.0699999999999568</v>
      </c>
      <c r="G428" s="9">
        <f t="shared" si="107"/>
        <v>53900</v>
      </c>
      <c r="I428" s="4">
        <f t="shared" si="108"/>
        <v>10000</v>
      </c>
      <c r="J428" s="17">
        <f t="shared" si="109"/>
        <v>0.02</v>
      </c>
      <c r="K428" s="17">
        <f t="shared" si="110"/>
        <v>0.02</v>
      </c>
      <c r="L428" s="17">
        <f t="shared" si="111"/>
        <v>0.96</v>
      </c>
      <c r="M428" s="4">
        <f t="shared" si="112"/>
        <v>53900</v>
      </c>
    </row>
    <row r="429" spans="1:13" x14ac:dyDescent="0.3">
      <c r="A429" s="1">
        <f t="shared" si="113"/>
        <v>427</v>
      </c>
      <c r="B429" s="1">
        <v>200</v>
      </c>
      <c r="C429" s="1">
        <f t="shared" si="114"/>
        <v>200</v>
      </c>
      <c r="D429" s="4">
        <v>9600</v>
      </c>
      <c r="E429" s="4">
        <f t="shared" si="105"/>
        <v>547</v>
      </c>
      <c r="F429" s="10">
        <f t="shared" si="106"/>
        <v>4.0799999999999566</v>
      </c>
      <c r="G429" s="9">
        <f t="shared" si="107"/>
        <v>54050</v>
      </c>
      <c r="I429" s="4">
        <f t="shared" si="108"/>
        <v>10000</v>
      </c>
      <c r="J429" s="17">
        <f t="shared" si="109"/>
        <v>0.02</v>
      </c>
      <c r="K429" s="17">
        <f t="shared" si="110"/>
        <v>0.02</v>
      </c>
      <c r="L429" s="17">
        <f t="shared" si="111"/>
        <v>0.96</v>
      </c>
      <c r="M429" s="4">
        <f t="shared" si="112"/>
        <v>54050</v>
      </c>
    </row>
    <row r="430" spans="1:13" x14ac:dyDescent="0.3">
      <c r="A430" s="1">
        <f t="shared" si="113"/>
        <v>428</v>
      </c>
      <c r="B430" s="1">
        <v>200</v>
      </c>
      <c r="C430" s="1">
        <f t="shared" si="114"/>
        <v>200</v>
      </c>
      <c r="D430" s="4">
        <v>9600</v>
      </c>
      <c r="E430" s="4">
        <f t="shared" si="105"/>
        <v>548</v>
      </c>
      <c r="F430" s="10">
        <f t="shared" si="106"/>
        <v>4.0899999999999563</v>
      </c>
      <c r="G430" s="9">
        <f t="shared" si="107"/>
        <v>54200</v>
      </c>
      <c r="I430" s="4">
        <f t="shared" si="108"/>
        <v>10000</v>
      </c>
      <c r="J430" s="17">
        <f t="shared" si="109"/>
        <v>0.02</v>
      </c>
      <c r="K430" s="17">
        <f t="shared" si="110"/>
        <v>0.02</v>
      </c>
      <c r="L430" s="17">
        <f t="shared" si="111"/>
        <v>0.96</v>
      </c>
      <c r="M430" s="4">
        <f t="shared" si="112"/>
        <v>54200</v>
      </c>
    </row>
    <row r="431" spans="1:13" x14ac:dyDescent="0.3">
      <c r="A431" s="1">
        <f t="shared" si="113"/>
        <v>429</v>
      </c>
      <c r="B431" s="1">
        <v>200</v>
      </c>
      <c r="C431" s="1">
        <f t="shared" si="114"/>
        <v>200</v>
      </c>
      <c r="D431" s="4">
        <v>9600</v>
      </c>
      <c r="E431" s="4">
        <f t="shared" si="105"/>
        <v>549</v>
      </c>
      <c r="F431" s="10">
        <f t="shared" si="106"/>
        <v>4.0999999999999561</v>
      </c>
      <c r="G431" s="9">
        <f t="shared" si="107"/>
        <v>54350</v>
      </c>
      <c r="I431" s="4">
        <f t="shared" si="108"/>
        <v>10000</v>
      </c>
      <c r="J431" s="17">
        <f t="shared" si="109"/>
        <v>0.02</v>
      </c>
      <c r="K431" s="17">
        <f t="shared" si="110"/>
        <v>0.02</v>
      </c>
      <c r="L431" s="17">
        <f t="shared" si="111"/>
        <v>0.96</v>
      </c>
      <c r="M431" s="4">
        <f t="shared" si="112"/>
        <v>54350</v>
      </c>
    </row>
    <row r="432" spans="1:13" x14ac:dyDescent="0.3">
      <c r="A432" s="1">
        <f t="shared" si="113"/>
        <v>430</v>
      </c>
      <c r="B432" s="1">
        <v>200</v>
      </c>
      <c r="C432" s="1">
        <f t="shared" si="114"/>
        <v>200</v>
      </c>
      <c r="D432" s="4">
        <v>9600</v>
      </c>
      <c r="E432" s="4">
        <f t="shared" si="105"/>
        <v>550</v>
      </c>
      <c r="F432" s="10">
        <f t="shared" si="106"/>
        <v>4.1099999999999559</v>
      </c>
      <c r="G432" s="9">
        <f t="shared" si="107"/>
        <v>54500</v>
      </c>
      <c r="I432" s="4">
        <f t="shared" si="108"/>
        <v>10000</v>
      </c>
      <c r="J432" s="17">
        <f t="shared" si="109"/>
        <v>0.02</v>
      </c>
      <c r="K432" s="17">
        <f t="shared" si="110"/>
        <v>0.02</v>
      </c>
      <c r="L432" s="17">
        <f t="shared" si="111"/>
        <v>0.96</v>
      </c>
      <c r="M432" s="4">
        <f t="shared" si="112"/>
        <v>54500</v>
      </c>
    </row>
    <row r="433" spans="1:13" x14ac:dyDescent="0.3">
      <c r="A433" s="1">
        <f t="shared" si="113"/>
        <v>431</v>
      </c>
      <c r="B433" s="1">
        <v>200</v>
      </c>
      <c r="C433" s="1">
        <f t="shared" si="114"/>
        <v>200</v>
      </c>
      <c r="D433" s="4">
        <v>9600</v>
      </c>
      <c r="E433" s="4">
        <f t="shared" si="105"/>
        <v>551</v>
      </c>
      <c r="F433" s="10">
        <f t="shared" si="106"/>
        <v>4.1199999999999557</v>
      </c>
      <c r="G433" s="9">
        <f t="shared" si="107"/>
        <v>54650</v>
      </c>
      <c r="I433" s="4">
        <f t="shared" si="108"/>
        <v>10000</v>
      </c>
      <c r="J433" s="17">
        <f t="shared" si="109"/>
        <v>0.02</v>
      </c>
      <c r="K433" s="17">
        <f t="shared" si="110"/>
        <v>0.02</v>
      </c>
      <c r="L433" s="17">
        <f t="shared" si="111"/>
        <v>0.96</v>
      </c>
      <c r="M433" s="4">
        <f t="shared" si="112"/>
        <v>54650</v>
      </c>
    </row>
    <row r="434" spans="1:13" x14ac:dyDescent="0.3">
      <c r="A434" s="1">
        <f t="shared" si="113"/>
        <v>432</v>
      </c>
      <c r="B434" s="1">
        <v>200</v>
      </c>
      <c r="C434" s="1">
        <f t="shared" si="114"/>
        <v>200</v>
      </c>
      <c r="D434" s="4">
        <v>9600</v>
      </c>
      <c r="E434" s="4">
        <f t="shared" si="105"/>
        <v>552</v>
      </c>
      <c r="F434" s="10">
        <f t="shared" si="106"/>
        <v>4.1299999999999555</v>
      </c>
      <c r="G434" s="9">
        <f t="shared" si="107"/>
        <v>54800</v>
      </c>
      <c r="I434" s="4">
        <f t="shared" si="108"/>
        <v>10000</v>
      </c>
      <c r="J434" s="17">
        <f t="shared" si="109"/>
        <v>0.02</v>
      </c>
      <c r="K434" s="17">
        <f t="shared" si="110"/>
        <v>0.02</v>
      </c>
      <c r="L434" s="17">
        <f t="shared" si="111"/>
        <v>0.96</v>
      </c>
      <c r="M434" s="4">
        <f t="shared" si="112"/>
        <v>54800</v>
      </c>
    </row>
    <row r="435" spans="1:13" x14ac:dyDescent="0.3">
      <c r="A435" s="1">
        <f t="shared" si="113"/>
        <v>433</v>
      </c>
      <c r="B435" s="1">
        <v>200</v>
      </c>
      <c r="C435" s="1">
        <f t="shared" si="114"/>
        <v>200</v>
      </c>
      <c r="D435" s="4">
        <v>9600</v>
      </c>
      <c r="E435" s="4">
        <f t="shared" si="105"/>
        <v>553</v>
      </c>
      <c r="F435" s="10">
        <f t="shared" si="106"/>
        <v>4.1399999999999553</v>
      </c>
      <c r="G435" s="9">
        <f t="shared" si="107"/>
        <v>54950</v>
      </c>
      <c r="I435" s="4">
        <f t="shared" si="108"/>
        <v>10000</v>
      </c>
      <c r="J435" s="17">
        <f t="shared" si="109"/>
        <v>0.02</v>
      </c>
      <c r="K435" s="17">
        <f t="shared" si="110"/>
        <v>0.02</v>
      </c>
      <c r="L435" s="17">
        <f t="shared" si="111"/>
        <v>0.96</v>
      </c>
      <c r="M435" s="4">
        <f t="shared" si="112"/>
        <v>54950</v>
      </c>
    </row>
    <row r="436" spans="1:13" x14ac:dyDescent="0.3">
      <c r="A436" s="1">
        <f t="shared" si="113"/>
        <v>434</v>
      </c>
      <c r="B436" s="1">
        <v>200</v>
      </c>
      <c r="C436" s="1">
        <f t="shared" si="114"/>
        <v>200</v>
      </c>
      <c r="D436" s="4">
        <v>9600</v>
      </c>
      <c r="E436" s="4">
        <f t="shared" si="105"/>
        <v>554</v>
      </c>
      <c r="F436" s="10">
        <f t="shared" si="106"/>
        <v>4.1499999999999551</v>
      </c>
      <c r="G436" s="9">
        <f t="shared" si="107"/>
        <v>55100</v>
      </c>
      <c r="I436" s="4">
        <f t="shared" si="108"/>
        <v>10000</v>
      </c>
      <c r="J436" s="17">
        <f t="shared" si="109"/>
        <v>0.02</v>
      </c>
      <c r="K436" s="17">
        <f t="shared" si="110"/>
        <v>0.02</v>
      </c>
      <c r="L436" s="17">
        <f t="shared" si="111"/>
        <v>0.96</v>
      </c>
      <c r="M436" s="4">
        <f t="shared" si="112"/>
        <v>55100</v>
      </c>
    </row>
    <row r="437" spans="1:13" x14ac:dyDescent="0.3">
      <c r="A437" s="1">
        <f t="shared" si="113"/>
        <v>435</v>
      </c>
      <c r="B437" s="1">
        <v>200</v>
      </c>
      <c r="C437" s="1">
        <f t="shared" si="114"/>
        <v>200</v>
      </c>
      <c r="D437" s="4">
        <v>9600</v>
      </c>
      <c r="E437" s="4">
        <f t="shared" si="105"/>
        <v>555</v>
      </c>
      <c r="F437" s="10">
        <f t="shared" si="106"/>
        <v>4.1599999999999548</v>
      </c>
      <c r="G437" s="9">
        <f t="shared" si="107"/>
        <v>55250</v>
      </c>
      <c r="I437" s="4">
        <f t="shared" si="108"/>
        <v>10000</v>
      </c>
      <c r="J437" s="17">
        <f t="shared" si="109"/>
        <v>0.02</v>
      </c>
      <c r="K437" s="17">
        <f t="shared" si="110"/>
        <v>0.02</v>
      </c>
      <c r="L437" s="17">
        <f t="shared" si="111"/>
        <v>0.96</v>
      </c>
      <c r="M437" s="4">
        <f t="shared" si="112"/>
        <v>55250</v>
      </c>
    </row>
    <row r="438" spans="1:13" x14ac:dyDescent="0.3">
      <c r="A438" s="1">
        <f t="shared" si="113"/>
        <v>436</v>
      </c>
      <c r="B438" s="1">
        <v>200</v>
      </c>
      <c r="C438" s="1">
        <f t="shared" si="114"/>
        <v>200</v>
      </c>
      <c r="D438" s="4">
        <v>9600</v>
      </c>
      <c r="E438" s="4">
        <f t="shared" si="105"/>
        <v>556</v>
      </c>
      <c r="F438" s="10">
        <f t="shared" si="106"/>
        <v>4.1699999999999546</v>
      </c>
      <c r="G438" s="9">
        <f t="shared" si="107"/>
        <v>55400</v>
      </c>
      <c r="I438" s="4">
        <f t="shared" si="108"/>
        <v>10000</v>
      </c>
      <c r="J438" s="17">
        <f t="shared" si="109"/>
        <v>0.02</v>
      </c>
      <c r="K438" s="17">
        <f t="shared" si="110"/>
        <v>0.02</v>
      </c>
      <c r="L438" s="17">
        <f t="shared" si="111"/>
        <v>0.96</v>
      </c>
      <c r="M438" s="4">
        <f t="shared" si="112"/>
        <v>55400</v>
      </c>
    </row>
    <row r="439" spans="1:13" x14ac:dyDescent="0.3">
      <c r="A439" s="1">
        <f t="shared" si="113"/>
        <v>437</v>
      </c>
      <c r="B439" s="1">
        <v>200</v>
      </c>
      <c r="C439" s="1">
        <f t="shared" si="114"/>
        <v>200</v>
      </c>
      <c r="D439" s="4">
        <v>9600</v>
      </c>
      <c r="E439" s="4">
        <f t="shared" si="105"/>
        <v>557</v>
      </c>
      <c r="F439" s="10">
        <f t="shared" si="106"/>
        <v>4.1799999999999544</v>
      </c>
      <c r="G439" s="9">
        <f t="shared" si="107"/>
        <v>55550</v>
      </c>
      <c r="I439" s="4">
        <f t="shared" si="108"/>
        <v>10000</v>
      </c>
      <c r="J439" s="17">
        <f t="shared" si="109"/>
        <v>0.02</v>
      </c>
      <c r="K439" s="17">
        <f t="shared" si="110"/>
        <v>0.02</v>
      </c>
      <c r="L439" s="17">
        <f t="shared" si="111"/>
        <v>0.96</v>
      </c>
      <c r="M439" s="4">
        <f t="shared" si="112"/>
        <v>55550</v>
      </c>
    </row>
    <row r="440" spans="1:13" x14ac:dyDescent="0.3">
      <c r="A440" s="1">
        <f t="shared" si="113"/>
        <v>438</v>
      </c>
      <c r="B440" s="1">
        <v>200</v>
      </c>
      <c r="C440" s="1">
        <f t="shared" si="114"/>
        <v>200</v>
      </c>
      <c r="D440" s="4">
        <v>9600</v>
      </c>
      <c r="E440" s="4">
        <f t="shared" si="105"/>
        <v>558</v>
      </c>
      <c r="F440" s="10">
        <f t="shared" si="106"/>
        <v>4.1899999999999542</v>
      </c>
      <c r="G440" s="9">
        <f t="shared" si="107"/>
        <v>55700</v>
      </c>
      <c r="I440" s="4">
        <f t="shared" si="108"/>
        <v>10000</v>
      </c>
      <c r="J440" s="17">
        <f t="shared" si="109"/>
        <v>0.02</v>
      </c>
      <c r="K440" s="17">
        <f t="shared" si="110"/>
        <v>0.02</v>
      </c>
      <c r="L440" s="17">
        <f t="shared" si="111"/>
        <v>0.96</v>
      </c>
      <c r="M440" s="4">
        <f t="shared" si="112"/>
        <v>55700</v>
      </c>
    </row>
    <row r="441" spans="1:13" x14ac:dyDescent="0.3">
      <c r="A441" s="1">
        <f t="shared" si="113"/>
        <v>439</v>
      </c>
      <c r="B441" s="1">
        <v>200</v>
      </c>
      <c r="C441" s="1">
        <f t="shared" si="114"/>
        <v>200</v>
      </c>
      <c r="D441" s="4">
        <v>9600</v>
      </c>
      <c r="E441" s="4">
        <f t="shared" si="105"/>
        <v>559</v>
      </c>
      <c r="F441" s="10">
        <f t="shared" si="106"/>
        <v>4.199999999999954</v>
      </c>
      <c r="G441" s="9">
        <f t="shared" si="107"/>
        <v>55850</v>
      </c>
      <c r="I441" s="4">
        <f t="shared" si="108"/>
        <v>10000</v>
      </c>
      <c r="J441" s="17">
        <f t="shared" si="109"/>
        <v>0.02</v>
      </c>
      <c r="K441" s="17">
        <f t="shared" si="110"/>
        <v>0.02</v>
      </c>
      <c r="L441" s="17">
        <f t="shared" si="111"/>
        <v>0.96</v>
      </c>
      <c r="M441" s="4">
        <f t="shared" si="112"/>
        <v>55850</v>
      </c>
    </row>
    <row r="442" spans="1:13" x14ac:dyDescent="0.3">
      <c r="A442" s="1">
        <f t="shared" si="113"/>
        <v>440</v>
      </c>
      <c r="B442" s="1">
        <v>200</v>
      </c>
      <c r="C442" s="1">
        <f t="shared" si="114"/>
        <v>200</v>
      </c>
      <c r="D442" s="4">
        <v>9600</v>
      </c>
      <c r="E442" s="4">
        <f t="shared" si="105"/>
        <v>560</v>
      </c>
      <c r="F442" s="10">
        <f t="shared" si="106"/>
        <v>4.2099999999999538</v>
      </c>
      <c r="G442" s="9">
        <f t="shared" si="107"/>
        <v>56000</v>
      </c>
      <c r="I442" s="4">
        <f t="shared" si="108"/>
        <v>10000</v>
      </c>
      <c r="J442" s="17">
        <f t="shared" si="109"/>
        <v>0.02</v>
      </c>
      <c r="K442" s="17">
        <f t="shared" si="110"/>
        <v>0.02</v>
      </c>
      <c r="L442" s="17">
        <f t="shared" si="111"/>
        <v>0.96</v>
      </c>
      <c r="M442" s="4">
        <f t="shared" si="112"/>
        <v>56000</v>
      </c>
    </row>
    <row r="443" spans="1:13" x14ac:dyDescent="0.3">
      <c r="A443" s="1">
        <f t="shared" si="113"/>
        <v>441</v>
      </c>
      <c r="B443" s="1">
        <v>200</v>
      </c>
      <c r="C443" s="1">
        <f t="shared" si="114"/>
        <v>200</v>
      </c>
      <c r="D443" s="4">
        <v>9600</v>
      </c>
      <c r="E443" s="4">
        <f t="shared" si="105"/>
        <v>561</v>
      </c>
      <c r="F443" s="10">
        <f t="shared" si="106"/>
        <v>4.2199999999999536</v>
      </c>
      <c r="G443" s="9">
        <f t="shared" si="107"/>
        <v>56150</v>
      </c>
      <c r="I443" s="4">
        <f t="shared" si="108"/>
        <v>10000</v>
      </c>
      <c r="J443" s="17">
        <f t="shared" si="109"/>
        <v>0.02</v>
      </c>
      <c r="K443" s="17">
        <f t="shared" si="110"/>
        <v>0.02</v>
      </c>
      <c r="L443" s="17">
        <f t="shared" si="111"/>
        <v>0.96</v>
      </c>
      <c r="M443" s="4">
        <f t="shared" si="112"/>
        <v>56150</v>
      </c>
    </row>
    <row r="444" spans="1:13" x14ac:dyDescent="0.3">
      <c r="A444" s="1">
        <f t="shared" si="113"/>
        <v>442</v>
      </c>
      <c r="B444" s="1">
        <v>200</v>
      </c>
      <c r="C444" s="1">
        <f t="shared" si="114"/>
        <v>200</v>
      </c>
      <c r="D444" s="4">
        <v>9600</v>
      </c>
      <c r="E444" s="4">
        <f t="shared" si="105"/>
        <v>562</v>
      </c>
      <c r="F444" s="10">
        <f t="shared" si="106"/>
        <v>4.2299999999999534</v>
      </c>
      <c r="G444" s="9">
        <f t="shared" si="107"/>
        <v>56300</v>
      </c>
      <c r="I444" s="4">
        <f t="shared" si="108"/>
        <v>10000</v>
      </c>
      <c r="J444" s="17">
        <f t="shared" si="109"/>
        <v>0.02</v>
      </c>
      <c r="K444" s="17">
        <f t="shared" si="110"/>
        <v>0.02</v>
      </c>
      <c r="L444" s="17">
        <f t="shared" si="111"/>
        <v>0.96</v>
      </c>
      <c r="M444" s="4">
        <f t="shared" si="112"/>
        <v>56300</v>
      </c>
    </row>
    <row r="445" spans="1:13" x14ac:dyDescent="0.3">
      <c r="A445" s="1">
        <f t="shared" si="113"/>
        <v>443</v>
      </c>
      <c r="B445" s="1">
        <v>200</v>
      </c>
      <c r="C445" s="1">
        <f t="shared" si="114"/>
        <v>200</v>
      </c>
      <c r="D445" s="4">
        <v>9600</v>
      </c>
      <c r="E445" s="4">
        <f t="shared" si="105"/>
        <v>563</v>
      </c>
      <c r="F445" s="10">
        <f t="shared" si="106"/>
        <v>4.2399999999999531</v>
      </c>
      <c r="G445" s="9">
        <f t="shared" si="107"/>
        <v>56450</v>
      </c>
      <c r="I445" s="4">
        <f t="shared" si="108"/>
        <v>10000</v>
      </c>
      <c r="J445" s="17">
        <f t="shared" si="109"/>
        <v>0.02</v>
      </c>
      <c r="K445" s="17">
        <f t="shared" si="110"/>
        <v>0.02</v>
      </c>
      <c r="L445" s="17">
        <f t="shared" si="111"/>
        <v>0.96</v>
      </c>
      <c r="M445" s="4">
        <f t="shared" si="112"/>
        <v>56450</v>
      </c>
    </row>
    <row r="446" spans="1:13" x14ac:dyDescent="0.3">
      <c r="A446" s="1">
        <f t="shared" si="113"/>
        <v>444</v>
      </c>
      <c r="B446" s="1">
        <v>200</v>
      </c>
      <c r="C446" s="1">
        <f t="shared" si="114"/>
        <v>200</v>
      </c>
      <c r="D446" s="4">
        <v>9600</v>
      </c>
      <c r="E446" s="4">
        <f t="shared" si="105"/>
        <v>564</v>
      </c>
      <c r="F446" s="10">
        <f t="shared" si="106"/>
        <v>4.2499999999999529</v>
      </c>
      <c r="G446" s="9">
        <f t="shared" si="107"/>
        <v>56600</v>
      </c>
      <c r="I446" s="4">
        <f t="shared" si="108"/>
        <v>10000</v>
      </c>
      <c r="J446" s="17">
        <f t="shared" si="109"/>
        <v>0.02</v>
      </c>
      <c r="K446" s="17">
        <f t="shared" si="110"/>
        <v>0.02</v>
      </c>
      <c r="L446" s="17">
        <f t="shared" si="111"/>
        <v>0.96</v>
      </c>
      <c r="M446" s="4">
        <f t="shared" si="112"/>
        <v>56600</v>
      </c>
    </row>
    <row r="447" spans="1:13" x14ac:dyDescent="0.3">
      <c r="A447" s="1">
        <f t="shared" si="113"/>
        <v>445</v>
      </c>
      <c r="B447" s="1">
        <v>200</v>
      </c>
      <c r="C447" s="1">
        <f t="shared" si="114"/>
        <v>200</v>
      </c>
      <c r="D447" s="4">
        <v>9600</v>
      </c>
      <c r="E447" s="4">
        <f t="shared" si="105"/>
        <v>565</v>
      </c>
      <c r="F447" s="10">
        <f t="shared" si="106"/>
        <v>4.2599999999999527</v>
      </c>
      <c r="G447" s="9">
        <f t="shared" si="107"/>
        <v>56750</v>
      </c>
      <c r="I447" s="4">
        <f t="shared" si="108"/>
        <v>10000</v>
      </c>
      <c r="J447" s="17">
        <f t="shared" si="109"/>
        <v>0.02</v>
      </c>
      <c r="K447" s="17">
        <f t="shared" si="110"/>
        <v>0.02</v>
      </c>
      <c r="L447" s="17">
        <f t="shared" si="111"/>
        <v>0.96</v>
      </c>
      <c r="M447" s="4">
        <f t="shared" si="112"/>
        <v>56750</v>
      </c>
    </row>
    <row r="448" spans="1:13" x14ac:dyDescent="0.3">
      <c r="A448" s="1">
        <f t="shared" si="113"/>
        <v>446</v>
      </c>
      <c r="B448" s="1">
        <v>200</v>
      </c>
      <c r="C448" s="1">
        <f t="shared" si="114"/>
        <v>200</v>
      </c>
      <c r="D448" s="4">
        <v>9600</v>
      </c>
      <c r="E448" s="4">
        <f t="shared" si="105"/>
        <v>566</v>
      </c>
      <c r="F448" s="10">
        <f t="shared" si="106"/>
        <v>4.2699999999999525</v>
      </c>
      <c r="G448" s="9">
        <f t="shared" si="107"/>
        <v>56900</v>
      </c>
      <c r="I448" s="4">
        <f t="shared" si="108"/>
        <v>10000</v>
      </c>
      <c r="J448" s="17">
        <f t="shared" si="109"/>
        <v>0.02</v>
      </c>
      <c r="K448" s="17">
        <f t="shared" si="110"/>
        <v>0.02</v>
      </c>
      <c r="L448" s="17">
        <f t="shared" si="111"/>
        <v>0.96</v>
      </c>
      <c r="M448" s="4">
        <f t="shared" si="112"/>
        <v>56900</v>
      </c>
    </row>
    <row r="449" spans="1:13" x14ac:dyDescent="0.3">
      <c r="A449" s="1">
        <f t="shared" si="113"/>
        <v>447</v>
      </c>
      <c r="B449" s="1">
        <v>200</v>
      </c>
      <c r="C449" s="1">
        <f t="shared" si="114"/>
        <v>200</v>
      </c>
      <c r="D449" s="4">
        <v>9600</v>
      </c>
      <c r="E449" s="4">
        <f t="shared" si="105"/>
        <v>567</v>
      </c>
      <c r="F449" s="10">
        <f t="shared" si="106"/>
        <v>4.2799999999999523</v>
      </c>
      <c r="G449" s="9">
        <f t="shared" si="107"/>
        <v>57050</v>
      </c>
      <c r="I449" s="4">
        <f t="shared" si="108"/>
        <v>10000</v>
      </c>
      <c r="J449" s="17">
        <f t="shared" si="109"/>
        <v>0.02</v>
      </c>
      <c r="K449" s="17">
        <f t="shared" si="110"/>
        <v>0.02</v>
      </c>
      <c r="L449" s="17">
        <f t="shared" si="111"/>
        <v>0.96</v>
      </c>
      <c r="M449" s="4">
        <f t="shared" si="112"/>
        <v>57050</v>
      </c>
    </row>
    <row r="450" spans="1:13" x14ac:dyDescent="0.3">
      <c r="A450" s="1">
        <f t="shared" si="113"/>
        <v>448</v>
      </c>
      <c r="B450" s="1">
        <v>200</v>
      </c>
      <c r="C450" s="1">
        <f t="shared" si="114"/>
        <v>200</v>
      </c>
      <c r="D450" s="4">
        <v>9600</v>
      </c>
      <c r="E450" s="4">
        <f t="shared" si="105"/>
        <v>568</v>
      </c>
      <c r="F450" s="10">
        <f t="shared" si="106"/>
        <v>4.2899999999999521</v>
      </c>
      <c r="G450" s="9">
        <f t="shared" si="107"/>
        <v>57200</v>
      </c>
      <c r="I450" s="4">
        <f t="shared" si="108"/>
        <v>10000</v>
      </c>
      <c r="J450" s="17">
        <f t="shared" si="109"/>
        <v>0.02</v>
      </c>
      <c r="K450" s="17">
        <f t="shared" si="110"/>
        <v>0.02</v>
      </c>
      <c r="L450" s="17">
        <f t="shared" si="111"/>
        <v>0.96</v>
      </c>
      <c r="M450" s="4">
        <f t="shared" si="112"/>
        <v>57200</v>
      </c>
    </row>
    <row r="451" spans="1:13" x14ac:dyDescent="0.3">
      <c r="A451" s="1">
        <f t="shared" si="113"/>
        <v>449</v>
      </c>
      <c r="B451" s="1">
        <v>200</v>
      </c>
      <c r="C451" s="1">
        <f t="shared" si="114"/>
        <v>200</v>
      </c>
      <c r="D451" s="4">
        <v>9600</v>
      </c>
      <c r="E451" s="4">
        <f t="shared" si="105"/>
        <v>569</v>
      </c>
      <c r="F451" s="10">
        <f t="shared" si="106"/>
        <v>4.2999999999999519</v>
      </c>
      <c r="G451" s="9">
        <f t="shared" si="107"/>
        <v>57350</v>
      </c>
      <c r="I451" s="4">
        <f t="shared" si="108"/>
        <v>10000</v>
      </c>
      <c r="J451" s="17">
        <f t="shared" si="109"/>
        <v>0.02</v>
      </c>
      <c r="K451" s="17">
        <f t="shared" si="110"/>
        <v>0.02</v>
      </c>
      <c r="L451" s="17">
        <f t="shared" si="111"/>
        <v>0.96</v>
      </c>
      <c r="M451" s="4">
        <f t="shared" si="112"/>
        <v>57350</v>
      </c>
    </row>
    <row r="452" spans="1:13" x14ac:dyDescent="0.3">
      <c r="A452" s="1">
        <f t="shared" si="113"/>
        <v>450</v>
      </c>
      <c r="B452" s="1">
        <v>200</v>
      </c>
      <c r="C452" s="1">
        <f t="shared" si="114"/>
        <v>200</v>
      </c>
      <c r="D452" s="4">
        <v>9600</v>
      </c>
      <c r="E452" s="4">
        <f t="shared" si="105"/>
        <v>570</v>
      </c>
      <c r="F452" s="10">
        <f t="shared" si="106"/>
        <v>4.3099999999999516</v>
      </c>
      <c r="G452" s="9">
        <f t="shared" si="107"/>
        <v>57500</v>
      </c>
      <c r="I452" s="4">
        <f t="shared" si="108"/>
        <v>10000</v>
      </c>
      <c r="J452" s="17">
        <f t="shared" si="109"/>
        <v>0.02</v>
      </c>
      <c r="K452" s="17">
        <f t="shared" si="110"/>
        <v>0.02</v>
      </c>
      <c r="L452" s="17">
        <f t="shared" si="111"/>
        <v>0.96</v>
      </c>
      <c r="M452" s="4">
        <f t="shared" si="112"/>
        <v>57500</v>
      </c>
    </row>
    <row r="453" spans="1:13" x14ac:dyDescent="0.3">
      <c r="A453" s="1">
        <f t="shared" si="113"/>
        <v>451</v>
      </c>
      <c r="B453" s="1">
        <v>200</v>
      </c>
      <c r="C453" s="1">
        <f t="shared" si="114"/>
        <v>200</v>
      </c>
      <c r="D453" s="4">
        <v>9600</v>
      </c>
      <c r="E453" s="4">
        <f t="shared" si="105"/>
        <v>571</v>
      </c>
      <c r="F453" s="10">
        <f t="shared" si="106"/>
        <v>4.3199999999999514</v>
      </c>
      <c r="G453" s="9">
        <f t="shared" si="107"/>
        <v>57650</v>
      </c>
      <c r="I453" s="4">
        <f t="shared" si="108"/>
        <v>10000</v>
      </c>
      <c r="J453" s="17">
        <f t="shared" si="109"/>
        <v>0.02</v>
      </c>
      <c r="K453" s="17">
        <f t="shared" si="110"/>
        <v>0.02</v>
      </c>
      <c r="L453" s="17">
        <f t="shared" si="111"/>
        <v>0.96</v>
      </c>
      <c r="M453" s="4">
        <f t="shared" si="112"/>
        <v>57650</v>
      </c>
    </row>
    <row r="454" spans="1:13" x14ac:dyDescent="0.3">
      <c r="A454" s="1">
        <f t="shared" si="113"/>
        <v>452</v>
      </c>
      <c r="B454" s="1">
        <v>200</v>
      </c>
      <c r="C454" s="1">
        <f t="shared" si="114"/>
        <v>200</v>
      </c>
      <c r="D454" s="4">
        <v>9600</v>
      </c>
      <c r="E454" s="4">
        <f t="shared" si="105"/>
        <v>572</v>
      </c>
      <c r="F454" s="10">
        <f t="shared" si="106"/>
        <v>4.3299999999999512</v>
      </c>
      <c r="G454" s="9">
        <f t="shared" si="107"/>
        <v>57800</v>
      </c>
      <c r="I454" s="4">
        <f t="shared" si="108"/>
        <v>10000</v>
      </c>
      <c r="J454" s="17">
        <f t="shared" si="109"/>
        <v>0.02</v>
      </c>
      <c r="K454" s="17">
        <f t="shared" si="110"/>
        <v>0.02</v>
      </c>
      <c r="L454" s="17">
        <f t="shared" si="111"/>
        <v>0.96</v>
      </c>
      <c r="M454" s="4">
        <f t="shared" si="112"/>
        <v>57800</v>
      </c>
    </row>
    <row r="455" spans="1:13" x14ac:dyDescent="0.3">
      <c r="A455" s="1">
        <f t="shared" si="113"/>
        <v>453</v>
      </c>
      <c r="B455" s="1">
        <v>200</v>
      </c>
      <c r="C455" s="1">
        <f t="shared" si="114"/>
        <v>200</v>
      </c>
      <c r="D455" s="4">
        <v>9600</v>
      </c>
      <c r="E455" s="4">
        <f t="shared" si="105"/>
        <v>573</v>
      </c>
      <c r="F455" s="10">
        <f t="shared" si="106"/>
        <v>4.339999999999951</v>
      </c>
      <c r="G455" s="9">
        <f t="shared" si="107"/>
        <v>57950</v>
      </c>
      <c r="I455" s="4">
        <f t="shared" si="108"/>
        <v>10000</v>
      </c>
      <c r="J455" s="17">
        <f t="shared" si="109"/>
        <v>0.02</v>
      </c>
      <c r="K455" s="17">
        <f t="shared" si="110"/>
        <v>0.02</v>
      </c>
      <c r="L455" s="17">
        <f t="shared" si="111"/>
        <v>0.96</v>
      </c>
      <c r="M455" s="4">
        <f t="shared" si="112"/>
        <v>57950</v>
      </c>
    </row>
    <row r="456" spans="1:13" x14ac:dyDescent="0.3">
      <c r="A456" s="1">
        <f t="shared" si="113"/>
        <v>454</v>
      </c>
      <c r="B456" s="1">
        <v>200</v>
      </c>
      <c r="C456" s="1">
        <f t="shared" si="114"/>
        <v>200</v>
      </c>
      <c r="D456" s="4">
        <v>9600</v>
      </c>
      <c r="E456" s="4">
        <f t="shared" si="105"/>
        <v>574</v>
      </c>
      <c r="F456" s="10">
        <f t="shared" si="106"/>
        <v>4.3499999999999508</v>
      </c>
      <c r="G456" s="9">
        <f t="shared" si="107"/>
        <v>58100</v>
      </c>
      <c r="I456" s="4">
        <f t="shared" si="108"/>
        <v>10000</v>
      </c>
      <c r="J456" s="17">
        <f t="shared" si="109"/>
        <v>0.02</v>
      </c>
      <c r="K456" s="17">
        <f t="shared" si="110"/>
        <v>0.02</v>
      </c>
      <c r="L456" s="17">
        <f t="shared" si="111"/>
        <v>0.96</v>
      </c>
      <c r="M456" s="4">
        <f t="shared" si="112"/>
        <v>58100</v>
      </c>
    </row>
    <row r="457" spans="1:13" x14ac:dyDescent="0.3">
      <c r="A457" s="1">
        <f t="shared" si="113"/>
        <v>455</v>
      </c>
      <c r="B457" s="1">
        <v>200</v>
      </c>
      <c r="C457" s="1">
        <f t="shared" si="114"/>
        <v>200</v>
      </c>
      <c r="D457" s="4">
        <v>9600</v>
      </c>
      <c r="E457" s="4">
        <f t="shared" si="105"/>
        <v>575</v>
      </c>
      <c r="F457" s="10">
        <f t="shared" si="106"/>
        <v>4.3599999999999506</v>
      </c>
      <c r="G457" s="9">
        <f t="shared" si="107"/>
        <v>58250</v>
      </c>
      <c r="I457" s="4">
        <f t="shared" si="108"/>
        <v>10000</v>
      </c>
      <c r="J457" s="17">
        <f t="shared" si="109"/>
        <v>0.02</v>
      </c>
      <c r="K457" s="17">
        <f t="shared" si="110"/>
        <v>0.02</v>
      </c>
      <c r="L457" s="17">
        <f t="shared" si="111"/>
        <v>0.96</v>
      </c>
      <c r="M457" s="4">
        <f t="shared" si="112"/>
        <v>58250</v>
      </c>
    </row>
    <row r="458" spans="1:13" x14ac:dyDescent="0.3">
      <c r="A458" s="1">
        <f t="shared" si="113"/>
        <v>456</v>
      </c>
      <c r="B458" s="1">
        <v>200</v>
      </c>
      <c r="C458" s="1">
        <f t="shared" si="114"/>
        <v>200</v>
      </c>
      <c r="D458" s="4">
        <v>9600</v>
      </c>
      <c r="E458" s="4">
        <f t="shared" si="105"/>
        <v>576</v>
      </c>
      <c r="F458" s="10">
        <f t="shared" si="106"/>
        <v>4.3699999999999504</v>
      </c>
      <c r="G458" s="9">
        <f t="shared" si="107"/>
        <v>58400</v>
      </c>
      <c r="I458" s="4">
        <f t="shared" si="108"/>
        <v>10000</v>
      </c>
      <c r="J458" s="17">
        <f t="shared" si="109"/>
        <v>0.02</v>
      </c>
      <c r="K458" s="17">
        <f t="shared" si="110"/>
        <v>0.02</v>
      </c>
      <c r="L458" s="17">
        <f t="shared" si="111"/>
        <v>0.96</v>
      </c>
      <c r="M458" s="4">
        <f t="shared" si="112"/>
        <v>58400</v>
      </c>
    </row>
    <row r="459" spans="1:13" x14ac:dyDescent="0.3">
      <c r="A459" s="1">
        <f t="shared" si="113"/>
        <v>457</v>
      </c>
      <c r="B459" s="1">
        <v>200</v>
      </c>
      <c r="C459" s="1">
        <f t="shared" si="114"/>
        <v>200</v>
      </c>
      <c r="D459" s="4">
        <v>9600</v>
      </c>
      <c r="E459" s="4">
        <f t="shared" si="105"/>
        <v>577</v>
      </c>
      <c r="F459" s="10">
        <f t="shared" si="106"/>
        <v>4.3799999999999502</v>
      </c>
      <c r="G459" s="9">
        <f t="shared" si="107"/>
        <v>58550</v>
      </c>
      <c r="I459" s="4">
        <f t="shared" si="108"/>
        <v>10000</v>
      </c>
      <c r="J459" s="17">
        <f t="shared" si="109"/>
        <v>0.02</v>
      </c>
      <c r="K459" s="17">
        <f t="shared" si="110"/>
        <v>0.02</v>
      </c>
      <c r="L459" s="17">
        <f t="shared" si="111"/>
        <v>0.96</v>
      </c>
      <c r="M459" s="4">
        <f t="shared" si="112"/>
        <v>58550</v>
      </c>
    </row>
    <row r="460" spans="1:13" x14ac:dyDescent="0.3">
      <c r="A460" s="1">
        <f t="shared" si="113"/>
        <v>458</v>
      </c>
      <c r="B460" s="1">
        <v>200</v>
      </c>
      <c r="C460" s="1">
        <f t="shared" si="114"/>
        <v>200</v>
      </c>
      <c r="D460" s="4">
        <v>9600</v>
      </c>
      <c r="E460" s="4">
        <f t="shared" si="105"/>
        <v>578</v>
      </c>
      <c r="F460" s="10">
        <f t="shared" si="106"/>
        <v>4.3899999999999499</v>
      </c>
      <c r="G460" s="9">
        <f t="shared" si="107"/>
        <v>58700</v>
      </c>
      <c r="I460" s="4">
        <f t="shared" si="108"/>
        <v>10000</v>
      </c>
      <c r="J460" s="17">
        <f t="shared" si="109"/>
        <v>0.02</v>
      </c>
      <c r="K460" s="17">
        <f t="shared" si="110"/>
        <v>0.02</v>
      </c>
      <c r="L460" s="17">
        <f t="shared" si="111"/>
        <v>0.96</v>
      </c>
      <c r="M460" s="4">
        <f t="shared" si="112"/>
        <v>58700</v>
      </c>
    </row>
    <row r="461" spans="1:13" x14ac:dyDescent="0.3">
      <c r="A461" s="1">
        <f t="shared" si="113"/>
        <v>459</v>
      </c>
      <c r="B461" s="1">
        <v>200</v>
      </c>
      <c r="C461" s="1">
        <f t="shared" si="114"/>
        <v>200</v>
      </c>
      <c r="D461" s="4">
        <v>9600</v>
      </c>
      <c r="E461" s="4">
        <f t="shared" si="105"/>
        <v>579</v>
      </c>
      <c r="F461" s="10">
        <f t="shared" si="106"/>
        <v>4.3999999999999497</v>
      </c>
      <c r="G461" s="9">
        <f t="shared" si="107"/>
        <v>58850</v>
      </c>
      <c r="I461" s="4">
        <f t="shared" si="108"/>
        <v>10000</v>
      </c>
      <c r="J461" s="17">
        <f t="shared" si="109"/>
        <v>0.02</v>
      </c>
      <c r="K461" s="17">
        <f t="shared" si="110"/>
        <v>0.02</v>
      </c>
      <c r="L461" s="17">
        <f t="shared" si="111"/>
        <v>0.96</v>
      </c>
      <c r="M461" s="4">
        <f t="shared" si="112"/>
        <v>58850</v>
      </c>
    </row>
    <row r="462" spans="1:13" x14ac:dyDescent="0.3">
      <c r="A462" s="1">
        <f t="shared" si="113"/>
        <v>460</v>
      </c>
      <c r="B462" s="1">
        <v>200</v>
      </c>
      <c r="C462" s="1">
        <f t="shared" si="114"/>
        <v>200</v>
      </c>
      <c r="D462" s="4">
        <v>9600</v>
      </c>
      <c r="E462" s="4">
        <f t="shared" si="105"/>
        <v>580</v>
      </c>
      <c r="F462" s="10">
        <f t="shared" si="106"/>
        <v>4.4099999999999495</v>
      </c>
      <c r="G462" s="9">
        <f t="shared" si="107"/>
        <v>59000</v>
      </c>
      <c r="I462" s="4">
        <f t="shared" si="108"/>
        <v>10000</v>
      </c>
      <c r="J462" s="17">
        <f t="shared" si="109"/>
        <v>0.02</v>
      </c>
      <c r="K462" s="17">
        <f t="shared" si="110"/>
        <v>0.02</v>
      </c>
      <c r="L462" s="17">
        <f t="shared" si="111"/>
        <v>0.96</v>
      </c>
      <c r="M462" s="4">
        <f t="shared" si="112"/>
        <v>59000</v>
      </c>
    </row>
    <row r="463" spans="1:13" x14ac:dyDescent="0.3">
      <c r="A463" s="1">
        <f t="shared" si="113"/>
        <v>461</v>
      </c>
      <c r="B463" s="1">
        <v>200</v>
      </c>
      <c r="C463" s="1">
        <f t="shared" si="114"/>
        <v>200</v>
      </c>
      <c r="D463" s="4">
        <v>9600</v>
      </c>
      <c r="E463" s="4">
        <f t="shared" si="105"/>
        <v>581</v>
      </c>
      <c r="F463" s="10">
        <f t="shared" si="106"/>
        <v>4.4199999999999493</v>
      </c>
      <c r="G463" s="9">
        <f t="shared" si="107"/>
        <v>59150</v>
      </c>
      <c r="I463" s="4">
        <f t="shared" si="108"/>
        <v>10000</v>
      </c>
      <c r="J463" s="17">
        <f t="shared" si="109"/>
        <v>0.02</v>
      </c>
      <c r="K463" s="17">
        <f t="shared" si="110"/>
        <v>0.02</v>
      </c>
      <c r="L463" s="17">
        <f t="shared" si="111"/>
        <v>0.96</v>
      </c>
      <c r="M463" s="4">
        <f t="shared" si="112"/>
        <v>59150</v>
      </c>
    </row>
    <row r="464" spans="1:13" x14ac:dyDescent="0.3">
      <c r="A464" s="1">
        <f t="shared" si="113"/>
        <v>462</v>
      </c>
      <c r="B464" s="1">
        <v>200</v>
      </c>
      <c r="C464" s="1">
        <f t="shared" si="114"/>
        <v>200</v>
      </c>
      <c r="D464" s="4">
        <v>9600</v>
      </c>
      <c r="E464" s="4">
        <f t="shared" si="105"/>
        <v>582</v>
      </c>
      <c r="F464" s="10">
        <f t="shared" si="106"/>
        <v>4.4299999999999491</v>
      </c>
      <c r="G464" s="9">
        <f t="shared" si="107"/>
        <v>59300</v>
      </c>
      <c r="I464" s="4">
        <f t="shared" si="108"/>
        <v>10000</v>
      </c>
      <c r="J464" s="17">
        <f t="shared" si="109"/>
        <v>0.02</v>
      </c>
      <c r="K464" s="17">
        <f t="shared" si="110"/>
        <v>0.02</v>
      </c>
      <c r="L464" s="17">
        <f t="shared" si="111"/>
        <v>0.96</v>
      </c>
      <c r="M464" s="4">
        <f t="shared" si="112"/>
        <v>59300</v>
      </c>
    </row>
    <row r="465" spans="1:13" x14ac:dyDescent="0.3">
      <c r="A465" s="1">
        <f t="shared" si="113"/>
        <v>463</v>
      </c>
      <c r="B465" s="1">
        <v>200</v>
      </c>
      <c r="C465" s="1">
        <f t="shared" si="114"/>
        <v>200</v>
      </c>
      <c r="D465" s="4">
        <v>9600</v>
      </c>
      <c r="E465" s="4">
        <f t="shared" si="105"/>
        <v>583</v>
      </c>
      <c r="F465" s="10">
        <f t="shared" si="106"/>
        <v>4.4399999999999489</v>
      </c>
      <c r="G465" s="9">
        <f t="shared" si="107"/>
        <v>59450</v>
      </c>
      <c r="I465" s="4">
        <f t="shared" si="108"/>
        <v>10000</v>
      </c>
      <c r="J465" s="17">
        <f t="shared" si="109"/>
        <v>0.02</v>
      </c>
      <c r="K465" s="17">
        <f t="shared" si="110"/>
        <v>0.02</v>
      </c>
      <c r="L465" s="17">
        <f t="shared" si="111"/>
        <v>0.96</v>
      </c>
      <c r="M465" s="4">
        <f t="shared" si="112"/>
        <v>59450</v>
      </c>
    </row>
    <row r="466" spans="1:13" x14ac:dyDescent="0.3">
      <c r="A466" s="1">
        <f t="shared" si="113"/>
        <v>464</v>
      </c>
      <c r="B466" s="1">
        <v>200</v>
      </c>
      <c r="C466" s="1">
        <f t="shared" si="114"/>
        <v>200</v>
      </c>
      <c r="D466" s="4">
        <v>9600</v>
      </c>
      <c r="E466" s="4">
        <f t="shared" si="105"/>
        <v>584</v>
      </c>
      <c r="F466" s="10">
        <f t="shared" si="106"/>
        <v>4.4499999999999487</v>
      </c>
      <c r="G466" s="9">
        <f t="shared" si="107"/>
        <v>59600</v>
      </c>
      <c r="I466" s="4">
        <f t="shared" si="108"/>
        <v>10000</v>
      </c>
      <c r="J466" s="17">
        <f t="shared" si="109"/>
        <v>0.02</v>
      </c>
      <c r="K466" s="17">
        <f t="shared" si="110"/>
        <v>0.02</v>
      </c>
      <c r="L466" s="17">
        <f t="shared" si="111"/>
        <v>0.96</v>
      </c>
      <c r="M466" s="4">
        <f t="shared" si="112"/>
        <v>59600</v>
      </c>
    </row>
    <row r="467" spans="1:13" x14ac:dyDescent="0.3">
      <c r="A467" s="1">
        <f t="shared" si="113"/>
        <v>465</v>
      </c>
      <c r="B467" s="1">
        <v>200</v>
      </c>
      <c r="C467" s="1">
        <f t="shared" si="114"/>
        <v>200</v>
      </c>
      <c r="D467" s="4">
        <v>9600</v>
      </c>
      <c r="E467" s="4">
        <f t="shared" si="105"/>
        <v>585</v>
      </c>
      <c r="F467" s="10">
        <f t="shared" si="106"/>
        <v>4.4599999999999485</v>
      </c>
      <c r="G467" s="9">
        <f t="shared" si="107"/>
        <v>59750</v>
      </c>
      <c r="I467" s="4">
        <f t="shared" si="108"/>
        <v>10000</v>
      </c>
      <c r="J467" s="17">
        <f t="shared" si="109"/>
        <v>0.02</v>
      </c>
      <c r="K467" s="17">
        <f t="shared" si="110"/>
        <v>0.02</v>
      </c>
      <c r="L467" s="17">
        <f t="shared" si="111"/>
        <v>0.96</v>
      </c>
      <c r="M467" s="4">
        <f t="shared" si="112"/>
        <v>59750</v>
      </c>
    </row>
    <row r="468" spans="1:13" x14ac:dyDescent="0.3">
      <c r="A468" s="1">
        <f t="shared" si="113"/>
        <v>466</v>
      </c>
      <c r="B468" s="1">
        <v>200</v>
      </c>
      <c r="C468" s="1">
        <f t="shared" si="114"/>
        <v>200</v>
      </c>
      <c r="D468" s="4">
        <v>9600</v>
      </c>
      <c r="E468" s="4">
        <f t="shared" si="105"/>
        <v>586</v>
      </c>
      <c r="F468" s="10">
        <f t="shared" si="106"/>
        <v>4.4699999999999482</v>
      </c>
      <c r="G468" s="9">
        <f t="shared" si="107"/>
        <v>59900</v>
      </c>
      <c r="I468" s="4">
        <f t="shared" si="108"/>
        <v>10000</v>
      </c>
      <c r="J468" s="17">
        <f t="shared" si="109"/>
        <v>0.02</v>
      </c>
      <c r="K468" s="17">
        <f t="shared" si="110"/>
        <v>0.02</v>
      </c>
      <c r="L468" s="17">
        <f t="shared" si="111"/>
        <v>0.96</v>
      </c>
      <c r="M468" s="4">
        <f t="shared" si="112"/>
        <v>59900</v>
      </c>
    </row>
    <row r="469" spans="1:13" x14ac:dyDescent="0.3">
      <c r="A469" s="1">
        <f t="shared" si="113"/>
        <v>467</v>
      </c>
      <c r="B469" s="1">
        <v>200</v>
      </c>
      <c r="C469" s="1">
        <f t="shared" si="114"/>
        <v>200</v>
      </c>
      <c r="D469" s="4">
        <v>9600</v>
      </c>
      <c r="E469" s="4">
        <f t="shared" si="105"/>
        <v>587</v>
      </c>
      <c r="F469" s="10">
        <f t="shared" si="106"/>
        <v>4.479999999999948</v>
      </c>
      <c r="G469" s="9">
        <f t="shared" si="107"/>
        <v>60050</v>
      </c>
      <c r="I469" s="4">
        <f t="shared" si="108"/>
        <v>10000</v>
      </c>
      <c r="J469" s="17">
        <f t="shared" si="109"/>
        <v>0.02</v>
      </c>
      <c r="K469" s="17">
        <f t="shared" si="110"/>
        <v>0.02</v>
      </c>
      <c r="L469" s="17">
        <f t="shared" si="111"/>
        <v>0.96</v>
      </c>
      <c r="M469" s="4">
        <f t="shared" si="112"/>
        <v>60050</v>
      </c>
    </row>
    <row r="470" spans="1:13" x14ac:dyDescent="0.3">
      <c r="A470" s="1">
        <f t="shared" si="113"/>
        <v>468</v>
      </c>
      <c r="B470" s="1">
        <v>200</v>
      </c>
      <c r="C470" s="1">
        <f t="shared" si="114"/>
        <v>200</v>
      </c>
      <c r="D470" s="4">
        <v>9600</v>
      </c>
      <c r="E470" s="4">
        <f t="shared" si="105"/>
        <v>588</v>
      </c>
      <c r="F470" s="10">
        <f t="shared" si="106"/>
        <v>4.4899999999999478</v>
      </c>
      <c r="G470" s="9">
        <f t="shared" si="107"/>
        <v>60200</v>
      </c>
      <c r="I470" s="4">
        <f t="shared" si="108"/>
        <v>10000</v>
      </c>
      <c r="J470" s="17">
        <f t="shared" si="109"/>
        <v>0.02</v>
      </c>
      <c r="K470" s="17">
        <f t="shared" si="110"/>
        <v>0.02</v>
      </c>
      <c r="L470" s="17">
        <f t="shared" si="111"/>
        <v>0.96</v>
      </c>
      <c r="M470" s="4">
        <f t="shared" si="112"/>
        <v>60200</v>
      </c>
    </row>
    <row r="471" spans="1:13" x14ac:dyDescent="0.3">
      <c r="A471" s="1">
        <f t="shared" si="113"/>
        <v>469</v>
      </c>
      <c r="B471" s="1">
        <v>200</v>
      </c>
      <c r="C471" s="1">
        <f t="shared" si="114"/>
        <v>200</v>
      </c>
      <c r="D471" s="4">
        <v>9600</v>
      </c>
      <c r="E471" s="4">
        <f t="shared" si="105"/>
        <v>589</v>
      </c>
      <c r="F471" s="10">
        <f t="shared" si="106"/>
        <v>4.4999999999999476</v>
      </c>
      <c r="G471" s="9">
        <f t="shared" si="107"/>
        <v>60350</v>
      </c>
      <c r="I471" s="4">
        <f t="shared" si="108"/>
        <v>10000</v>
      </c>
      <c r="J471" s="17">
        <f t="shared" si="109"/>
        <v>0.02</v>
      </c>
      <c r="K471" s="17">
        <f t="shared" si="110"/>
        <v>0.02</v>
      </c>
      <c r="L471" s="17">
        <f t="shared" si="111"/>
        <v>0.96</v>
      </c>
      <c r="M471" s="4">
        <f t="shared" si="112"/>
        <v>60350</v>
      </c>
    </row>
    <row r="472" spans="1:13" x14ac:dyDescent="0.3">
      <c r="A472" s="1">
        <f t="shared" si="113"/>
        <v>470</v>
      </c>
      <c r="B472" s="1">
        <v>200</v>
      </c>
      <c r="C472" s="1">
        <f t="shared" si="114"/>
        <v>200</v>
      </c>
      <c r="D472" s="4">
        <v>9600</v>
      </c>
      <c r="E472" s="4">
        <f t="shared" si="105"/>
        <v>590</v>
      </c>
      <c r="F472" s="10">
        <f t="shared" si="106"/>
        <v>4.5099999999999474</v>
      </c>
      <c r="G472" s="9">
        <f t="shared" si="107"/>
        <v>60500</v>
      </c>
      <c r="I472" s="4">
        <f t="shared" si="108"/>
        <v>10000</v>
      </c>
      <c r="J472" s="17">
        <f t="shared" si="109"/>
        <v>0.02</v>
      </c>
      <c r="K472" s="17">
        <f t="shared" si="110"/>
        <v>0.02</v>
      </c>
      <c r="L472" s="17">
        <f t="shared" si="111"/>
        <v>0.96</v>
      </c>
      <c r="M472" s="4">
        <f t="shared" si="112"/>
        <v>60500</v>
      </c>
    </row>
    <row r="473" spans="1:13" x14ac:dyDescent="0.3">
      <c r="A473" s="1">
        <f t="shared" si="113"/>
        <v>471</v>
      </c>
      <c r="B473" s="1">
        <v>200</v>
      </c>
      <c r="C473" s="1">
        <f t="shared" si="114"/>
        <v>200</v>
      </c>
      <c r="D473" s="4">
        <v>9600</v>
      </c>
      <c r="E473" s="4">
        <f t="shared" si="105"/>
        <v>591</v>
      </c>
      <c r="F473" s="10">
        <f t="shared" si="106"/>
        <v>4.5199999999999472</v>
      </c>
      <c r="G473" s="9">
        <f t="shared" si="107"/>
        <v>60650</v>
      </c>
      <c r="I473" s="4">
        <f t="shared" si="108"/>
        <v>10000</v>
      </c>
      <c r="J473" s="17">
        <f t="shared" si="109"/>
        <v>0.02</v>
      </c>
      <c r="K473" s="17">
        <f t="shared" si="110"/>
        <v>0.02</v>
      </c>
      <c r="L473" s="17">
        <f t="shared" si="111"/>
        <v>0.96</v>
      </c>
      <c r="M473" s="4">
        <f t="shared" si="112"/>
        <v>60650</v>
      </c>
    </row>
    <row r="474" spans="1:13" x14ac:dyDescent="0.3">
      <c r="A474" s="1">
        <f t="shared" si="113"/>
        <v>472</v>
      </c>
      <c r="B474" s="1">
        <v>200</v>
      </c>
      <c r="C474" s="1">
        <f t="shared" si="114"/>
        <v>200</v>
      </c>
      <c r="D474" s="4">
        <v>9600</v>
      </c>
      <c r="E474" s="4">
        <f t="shared" ref="E474:E537" si="115">E473+1</f>
        <v>592</v>
      </c>
      <c r="F474" s="10">
        <f t="shared" ref="F474:F537" si="116">F473+0.01</f>
        <v>4.529999999999947</v>
      </c>
      <c r="G474" s="9">
        <f t="shared" ref="G474:G537" si="117">G473+150</f>
        <v>60800</v>
      </c>
      <c r="I474" s="4">
        <f t="shared" ref="I474:I537" si="118">SUM(B474:D474)</f>
        <v>10000</v>
      </c>
      <c r="J474" s="17">
        <f t="shared" ref="J474:J537" si="119">B474/10000</f>
        <v>0.02</v>
      </c>
      <c r="K474" s="17">
        <f t="shared" ref="K474:K537" si="120">C474/10000</f>
        <v>0.02</v>
      </c>
      <c r="L474" s="17">
        <f t="shared" ref="L474:L537" si="121">D474/10000</f>
        <v>0.96</v>
      </c>
      <c r="M474" s="4">
        <f t="shared" ref="M474:M537" si="122">G474</f>
        <v>60800</v>
      </c>
    </row>
    <row r="475" spans="1:13" x14ac:dyDescent="0.3">
      <c r="A475" s="1">
        <f t="shared" si="113"/>
        <v>473</v>
      </c>
      <c r="B475" s="1">
        <v>200</v>
      </c>
      <c r="C475" s="1">
        <f t="shared" si="114"/>
        <v>200</v>
      </c>
      <c r="D475" s="4">
        <v>9600</v>
      </c>
      <c r="E475" s="4">
        <f t="shared" si="115"/>
        <v>593</v>
      </c>
      <c r="F475" s="10">
        <f t="shared" si="116"/>
        <v>4.5399999999999467</v>
      </c>
      <c r="G475" s="9">
        <f t="shared" si="117"/>
        <v>60950</v>
      </c>
      <c r="I475" s="4">
        <f t="shared" si="118"/>
        <v>10000</v>
      </c>
      <c r="J475" s="17">
        <f t="shared" si="119"/>
        <v>0.02</v>
      </c>
      <c r="K475" s="17">
        <f t="shared" si="120"/>
        <v>0.02</v>
      </c>
      <c r="L475" s="17">
        <f t="shared" si="121"/>
        <v>0.96</v>
      </c>
      <c r="M475" s="4">
        <f t="shared" si="122"/>
        <v>60950</v>
      </c>
    </row>
    <row r="476" spans="1:13" x14ac:dyDescent="0.3">
      <c r="A476" s="1">
        <f t="shared" si="113"/>
        <v>474</v>
      </c>
      <c r="B476" s="1">
        <v>200</v>
      </c>
      <c r="C476" s="1">
        <f t="shared" si="114"/>
        <v>200</v>
      </c>
      <c r="D476" s="4">
        <v>9600</v>
      </c>
      <c r="E476" s="4">
        <f t="shared" si="115"/>
        <v>594</v>
      </c>
      <c r="F476" s="10">
        <f t="shared" si="116"/>
        <v>4.5499999999999465</v>
      </c>
      <c r="G476" s="9">
        <f t="shared" si="117"/>
        <v>61100</v>
      </c>
      <c r="I476" s="4">
        <f t="shared" si="118"/>
        <v>10000</v>
      </c>
      <c r="J476" s="17">
        <f t="shared" si="119"/>
        <v>0.02</v>
      </c>
      <c r="K476" s="17">
        <f t="shared" si="120"/>
        <v>0.02</v>
      </c>
      <c r="L476" s="17">
        <f t="shared" si="121"/>
        <v>0.96</v>
      </c>
      <c r="M476" s="4">
        <f t="shared" si="122"/>
        <v>61100</v>
      </c>
    </row>
    <row r="477" spans="1:13" x14ac:dyDescent="0.3">
      <c r="A477" s="1">
        <f t="shared" si="113"/>
        <v>475</v>
      </c>
      <c r="B477" s="1">
        <v>200</v>
      </c>
      <c r="C477" s="1">
        <f t="shared" si="114"/>
        <v>200</v>
      </c>
      <c r="D477" s="4">
        <v>9600</v>
      </c>
      <c r="E477" s="4">
        <f t="shared" si="115"/>
        <v>595</v>
      </c>
      <c r="F477" s="10">
        <f t="shared" si="116"/>
        <v>4.5599999999999463</v>
      </c>
      <c r="G477" s="9">
        <f t="shared" si="117"/>
        <v>61250</v>
      </c>
      <c r="I477" s="4">
        <f t="shared" si="118"/>
        <v>10000</v>
      </c>
      <c r="J477" s="17">
        <f t="shared" si="119"/>
        <v>0.02</v>
      </c>
      <c r="K477" s="17">
        <f t="shared" si="120"/>
        <v>0.02</v>
      </c>
      <c r="L477" s="17">
        <f t="shared" si="121"/>
        <v>0.96</v>
      </c>
      <c r="M477" s="4">
        <f t="shared" si="122"/>
        <v>61250</v>
      </c>
    </row>
    <row r="478" spans="1:13" x14ac:dyDescent="0.3">
      <c r="A478" s="1">
        <f t="shared" si="113"/>
        <v>476</v>
      </c>
      <c r="B478" s="1">
        <v>200</v>
      </c>
      <c r="C478" s="1">
        <f t="shared" si="114"/>
        <v>200</v>
      </c>
      <c r="D478" s="4">
        <v>9600</v>
      </c>
      <c r="E478" s="4">
        <f t="shared" si="115"/>
        <v>596</v>
      </c>
      <c r="F478" s="10">
        <f t="shared" si="116"/>
        <v>4.5699999999999461</v>
      </c>
      <c r="G478" s="9">
        <f t="shared" si="117"/>
        <v>61400</v>
      </c>
      <c r="I478" s="4">
        <f t="shared" si="118"/>
        <v>10000</v>
      </c>
      <c r="J478" s="17">
        <f t="shared" si="119"/>
        <v>0.02</v>
      </c>
      <c r="K478" s="17">
        <f t="shared" si="120"/>
        <v>0.02</v>
      </c>
      <c r="L478" s="17">
        <f t="shared" si="121"/>
        <v>0.96</v>
      </c>
      <c r="M478" s="4">
        <f t="shared" si="122"/>
        <v>61400</v>
      </c>
    </row>
    <row r="479" spans="1:13" x14ac:dyDescent="0.3">
      <c r="A479" s="1">
        <f t="shared" ref="A479:A542" si="123">A478+1</f>
        <v>477</v>
      </c>
      <c r="B479" s="1">
        <v>200</v>
      </c>
      <c r="C479" s="1">
        <f t="shared" si="114"/>
        <v>200</v>
      </c>
      <c r="D479" s="4">
        <v>9600</v>
      </c>
      <c r="E479" s="4">
        <f t="shared" si="115"/>
        <v>597</v>
      </c>
      <c r="F479" s="10">
        <f t="shared" si="116"/>
        <v>4.5799999999999459</v>
      </c>
      <c r="G479" s="9">
        <f t="shared" si="117"/>
        <v>61550</v>
      </c>
      <c r="I479" s="4">
        <f t="shared" si="118"/>
        <v>10000</v>
      </c>
      <c r="J479" s="17">
        <f t="shared" si="119"/>
        <v>0.02</v>
      </c>
      <c r="K479" s="17">
        <f t="shared" si="120"/>
        <v>0.02</v>
      </c>
      <c r="L479" s="17">
        <f t="shared" si="121"/>
        <v>0.96</v>
      </c>
      <c r="M479" s="4">
        <f t="shared" si="122"/>
        <v>61550</v>
      </c>
    </row>
    <row r="480" spans="1:13" x14ac:dyDescent="0.3">
      <c r="A480" s="1">
        <f t="shared" si="123"/>
        <v>478</v>
      </c>
      <c r="B480" s="1">
        <v>200</v>
      </c>
      <c r="C480" s="1">
        <f t="shared" si="114"/>
        <v>200</v>
      </c>
      <c r="D480" s="4">
        <v>9600</v>
      </c>
      <c r="E480" s="4">
        <f t="shared" si="115"/>
        <v>598</v>
      </c>
      <c r="F480" s="10">
        <f t="shared" si="116"/>
        <v>4.5899999999999457</v>
      </c>
      <c r="G480" s="9">
        <f t="shared" si="117"/>
        <v>61700</v>
      </c>
      <c r="I480" s="4">
        <f t="shared" si="118"/>
        <v>10000</v>
      </c>
      <c r="J480" s="17">
        <f t="shared" si="119"/>
        <v>0.02</v>
      </c>
      <c r="K480" s="17">
        <f t="shared" si="120"/>
        <v>0.02</v>
      </c>
      <c r="L480" s="17">
        <f t="shared" si="121"/>
        <v>0.96</v>
      </c>
      <c r="M480" s="4">
        <f t="shared" si="122"/>
        <v>61700</v>
      </c>
    </row>
    <row r="481" spans="1:13" x14ac:dyDescent="0.3">
      <c r="A481" s="1">
        <f t="shared" si="123"/>
        <v>479</v>
      </c>
      <c r="B481" s="1">
        <v>200</v>
      </c>
      <c r="C481" s="1">
        <f t="shared" si="114"/>
        <v>200</v>
      </c>
      <c r="D481" s="4">
        <v>9600</v>
      </c>
      <c r="E481" s="4">
        <f t="shared" si="115"/>
        <v>599</v>
      </c>
      <c r="F481" s="10">
        <f t="shared" si="116"/>
        <v>4.5999999999999455</v>
      </c>
      <c r="G481" s="9">
        <f t="shared" si="117"/>
        <v>61850</v>
      </c>
      <c r="I481" s="4">
        <f t="shared" si="118"/>
        <v>10000</v>
      </c>
      <c r="J481" s="17">
        <f t="shared" si="119"/>
        <v>0.02</v>
      </c>
      <c r="K481" s="17">
        <f t="shared" si="120"/>
        <v>0.02</v>
      </c>
      <c r="L481" s="17">
        <f t="shared" si="121"/>
        <v>0.96</v>
      </c>
      <c r="M481" s="4">
        <f t="shared" si="122"/>
        <v>61850</v>
      </c>
    </row>
    <row r="482" spans="1:13" x14ac:dyDescent="0.3">
      <c r="A482" s="1">
        <f t="shared" si="123"/>
        <v>480</v>
      </c>
      <c r="B482" s="1">
        <v>200</v>
      </c>
      <c r="C482" s="1">
        <f t="shared" ref="C482:C545" si="124">10000-B482-D482</f>
        <v>200</v>
      </c>
      <c r="D482" s="4">
        <v>9600</v>
      </c>
      <c r="E482" s="4">
        <f t="shared" si="115"/>
        <v>600</v>
      </c>
      <c r="F482" s="10">
        <f t="shared" si="116"/>
        <v>4.6099999999999453</v>
      </c>
      <c r="G482" s="9">
        <f t="shared" si="117"/>
        <v>62000</v>
      </c>
      <c r="I482" s="4">
        <f t="shared" si="118"/>
        <v>10000</v>
      </c>
      <c r="J482" s="17">
        <f t="shared" si="119"/>
        <v>0.02</v>
      </c>
      <c r="K482" s="17">
        <f t="shared" si="120"/>
        <v>0.02</v>
      </c>
      <c r="L482" s="17">
        <f t="shared" si="121"/>
        <v>0.96</v>
      </c>
      <c r="M482" s="4">
        <f t="shared" si="122"/>
        <v>62000</v>
      </c>
    </row>
    <row r="483" spans="1:13" x14ac:dyDescent="0.3">
      <c r="A483" s="1">
        <f t="shared" si="123"/>
        <v>481</v>
      </c>
      <c r="B483" s="1">
        <v>200</v>
      </c>
      <c r="C483" s="1">
        <f t="shared" si="124"/>
        <v>200</v>
      </c>
      <c r="D483" s="4">
        <v>9600</v>
      </c>
      <c r="E483" s="4">
        <f t="shared" si="115"/>
        <v>601</v>
      </c>
      <c r="F483" s="10">
        <f t="shared" si="116"/>
        <v>4.619999999999945</v>
      </c>
      <c r="G483" s="9">
        <f t="shared" si="117"/>
        <v>62150</v>
      </c>
      <c r="I483" s="4">
        <f t="shared" si="118"/>
        <v>10000</v>
      </c>
      <c r="J483" s="17">
        <f t="shared" si="119"/>
        <v>0.02</v>
      </c>
      <c r="K483" s="17">
        <f t="shared" si="120"/>
        <v>0.02</v>
      </c>
      <c r="L483" s="17">
        <f t="shared" si="121"/>
        <v>0.96</v>
      </c>
      <c r="M483" s="4">
        <f t="shared" si="122"/>
        <v>62150</v>
      </c>
    </row>
    <row r="484" spans="1:13" x14ac:dyDescent="0.3">
      <c r="A484" s="1">
        <f t="shared" si="123"/>
        <v>482</v>
      </c>
      <c r="B484" s="1">
        <v>200</v>
      </c>
      <c r="C484" s="1">
        <f t="shared" si="124"/>
        <v>200</v>
      </c>
      <c r="D484" s="4">
        <v>9600</v>
      </c>
      <c r="E484" s="4">
        <f t="shared" si="115"/>
        <v>602</v>
      </c>
      <c r="F484" s="10">
        <f t="shared" si="116"/>
        <v>4.6299999999999448</v>
      </c>
      <c r="G484" s="9">
        <f t="shared" si="117"/>
        <v>62300</v>
      </c>
      <c r="I484" s="4">
        <f t="shared" si="118"/>
        <v>10000</v>
      </c>
      <c r="J484" s="17">
        <f t="shared" si="119"/>
        <v>0.02</v>
      </c>
      <c r="K484" s="17">
        <f t="shared" si="120"/>
        <v>0.02</v>
      </c>
      <c r="L484" s="17">
        <f t="shared" si="121"/>
        <v>0.96</v>
      </c>
      <c r="M484" s="4">
        <f t="shared" si="122"/>
        <v>62300</v>
      </c>
    </row>
    <row r="485" spans="1:13" x14ac:dyDescent="0.3">
      <c r="A485" s="1">
        <f t="shared" si="123"/>
        <v>483</v>
      </c>
      <c r="B485" s="1">
        <v>200</v>
      </c>
      <c r="C485" s="1">
        <f t="shared" si="124"/>
        <v>200</v>
      </c>
      <c r="D485" s="4">
        <v>9600</v>
      </c>
      <c r="E485" s="4">
        <f t="shared" si="115"/>
        <v>603</v>
      </c>
      <c r="F485" s="10">
        <f t="shared" si="116"/>
        <v>4.6399999999999446</v>
      </c>
      <c r="G485" s="9">
        <f t="shared" si="117"/>
        <v>62450</v>
      </c>
      <c r="I485" s="4">
        <f t="shared" si="118"/>
        <v>10000</v>
      </c>
      <c r="J485" s="17">
        <f t="shared" si="119"/>
        <v>0.02</v>
      </c>
      <c r="K485" s="17">
        <f t="shared" si="120"/>
        <v>0.02</v>
      </c>
      <c r="L485" s="17">
        <f t="shared" si="121"/>
        <v>0.96</v>
      </c>
      <c r="M485" s="4">
        <f t="shared" si="122"/>
        <v>62450</v>
      </c>
    </row>
    <row r="486" spans="1:13" x14ac:dyDescent="0.3">
      <c r="A486" s="1">
        <f t="shared" si="123"/>
        <v>484</v>
      </c>
      <c r="B486" s="1">
        <v>200</v>
      </c>
      <c r="C486" s="1">
        <f t="shared" si="124"/>
        <v>200</v>
      </c>
      <c r="D486" s="4">
        <v>9600</v>
      </c>
      <c r="E486" s="4">
        <f t="shared" si="115"/>
        <v>604</v>
      </c>
      <c r="F486" s="10">
        <f t="shared" si="116"/>
        <v>4.6499999999999444</v>
      </c>
      <c r="G486" s="9">
        <f t="shared" si="117"/>
        <v>62600</v>
      </c>
      <c r="I486" s="4">
        <f t="shared" si="118"/>
        <v>10000</v>
      </c>
      <c r="J486" s="17">
        <f t="shared" si="119"/>
        <v>0.02</v>
      </c>
      <c r="K486" s="17">
        <f t="shared" si="120"/>
        <v>0.02</v>
      </c>
      <c r="L486" s="17">
        <f t="shared" si="121"/>
        <v>0.96</v>
      </c>
      <c r="M486" s="4">
        <f t="shared" si="122"/>
        <v>62600</v>
      </c>
    </row>
    <row r="487" spans="1:13" x14ac:dyDescent="0.3">
      <c r="A487" s="1">
        <f t="shared" si="123"/>
        <v>485</v>
      </c>
      <c r="B487" s="1">
        <v>200</v>
      </c>
      <c r="C487" s="1">
        <f t="shared" si="124"/>
        <v>200</v>
      </c>
      <c r="D487" s="4">
        <v>9600</v>
      </c>
      <c r="E487" s="4">
        <f t="shared" si="115"/>
        <v>605</v>
      </c>
      <c r="F487" s="10">
        <f t="shared" si="116"/>
        <v>4.6599999999999442</v>
      </c>
      <c r="G487" s="9">
        <f t="shared" si="117"/>
        <v>62750</v>
      </c>
      <c r="I487" s="4">
        <f t="shared" si="118"/>
        <v>10000</v>
      </c>
      <c r="J487" s="17">
        <f t="shared" si="119"/>
        <v>0.02</v>
      </c>
      <c r="K487" s="17">
        <f t="shared" si="120"/>
        <v>0.02</v>
      </c>
      <c r="L487" s="17">
        <f t="shared" si="121"/>
        <v>0.96</v>
      </c>
      <c r="M487" s="4">
        <f t="shared" si="122"/>
        <v>62750</v>
      </c>
    </row>
    <row r="488" spans="1:13" x14ac:dyDescent="0.3">
      <c r="A488" s="1">
        <f t="shared" si="123"/>
        <v>486</v>
      </c>
      <c r="B488" s="1">
        <v>200</v>
      </c>
      <c r="C488" s="1">
        <f t="shared" si="124"/>
        <v>200</v>
      </c>
      <c r="D488" s="4">
        <v>9600</v>
      </c>
      <c r="E488" s="4">
        <f t="shared" si="115"/>
        <v>606</v>
      </c>
      <c r="F488" s="10">
        <f t="shared" si="116"/>
        <v>4.669999999999944</v>
      </c>
      <c r="G488" s="9">
        <f t="shared" si="117"/>
        <v>62900</v>
      </c>
      <c r="I488" s="4">
        <f t="shared" si="118"/>
        <v>10000</v>
      </c>
      <c r="J488" s="17">
        <f t="shared" si="119"/>
        <v>0.02</v>
      </c>
      <c r="K488" s="17">
        <f t="shared" si="120"/>
        <v>0.02</v>
      </c>
      <c r="L488" s="17">
        <f t="shared" si="121"/>
        <v>0.96</v>
      </c>
      <c r="M488" s="4">
        <f t="shared" si="122"/>
        <v>62900</v>
      </c>
    </row>
    <row r="489" spans="1:13" x14ac:dyDescent="0.3">
      <c r="A489" s="1">
        <f t="shared" si="123"/>
        <v>487</v>
      </c>
      <c r="B489" s="1">
        <v>200</v>
      </c>
      <c r="C489" s="1">
        <f t="shared" si="124"/>
        <v>200</v>
      </c>
      <c r="D489" s="4">
        <v>9600</v>
      </c>
      <c r="E489" s="4">
        <f t="shared" si="115"/>
        <v>607</v>
      </c>
      <c r="F489" s="10">
        <f t="shared" si="116"/>
        <v>4.6799999999999438</v>
      </c>
      <c r="G489" s="9">
        <f t="shared" si="117"/>
        <v>63050</v>
      </c>
      <c r="I489" s="4">
        <f t="shared" si="118"/>
        <v>10000</v>
      </c>
      <c r="J489" s="17">
        <f t="shared" si="119"/>
        <v>0.02</v>
      </c>
      <c r="K489" s="17">
        <f t="shared" si="120"/>
        <v>0.02</v>
      </c>
      <c r="L489" s="17">
        <f t="shared" si="121"/>
        <v>0.96</v>
      </c>
      <c r="M489" s="4">
        <f t="shared" si="122"/>
        <v>63050</v>
      </c>
    </row>
    <row r="490" spans="1:13" x14ac:dyDescent="0.3">
      <c r="A490" s="1">
        <f t="shared" si="123"/>
        <v>488</v>
      </c>
      <c r="B490" s="1">
        <v>200</v>
      </c>
      <c r="C490" s="1">
        <f t="shared" si="124"/>
        <v>200</v>
      </c>
      <c r="D490" s="4">
        <v>9600</v>
      </c>
      <c r="E490" s="4">
        <f t="shared" si="115"/>
        <v>608</v>
      </c>
      <c r="F490" s="10">
        <f t="shared" si="116"/>
        <v>4.6899999999999435</v>
      </c>
      <c r="G490" s="9">
        <f t="shared" si="117"/>
        <v>63200</v>
      </c>
      <c r="I490" s="4">
        <f t="shared" si="118"/>
        <v>10000</v>
      </c>
      <c r="J490" s="17">
        <f t="shared" si="119"/>
        <v>0.02</v>
      </c>
      <c r="K490" s="17">
        <f t="shared" si="120"/>
        <v>0.02</v>
      </c>
      <c r="L490" s="17">
        <f t="shared" si="121"/>
        <v>0.96</v>
      </c>
      <c r="M490" s="4">
        <f t="shared" si="122"/>
        <v>63200</v>
      </c>
    </row>
    <row r="491" spans="1:13" x14ac:dyDescent="0.3">
      <c r="A491" s="1">
        <f t="shared" si="123"/>
        <v>489</v>
      </c>
      <c r="B491" s="1">
        <v>200</v>
      </c>
      <c r="C491" s="1">
        <f t="shared" si="124"/>
        <v>200</v>
      </c>
      <c r="D491" s="4">
        <v>9600</v>
      </c>
      <c r="E491" s="4">
        <f t="shared" si="115"/>
        <v>609</v>
      </c>
      <c r="F491" s="10">
        <f t="shared" si="116"/>
        <v>4.6999999999999433</v>
      </c>
      <c r="G491" s="9">
        <f t="shared" si="117"/>
        <v>63350</v>
      </c>
      <c r="I491" s="4">
        <f t="shared" si="118"/>
        <v>10000</v>
      </c>
      <c r="J491" s="17">
        <f t="shared" si="119"/>
        <v>0.02</v>
      </c>
      <c r="K491" s="17">
        <f t="shared" si="120"/>
        <v>0.02</v>
      </c>
      <c r="L491" s="17">
        <f t="shared" si="121"/>
        <v>0.96</v>
      </c>
      <c r="M491" s="4">
        <f t="shared" si="122"/>
        <v>63350</v>
      </c>
    </row>
    <row r="492" spans="1:13" x14ac:dyDescent="0.3">
      <c r="A492" s="1">
        <f t="shared" si="123"/>
        <v>490</v>
      </c>
      <c r="B492" s="1">
        <v>200</v>
      </c>
      <c r="C492" s="1">
        <f t="shared" si="124"/>
        <v>200</v>
      </c>
      <c r="D492" s="4">
        <v>9600</v>
      </c>
      <c r="E492" s="4">
        <f t="shared" si="115"/>
        <v>610</v>
      </c>
      <c r="F492" s="10">
        <f t="shared" si="116"/>
        <v>4.7099999999999431</v>
      </c>
      <c r="G492" s="9">
        <f t="shared" si="117"/>
        <v>63500</v>
      </c>
      <c r="I492" s="4">
        <f t="shared" si="118"/>
        <v>10000</v>
      </c>
      <c r="J492" s="17">
        <f t="shared" si="119"/>
        <v>0.02</v>
      </c>
      <c r="K492" s="17">
        <f t="shared" si="120"/>
        <v>0.02</v>
      </c>
      <c r="L492" s="17">
        <f t="shared" si="121"/>
        <v>0.96</v>
      </c>
      <c r="M492" s="4">
        <f t="shared" si="122"/>
        <v>63500</v>
      </c>
    </row>
    <row r="493" spans="1:13" x14ac:dyDescent="0.3">
      <c r="A493" s="1">
        <f t="shared" si="123"/>
        <v>491</v>
      </c>
      <c r="B493" s="1">
        <v>200</v>
      </c>
      <c r="C493" s="1">
        <f t="shared" si="124"/>
        <v>200</v>
      </c>
      <c r="D493" s="4">
        <v>9600</v>
      </c>
      <c r="E493" s="4">
        <f t="shared" si="115"/>
        <v>611</v>
      </c>
      <c r="F493" s="10">
        <f t="shared" si="116"/>
        <v>4.7199999999999429</v>
      </c>
      <c r="G493" s="9">
        <f t="shared" si="117"/>
        <v>63650</v>
      </c>
      <c r="I493" s="4">
        <f t="shared" si="118"/>
        <v>10000</v>
      </c>
      <c r="J493" s="17">
        <f t="shared" si="119"/>
        <v>0.02</v>
      </c>
      <c r="K493" s="17">
        <f t="shared" si="120"/>
        <v>0.02</v>
      </c>
      <c r="L493" s="17">
        <f t="shared" si="121"/>
        <v>0.96</v>
      </c>
      <c r="M493" s="4">
        <f t="shared" si="122"/>
        <v>63650</v>
      </c>
    </row>
    <row r="494" spans="1:13" x14ac:dyDescent="0.3">
      <c r="A494" s="1">
        <f t="shared" si="123"/>
        <v>492</v>
      </c>
      <c r="B494" s="1">
        <v>200</v>
      </c>
      <c r="C494" s="1">
        <f t="shared" si="124"/>
        <v>200</v>
      </c>
      <c r="D494" s="4">
        <v>9600</v>
      </c>
      <c r="E494" s="4">
        <f t="shared" si="115"/>
        <v>612</v>
      </c>
      <c r="F494" s="10">
        <f t="shared" si="116"/>
        <v>4.7299999999999427</v>
      </c>
      <c r="G494" s="9">
        <f t="shared" si="117"/>
        <v>63800</v>
      </c>
      <c r="I494" s="4">
        <f t="shared" si="118"/>
        <v>10000</v>
      </c>
      <c r="J494" s="17">
        <f t="shared" si="119"/>
        <v>0.02</v>
      </c>
      <c r="K494" s="17">
        <f t="shared" si="120"/>
        <v>0.02</v>
      </c>
      <c r="L494" s="17">
        <f t="shared" si="121"/>
        <v>0.96</v>
      </c>
      <c r="M494" s="4">
        <f t="shared" si="122"/>
        <v>63800</v>
      </c>
    </row>
    <row r="495" spans="1:13" x14ac:dyDescent="0.3">
      <c r="A495" s="1">
        <f t="shared" si="123"/>
        <v>493</v>
      </c>
      <c r="B495" s="1">
        <v>200</v>
      </c>
      <c r="C495" s="1">
        <f t="shared" si="124"/>
        <v>200</v>
      </c>
      <c r="D495" s="4">
        <v>9600</v>
      </c>
      <c r="E495" s="4">
        <f t="shared" si="115"/>
        <v>613</v>
      </c>
      <c r="F495" s="10">
        <f t="shared" si="116"/>
        <v>4.7399999999999425</v>
      </c>
      <c r="G495" s="9">
        <f t="shared" si="117"/>
        <v>63950</v>
      </c>
      <c r="I495" s="4">
        <f t="shared" si="118"/>
        <v>10000</v>
      </c>
      <c r="J495" s="17">
        <f t="shared" si="119"/>
        <v>0.02</v>
      </c>
      <c r="K495" s="17">
        <f t="shared" si="120"/>
        <v>0.02</v>
      </c>
      <c r="L495" s="17">
        <f t="shared" si="121"/>
        <v>0.96</v>
      </c>
      <c r="M495" s="4">
        <f t="shared" si="122"/>
        <v>63950</v>
      </c>
    </row>
    <row r="496" spans="1:13" x14ac:dyDescent="0.3">
      <c r="A496" s="1">
        <f t="shared" si="123"/>
        <v>494</v>
      </c>
      <c r="B496" s="1">
        <v>200</v>
      </c>
      <c r="C496" s="1">
        <f t="shared" si="124"/>
        <v>200</v>
      </c>
      <c r="D496" s="4">
        <v>9600</v>
      </c>
      <c r="E496" s="4">
        <f t="shared" si="115"/>
        <v>614</v>
      </c>
      <c r="F496" s="10">
        <f t="shared" si="116"/>
        <v>4.7499999999999423</v>
      </c>
      <c r="G496" s="9">
        <f t="shared" si="117"/>
        <v>64100</v>
      </c>
      <c r="I496" s="4">
        <f t="shared" si="118"/>
        <v>10000</v>
      </c>
      <c r="J496" s="17">
        <f t="shared" si="119"/>
        <v>0.02</v>
      </c>
      <c r="K496" s="17">
        <f t="shared" si="120"/>
        <v>0.02</v>
      </c>
      <c r="L496" s="17">
        <f t="shared" si="121"/>
        <v>0.96</v>
      </c>
      <c r="M496" s="4">
        <f t="shared" si="122"/>
        <v>64100</v>
      </c>
    </row>
    <row r="497" spans="1:13" x14ac:dyDescent="0.3">
      <c r="A497" s="1">
        <f t="shared" si="123"/>
        <v>495</v>
      </c>
      <c r="B497" s="1">
        <v>200</v>
      </c>
      <c r="C497" s="1">
        <f t="shared" si="124"/>
        <v>200</v>
      </c>
      <c r="D497" s="4">
        <v>9600</v>
      </c>
      <c r="E497" s="4">
        <f t="shared" si="115"/>
        <v>615</v>
      </c>
      <c r="F497" s="10">
        <f t="shared" si="116"/>
        <v>4.7599999999999421</v>
      </c>
      <c r="G497" s="9">
        <f t="shared" si="117"/>
        <v>64250</v>
      </c>
      <c r="I497" s="4">
        <f t="shared" si="118"/>
        <v>10000</v>
      </c>
      <c r="J497" s="17">
        <f t="shared" si="119"/>
        <v>0.02</v>
      </c>
      <c r="K497" s="17">
        <f t="shared" si="120"/>
        <v>0.02</v>
      </c>
      <c r="L497" s="17">
        <f t="shared" si="121"/>
        <v>0.96</v>
      </c>
      <c r="M497" s="4">
        <f t="shared" si="122"/>
        <v>64250</v>
      </c>
    </row>
    <row r="498" spans="1:13" x14ac:dyDescent="0.3">
      <c r="A498" s="1">
        <f t="shared" si="123"/>
        <v>496</v>
      </c>
      <c r="B498" s="1">
        <v>200</v>
      </c>
      <c r="C498" s="1">
        <f t="shared" si="124"/>
        <v>200</v>
      </c>
      <c r="D498" s="4">
        <v>9600</v>
      </c>
      <c r="E498" s="4">
        <f t="shared" si="115"/>
        <v>616</v>
      </c>
      <c r="F498" s="10">
        <f t="shared" si="116"/>
        <v>4.7699999999999418</v>
      </c>
      <c r="G498" s="9">
        <f t="shared" si="117"/>
        <v>64400</v>
      </c>
      <c r="I498" s="4">
        <f t="shared" si="118"/>
        <v>10000</v>
      </c>
      <c r="J498" s="17">
        <f t="shared" si="119"/>
        <v>0.02</v>
      </c>
      <c r="K498" s="17">
        <f t="shared" si="120"/>
        <v>0.02</v>
      </c>
      <c r="L498" s="17">
        <f t="shared" si="121"/>
        <v>0.96</v>
      </c>
      <c r="M498" s="4">
        <f t="shared" si="122"/>
        <v>64400</v>
      </c>
    </row>
    <row r="499" spans="1:13" x14ac:dyDescent="0.3">
      <c r="A499" s="1">
        <f t="shared" si="123"/>
        <v>497</v>
      </c>
      <c r="B499" s="1">
        <v>200</v>
      </c>
      <c r="C499" s="1">
        <f t="shared" si="124"/>
        <v>200</v>
      </c>
      <c r="D499" s="4">
        <v>9600</v>
      </c>
      <c r="E499" s="4">
        <f t="shared" si="115"/>
        <v>617</v>
      </c>
      <c r="F499" s="10">
        <f t="shared" si="116"/>
        <v>4.7799999999999416</v>
      </c>
      <c r="G499" s="9">
        <f t="shared" si="117"/>
        <v>64550</v>
      </c>
      <c r="I499" s="4">
        <f t="shared" si="118"/>
        <v>10000</v>
      </c>
      <c r="J499" s="17">
        <f t="shared" si="119"/>
        <v>0.02</v>
      </c>
      <c r="K499" s="17">
        <f t="shared" si="120"/>
        <v>0.02</v>
      </c>
      <c r="L499" s="17">
        <f t="shared" si="121"/>
        <v>0.96</v>
      </c>
      <c r="M499" s="4">
        <f t="shared" si="122"/>
        <v>64550</v>
      </c>
    </row>
    <row r="500" spans="1:13" x14ac:dyDescent="0.3">
      <c r="A500" s="1">
        <f t="shared" si="123"/>
        <v>498</v>
      </c>
      <c r="B500" s="1">
        <v>200</v>
      </c>
      <c r="C500" s="1">
        <f t="shared" si="124"/>
        <v>200</v>
      </c>
      <c r="D500" s="4">
        <v>9600</v>
      </c>
      <c r="E500" s="4">
        <f t="shared" si="115"/>
        <v>618</v>
      </c>
      <c r="F500" s="10">
        <f t="shared" si="116"/>
        <v>4.7899999999999414</v>
      </c>
      <c r="G500" s="9">
        <f t="shared" si="117"/>
        <v>64700</v>
      </c>
      <c r="I500" s="4">
        <f t="shared" si="118"/>
        <v>10000</v>
      </c>
      <c r="J500" s="17">
        <f t="shared" si="119"/>
        <v>0.02</v>
      </c>
      <c r="K500" s="17">
        <f t="shared" si="120"/>
        <v>0.02</v>
      </c>
      <c r="L500" s="17">
        <f t="shared" si="121"/>
        <v>0.96</v>
      </c>
      <c r="M500" s="4">
        <f t="shared" si="122"/>
        <v>64700</v>
      </c>
    </row>
    <row r="501" spans="1:13" x14ac:dyDescent="0.3">
      <c r="A501" s="1">
        <f t="shared" si="123"/>
        <v>499</v>
      </c>
      <c r="B501" s="1">
        <v>200</v>
      </c>
      <c r="C501" s="1">
        <f t="shared" si="124"/>
        <v>200</v>
      </c>
      <c r="D501" s="4">
        <v>9600</v>
      </c>
      <c r="E501" s="4">
        <f t="shared" si="115"/>
        <v>619</v>
      </c>
      <c r="F501" s="10">
        <f t="shared" si="116"/>
        <v>4.7999999999999412</v>
      </c>
      <c r="G501" s="9">
        <f t="shared" si="117"/>
        <v>64850</v>
      </c>
      <c r="I501" s="4">
        <f t="shared" si="118"/>
        <v>10000</v>
      </c>
      <c r="J501" s="17">
        <f t="shared" si="119"/>
        <v>0.02</v>
      </c>
      <c r="K501" s="17">
        <f t="shared" si="120"/>
        <v>0.02</v>
      </c>
      <c r="L501" s="17">
        <f t="shared" si="121"/>
        <v>0.96</v>
      </c>
      <c r="M501" s="4">
        <f t="shared" si="122"/>
        <v>64850</v>
      </c>
    </row>
    <row r="502" spans="1:13" x14ac:dyDescent="0.3">
      <c r="A502" s="1">
        <f t="shared" si="123"/>
        <v>500</v>
      </c>
      <c r="B502" s="1">
        <v>200</v>
      </c>
      <c r="C502" s="1">
        <f t="shared" si="124"/>
        <v>200</v>
      </c>
      <c r="D502" s="4">
        <v>9600</v>
      </c>
      <c r="E502" s="4">
        <f t="shared" si="115"/>
        <v>620</v>
      </c>
      <c r="F502" s="10">
        <f t="shared" si="116"/>
        <v>4.809999999999941</v>
      </c>
      <c r="G502" s="9">
        <f t="shared" si="117"/>
        <v>65000</v>
      </c>
      <c r="I502" s="4">
        <f t="shared" si="118"/>
        <v>10000</v>
      </c>
      <c r="J502" s="17">
        <f t="shared" si="119"/>
        <v>0.02</v>
      </c>
      <c r="K502" s="17">
        <f t="shared" si="120"/>
        <v>0.02</v>
      </c>
      <c r="L502" s="17">
        <f t="shared" si="121"/>
        <v>0.96</v>
      </c>
      <c r="M502" s="4">
        <f t="shared" si="122"/>
        <v>65000</v>
      </c>
    </row>
    <row r="503" spans="1:13" x14ac:dyDescent="0.3">
      <c r="A503" s="1">
        <f t="shared" si="123"/>
        <v>501</v>
      </c>
      <c r="B503" s="1">
        <v>100</v>
      </c>
      <c r="C503" s="1">
        <f t="shared" si="124"/>
        <v>190</v>
      </c>
      <c r="D503" s="4">
        <v>9710</v>
      </c>
      <c r="E503" s="4">
        <f t="shared" si="115"/>
        <v>621</v>
      </c>
      <c r="F503" s="10">
        <f t="shared" si="116"/>
        <v>4.8199999999999408</v>
      </c>
      <c r="G503" s="9">
        <f t="shared" si="117"/>
        <v>65150</v>
      </c>
      <c r="I503" s="4">
        <f t="shared" si="118"/>
        <v>10000</v>
      </c>
      <c r="J503" s="17">
        <f t="shared" si="119"/>
        <v>0.01</v>
      </c>
      <c r="K503" s="17">
        <f t="shared" si="120"/>
        <v>1.9E-2</v>
      </c>
      <c r="L503" s="17">
        <f t="shared" si="121"/>
        <v>0.97099999999999997</v>
      </c>
      <c r="M503" s="4">
        <f t="shared" si="122"/>
        <v>65150</v>
      </c>
    </row>
    <row r="504" spans="1:13" x14ac:dyDescent="0.3">
      <c r="A504" s="1">
        <f t="shared" si="123"/>
        <v>502</v>
      </c>
      <c r="B504" s="1">
        <v>100</v>
      </c>
      <c r="C504" s="1">
        <f t="shared" si="124"/>
        <v>180</v>
      </c>
      <c r="D504" s="4">
        <f t="shared" ref="D504:D521" si="125">D503+10</f>
        <v>9720</v>
      </c>
      <c r="E504" s="4">
        <f t="shared" si="115"/>
        <v>622</v>
      </c>
      <c r="F504" s="10">
        <f t="shared" si="116"/>
        <v>4.8299999999999406</v>
      </c>
      <c r="G504" s="9">
        <f t="shared" si="117"/>
        <v>65300</v>
      </c>
      <c r="I504" s="4">
        <f t="shared" si="118"/>
        <v>10000</v>
      </c>
      <c r="J504" s="17">
        <f t="shared" si="119"/>
        <v>0.01</v>
      </c>
      <c r="K504" s="17">
        <f t="shared" si="120"/>
        <v>1.7999999999999999E-2</v>
      </c>
      <c r="L504" s="17">
        <f t="shared" si="121"/>
        <v>0.97199999999999998</v>
      </c>
      <c r="M504" s="4">
        <f t="shared" si="122"/>
        <v>65300</v>
      </c>
    </row>
    <row r="505" spans="1:13" x14ac:dyDescent="0.3">
      <c r="A505" s="1">
        <f t="shared" si="123"/>
        <v>503</v>
      </c>
      <c r="B505" s="1">
        <v>100</v>
      </c>
      <c r="C505" s="1">
        <f t="shared" si="124"/>
        <v>170</v>
      </c>
      <c r="D505" s="4">
        <f t="shared" si="125"/>
        <v>9730</v>
      </c>
      <c r="E505" s="4">
        <f t="shared" si="115"/>
        <v>623</v>
      </c>
      <c r="F505" s="10">
        <f t="shared" si="116"/>
        <v>4.8399999999999403</v>
      </c>
      <c r="G505" s="9">
        <f t="shared" si="117"/>
        <v>65450</v>
      </c>
      <c r="I505" s="4">
        <f t="shared" si="118"/>
        <v>10000</v>
      </c>
      <c r="J505" s="17">
        <f t="shared" si="119"/>
        <v>0.01</v>
      </c>
      <c r="K505" s="17">
        <f t="shared" si="120"/>
        <v>1.7000000000000001E-2</v>
      </c>
      <c r="L505" s="17">
        <f t="shared" si="121"/>
        <v>0.97299999999999998</v>
      </c>
      <c r="M505" s="4">
        <f t="shared" si="122"/>
        <v>65450</v>
      </c>
    </row>
    <row r="506" spans="1:13" x14ac:dyDescent="0.3">
      <c r="A506" s="1">
        <f t="shared" si="123"/>
        <v>504</v>
      </c>
      <c r="B506" s="1">
        <v>100</v>
      </c>
      <c r="C506" s="1">
        <f t="shared" si="124"/>
        <v>160</v>
      </c>
      <c r="D506" s="4">
        <f t="shared" si="125"/>
        <v>9740</v>
      </c>
      <c r="E506" s="4">
        <f t="shared" si="115"/>
        <v>624</v>
      </c>
      <c r="F506" s="10">
        <f t="shared" si="116"/>
        <v>4.8499999999999401</v>
      </c>
      <c r="G506" s="9">
        <f t="shared" si="117"/>
        <v>65600</v>
      </c>
      <c r="I506" s="4">
        <f t="shared" si="118"/>
        <v>10000</v>
      </c>
      <c r="J506" s="17">
        <f t="shared" si="119"/>
        <v>0.01</v>
      </c>
      <c r="K506" s="17">
        <f t="shared" si="120"/>
        <v>1.6E-2</v>
      </c>
      <c r="L506" s="17">
        <f t="shared" si="121"/>
        <v>0.97399999999999998</v>
      </c>
      <c r="M506" s="4">
        <f t="shared" si="122"/>
        <v>65600</v>
      </c>
    </row>
    <row r="507" spans="1:13" x14ac:dyDescent="0.3">
      <c r="A507" s="1">
        <f t="shared" si="123"/>
        <v>505</v>
      </c>
      <c r="B507" s="1">
        <v>100</v>
      </c>
      <c r="C507" s="1">
        <f t="shared" si="124"/>
        <v>150</v>
      </c>
      <c r="D507" s="4">
        <f t="shared" si="125"/>
        <v>9750</v>
      </c>
      <c r="E507" s="4">
        <f t="shared" si="115"/>
        <v>625</v>
      </c>
      <c r="F507" s="10">
        <f t="shared" si="116"/>
        <v>4.8599999999999399</v>
      </c>
      <c r="G507" s="9">
        <f t="shared" si="117"/>
        <v>65750</v>
      </c>
      <c r="I507" s="4">
        <f t="shared" si="118"/>
        <v>10000</v>
      </c>
      <c r="J507" s="17">
        <f t="shared" si="119"/>
        <v>0.01</v>
      </c>
      <c r="K507" s="17">
        <f t="shared" si="120"/>
        <v>1.4999999999999999E-2</v>
      </c>
      <c r="L507" s="17">
        <f t="shared" si="121"/>
        <v>0.97499999999999998</v>
      </c>
      <c r="M507" s="4">
        <f t="shared" si="122"/>
        <v>65750</v>
      </c>
    </row>
    <row r="508" spans="1:13" x14ac:dyDescent="0.3">
      <c r="A508" s="1">
        <f t="shared" si="123"/>
        <v>506</v>
      </c>
      <c r="B508" s="1">
        <v>100</v>
      </c>
      <c r="C508" s="1">
        <f t="shared" si="124"/>
        <v>140</v>
      </c>
      <c r="D508" s="4">
        <f t="shared" si="125"/>
        <v>9760</v>
      </c>
      <c r="E508" s="4">
        <f t="shared" si="115"/>
        <v>626</v>
      </c>
      <c r="F508" s="10">
        <f t="shared" si="116"/>
        <v>4.8699999999999397</v>
      </c>
      <c r="G508" s="9">
        <f t="shared" si="117"/>
        <v>65900</v>
      </c>
      <c r="I508" s="4">
        <f t="shared" si="118"/>
        <v>10000</v>
      </c>
      <c r="J508" s="17">
        <f t="shared" si="119"/>
        <v>0.01</v>
      </c>
      <c r="K508" s="17">
        <f t="shared" si="120"/>
        <v>1.4E-2</v>
      </c>
      <c r="L508" s="17">
        <f t="shared" si="121"/>
        <v>0.97599999999999998</v>
      </c>
      <c r="M508" s="4">
        <f t="shared" si="122"/>
        <v>65900</v>
      </c>
    </row>
    <row r="509" spans="1:13" x14ac:dyDescent="0.3">
      <c r="A509" s="1">
        <f t="shared" si="123"/>
        <v>507</v>
      </c>
      <c r="B509" s="1">
        <v>100</v>
      </c>
      <c r="C509" s="1">
        <f t="shared" si="124"/>
        <v>130</v>
      </c>
      <c r="D509" s="4">
        <f t="shared" si="125"/>
        <v>9770</v>
      </c>
      <c r="E509" s="4">
        <f t="shared" si="115"/>
        <v>627</v>
      </c>
      <c r="F509" s="10">
        <f t="shared" si="116"/>
        <v>4.8799999999999395</v>
      </c>
      <c r="G509" s="9">
        <f t="shared" si="117"/>
        <v>66050</v>
      </c>
      <c r="I509" s="4">
        <f t="shared" si="118"/>
        <v>10000</v>
      </c>
      <c r="J509" s="17">
        <f t="shared" si="119"/>
        <v>0.01</v>
      </c>
      <c r="K509" s="17">
        <f t="shared" si="120"/>
        <v>1.2999999999999999E-2</v>
      </c>
      <c r="L509" s="17">
        <f t="shared" si="121"/>
        <v>0.97699999999999998</v>
      </c>
      <c r="M509" s="4">
        <f t="shared" si="122"/>
        <v>66050</v>
      </c>
    </row>
    <row r="510" spans="1:13" x14ac:dyDescent="0.3">
      <c r="A510" s="1">
        <f t="shared" si="123"/>
        <v>508</v>
      </c>
      <c r="B510" s="1">
        <v>100</v>
      </c>
      <c r="C510" s="1">
        <f t="shared" si="124"/>
        <v>120</v>
      </c>
      <c r="D510" s="4">
        <f t="shared" si="125"/>
        <v>9780</v>
      </c>
      <c r="E510" s="4">
        <f t="shared" si="115"/>
        <v>628</v>
      </c>
      <c r="F510" s="10">
        <f t="shared" si="116"/>
        <v>4.8899999999999393</v>
      </c>
      <c r="G510" s="9">
        <f t="shared" si="117"/>
        <v>66200</v>
      </c>
      <c r="I510" s="4">
        <f t="shared" si="118"/>
        <v>10000</v>
      </c>
      <c r="J510" s="17">
        <f t="shared" si="119"/>
        <v>0.01</v>
      </c>
      <c r="K510" s="17">
        <f t="shared" si="120"/>
        <v>1.2E-2</v>
      </c>
      <c r="L510" s="17">
        <f t="shared" si="121"/>
        <v>0.97799999999999998</v>
      </c>
      <c r="M510" s="4">
        <f t="shared" si="122"/>
        <v>66200</v>
      </c>
    </row>
    <row r="511" spans="1:13" x14ac:dyDescent="0.3">
      <c r="A511" s="1">
        <f t="shared" si="123"/>
        <v>509</v>
      </c>
      <c r="B511" s="1">
        <v>100</v>
      </c>
      <c r="C511" s="1">
        <f t="shared" si="124"/>
        <v>110</v>
      </c>
      <c r="D511" s="4">
        <f t="shared" si="125"/>
        <v>9790</v>
      </c>
      <c r="E511" s="4">
        <f t="shared" si="115"/>
        <v>629</v>
      </c>
      <c r="F511" s="10">
        <f t="shared" si="116"/>
        <v>4.8999999999999391</v>
      </c>
      <c r="G511" s="9">
        <f t="shared" si="117"/>
        <v>66350</v>
      </c>
      <c r="I511" s="4">
        <f t="shared" si="118"/>
        <v>10000</v>
      </c>
      <c r="J511" s="17">
        <f t="shared" si="119"/>
        <v>0.01</v>
      </c>
      <c r="K511" s="17">
        <f t="shared" si="120"/>
        <v>1.0999999999999999E-2</v>
      </c>
      <c r="L511" s="17">
        <f t="shared" si="121"/>
        <v>0.97899999999999998</v>
      </c>
      <c r="M511" s="4">
        <f t="shared" si="122"/>
        <v>66350</v>
      </c>
    </row>
    <row r="512" spans="1:13" x14ac:dyDescent="0.3">
      <c r="A512" s="1">
        <f t="shared" si="123"/>
        <v>510</v>
      </c>
      <c r="B512" s="1">
        <v>100</v>
      </c>
      <c r="C512" s="1">
        <f t="shared" si="124"/>
        <v>100</v>
      </c>
      <c r="D512" s="4">
        <v>9800</v>
      </c>
      <c r="E512" s="4">
        <f t="shared" si="115"/>
        <v>630</v>
      </c>
      <c r="F512" s="10">
        <f t="shared" si="116"/>
        <v>4.9099999999999389</v>
      </c>
      <c r="G512" s="9">
        <f t="shared" si="117"/>
        <v>66500</v>
      </c>
      <c r="I512" s="4">
        <f t="shared" si="118"/>
        <v>10000</v>
      </c>
      <c r="J512" s="17">
        <f t="shared" si="119"/>
        <v>0.01</v>
      </c>
      <c r="K512" s="17">
        <f t="shared" si="120"/>
        <v>0.01</v>
      </c>
      <c r="L512" s="17">
        <f t="shared" si="121"/>
        <v>0.98</v>
      </c>
      <c r="M512" s="4">
        <f t="shared" si="122"/>
        <v>66500</v>
      </c>
    </row>
    <row r="513" spans="1:13" x14ac:dyDescent="0.3">
      <c r="A513" s="1">
        <f t="shared" si="123"/>
        <v>511</v>
      </c>
      <c r="B513" s="1">
        <v>100</v>
      </c>
      <c r="C513" s="1">
        <f t="shared" si="124"/>
        <v>100</v>
      </c>
      <c r="D513" s="4">
        <v>9800</v>
      </c>
      <c r="E513" s="4">
        <f t="shared" si="115"/>
        <v>631</v>
      </c>
      <c r="F513" s="10">
        <f t="shared" si="116"/>
        <v>4.9199999999999386</v>
      </c>
      <c r="G513" s="9">
        <f t="shared" si="117"/>
        <v>66650</v>
      </c>
      <c r="I513" s="4">
        <f t="shared" si="118"/>
        <v>10000</v>
      </c>
      <c r="J513" s="17">
        <f t="shared" si="119"/>
        <v>0.01</v>
      </c>
      <c r="K513" s="17">
        <f t="shared" si="120"/>
        <v>0.01</v>
      </c>
      <c r="L513" s="17">
        <f t="shared" si="121"/>
        <v>0.98</v>
      </c>
      <c r="M513" s="4">
        <f t="shared" si="122"/>
        <v>66650</v>
      </c>
    </row>
    <row r="514" spans="1:13" x14ac:dyDescent="0.3">
      <c r="A514" s="1">
        <f t="shared" si="123"/>
        <v>512</v>
      </c>
      <c r="B514" s="1">
        <v>100</v>
      </c>
      <c r="C514" s="1">
        <f t="shared" si="124"/>
        <v>100</v>
      </c>
      <c r="D514" s="4">
        <v>9800</v>
      </c>
      <c r="E514" s="4">
        <f t="shared" si="115"/>
        <v>632</v>
      </c>
      <c r="F514" s="10">
        <f t="shared" si="116"/>
        <v>4.9299999999999384</v>
      </c>
      <c r="G514" s="9">
        <f t="shared" si="117"/>
        <v>66800</v>
      </c>
      <c r="I514" s="4">
        <f t="shared" si="118"/>
        <v>10000</v>
      </c>
      <c r="J514" s="17">
        <f t="shared" si="119"/>
        <v>0.01</v>
      </c>
      <c r="K514" s="17">
        <f t="shared" si="120"/>
        <v>0.01</v>
      </c>
      <c r="L514" s="17">
        <f t="shared" si="121"/>
        <v>0.98</v>
      </c>
      <c r="M514" s="4">
        <f t="shared" si="122"/>
        <v>66800</v>
      </c>
    </row>
    <row r="515" spans="1:13" x14ac:dyDescent="0.3">
      <c r="A515" s="1">
        <f t="shared" si="123"/>
        <v>513</v>
      </c>
      <c r="B515" s="1">
        <v>100</v>
      </c>
      <c r="C515" s="1">
        <f t="shared" si="124"/>
        <v>100</v>
      </c>
      <c r="D515" s="4">
        <v>9800</v>
      </c>
      <c r="E515" s="4">
        <f t="shared" si="115"/>
        <v>633</v>
      </c>
      <c r="F515" s="10">
        <f t="shared" si="116"/>
        <v>4.9399999999999382</v>
      </c>
      <c r="G515" s="9">
        <f t="shared" si="117"/>
        <v>66950</v>
      </c>
      <c r="I515" s="4">
        <f t="shared" si="118"/>
        <v>10000</v>
      </c>
      <c r="J515" s="17">
        <f t="shared" si="119"/>
        <v>0.01</v>
      </c>
      <c r="K515" s="17">
        <f t="shared" si="120"/>
        <v>0.01</v>
      </c>
      <c r="L515" s="17">
        <f t="shared" si="121"/>
        <v>0.98</v>
      </c>
      <c r="M515" s="4">
        <f t="shared" si="122"/>
        <v>66950</v>
      </c>
    </row>
    <row r="516" spans="1:13" x14ac:dyDescent="0.3">
      <c r="A516" s="1">
        <f t="shared" si="123"/>
        <v>514</v>
      </c>
      <c r="B516" s="1">
        <v>100</v>
      </c>
      <c r="C516" s="1">
        <f t="shared" si="124"/>
        <v>100</v>
      </c>
      <c r="D516" s="4">
        <v>9800</v>
      </c>
      <c r="E516" s="4">
        <f t="shared" si="115"/>
        <v>634</v>
      </c>
      <c r="F516" s="10">
        <f t="shared" si="116"/>
        <v>4.949999999999938</v>
      </c>
      <c r="G516" s="9">
        <f t="shared" si="117"/>
        <v>67100</v>
      </c>
      <c r="I516" s="4">
        <f t="shared" si="118"/>
        <v>10000</v>
      </c>
      <c r="J516" s="17">
        <f t="shared" si="119"/>
        <v>0.01</v>
      </c>
      <c r="K516" s="17">
        <f t="shared" si="120"/>
        <v>0.01</v>
      </c>
      <c r="L516" s="17">
        <f t="shared" si="121"/>
        <v>0.98</v>
      </c>
      <c r="M516" s="4">
        <f t="shared" si="122"/>
        <v>67100</v>
      </c>
    </row>
    <row r="517" spans="1:13" x14ac:dyDescent="0.3">
      <c r="A517" s="1">
        <f t="shared" si="123"/>
        <v>515</v>
      </c>
      <c r="B517" s="1">
        <v>100</v>
      </c>
      <c r="C517" s="1">
        <f t="shared" si="124"/>
        <v>100</v>
      </c>
      <c r="D517" s="4">
        <v>9800</v>
      </c>
      <c r="E517" s="4">
        <f t="shared" si="115"/>
        <v>635</v>
      </c>
      <c r="F517" s="10">
        <f t="shared" si="116"/>
        <v>4.9599999999999378</v>
      </c>
      <c r="G517" s="9">
        <f t="shared" si="117"/>
        <v>67250</v>
      </c>
      <c r="I517" s="4">
        <f t="shared" si="118"/>
        <v>10000</v>
      </c>
      <c r="J517" s="17">
        <f t="shared" si="119"/>
        <v>0.01</v>
      </c>
      <c r="K517" s="17">
        <f t="shared" si="120"/>
        <v>0.01</v>
      </c>
      <c r="L517" s="17">
        <f t="shared" si="121"/>
        <v>0.98</v>
      </c>
      <c r="M517" s="4">
        <f t="shared" si="122"/>
        <v>67250</v>
      </c>
    </row>
    <row r="518" spans="1:13" x14ac:dyDescent="0.3">
      <c r="A518" s="1">
        <f t="shared" si="123"/>
        <v>516</v>
      </c>
      <c r="B518" s="1">
        <v>100</v>
      </c>
      <c r="C518" s="1">
        <f t="shared" si="124"/>
        <v>100</v>
      </c>
      <c r="D518" s="4">
        <v>9800</v>
      </c>
      <c r="E518" s="4">
        <f t="shared" si="115"/>
        <v>636</v>
      </c>
      <c r="F518" s="10">
        <f t="shared" si="116"/>
        <v>4.9699999999999376</v>
      </c>
      <c r="G518" s="9">
        <f t="shared" si="117"/>
        <v>67400</v>
      </c>
      <c r="I518" s="4">
        <f t="shared" si="118"/>
        <v>10000</v>
      </c>
      <c r="J518" s="17">
        <f t="shared" si="119"/>
        <v>0.01</v>
      </c>
      <c r="K518" s="17">
        <f t="shared" si="120"/>
        <v>0.01</v>
      </c>
      <c r="L518" s="17">
        <f t="shared" si="121"/>
        <v>0.98</v>
      </c>
      <c r="M518" s="4">
        <f t="shared" si="122"/>
        <v>67400</v>
      </c>
    </row>
    <row r="519" spans="1:13" x14ac:dyDescent="0.3">
      <c r="A519" s="1">
        <f t="shared" si="123"/>
        <v>517</v>
      </c>
      <c r="B519" s="1">
        <v>100</v>
      </c>
      <c r="C519" s="1">
        <f t="shared" si="124"/>
        <v>100</v>
      </c>
      <c r="D519" s="4">
        <v>9800</v>
      </c>
      <c r="E519" s="4">
        <f t="shared" si="115"/>
        <v>637</v>
      </c>
      <c r="F519" s="10">
        <f t="shared" si="116"/>
        <v>4.9799999999999374</v>
      </c>
      <c r="G519" s="9">
        <f t="shared" si="117"/>
        <v>67550</v>
      </c>
      <c r="I519" s="4">
        <f t="shared" si="118"/>
        <v>10000</v>
      </c>
      <c r="J519" s="17">
        <f t="shared" si="119"/>
        <v>0.01</v>
      </c>
      <c r="K519" s="17">
        <f t="shared" si="120"/>
        <v>0.01</v>
      </c>
      <c r="L519" s="17">
        <f t="shared" si="121"/>
        <v>0.98</v>
      </c>
      <c r="M519" s="4">
        <f t="shared" si="122"/>
        <v>67550</v>
      </c>
    </row>
    <row r="520" spans="1:13" x14ac:dyDescent="0.3">
      <c r="A520" s="1">
        <f t="shared" si="123"/>
        <v>518</v>
      </c>
      <c r="B520" s="1">
        <v>100</v>
      </c>
      <c r="C520" s="1">
        <f t="shared" si="124"/>
        <v>100</v>
      </c>
      <c r="D520" s="4">
        <v>9800</v>
      </c>
      <c r="E520" s="4">
        <f t="shared" si="115"/>
        <v>638</v>
      </c>
      <c r="F520" s="10">
        <f t="shared" si="116"/>
        <v>4.9899999999999372</v>
      </c>
      <c r="G520" s="9">
        <f t="shared" si="117"/>
        <v>67700</v>
      </c>
      <c r="I520" s="4">
        <f t="shared" si="118"/>
        <v>10000</v>
      </c>
      <c r="J520" s="17">
        <f t="shared" si="119"/>
        <v>0.01</v>
      </c>
      <c r="K520" s="17">
        <f t="shared" si="120"/>
        <v>0.01</v>
      </c>
      <c r="L520" s="17">
        <f t="shared" si="121"/>
        <v>0.98</v>
      </c>
      <c r="M520" s="4">
        <f t="shared" si="122"/>
        <v>67700</v>
      </c>
    </row>
    <row r="521" spans="1:13" x14ac:dyDescent="0.3">
      <c r="A521" s="1">
        <f t="shared" si="123"/>
        <v>519</v>
      </c>
      <c r="B521" s="1">
        <v>100</v>
      </c>
      <c r="C521" s="1">
        <f t="shared" si="124"/>
        <v>100</v>
      </c>
      <c r="D521" s="4">
        <v>9800</v>
      </c>
      <c r="E521" s="4">
        <f t="shared" si="115"/>
        <v>639</v>
      </c>
      <c r="F521" s="10">
        <f t="shared" si="116"/>
        <v>4.9999999999999369</v>
      </c>
      <c r="G521" s="9">
        <f t="shared" si="117"/>
        <v>67850</v>
      </c>
      <c r="I521" s="4">
        <f t="shared" si="118"/>
        <v>10000</v>
      </c>
      <c r="J521" s="17">
        <f t="shared" si="119"/>
        <v>0.01</v>
      </c>
      <c r="K521" s="17">
        <f t="shared" si="120"/>
        <v>0.01</v>
      </c>
      <c r="L521" s="17">
        <f t="shared" si="121"/>
        <v>0.98</v>
      </c>
      <c r="M521" s="4">
        <f t="shared" si="122"/>
        <v>67850</v>
      </c>
    </row>
    <row r="522" spans="1:13" x14ac:dyDescent="0.3">
      <c r="A522" s="1">
        <f t="shared" si="123"/>
        <v>520</v>
      </c>
      <c r="B522" s="1">
        <v>100</v>
      </c>
      <c r="C522" s="1">
        <f t="shared" si="124"/>
        <v>100</v>
      </c>
      <c r="D522" s="4">
        <v>9800</v>
      </c>
      <c r="E522" s="4">
        <f t="shared" si="115"/>
        <v>640</v>
      </c>
      <c r="F522" s="10">
        <f t="shared" si="116"/>
        <v>5.0099999999999367</v>
      </c>
      <c r="G522" s="9">
        <f t="shared" si="117"/>
        <v>68000</v>
      </c>
      <c r="I522" s="4">
        <f t="shared" si="118"/>
        <v>10000</v>
      </c>
      <c r="J522" s="17">
        <f t="shared" si="119"/>
        <v>0.01</v>
      </c>
      <c r="K522" s="17">
        <f t="shared" si="120"/>
        <v>0.01</v>
      </c>
      <c r="L522" s="17">
        <f t="shared" si="121"/>
        <v>0.98</v>
      </c>
      <c r="M522" s="4">
        <f t="shared" si="122"/>
        <v>68000</v>
      </c>
    </row>
    <row r="523" spans="1:13" x14ac:dyDescent="0.3">
      <c r="A523" s="1">
        <f t="shared" si="123"/>
        <v>521</v>
      </c>
      <c r="B523" s="1">
        <v>100</v>
      </c>
      <c r="C523" s="1">
        <f t="shared" si="124"/>
        <v>100</v>
      </c>
      <c r="D523" s="4">
        <v>9800</v>
      </c>
      <c r="E523" s="4">
        <f t="shared" si="115"/>
        <v>641</v>
      </c>
      <c r="F523" s="10">
        <f t="shared" si="116"/>
        <v>5.0199999999999365</v>
      </c>
      <c r="G523" s="9">
        <f t="shared" si="117"/>
        <v>68150</v>
      </c>
      <c r="I523" s="4">
        <f t="shared" si="118"/>
        <v>10000</v>
      </c>
      <c r="J523" s="17">
        <f t="shared" si="119"/>
        <v>0.01</v>
      </c>
      <c r="K523" s="17">
        <f t="shared" si="120"/>
        <v>0.01</v>
      </c>
      <c r="L523" s="17">
        <f t="shared" si="121"/>
        <v>0.98</v>
      </c>
      <c r="M523" s="4">
        <f t="shared" si="122"/>
        <v>68150</v>
      </c>
    </row>
    <row r="524" spans="1:13" x14ac:dyDescent="0.3">
      <c r="A524" s="1">
        <f t="shared" si="123"/>
        <v>522</v>
      </c>
      <c r="B524" s="1">
        <v>100</v>
      </c>
      <c r="C524" s="1">
        <f t="shared" si="124"/>
        <v>100</v>
      </c>
      <c r="D524" s="4">
        <v>9800</v>
      </c>
      <c r="E524" s="4">
        <f t="shared" si="115"/>
        <v>642</v>
      </c>
      <c r="F524" s="10">
        <f t="shared" si="116"/>
        <v>5.0299999999999363</v>
      </c>
      <c r="G524" s="9">
        <f t="shared" si="117"/>
        <v>68300</v>
      </c>
      <c r="I524" s="4">
        <f t="shared" si="118"/>
        <v>10000</v>
      </c>
      <c r="J524" s="17">
        <f t="shared" si="119"/>
        <v>0.01</v>
      </c>
      <c r="K524" s="17">
        <f t="shared" si="120"/>
        <v>0.01</v>
      </c>
      <c r="L524" s="17">
        <f t="shared" si="121"/>
        <v>0.98</v>
      </c>
      <c r="M524" s="4">
        <f t="shared" si="122"/>
        <v>68300</v>
      </c>
    </row>
    <row r="525" spans="1:13" x14ac:dyDescent="0.3">
      <c r="A525" s="1">
        <f t="shared" si="123"/>
        <v>523</v>
      </c>
      <c r="B525" s="1">
        <v>100</v>
      </c>
      <c r="C525" s="1">
        <f t="shared" si="124"/>
        <v>100</v>
      </c>
      <c r="D525" s="4">
        <v>9800</v>
      </c>
      <c r="E525" s="4">
        <f t="shared" si="115"/>
        <v>643</v>
      </c>
      <c r="F525" s="10">
        <f t="shared" si="116"/>
        <v>5.0399999999999361</v>
      </c>
      <c r="G525" s="9">
        <f t="shared" si="117"/>
        <v>68450</v>
      </c>
      <c r="I525" s="4">
        <f t="shared" si="118"/>
        <v>10000</v>
      </c>
      <c r="J525" s="17">
        <f t="shared" si="119"/>
        <v>0.01</v>
      </c>
      <c r="K525" s="17">
        <f t="shared" si="120"/>
        <v>0.01</v>
      </c>
      <c r="L525" s="17">
        <f t="shared" si="121"/>
        <v>0.98</v>
      </c>
      <c r="M525" s="4">
        <f t="shared" si="122"/>
        <v>68450</v>
      </c>
    </row>
    <row r="526" spans="1:13" x14ac:dyDescent="0.3">
      <c r="A526" s="1">
        <f t="shared" si="123"/>
        <v>524</v>
      </c>
      <c r="B526" s="1">
        <v>100</v>
      </c>
      <c r="C526" s="1">
        <f t="shared" si="124"/>
        <v>100</v>
      </c>
      <c r="D526" s="4">
        <v>9800</v>
      </c>
      <c r="E526" s="4">
        <f t="shared" si="115"/>
        <v>644</v>
      </c>
      <c r="F526" s="10">
        <f t="shared" si="116"/>
        <v>5.0499999999999359</v>
      </c>
      <c r="G526" s="9">
        <f t="shared" si="117"/>
        <v>68600</v>
      </c>
      <c r="I526" s="4">
        <f t="shared" si="118"/>
        <v>10000</v>
      </c>
      <c r="J526" s="17">
        <f t="shared" si="119"/>
        <v>0.01</v>
      </c>
      <c r="K526" s="17">
        <f t="shared" si="120"/>
        <v>0.01</v>
      </c>
      <c r="L526" s="17">
        <f t="shared" si="121"/>
        <v>0.98</v>
      </c>
      <c r="M526" s="4">
        <f t="shared" si="122"/>
        <v>68600</v>
      </c>
    </row>
    <row r="527" spans="1:13" x14ac:dyDescent="0.3">
      <c r="A527" s="1">
        <f t="shared" si="123"/>
        <v>525</v>
      </c>
      <c r="B527" s="1">
        <v>100</v>
      </c>
      <c r="C527" s="1">
        <f t="shared" si="124"/>
        <v>100</v>
      </c>
      <c r="D527" s="4">
        <v>9800</v>
      </c>
      <c r="E527" s="4">
        <f t="shared" si="115"/>
        <v>645</v>
      </c>
      <c r="F527" s="10">
        <f t="shared" si="116"/>
        <v>5.0599999999999357</v>
      </c>
      <c r="G527" s="9">
        <f t="shared" si="117"/>
        <v>68750</v>
      </c>
      <c r="I527" s="4">
        <f t="shared" si="118"/>
        <v>10000</v>
      </c>
      <c r="J527" s="17">
        <f t="shared" si="119"/>
        <v>0.01</v>
      </c>
      <c r="K527" s="17">
        <f t="shared" si="120"/>
        <v>0.01</v>
      </c>
      <c r="L527" s="17">
        <f t="shared" si="121"/>
        <v>0.98</v>
      </c>
      <c r="M527" s="4">
        <f t="shared" si="122"/>
        <v>68750</v>
      </c>
    </row>
    <row r="528" spans="1:13" x14ac:dyDescent="0.3">
      <c r="A528" s="1">
        <f t="shared" si="123"/>
        <v>526</v>
      </c>
      <c r="B528" s="1">
        <v>100</v>
      </c>
      <c r="C528" s="1">
        <f t="shared" si="124"/>
        <v>100</v>
      </c>
      <c r="D528" s="4">
        <v>9800</v>
      </c>
      <c r="E528" s="4">
        <f t="shared" si="115"/>
        <v>646</v>
      </c>
      <c r="F528" s="10">
        <f t="shared" si="116"/>
        <v>5.0699999999999354</v>
      </c>
      <c r="G528" s="9">
        <f t="shared" si="117"/>
        <v>68900</v>
      </c>
      <c r="I528" s="4">
        <f t="shared" si="118"/>
        <v>10000</v>
      </c>
      <c r="J528" s="17">
        <f t="shared" si="119"/>
        <v>0.01</v>
      </c>
      <c r="K528" s="17">
        <f t="shared" si="120"/>
        <v>0.01</v>
      </c>
      <c r="L528" s="17">
        <f t="shared" si="121"/>
        <v>0.98</v>
      </c>
      <c r="M528" s="4">
        <f t="shared" si="122"/>
        <v>68900</v>
      </c>
    </row>
    <row r="529" spans="1:13" x14ac:dyDescent="0.3">
      <c r="A529" s="1">
        <f t="shared" si="123"/>
        <v>527</v>
      </c>
      <c r="B529" s="1">
        <v>100</v>
      </c>
      <c r="C529" s="1">
        <f t="shared" si="124"/>
        <v>100</v>
      </c>
      <c r="D529" s="4">
        <v>9800</v>
      </c>
      <c r="E529" s="4">
        <f t="shared" si="115"/>
        <v>647</v>
      </c>
      <c r="F529" s="10">
        <f t="shared" si="116"/>
        <v>5.0799999999999352</v>
      </c>
      <c r="G529" s="9">
        <f t="shared" si="117"/>
        <v>69050</v>
      </c>
      <c r="I529" s="4">
        <f t="shared" si="118"/>
        <v>10000</v>
      </c>
      <c r="J529" s="17">
        <f t="shared" si="119"/>
        <v>0.01</v>
      </c>
      <c r="K529" s="17">
        <f t="shared" si="120"/>
        <v>0.01</v>
      </c>
      <c r="L529" s="17">
        <f t="shared" si="121"/>
        <v>0.98</v>
      </c>
      <c r="M529" s="4">
        <f t="shared" si="122"/>
        <v>69050</v>
      </c>
    </row>
    <row r="530" spans="1:13" x14ac:dyDescent="0.3">
      <c r="A530" s="1">
        <f t="shared" si="123"/>
        <v>528</v>
      </c>
      <c r="B530" s="1">
        <v>100</v>
      </c>
      <c r="C530" s="1">
        <f t="shared" si="124"/>
        <v>100</v>
      </c>
      <c r="D530" s="4">
        <v>9800</v>
      </c>
      <c r="E530" s="4">
        <f t="shared" si="115"/>
        <v>648</v>
      </c>
      <c r="F530" s="10">
        <f t="shared" si="116"/>
        <v>5.089999999999935</v>
      </c>
      <c r="G530" s="9">
        <f t="shared" si="117"/>
        <v>69200</v>
      </c>
      <c r="I530" s="4">
        <f t="shared" si="118"/>
        <v>10000</v>
      </c>
      <c r="J530" s="17">
        <f t="shared" si="119"/>
        <v>0.01</v>
      </c>
      <c r="K530" s="17">
        <f t="shared" si="120"/>
        <v>0.01</v>
      </c>
      <c r="L530" s="17">
        <f t="shared" si="121"/>
        <v>0.98</v>
      </c>
      <c r="M530" s="4">
        <f t="shared" si="122"/>
        <v>69200</v>
      </c>
    </row>
    <row r="531" spans="1:13" x14ac:dyDescent="0.3">
      <c r="A531" s="1">
        <f t="shared" si="123"/>
        <v>529</v>
      </c>
      <c r="B531" s="1">
        <v>100</v>
      </c>
      <c r="C531" s="1">
        <f t="shared" si="124"/>
        <v>100</v>
      </c>
      <c r="D531" s="4">
        <v>9800</v>
      </c>
      <c r="E531" s="4">
        <f t="shared" si="115"/>
        <v>649</v>
      </c>
      <c r="F531" s="10">
        <f t="shared" si="116"/>
        <v>5.0999999999999348</v>
      </c>
      <c r="G531" s="9">
        <f t="shared" si="117"/>
        <v>69350</v>
      </c>
      <c r="I531" s="4">
        <f t="shared" si="118"/>
        <v>10000</v>
      </c>
      <c r="J531" s="17">
        <f t="shared" si="119"/>
        <v>0.01</v>
      </c>
      <c r="K531" s="17">
        <f t="shared" si="120"/>
        <v>0.01</v>
      </c>
      <c r="L531" s="17">
        <f t="shared" si="121"/>
        <v>0.98</v>
      </c>
      <c r="M531" s="4">
        <f t="shared" si="122"/>
        <v>69350</v>
      </c>
    </row>
    <row r="532" spans="1:13" x14ac:dyDescent="0.3">
      <c r="A532" s="1">
        <f t="shared" si="123"/>
        <v>530</v>
      </c>
      <c r="B532" s="1">
        <v>100</v>
      </c>
      <c r="C532" s="1">
        <f t="shared" si="124"/>
        <v>100</v>
      </c>
      <c r="D532" s="4">
        <v>9800</v>
      </c>
      <c r="E532" s="4">
        <f t="shared" si="115"/>
        <v>650</v>
      </c>
      <c r="F532" s="10">
        <f t="shared" si="116"/>
        <v>5.1099999999999346</v>
      </c>
      <c r="G532" s="9">
        <f t="shared" si="117"/>
        <v>69500</v>
      </c>
      <c r="I532" s="4">
        <f t="shared" si="118"/>
        <v>10000</v>
      </c>
      <c r="J532" s="17">
        <f t="shared" si="119"/>
        <v>0.01</v>
      </c>
      <c r="K532" s="17">
        <f t="shared" si="120"/>
        <v>0.01</v>
      </c>
      <c r="L532" s="17">
        <f t="shared" si="121"/>
        <v>0.98</v>
      </c>
      <c r="M532" s="4">
        <f t="shared" si="122"/>
        <v>69500</v>
      </c>
    </row>
    <row r="533" spans="1:13" x14ac:dyDescent="0.3">
      <c r="A533" s="1">
        <f t="shared" si="123"/>
        <v>531</v>
      </c>
      <c r="B533" s="1">
        <v>100</v>
      </c>
      <c r="C533" s="1">
        <f t="shared" si="124"/>
        <v>100</v>
      </c>
      <c r="D533" s="4">
        <v>9800</v>
      </c>
      <c r="E533" s="4">
        <f t="shared" si="115"/>
        <v>651</v>
      </c>
      <c r="F533" s="10">
        <f t="shared" si="116"/>
        <v>5.1199999999999344</v>
      </c>
      <c r="G533" s="9">
        <f t="shared" si="117"/>
        <v>69650</v>
      </c>
      <c r="I533" s="4">
        <f t="shared" si="118"/>
        <v>10000</v>
      </c>
      <c r="J533" s="17">
        <f t="shared" si="119"/>
        <v>0.01</v>
      </c>
      <c r="K533" s="17">
        <f t="shared" si="120"/>
        <v>0.01</v>
      </c>
      <c r="L533" s="17">
        <f t="shared" si="121"/>
        <v>0.98</v>
      </c>
      <c r="M533" s="4">
        <f t="shared" si="122"/>
        <v>69650</v>
      </c>
    </row>
    <row r="534" spans="1:13" x14ac:dyDescent="0.3">
      <c r="A534" s="1">
        <f t="shared" si="123"/>
        <v>532</v>
      </c>
      <c r="B534" s="1">
        <v>100</v>
      </c>
      <c r="C534" s="1">
        <f t="shared" si="124"/>
        <v>100</v>
      </c>
      <c r="D534" s="4">
        <v>9800</v>
      </c>
      <c r="E534" s="4">
        <f t="shared" si="115"/>
        <v>652</v>
      </c>
      <c r="F534" s="10">
        <f t="shared" si="116"/>
        <v>5.1299999999999342</v>
      </c>
      <c r="G534" s="9">
        <f t="shared" si="117"/>
        <v>69800</v>
      </c>
      <c r="I534" s="4">
        <f t="shared" si="118"/>
        <v>10000</v>
      </c>
      <c r="J534" s="17">
        <f t="shared" si="119"/>
        <v>0.01</v>
      </c>
      <c r="K534" s="17">
        <f t="shared" si="120"/>
        <v>0.01</v>
      </c>
      <c r="L534" s="17">
        <f t="shared" si="121"/>
        <v>0.98</v>
      </c>
      <c r="M534" s="4">
        <f t="shared" si="122"/>
        <v>69800</v>
      </c>
    </row>
    <row r="535" spans="1:13" x14ac:dyDescent="0.3">
      <c r="A535" s="1">
        <f t="shared" si="123"/>
        <v>533</v>
      </c>
      <c r="B535" s="1">
        <v>100</v>
      </c>
      <c r="C535" s="1">
        <f t="shared" si="124"/>
        <v>100</v>
      </c>
      <c r="D535" s="4">
        <v>9800</v>
      </c>
      <c r="E535" s="4">
        <f t="shared" si="115"/>
        <v>653</v>
      </c>
      <c r="F535" s="10">
        <f t="shared" si="116"/>
        <v>5.139999999999934</v>
      </c>
      <c r="G535" s="9">
        <f t="shared" si="117"/>
        <v>69950</v>
      </c>
      <c r="I535" s="4">
        <f t="shared" si="118"/>
        <v>10000</v>
      </c>
      <c r="J535" s="17">
        <f t="shared" si="119"/>
        <v>0.01</v>
      </c>
      <c r="K535" s="17">
        <f t="shared" si="120"/>
        <v>0.01</v>
      </c>
      <c r="L535" s="17">
        <f t="shared" si="121"/>
        <v>0.98</v>
      </c>
      <c r="M535" s="4">
        <f t="shared" si="122"/>
        <v>69950</v>
      </c>
    </row>
    <row r="536" spans="1:13" x14ac:dyDescent="0.3">
      <c r="A536" s="1">
        <f t="shared" si="123"/>
        <v>534</v>
      </c>
      <c r="B536" s="1">
        <v>100</v>
      </c>
      <c r="C536" s="1">
        <f t="shared" si="124"/>
        <v>100</v>
      </c>
      <c r="D536" s="4">
        <v>9800</v>
      </c>
      <c r="E536" s="4">
        <f t="shared" si="115"/>
        <v>654</v>
      </c>
      <c r="F536" s="10">
        <f t="shared" si="116"/>
        <v>5.1499999999999337</v>
      </c>
      <c r="G536" s="9">
        <f t="shared" si="117"/>
        <v>70100</v>
      </c>
      <c r="I536" s="4">
        <f t="shared" si="118"/>
        <v>10000</v>
      </c>
      <c r="J536" s="17">
        <f t="shared" si="119"/>
        <v>0.01</v>
      </c>
      <c r="K536" s="17">
        <f t="shared" si="120"/>
        <v>0.01</v>
      </c>
      <c r="L536" s="17">
        <f t="shared" si="121"/>
        <v>0.98</v>
      </c>
      <c r="M536" s="4">
        <f t="shared" si="122"/>
        <v>70100</v>
      </c>
    </row>
    <row r="537" spans="1:13" x14ac:dyDescent="0.3">
      <c r="A537" s="1">
        <f t="shared" si="123"/>
        <v>535</v>
      </c>
      <c r="B537" s="1">
        <v>100</v>
      </c>
      <c r="C537" s="1">
        <f t="shared" si="124"/>
        <v>100</v>
      </c>
      <c r="D537" s="4">
        <v>9800</v>
      </c>
      <c r="E537" s="4">
        <f t="shared" si="115"/>
        <v>655</v>
      </c>
      <c r="F537" s="10">
        <f t="shared" si="116"/>
        <v>5.1599999999999335</v>
      </c>
      <c r="G537" s="9">
        <f t="shared" si="117"/>
        <v>70250</v>
      </c>
      <c r="I537" s="4">
        <f t="shared" si="118"/>
        <v>10000</v>
      </c>
      <c r="J537" s="17">
        <f t="shared" si="119"/>
        <v>0.01</v>
      </c>
      <c r="K537" s="17">
        <f t="shared" si="120"/>
        <v>0.01</v>
      </c>
      <c r="L537" s="17">
        <f t="shared" si="121"/>
        <v>0.98</v>
      </c>
      <c r="M537" s="4">
        <f t="shared" si="122"/>
        <v>70250</v>
      </c>
    </row>
    <row r="538" spans="1:13" x14ac:dyDescent="0.3">
      <c r="A538" s="1">
        <f t="shared" si="123"/>
        <v>536</v>
      </c>
      <c r="B538" s="1">
        <v>100</v>
      </c>
      <c r="C538" s="1">
        <f t="shared" si="124"/>
        <v>100</v>
      </c>
      <c r="D538" s="4">
        <v>9800</v>
      </c>
      <c r="E538" s="4">
        <f t="shared" ref="E538:E570" si="126">E537+1</f>
        <v>656</v>
      </c>
      <c r="F538" s="10">
        <f t="shared" ref="F538:F570" si="127">F537+0.01</f>
        <v>5.1699999999999333</v>
      </c>
      <c r="G538" s="9">
        <f t="shared" ref="G538:G570" si="128">G537+150</f>
        <v>70400</v>
      </c>
      <c r="I538" s="4">
        <f t="shared" ref="I538:I570" si="129">SUM(B538:D538)</f>
        <v>10000</v>
      </c>
      <c r="J538" s="17">
        <f t="shared" ref="J538:J570" si="130">B538/10000</f>
        <v>0.01</v>
      </c>
      <c r="K538" s="17">
        <f t="shared" ref="K538:K570" si="131">C538/10000</f>
        <v>0.01</v>
      </c>
      <c r="L538" s="17">
        <f t="shared" ref="L538:L570" si="132">D538/10000</f>
        <v>0.98</v>
      </c>
      <c r="M538" s="4">
        <f t="shared" ref="M538:M570" si="133">G538</f>
        <v>70400</v>
      </c>
    </row>
    <row r="539" spans="1:13" x14ac:dyDescent="0.3">
      <c r="A539" s="1">
        <f t="shared" si="123"/>
        <v>537</v>
      </c>
      <c r="B539" s="1">
        <v>100</v>
      </c>
      <c r="C539" s="1">
        <f t="shared" si="124"/>
        <v>100</v>
      </c>
      <c r="D539" s="4">
        <v>9800</v>
      </c>
      <c r="E539" s="4">
        <f t="shared" si="126"/>
        <v>657</v>
      </c>
      <c r="F539" s="10">
        <f t="shared" si="127"/>
        <v>5.1799999999999331</v>
      </c>
      <c r="G539" s="9">
        <f t="shared" si="128"/>
        <v>70550</v>
      </c>
      <c r="I539" s="4">
        <f t="shared" si="129"/>
        <v>10000</v>
      </c>
      <c r="J539" s="17">
        <f t="shared" si="130"/>
        <v>0.01</v>
      </c>
      <c r="K539" s="17">
        <f t="shared" si="131"/>
        <v>0.01</v>
      </c>
      <c r="L539" s="17">
        <f t="shared" si="132"/>
        <v>0.98</v>
      </c>
      <c r="M539" s="4">
        <f t="shared" si="133"/>
        <v>70550</v>
      </c>
    </row>
    <row r="540" spans="1:13" x14ac:dyDescent="0.3">
      <c r="A540" s="1">
        <f t="shared" si="123"/>
        <v>538</v>
      </c>
      <c r="B540" s="1">
        <v>100</v>
      </c>
      <c r="C540" s="1">
        <f t="shared" si="124"/>
        <v>100</v>
      </c>
      <c r="D540" s="4">
        <v>9800</v>
      </c>
      <c r="E540" s="4">
        <f t="shared" si="126"/>
        <v>658</v>
      </c>
      <c r="F540" s="10">
        <f t="shared" si="127"/>
        <v>5.1899999999999329</v>
      </c>
      <c r="G540" s="9">
        <f t="shared" si="128"/>
        <v>70700</v>
      </c>
      <c r="I540" s="4">
        <f t="shared" si="129"/>
        <v>10000</v>
      </c>
      <c r="J540" s="17">
        <f t="shared" si="130"/>
        <v>0.01</v>
      </c>
      <c r="K540" s="17">
        <f t="shared" si="131"/>
        <v>0.01</v>
      </c>
      <c r="L540" s="17">
        <f t="shared" si="132"/>
        <v>0.98</v>
      </c>
      <c r="M540" s="4">
        <f t="shared" si="133"/>
        <v>70700</v>
      </c>
    </row>
    <row r="541" spans="1:13" x14ac:dyDescent="0.3">
      <c r="A541" s="1">
        <f t="shared" si="123"/>
        <v>539</v>
      </c>
      <c r="B541" s="1">
        <v>100</v>
      </c>
      <c r="C541" s="1">
        <f t="shared" si="124"/>
        <v>100</v>
      </c>
      <c r="D541" s="4">
        <v>9800</v>
      </c>
      <c r="E541" s="4">
        <f t="shared" si="126"/>
        <v>659</v>
      </c>
      <c r="F541" s="10">
        <f t="shared" si="127"/>
        <v>5.1999999999999327</v>
      </c>
      <c r="G541" s="9">
        <f t="shared" si="128"/>
        <v>70850</v>
      </c>
      <c r="I541" s="4">
        <f t="shared" si="129"/>
        <v>10000</v>
      </c>
      <c r="J541" s="17">
        <f t="shared" si="130"/>
        <v>0.01</v>
      </c>
      <c r="K541" s="17">
        <f t="shared" si="131"/>
        <v>0.01</v>
      </c>
      <c r="L541" s="17">
        <f t="shared" si="132"/>
        <v>0.98</v>
      </c>
      <c r="M541" s="4">
        <f t="shared" si="133"/>
        <v>70850</v>
      </c>
    </row>
    <row r="542" spans="1:13" x14ac:dyDescent="0.3">
      <c r="A542" s="1">
        <f t="shared" si="123"/>
        <v>540</v>
      </c>
      <c r="B542" s="1">
        <v>100</v>
      </c>
      <c r="C542" s="1">
        <f t="shared" si="124"/>
        <v>100</v>
      </c>
      <c r="D542" s="4">
        <v>9800</v>
      </c>
      <c r="E542" s="4">
        <f t="shared" si="126"/>
        <v>660</v>
      </c>
      <c r="F542" s="10">
        <f t="shared" si="127"/>
        <v>5.2099999999999325</v>
      </c>
      <c r="G542" s="9">
        <f t="shared" si="128"/>
        <v>71000</v>
      </c>
      <c r="I542" s="4">
        <f t="shared" si="129"/>
        <v>10000</v>
      </c>
      <c r="J542" s="17">
        <f t="shared" si="130"/>
        <v>0.01</v>
      </c>
      <c r="K542" s="17">
        <f t="shared" si="131"/>
        <v>0.01</v>
      </c>
      <c r="L542" s="17">
        <f t="shared" si="132"/>
        <v>0.98</v>
      </c>
      <c r="M542" s="4">
        <f t="shared" si="133"/>
        <v>71000</v>
      </c>
    </row>
    <row r="543" spans="1:13" x14ac:dyDescent="0.3">
      <c r="A543" s="1">
        <f t="shared" ref="A543:A606" si="134">A542+1</f>
        <v>541</v>
      </c>
      <c r="B543" s="1">
        <v>100</v>
      </c>
      <c r="C543" s="1">
        <f t="shared" si="124"/>
        <v>100</v>
      </c>
      <c r="D543" s="4">
        <v>9800</v>
      </c>
      <c r="E543" s="4">
        <f t="shared" si="126"/>
        <v>661</v>
      </c>
      <c r="F543" s="10">
        <f t="shared" si="127"/>
        <v>5.2199999999999322</v>
      </c>
      <c r="G543" s="9">
        <f t="shared" si="128"/>
        <v>71150</v>
      </c>
      <c r="I543" s="4">
        <f t="shared" si="129"/>
        <v>10000</v>
      </c>
      <c r="J543" s="17">
        <f t="shared" si="130"/>
        <v>0.01</v>
      </c>
      <c r="K543" s="17">
        <f t="shared" si="131"/>
        <v>0.01</v>
      </c>
      <c r="L543" s="17">
        <f t="shared" si="132"/>
        <v>0.98</v>
      </c>
      <c r="M543" s="4">
        <f t="shared" si="133"/>
        <v>71150</v>
      </c>
    </row>
    <row r="544" spans="1:13" x14ac:dyDescent="0.3">
      <c r="A544" s="1">
        <f t="shared" si="134"/>
        <v>542</v>
      </c>
      <c r="B544" s="1">
        <v>100</v>
      </c>
      <c r="C544" s="1">
        <f t="shared" si="124"/>
        <v>100</v>
      </c>
      <c r="D544" s="4">
        <v>9800</v>
      </c>
      <c r="E544" s="4">
        <f t="shared" si="126"/>
        <v>662</v>
      </c>
      <c r="F544" s="10">
        <f t="shared" si="127"/>
        <v>5.229999999999932</v>
      </c>
      <c r="G544" s="9">
        <f t="shared" si="128"/>
        <v>71300</v>
      </c>
      <c r="I544" s="4">
        <f t="shared" si="129"/>
        <v>10000</v>
      </c>
      <c r="J544" s="17">
        <f t="shared" si="130"/>
        <v>0.01</v>
      </c>
      <c r="K544" s="17">
        <f t="shared" si="131"/>
        <v>0.01</v>
      </c>
      <c r="L544" s="17">
        <f t="shared" si="132"/>
        <v>0.98</v>
      </c>
      <c r="M544" s="4">
        <f t="shared" si="133"/>
        <v>71300</v>
      </c>
    </row>
    <row r="545" spans="1:13" x14ac:dyDescent="0.3">
      <c r="A545" s="1">
        <f t="shared" si="134"/>
        <v>543</v>
      </c>
      <c r="B545" s="1">
        <v>100</v>
      </c>
      <c r="C545" s="1">
        <f t="shared" si="124"/>
        <v>100</v>
      </c>
      <c r="D545" s="4">
        <v>9800</v>
      </c>
      <c r="E545" s="4">
        <f t="shared" si="126"/>
        <v>663</v>
      </c>
      <c r="F545" s="10">
        <f t="shared" si="127"/>
        <v>5.2399999999999318</v>
      </c>
      <c r="G545" s="9">
        <f t="shared" si="128"/>
        <v>71450</v>
      </c>
      <c r="I545" s="4">
        <f t="shared" si="129"/>
        <v>10000</v>
      </c>
      <c r="J545" s="17">
        <f t="shared" si="130"/>
        <v>0.01</v>
      </c>
      <c r="K545" s="17">
        <f t="shared" si="131"/>
        <v>0.01</v>
      </c>
      <c r="L545" s="17">
        <f t="shared" si="132"/>
        <v>0.98</v>
      </c>
      <c r="M545" s="4">
        <f t="shared" si="133"/>
        <v>71450</v>
      </c>
    </row>
    <row r="546" spans="1:13" x14ac:dyDescent="0.3">
      <c r="A546" s="1">
        <f t="shared" si="134"/>
        <v>544</v>
      </c>
      <c r="B546" s="1">
        <v>100</v>
      </c>
      <c r="C546" s="1">
        <f t="shared" ref="C546:C570" si="135">10000-B546-D546</f>
        <v>100</v>
      </c>
      <c r="D546" s="4">
        <v>9800</v>
      </c>
      <c r="E546" s="4">
        <f t="shared" si="126"/>
        <v>664</v>
      </c>
      <c r="F546" s="10">
        <f t="shared" si="127"/>
        <v>5.2499999999999316</v>
      </c>
      <c r="G546" s="9">
        <f t="shared" si="128"/>
        <v>71600</v>
      </c>
      <c r="I546" s="4">
        <f t="shared" si="129"/>
        <v>10000</v>
      </c>
      <c r="J546" s="17">
        <f t="shared" si="130"/>
        <v>0.01</v>
      </c>
      <c r="K546" s="17">
        <f t="shared" si="131"/>
        <v>0.01</v>
      </c>
      <c r="L546" s="17">
        <f t="shared" si="132"/>
        <v>0.98</v>
      </c>
      <c r="M546" s="4">
        <f t="shared" si="133"/>
        <v>71600</v>
      </c>
    </row>
    <row r="547" spans="1:13" x14ac:dyDescent="0.3">
      <c r="A547" s="1">
        <f t="shared" si="134"/>
        <v>545</v>
      </c>
      <c r="B547" s="1">
        <v>100</v>
      </c>
      <c r="C547" s="1">
        <f t="shared" si="135"/>
        <v>100</v>
      </c>
      <c r="D547" s="4">
        <v>9800</v>
      </c>
      <c r="E547" s="4">
        <f t="shared" si="126"/>
        <v>665</v>
      </c>
      <c r="F547" s="10">
        <f t="shared" si="127"/>
        <v>5.2599999999999314</v>
      </c>
      <c r="G547" s="9">
        <f t="shared" si="128"/>
        <v>71750</v>
      </c>
      <c r="I547" s="4">
        <f t="shared" si="129"/>
        <v>10000</v>
      </c>
      <c r="J547" s="17">
        <f t="shared" si="130"/>
        <v>0.01</v>
      </c>
      <c r="K547" s="17">
        <f t="shared" si="131"/>
        <v>0.01</v>
      </c>
      <c r="L547" s="17">
        <f t="shared" si="132"/>
        <v>0.98</v>
      </c>
      <c r="M547" s="4">
        <f t="shared" si="133"/>
        <v>71750</v>
      </c>
    </row>
    <row r="548" spans="1:13" x14ac:dyDescent="0.3">
      <c r="A548" s="1">
        <f t="shared" si="134"/>
        <v>546</v>
      </c>
      <c r="B548" s="1">
        <v>100</v>
      </c>
      <c r="C548" s="1">
        <f t="shared" si="135"/>
        <v>100</v>
      </c>
      <c r="D548" s="4">
        <v>9800</v>
      </c>
      <c r="E548" s="4">
        <f t="shared" si="126"/>
        <v>666</v>
      </c>
      <c r="F548" s="10">
        <f t="shared" si="127"/>
        <v>5.2699999999999312</v>
      </c>
      <c r="G548" s="9">
        <f t="shared" si="128"/>
        <v>71900</v>
      </c>
      <c r="I548" s="4">
        <f t="shared" si="129"/>
        <v>10000</v>
      </c>
      <c r="J548" s="17">
        <f t="shared" si="130"/>
        <v>0.01</v>
      </c>
      <c r="K548" s="17">
        <f t="shared" si="131"/>
        <v>0.01</v>
      </c>
      <c r="L548" s="17">
        <f t="shared" si="132"/>
        <v>0.98</v>
      </c>
      <c r="M548" s="4">
        <f t="shared" si="133"/>
        <v>71900</v>
      </c>
    </row>
    <row r="549" spans="1:13" x14ac:dyDescent="0.3">
      <c r="A549" s="1">
        <f t="shared" si="134"/>
        <v>547</v>
      </c>
      <c r="B549" s="1">
        <v>100</v>
      </c>
      <c r="C549" s="1">
        <f t="shared" si="135"/>
        <v>100</v>
      </c>
      <c r="D549" s="4">
        <v>9800</v>
      </c>
      <c r="E549" s="4">
        <f t="shared" si="126"/>
        <v>667</v>
      </c>
      <c r="F549" s="10">
        <f t="shared" si="127"/>
        <v>5.279999999999931</v>
      </c>
      <c r="G549" s="9">
        <f t="shared" si="128"/>
        <v>72050</v>
      </c>
      <c r="I549" s="4">
        <f t="shared" si="129"/>
        <v>10000</v>
      </c>
      <c r="J549" s="17">
        <f t="shared" si="130"/>
        <v>0.01</v>
      </c>
      <c r="K549" s="17">
        <f t="shared" si="131"/>
        <v>0.01</v>
      </c>
      <c r="L549" s="17">
        <f t="shared" si="132"/>
        <v>0.98</v>
      </c>
      <c r="M549" s="4">
        <f t="shared" si="133"/>
        <v>72050</v>
      </c>
    </row>
    <row r="550" spans="1:13" x14ac:dyDescent="0.3">
      <c r="A550" s="1">
        <f t="shared" si="134"/>
        <v>548</v>
      </c>
      <c r="B550" s="1">
        <v>100</v>
      </c>
      <c r="C550" s="1">
        <f t="shared" si="135"/>
        <v>100</v>
      </c>
      <c r="D550" s="4">
        <v>9800</v>
      </c>
      <c r="E550" s="4">
        <f t="shared" si="126"/>
        <v>668</v>
      </c>
      <c r="F550" s="10">
        <f t="shared" si="127"/>
        <v>5.2899999999999308</v>
      </c>
      <c r="G550" s="9">
        <f t="shared" si="128"/>
        <v>72200</v>
      </c>
      <c r="I550" s="4">
        <f t="shared" si="129"/>
        <v>10000</v>
      </c>
      <c r="J550" s="17">
        <f t="shared" si="130"/>
        <v>0.01</v>
      </c>
      <c r="K550" s="17">
        <f t="shared" si="131"/>
        <v>0.01</v>
      </c>
      <c r="L550" s="17">
        <f t="shared" si="132"/>
        <v>0.98</v>
      </c>
      <c r="M550" s="4">
        <f t="shared" si="133"/>
        <v>72200</v>
      </c>
    </row>
    <row r="551" spans="1:13" x14ac:dyDescent="0.3">
      <c r="A551" s="1">
        <f t="shared" si="134"/>
        <v>549</v>
      </c>
      <c r="B551" s="1">
        <v>100</v>
      </c>
      <c r="C551" s="1">
        <f t="shared" si="135"/>
        <v>100</v>
      </c>
      <c r="D551" s="4">
        <v>9800</v>
      </c>
      <c r="E551" s="4">
        <f t="shared" si="126"/>
        <v>669</v>
      </c>
      <c r="F551" s="10">
        <f t="shared" si="127"/>
        <v>5.2999999999999305</v>
      </c>
      <c r="G551" s="9">
        <f t="shared" si="128"/>
        <v>72350</v>
      </c>
      <c r="I551" s="4">
        <f t="shared" si="129"/>
        <v>10000</v>
      </c>
      <c r="J551" s="17">
        <f t="shared" si="130"/>
        <v>0.01</v>
      </c>
      <c r="K551" s="17">
        <f t="shared" si="131"/>
        <v>0.01</v>
      </c>
      <c r="L551" s="17">
        <f t="shared" si="132"/>
        <v>0.98</v>
      </c>
      <c r="M551" s="4">
        <f t="shared" si="133"/>
        <v>72350</v>
      </c>
    </row>
    <row r="552" spans="1:13" x14ac:dyDescent="0.3">
      <c r="A552" s="1">
        <f t="shared" si="134"/>
        <v>550</v>
      </c>
      <c r="B552" s="1">
        <v>100</v>
      </c>
      <c r="C552" s="1">
        <f t="shared" si="135"/>
        <v>100</v>
      </c>
      <c r="D552" s="4">
        <v>9800</v>
      </c>
      <c r="E552" s="4">
        <f t="shared" si="126"/>
        <v>670</v>
      </c>
      <c r="F552" s="10">
        <f t="shared" si="127"/>
        <v>5.3099999999999303</v>
      </c>
      <c r="G552" s="9">
        <f t="shared" si="128"/>
        <v>72500</v>
      </c>
      <c r="I552" s="4">
        <f t="shared" si="129"/>
        <v>10000</v>
      </c>
      <c r="J552" s="17">
        <f t="shared" si="130"/>
        <v>0.01</v>
      </c>
      <c r="K552" s="17">
        <f t="shared" si="131"/>
        <v>0.01</v>
      </c>
      <c r="L552" s="17">
        <f t="shared" si="132"/>
        <v>0.98</v>
      </c>
      <c r="M552" s="4">
        <f t="shared" si="133"/>
        <v>72500</v>
      </c>
    </row>
    <row r="553" spans="1:13" x14ac:dyDescent="0.3">
      <c r="A553" s="1">
        <f t="shared" si="134"/>
        <v>551</v>
      </c>
      <c r="B553" s="1">
        <v>100</v>
      </c>
      <c r="C553" s="1">
        <f t="shared" si="135"/>
        <v>100</v>
      </c>
      <c r="D553" s="4">
        <v>9800</v>
      </c>
      <c r="E553" s="4">
        <f t="shared" si="126"/>
        <v>671</v>
      </c>
      <c r="F553" s="10">
        <f t="shared" si="127"/>
        <v>5.3199999999999301</v>
      </c>
      <c r="G553" s="9">
        <f t="shared" si="128"/>
        <v>72650</v>
      </c>
      <c r="I553" s="4">
        <f t="shared" si="129"/>
        <v>10000</v>
      </c>
      <c r="J553" s="17">
        <f t="shared" si="130"/>
        <v>0.01</v>
      </c>
      <c r="K553" s="17">
        <f t="shared" si="131"/>
        <v>0.01</v>
      </c>
      <c r="L553" s="17">
        <f t="shared" si="132"/>
        <v>0.98</v>
      </c>
      <c r="M553" s="4">
        <f t="shared" si="133"/>
        <v>72650</v>
      </c>
    </row>
    <row r="554" spans="1:13" x14ac:dyDescent="0.3">
      <c r="A554" s="1">
        <f t="shared" si="134"/>
        <v>552</v>
      </c>
      <c r="B554" s="1">
        <v>100</v>
      </c>
      <c r="C554" s="1">
        <f t="shared" si="135"/>
        <v>100</v>
      </c>
      <c r="D554" s="4">
        <v>9800</v>
      </c>
      <c r="E554" s="4">
        <f t="shared" si="126"/>
        <v>672</v>
      </c>
      <c r="F554" s="10">
        <f t="shared" si="127"/>
        <v>5.3299999999999299</v>
      </c>
      <c r="G554" s="9">
        <f t="shared" si="128"/>
        <v>72800</v>
      </c>
      <c r="I554" s="4">
        <f t="shared" si="129"/>
        <v>10000</v>
      </c>
      <c r="J554" s="17">
        <f t="shared" si="130"/>
        <v>0.01</v>
      </c>
      <c r="K554" s="17">
        <f t="shared" si="131"/>
        <v>0.01</v>
      </c>
      <c r="L554" s="17">
        <f t="shared" si="132"/>
        <v>0.98</v>
      </c>
      <c r="M554" s="4">
        <f t="shared" si="133"/>
        <v>72800</v>
      </c>
    </row>
    <row r="555" spans="1:13" x14ac:dyDescent="0.3">
      <c r="A555" s="1">
        <f t="shared" si="134"/>
        <v>553</v>
      </c>
      <c r="B555" s="1">
        <v>100</v>
      </c>
      <c r="C555" s="1">
        <f t="shared" si="135"/>
        <v>100</v>
      </c>
      <c r="D555" s="4">
        <v>9800</v>
      </c>
      <c r="E555" s="4">
        <f t="shared" si="126"/>
        <v>673</v>
      </c>
      <c r="F555" s="10">
        <f t="shared" si="127"/>
        <v>5.3399999999999297</v>
      </c>
      <c r="G555" s="9">
        <f t="shared" si="128"/>
        <v>72950</v>
      </c>
      <c r="I555" s="4">
        <f t="shared" si="129"/>
        <v>10000</v>
      </c>
      <c r="J555" s="17">
        <f t="shared" si="130"/>
        <v>0.01</v>
      </c>
      <c r="K555" s="17">
        <f t="shared" si="131"/>
        <v>0.01</v>
      </c>
      <c r="L555" s="17">
        <f t="shared" si="132"/>
        <v>0.98</v>
      </c>
      <c r="M555" s="4">
        <f t="shared" si="133"/>
        <v>72950</v>
      </c>
    </row>
    <row r="556" spans="1:13" x14ac:dyDescent="0.3">
      <c r="A556" s="1">
        <f t="shared" si="134"/>
        <v>554</v>
      </c>
      <c r="B556" s="1">
        <v>100</v>
      </c>
      <c r="C556" s="1">
        <f t="shared" si="135"/>
        <v>100</v>
      </c>
      <c r="D556" s="4">
        <v>9800</v>
      </c>
      <c r="E556" s="4">
        <f t="shared" si="126"/>
        <v>674</v>
      </c>
      <c r="F556" s="10">
        <f t="shared" si="127"/>
        <v>5.3499999999999295</v>
      </c>
      <c r="G556" s="9">
        <f t="shared" si="128"/>
        <v>73100</v>
      </c>
      <c r="I556" s="4">
        <f t="shared" si="129"/>
        <v>10000</v>
      </c>
      <c r="J556" s="17">
        <f t="shared" si="130"/>
        <v>0.01</v>
      </c>
      <c r="K556" s="17">
        <f t="shared" si="131"/>
        <v>0.01</v>
      </c>
      <c r="L556" s="17">
        <f t="shared" si="132"/>
        <v>0.98</v>
      </c>
      <c r="M556" s="4">
        <f t="shared" si="133"/>
        <v>73100</v>
      </c>
    </row>
    <row r="557" spans="1:13" x14ac:dyDescent="0.3">
      <c r="A557" s="1">
        <f t="shared" si="134"/>
        <v>555</v>
      </c>
      <c r="B557" s="1">
        <v>100</v>
      </c>
      <c r="C557" s="1">
        <f t="shared" si="135"/>
        <v>100</v>
      </c>
      <c r="D557" s="4">
        <v>9800</v>
      </c>
      <c r="E557" s="4">
        <f t="shared" si="126"/>
        <v>675</v>
      </c>
      <c r="F557" s="10">
        <f t="shared" si="127"/>
        <v>5.3599999999999293</v>
      </c>
      <c r="G557" s="9">
        <f t="shared" si="128"/>
        <v>73250</v>
      </c>
      <c r="I557" s="4">
        <f t="shared" si="129"/>
        <v>10000</v>
      </c>
      <c r="J557" s="17">
        <f t="shared" si="130"/>
        <v>0.01</v>
      </c>
      <c r="K557" s="17">
        <f t="shared" si="131"/>
        <v>0.01</v>
      </c>
      <c r="L557" s="17">
        <f t="shared" si="132"/>
        <v>0.98</v>
      </c>
      <c r="M557" s="4">
        <f t="shared" si="133"/>
        <v>73250</v>
      </c>
    </row>
    <row r="558" spans="1:13" x14ac:dyDescent="0.3">
      <c r="A558" s="1">
        <f t="shared" si="134"/>
        <v>556</v>
      </c>
      <c r="B558" s="1">
        <v>100</v>
      </c>
      <c r="C558" s="1">
        <f t="shared" si="135"/>
        <v>100</v>
      </c>
      <c r="D558" s="4">
        <v>9800</v>
      </c>
      <c r="E558" s="4">
        <f t="shared" si="126"/>
        <v>676</v>
      </c>
      <c r="F558" s="10">
        <f t="shared" si="127"/>
        <v>5.3699999999999291</v>
      </c>
      <c r="G558" s="9">
        <f t="shared" si="128"/>
        <v>73400</v>
      </c>
      <c r="I558" s="4">
        <f t="shared" si="129"/>
        <v>10000</v>
      </c>
      <c r="J558" s="17">
        <f t="shared" si="130"/>
        <v>0.01</v>
      </c>
      <c r="K558" s="17">
        <f t="shared" si="131"/>
        <v>0.01</v>
      </c>
      <c r="L558" s="17">
        <f t="shared" si="132"/>
        <v>0.98</v>
      </c>
      <c r="M558" s="4">
        <f t="shared" si="133"/>
        <v>73400</v>
      </c>
    </row>
    <row r="559" spans="1:13" x14ac:dyDescent="0.3">
      <c r="A559" s="1">
        <f t="shared" si="134"/>
        <v>557</v>
      </c>
      <c r="B559" s="1">
        <v>100</v>
      </c>
      <c r="C559" s="1">
        <f t="shared" si="135"/>
        <v>100</v>
      </c>
      <c r="D559" s="4">
        <v>9800</v>
      </c>
      <c r="E559" s="4">
        <f t="shared" si="126"/>
        <v>677</v>
      </c>
      <c r="F559" s="10">
        <f t="shared" si="127"/>
        <v>5.3799999999999288</v>
      </c>
      <c r="G559" s="9">
        <f t="shared" si="128"/>
        <v>73550</v>
      </c>
      <c r="I559" s="4">
        <f t="shared" si="129"/>
        <v>10000</v>
      </c>
      <c r="J559" s="17">
        <f t="shared" si="130"/>
        <v>0.01</v>
      </c>
      <c r="K559" s="17">
        <f t="shared" si="131"/>
        <v>0.01</v>
      </c>
      <c r="L559" s="17">
        <f t="shared" si="132"/>
        <v>0.98</v>
      </c>
      <c r="M559" s="4">
        <f t="shared" si="133"/>
        <v>73550</v>
      </c>
    </row>
    <row r="560" spans="1:13" x14ac:dyDescent="0.3">
      <c r="A560" s="1">
        <f t="shared" si="134"/>
        <v>558</v>
      </c>
      <c r="B560" s="1">
        <v>100</v>
      </c>
      <c r="C560" s="1">
        <f t="shared" si="135"/>
        <v>100</v>
      </c>
      <c r="D560" s="4">
        <v>9800</v>
      </c>
      <c r="E560" s="4">
        <f t="shared" si="126"/>
        <v>678</v>
      </c>
      <c r="F560" s="10">
        <f t="shared" si="127"/>
        <v>5.3899999999999286</v>
      </c>
      <c r="G560" s="9">
        <f t="shared" si="128"/>
        <v>73700</v>
      </c>
      <c r="I560" s="4">
        <f t="shared" si="129"/>
        <v>10000</v>
      </c>
      <c r="J560" s="17">
        <f t="shared" si="130"/>
        <v>0.01</v>
      </c>
      <c r="K560" s="17">
        <f t="shared" si="131"/>
        <v>0.01</v>
      </c>
      <c r="L560" s="17">
        <f t="shared" si="132"/>
        <v>0.98</v>
      </c>
      <c r="M560" s="4">
        <f t="shared" si="133"/>
        <v>73700</v>
      </c>
    </row>
    <row r="561" spans="1:13" x14ac:dyDescent="0.3">
      <c r="A561" s="1">
        <f t="shared" si="134"/>
        <v>559</v>
      </c>
      <c r="B561" s="1">
        <v>100</v>
      </c>
      <c r="C561" s="1">
        <f t="shared" si="135"/>
        <v>100</v>
      </c>
      <c r="D561" s="4">
        <v>9800</v>
      </c>
      <c r="E561" s="4">
        <f t="shared" si="126"/>
        <v>679</v>
      </c>
      <c r="F561" s="10">
        <f t="shared" si="127"/>
        <v>5.3999999999999284</v>
      </c>
      <c r="G561" s="9">
        <f t="shared" si="128"/>
        <v>73850</v>
      </c>
      <c r="I561" s="4">
        <f t="shared" si="129"/>
        <v>10000</v>
      </c>
      <c r="J561" s="17">
        <f t="shared" si="130"/>
        <v>0.01</v>
      </c>
      <c r="K561" s="17">
        <f t="shared" si="131"/>
        <v>0.01</v>
      </c>
      <c r="L561" s="17">
        <f t="shared" si="132"/>
        <v>0.98</v>
      </c>
      <c r="M561" s="4">
        <f t="shared" si="133"/>
        <v>73850</v>
      </c>
    </row>
    <row r="562" spans="1:13" x14ac:dyDescent="0.3">
      <c r="A562" s="1">
        <f t="shared" si="134"/>
        <v>560</v>
      </c>
      <c r="B562" s="1">
        <v>100</v>
      </c>
      <c r="C562" s="1">
        <f t="shared" si="135"/>
        <v>100</v>
      </c>
      <c r="D562" s="4">
        <v>9800</v>
      </c>
      <c r="E562" s="4">
        <f t="shared" si="126"/>
        <v>680</v>
      </c>
      <c r="F562" s="10">
        <f t="shared" si="127"/>
        <v>5.4099999999999282</v>
      </c>
      <c r="G562" s="9">
        <f t="shared" si="128"/>
        <v>74000</v>
      </c>
      <c r="I562" s="4">
        <f t="shared" si="129"/>
        <v>10000</v>
      </c>
      <c r="J562" s="17">
        <f t="shared" si="130"/>
        <v>0.01</v>
      </c>
      <c r="K562" s="17">
        <f t="shared" si="131"/>
        <v>0.01</v>
      </c>
      <c r="L562" s="17">
        <f t="shared" si="132"/>
        <v>0.98</v>
      </c>
      <c r="M562" s="4">
        <f t="shared" si="133"/>
        <v>74000</v>
      </c>
    </row>
    <row r="563" spans="1:13" x14ac:dyDescent="0.3">
      <c r="A563" s="1">
        <f t="shared" si="134"/>
        <v>561</v>
      </c>
      <c r="B563" s="1">
        <v>100</v>
      </c>
      <c r="C563" s="1">
        <f t="shared" si="135"/>
        <v>100</v>
      </c>
      <c r="D563" s="4">
        <v>9800</v>
      </c>
      <c r="E563" s="4">
        <f t="shared" si="126"/>
        <v>681</v>
      </c>
      <c r="F563" s="10">
        <f t="shared" si="127"/>
        <v>5.419999999999928</v>
      </c>
      <c r="G563" s="9">
        <f t="shared" si="128"/>
        <v>74150</v>
      </c>
      <c r="I563" s="4">
        <f t="shared" si="129"/>
        <v>10000</v>
      </c>
      <c r="J563" s="17">
        <f t="shared" si="130"/>
        <v>0.01</v>
      </c>
      <c r="K563" s="17">
        <f t="shared" si="131"/>
        <v>0.01</v>
      </c>
      <c r="L563" s="17">
        <f t="shared" si="132"/>
        <v>0.98</v>
      </c>
      <c r="M563" s="4">
        <f t="shared" si="133"/>
        <v>74150</v>
      </c>
    </row>
    <row r="564" spans="1:13" x14ac:dyDescent="0.3">
      <c r="A564" s="1">
        <f t="shared" si="134"/>
        <v>562</v>
      </c>
      <c r="B564" s="1">
        <v>100</v>
      </c>
      <c r="C564" s="1">
        <f t="shared" si="135"/>
        <v>100</v>
      </c>
      <c r="D564" s="4">
        <v>9800</v>
      </c>
      <c r="E564" s="4">
        <f t="shared" si="126"/>
        <v>682</v>
      </c>
      <c r="F564" s="10">
        <f t="shared" si="127"/>
        <v>5.4299999999999278</v>
      </c>
      <c r="G564" s="9">
        <f t="shared" si="128"/>
        <v>74300</v>
      </c>
      <c r="I564" s="4">
        <f t="shared" si="129"/>
        <v>10000</v>
      </c>
      <c r="J564" s="17">
        <f t="shared" si="130"/>
        <v>0.01</v>
      </c>
      <c r="K564" s="17">
        <f t="shared" si="131"/>
        <v>0.01</v>
      </c>
      <c r="L564" s="17">
        <f t="shared" si="132"/>
        <v>0.98</v>
      </c>
      <c r="M564" s="4">
        <f t="shared" si="133"/>
        <v>74300</v>
      </c>
    </row>
    <row r="565" spans="1:13" x14ac:dyDescent="0.3">
      <c r="A565" s="1">
        <f t="shared" si="134"/>
        <v>563</v>
      </c>
      <c r="B565" s="1">
        <v>100</v>
      </c>
      <c r="C565" s="1">
        <f t="shared" si="135"/>
        <v>100</v>
      </c>
      <c r="D565" s="4">
        <v>9800</v>
      </c>
      <c r="E565" s="4">
        <f t="shared" si="126"/>
        <v>683</v>
      </c>
      <c r="F565" s="10">
        <f t="shared" si="127"/>
        <v>5.4399999999999276</v>
      </c>
      <c r="G565" s="9">
        <f t="shared" si="128"/>
        <v>74450</v>
      </c>
      <c r="I565" s="4">
        <f t="shared" si="129"/>
        <v>10000</v>
      </c>
      <c r="J565" s="17">
        <f t="shared" si="130"/>
        <v>0.01</v>
      </c>
      <c r="K565" s="17">
        <f t="shared" si="131"/>
        <v>0.01</v>
      </c>
      <c r="L565" s="17">
        <f t="shared" si="132"/>
        <v>0.98</v>
      </c>
      <c r="M565" s="4">
        <f t="shared" si="133"/>
        <v>74450</v>
      </c>
    </row>
    <row r="566" spans="1:13" x14ac:dyDescent="0.3">
      <c r="A566" s="1">
        <f t="shared" si="134"/>
        <v>564</v>
      </c>
      <c r="B566" s="1">
        <v>100</v>
      </c>
      <c r="C566" s="1">
        <f t="shared" si="135"/>
        <v>100</v>
      </c>
      <c r="D566" s="4">
        <v>9800</v>
      </c>
      <c r="E566" s="4">
        <f t="shared" si="126"/>
        <v>684</v>
      </c>
      <c r="F566" s="10">
        <f t="shared" si="127"/>
        <v>5.4499999999999273</v>
      </c>
      <c r="G566" s="9">
        <f t="shared" si="128"/>
        <v>74600</v>
      </c>
      <c r="I566" s="4">
        <f t="shared" si="129"/>
        <v>10000</v>
      </c>
      <c r="J566" s="17">
        <f t="shared" si="130"/>
        <v>0.01</v>
      </c>
      <c r="K566" s="17">
        <f t="shared" si="131"/>
        <v>0.01</v>
      </c>
      <c r="L566" s="17">
        <f t="shared" si="132"/>
        <v>0.98</v>
      </c>
      <c r="M566" s="4">
        <f t="shared" si="133"/>
        <v>74600</v>
      </c>
    </row>
    <row r="567" spans="1:13" x14ac:dyDescent="0.3">
      <c r="A567" s="1">
        <f t="shared" si="134"/>
        <v>565</v>
      </c>
      <c r="B567" s="1">
        <v>100</v>
      </c>
      <c r="C567" s="1">
        <f t="shared" si="135"/>
        <v>100</v>
      </c>
      <c r="D567" s="4">
        <v>9800</v>
      </c>
      <c r="E567" s="4">
        <f t="shared" si="126"/>
        <v>685</v>
      </c>
      <c r="F567" s="10">
        <f t="shared" si="127"/>
        <v>5.4599999999999271</v>
      </c>
      <c r="G567" s="9">
        <f t="shared" si="128"/>
        <v>74750</v>
      </c>
      <c r="I567" s="4">
        <f t="shared" si="129"/>
        <v>10000</v>
      </c>
      <c r="J567" s="17">
        <f t="shared" si="130"/>
        <v>0.01</v>
      </c>
      <c r="K567" s="17">
        <f t="shared" si="131"/>
        <v>0.01</v>
      </c>
      <c r="L567" s="17">
        <f t="shared" si="132"/>
        <v>0.98</v>
      </c>
      <c r="M567" s="4">
        <f t="shared" si="133"/>
        <v>74750</v>
      </c>
    </row>
    <row r="568" spans="1:13" x14ac:dyDescent="0.3">
      <c r="A568" s="1">
        <f t="shared" si="134"/>
        <v>566</v>
      </c>
      <c r="B568" s="1">
        <v>100</v>
      </c>
      <c r="C568" s="1">
        <f t="shared" si="135"/>
        <v>100</v>
      </c>
      <c r="D568" s="4">
        <v>9800</v>
      </c>
      <c r="E568" s="4">
        <f t="shared" si="126"/>
        <v>686</v>
      </c>
      <c r="F568" s="10">
        <f t="shared" si="127"/>
        <v>5.4699999999999269</v>
      </c>
      <c r="G568" s="9">
        <f t="shared" si="128"/>
        <v>74900</v>
      </c>
      <c r="I568" s="4">
        <f t="shared" si="129"/>
        <v>10000</v>
      </c>
      <c r="J568" s="17">
        <f t="shared" si="130"/>
        <v>0.01</v>
      </c>
      <c r="K568" s="17">
        <f t="shared" si="131"/>
        <v>0.01</v>
      </c>
      <c r="L568" s="17">
        <f t="shared" si="132"/>
        <v>0.98</v>
      </c>
      <c r="M568" s="4">
        <f t="shared" si="133"/>
        <v>74900</v>
      </c>
    </row>
    <row r="569" spans="1:13" x14ac:dyDescent="0.3">
      <c r="A569" s="1">
        <f t="shared" si="134"/>
        <v>567</v>
      </c>
      <c r="B569" s="1">
        <v>100</v>
      </c>
      <c r="C569" s="1">
        <f t="shared" si="135"/>
        <v>100</v>
      </c>
      <c r="D569" s="4">
        <v>9800</v>
      </c>
      <c r="E569" s="4">
        <f t="shared" si="126"/>
        <v>687</v>
      </c>
      <c r="F569" s="10">
        <f t="shared" si="127"/>
        <v>5.4799999999999267</v>
      </c>
      <c r="G569" s="9">
        <f t="shared" si="128"/>
        <v>75050</v>
      </c>
      <c r="I569" s="4">
        <f t="shared" si="129"/>
        <v>10000</v>
      </c>
      <c r="J569" s="17">
        <f t="shared" si="130"/>
        <v>0.01</v>
      </c>
      <c r="K569" s="17">
        <f t="shared" si="131"/>
        <v>0.01</v>
      </c>
      <c r="L569" s="17">
        <f t="shared" si="132"/>
        <v>0.98</v>
      </c>
      <c r="M569" s="4">
        <f t="shared" si="133"/>
        <v>75050</v>
      </c>
    </row>
    <row r="570" spans="1:13" x14ac:dyDescent="0.3">
      <c r="A570" s="1">
        <f t="shared" si="134"/>
        <v>568</v>
      </c>
      <c r="B570" s="1">
        <v>100</v>
      </c>
      <c r="C570" s="1">
        <f t="shared" si="135"/>
        <v>100</v>
      </c>
      <c r="D570" s="4">
        <v>9800</v>
      </c>
      <c r="E570" s="4">
        <f t="shared" si="126"/>
        <v>688</v>
      </c>
      <c r="F570" s="10">
        <f t="shared" si="127"/>
        <v>5.4899999999999265</v>
      </c>
      <c r="G570" s="9">
        <f t="shared" si="128"/>
        <v>75200</v>
      </c>
      <c r="I570" s="4">
        <f t="shared" si="129"/>
        <v>10000</v>
      </c>
      <c r="J570" s="17">
        <f t="shared" si="130"/>
        <v>0.01</v>
      </c>
      <c r="K570" s="17">
        <f t="shared" si="131"/>
        <v>0.01</v>
      </c>
      <c r="L570" s="17">
        <f t="shared" si="132"/>
        <v>0.98</v>
      </c>
      <c r="M570" s="4">
        <f t="shared" si="133"/>
        <v>75200</v>
      </c>
    </row>
    <row r="571" spans="1:13" x14ac:dyDescent="0.3">
      <c r="A571" s="1">
        <f t="shared" si="134"/>
        <v>569</v>
      </c>
      <c r="B571" s="1">
        <v>100</v>
      </c>
      <c r="C571" s="1">
        <f t="shared" ref="C571:C578" si="136">10000-B571-D571</f>
        <v>100</v>
      </c>
      <c r="D571" s="4">
        <v>9800</v>
      </c>
      <c r="E571" s="4">
        <f t="shared" ref="E571:E578" si="137">E570+1</f>
        <v>689</v>
      </c>
      <c r="F571" s="10">
        <f t="shared" ref="F571:F578" si="138">F570+0.01</f>
        <v>5.4999999999999263</v>
      </c>
      <c r="G571" s="9">
        <f t="shared" ref="G571:G578" si="139">G570+150</f>
        <v>75350</v>
      </c>
      <c r="I571" s="4">
        <f t="shared" ref="I571:I578" si="140">SUM(B571:D571)</f>
        <v>10000</v>
      </c>
      <c r="J571" s="17">
        <f t="shared" ref="J571:J578" si="141">B571/10000</f>
        <v>0.01</v>
      </c>
      <c r="K571" s="17">
        <f t="shared" ref="K571:K578" si="142">C571/10000</f>
        <v>0.01</v>
      </c>
      <c r="L571" s="17">
        <f t="shared" ref="L571:L578" si="143">D571/10000</f>
        <v>0.98</v>
      </c>
      <c r="M571" s="4">
        <f t="shared" ref="M571:M578" si="144">G571</f>
        <v>75350</v>
      </c>
    </row>
    <row r="572" spans="1:13" x14ac:dyDescent="0.3">
      <c r="A572" s="1">
        <f t="shared" si="134"/>
        <v>570</v>
      </c>
      <c r="B572" s="1">
        <v>100</v>
      </c>
      <c r="C572" s="1">
        <f t="shared" si="136"/>
        <v>100</v>
      </c>
      <c r="D572" s="4">
        <v>9800</v>
      </c>
      <c r="E572" s="4">
        <f t="shared" si="137"/>
        <v>690</v>
      </c>
      <c r="F572" s="10">
        <f t="shared" si="138"/>
        <v>5.5099999999999261</v>
      </c>
      <c r="G572" s="9">
        <f t="shared" si="139"/>
        <v>75500</v>
      </c>
      <c r="I572" s="4">
        <f t="shared" si="140"/>
        <v>10000</v>
      </c>
      <c r="J572" s="17">
        <f t="shared" si="141"/>
        <v>0.01</v>
      </c>
      <c r="K572" s="17">
        <f t="shared" si="142"/>
        <v>0.01</v>
      </c>
      <c r="L572" s="17">
        <f t="shared" si="143"/>
        <v>0.98</v>
      </c>
      <c r="M572" s="4">
        <f t="shared" si="144"/>
        <v>75500</v>
      </c>
    </row>
    <row r="573" spans="1:13" x14ac:dyDescent="0.3">
      <c r="A573" s="1">
        <f t="shared" si="134"/>
        <v>571</v>
      </c>
      <c r="B573" s="1">
        <v>100</v>
      </c>
      <c r="C573" s="1">
        <f t="shared" si="136"/>
        <v>100</v>
      </c>
      <c r="D573" s="4">
        <v>9800</v>
      </c>
      <c r="E573" s="4">
        <f t="shared" si="137"/>
        <v>691</v>
      </c>
      <c r="F573" s="10">
        <f t="shared" si="138"/>
        <v>5.5199999999999259</v>
      </c>
      <c r="G573" s="9">
        <f t="shared" si="139"/>
        <v>75650</v>
      </c>
      <c r="I573" s="4">
        <f t="shared" si="140"/>
        <v>10000</v>
      </c>
      <c r="J573" s="17">
        <f t="shared" si="141"/>
        <v>0.01</v>
      </c>
      <c r="K573" s="17">
        <f t="shared" si="142"/>
        <v>0.01</v>
      </c>
      <c r="L573" s="17">
        <f t="shared" si="143"/>
        <v>0.98</v>
      </c>
      <c r="M573" s="4">
        <f t="shared" si="144"/>
        <v>75650</v>
      </c>
    </row>
    <row r="574" spans="1:13" x14ac:dyDescent="0.3">
      <c r="A574" s="1">
        <f t="shared" si="134"/>
        <v>572</v>
      </c>
      <c r="B574" s="1">
        <v>100</v>
      </c>
      <c r="C574" s="1">
        <f t="shared" si="136"/>
        <v>100</v>
      </c>
      <c r="D574" s="4">
        <v>9800</v>
      </c>
      <c r="E574" s="4">
        <f t="shared" si="137"/>
        <v>692</v>
      </c>
      <c r="F574" s="10">
        <f t="shared" si="138"/>
        <v>5.5299999999999256</v>
      </c>
      <c r="G574" s="9">
        <f t="shared" si="139"/>
        <v>75800</v>
      </c>
      <c r="I574" s="4">
        <f t="shared" si="140"/>
        <v>10000</v>
      </c>
      <c r="J574" s="17">
        <f t="shared" si="141"/>
        <v>0.01</v>
      </c>
      <c r="K574" s="17">
        <f t="shared" si="142"/>
        <v>0.01</v>
      </c>
      <c r="L574" s="17">
        <f t="shared" si="143"/>
        <v>0.98</v>
      </c>
      <c r="M574" s="4">
        <f t="shared" si="144"/>
        <v>75800</v>
      </c>
    </row>
    <row r="575" spans="1:13" x14ac:dyDescent="0.3">
      <c r="A575" s="1">
        <f t="shared" si="134"/>
        <v>573</v>
      </c>
      <c r="B575" s="1">
        <v>100</v>
      </c>
      <c r="C575" s="1">
        <f t="shared" si="136"/>
        <v>100</v>
      </c>
      <c r="D575" s="4">
        <v>9800</v>
      </c>
      <c r="E575" s="4">
        <f t="shared" si="137"/>
        <v>693</v>
      </c>
      <c r="F575" s="10">
        <f t="shared" si="138"/>
        <v>5.5399999999999254</v>
      </c>
      <c r="G575" s="9">
        <f t="shared" si="139"/>
        <v>75950</v>
      </c>
      <c r="I575" s="4">
        <f t="shared" si="140"/>
        <v>10000</v>
      </c>
      <c r="J575" s="17">
        <f t="shared" si="141"/>
        <v>0.01</v>
      </c>
      <c r="K575" s="17">
        <f t="shared" si="142"/>
        <v>0.01</v>
      </c>
      <c r="L575" s="17">
        <f t="shared" si="143"/>
        <v>0.98</v>
      </c>
      <c r="M575" s="4">
        <f t="shared" si="144"/>
        <v>75950</v>
      </c>
    </row>
    <row r="576" spans="1:13" x14ac:dyDescent="0.3">
      <c r="A576" s="1">
        <f t="shared" si="134"/>
        <v>574</v>
      </c>
      <c r="B576" s="1">
        <v>100</v>
      </c>
      <c r="C576" s="1">
        <f t="shared" si="136"/>
        <v>100</v>
      </c>
      <c r="D576" s="4">
        <v>9800</v>
      </c>
      <c r="E576" s="4">
        <f t="shared" si="137"/>
        <v>694</v>
      </c>
      <c r="F576" s="10">
        <f t="shared" si="138"/>
        <v>5.5499999999999252</v>
      </c>
      <c r="G576" s="9">
        <f t="shared" si="139"/>
        <v>76100</v>
      </c>
      <c r="I576" s="4">
        <f t="shared" si="140"/>
        <v>10000</v>
      </c>
      <c r="J576" s="17">
        <f t="shared" si="141"/>
        <v>0.01</v>
      </c>
      <c r="K576" s="17">
        <f t="shared" si="142"/>
        <v>0.01</v>
      </c>
      <c r="L576" s="17">
        <f t="shared" si="143"/>
        <v>0.98</v>
      </c>
      <c r="M576" s="4">
        <f t="shared" si="144"/>
        <v>76100</v>
      </c>
    </row>
    <row r="577" spans="1:13" x14ac:dyDescent="0.3">
      <c r="A577" s="1">
        <f t="shared" si="134"/>
        <v>575</v>
      </c>
      <c r="B577" s="1">
        <v>100</v>
      </c>
      <c r="C577" s="1">
        <f t="shared" si="136"/>
        <v>100</v>
      </c>
      <c r="D577" s="4">
        <v>9800</v>
      </c>
      <c r="E577" s="4">
        <f t="shared" si="137"/>
        <v>695</v>
      </c>
      <c r="F577" s="10">
        <f t="shared" si="138"/>
        <v>5.559999999999925</v>
      </c>
      <c r="G577" s="9">
        <f t="shared" si="139"/>
        <v>76250</v>
      </c>
      <c r="I577" s="4">
        <f t="shared" si="140"/>
        <v>10000</v>
      </c>
      <c r="J577" s="17">
        <f t="shared" si="141"/>
        <v>0.01</v>
      </c>
      <c r="K577" s="17">
        <f t="shared" si="142"/>
        <v>0.01</v>
      </c>
      <c r="L577" s="17">
        <f t="shared" si="143"/>
        <v>0.98</v>
      </c>
      <c r="M577" s="4">
        <f t="shared" si="144"/>
        <v>76250</v>
      </c>
    </row>
    <row r="578" spans="1:13" x14ac:dyDescent="0.3">
      <c r="A578" s="1">
        <f t="shared" si="134"/>
        <v>576</v>
      </c>
      <c r="B578" s="1">
        <v>100</v>
      </c>
      <c r="C578" s="1">
        <f t="shared" si="136"/>
        <v>100</v>
      </c>
      <c r="D578" s="4">
        <v>9800</v>
      </c>
      <c r="E578" s="4">
        <f t="shared" si="137"/>
        <v>696</v>
      </c>
      <c r="F578" s="10">
        <f t="shared" si="138"/>
        <v>5.5699999999999248</v>
      </c>
      <c r="G578" s="9">
        <f t="shared" si="139"/>
        <v>76400</v>
      </c>
      <c r="I578" s="4">
        <f t="shared" si="140"/>
        <v>10000</v>
      </c>
      <c r="J578" s="17">
        <f t="shared" si="141"/>
        <v>0.01</v>
      </c>
      <c r="K578" s="17">
        <f t="shared" si="142"/>
        <v>0.01</v>
      </c>
      <c r="L578" s="17">
        <f t="shared" si="143"/>
        <v>0.98</v>
      </c>
      <c r="M578" s="4">
        <f t="shared" si="144"/>
        <v>76400</v>
      </c>
    </row>
    <row r="579" spans="1:13" x14ac:dyDescent="0.3">
      <c r="A579" s="1">
        <f t="shared" si="134"/>
        <v>577</v>
      </c>
      <c r="B579" s="1">
        <v>100</v>
      </c>
      <c r="C579" s="1">
        <f t="shared" ref="C579:C642" si="145">10000-B579-D579</f>
        <v>100</v>
      </c>
      <c r="D579" s="4">
        <v>9800</v>
      </c>
      <c r="E579" s="4">
        <f t="shared" ref="E579:E642" si="146">E578+1</f>
        <v>697</v>
      </c>
      <c r="F579" s="10">
        <f t="shared" ref="F579:F642" si="147">F578+0.01</f>
        <v>5.5799999999999246</v>
      </c>
      <c r="G579" s="9">
        <f t="shared" ref="G579:G642" si="148">G578+150</f>
        <v>76550</v>
      </c>
      <c r="I579" s="4">
        <f t="shared" ref="I579:I642" si="149">SUM(B579:D579)</f>
        <v>10000</v>
      </c>
      <c r="J579" s="17">
        <f t="shared" ref="J579:J642" si="150">B579/10000</f>
        <v>0.01</v>
      </c>
      <c r="K579" s="17">
        <f t="shared" ref="K579:K642" si="151">C579/10000</f>
        <v>0.01</v>
      </c>
      <c r="L579" s="17">
        <f t="shared" ref="L579:L642" si="152">D579/10000</f>
        <v>0.98</v>
      </c>
      <c r="M579" s="4">
        <f t="shared" ref="M579:M642" si="153">G579</f>
        <v>76550</v>
      </c>
    </row>
    <row r="580" spans="1:13" x14ac:dyDescent="0.3">
      <c r="A580" s="1">
        <f t="shared" si="134"/>
        <v>578</v>
      </c>
      <c r="B580" s="1">
        <v>100</v>
      </c>
      <c r="C580" s="1">
        <f t="shared" si="145"/>
        <v>100</v>
      </c>
      <c r="D580" s="4">
        <v>9800</v>
      </c>
      <c r="E580" s="4">
        <f t="shared" si="146"/>
        <v>698</v>
      </c>
      <c r="F580" s="10">
        <f t="shared" si="147"/>
        <v>5.5899999999999244</v>
      </c>
      <c r="G580" s="9">
        <f t="shared" si="148"/>
        <v>76700</v>
      </c>
      <c r="I580" s="4">
        <f t="shared" si="149"/>
        <v>10000</v>
      </c>
      <c r="J580" s="17">
        <f t="shared" si="150"/>
        <v>0.01</v>
      </c>
      <c r="K580" s="17">
        <f t="shared" si="151"/>
        <v>0.01</v>
      </c>
      <c r="L580" s="17">
        <f t="shared" si="152"/>
        <v>0.98</v>
      </c>
      <c r="M580" s="4">
        <f t="shared" si="153"/>
        <v>76700</v>
      </c>
    </row>
    <row r="581" spans="1:13" x14ac:dyDescent="0.3">
      <c r="A581" s="1">
        <f t="shared" si="134"/>
        <v>579</v>
      </c>
      <c r="B581" s="1">
        <v>100</v>
      </c>
      <c r="C581" s="1">
        <f t="shared" si="145"/>
        <v>100</v>
      </c>
      <c r="D581" s="4">
        <v>9800</v>
      </c>
      <c r="E581" s="4">
        <f t="shared" si="146"/>
        <v>699</v>
      </c>
      <c r="F581" s="10">
        <f t="shared" si="147"/>
        <v>5.5999999999999241</v>
      </c>
      <c r="G581" s="9">
        <f t="shared" si="148"/>
        <v>76850</v>
      </c>
      <c r="I581" s="4">
        <f t="shared" si="149"/>
        <v>10000</v>
      </c>
      <c r="J581" s="17">
        <f t="shared" si="150"/>
        <v>0.01</v>
      </c>
      <c r="K581" s="17">
        <f t="shared" si="151"/>
        <v>0.01</v>
      </c>
      <c r="L581" s="17">
        <f t="shared" si="152"/>
        <v>0.98</v>
      </c>
      <c r="M581" s="4">
        <f t="shared" si="153"/>
        <v>76850</v>
      </c>
    </row>
    <row r="582" spans="1:13" x14ac:dyDescent="0.3">
      <c r="A582" s="1">
        <f t="shared" si="134"/>
        <v>580</v>
      </c>
      <c r="B582" s="1">
        <v>100</v>
      </c>
      <c r="C582" s="1">
        <f t="shared" si="145"/>
        <v>100</v>
      </c>
      <c r="D582" s="4">
        <v>9800</v>
      </c>
      <c r="E582" s="4">
        <f t="shared" si="146"/>
        <v>700</v>
      </c>
      <c r="F582" s="10">
        <f t="shared" si="147"/>
        <v>5.6099999999999239</v>
      </c>
      <c r="G582" s="9">
        <f t="shared" si="148"/>
        <v>77000</v>
      </c>
      <c r="I582" s="4">
        <f t="shared" si="149"/>
        <v>10000</v>
      </c>
      <c r="J582" s="17">
        <f t="shared" si="150"/>
        <v>0.01</v>
      </c>
      <c r="K582" s="17">
        <f t="shared" si="151"/>
        <v>0.01</v>
      </c>
      <c r="L582" s="17">
        <f t="shared" si="152"/>
        <v>0.98</v>
      </c>
      <c r="M582" s="4">
        <f t="shared" si="153"/>
        <v>77000</v>
      </c>
    </row>
    <row r="583" spans="1:13" x14ac:dyDescent="0.3">
      <c r="A583" s="1">
        <f t="shared" si="134"/>
        <v>581</v>
      </c>
      <c r="B583" s="1">
        <v>100</v>
      </c>
      <c r="C583" s="1">
        <f t="shared" si="145"/>
        <v>100</v>
      </c>
      <c r="D583" s="4">
        <v>9800</v>
      </c>
      <c r="E583" s="4">
        <f t="shared" si="146"/>
        <v>701</v>
      </c>
      <c r="F583" s="10">
        <f t="shared" si="147"/>
        <v>5.6199999999999237</v>
      </c>
      <c r="G583" s="9">
        <f t="shared" si="148"/>
        <v>77150</v>
      </c>
      <c r="I583" s="4">
        <f t="shared" si="149"/>
        <v>10000</v>
      </c>
      <c r="J583" s="17">
        <f t="shared" si="150"/>
        <v>0.01</v>
      </c>
      <c r="K583" s="17">
        <f t="shared" si="151"/>
        <v>0.01</v>
      </c>
      <c r="L583" s="17">
        <f t="shared" si="152"/>
        <v>0.98</v>
      </c>
      <c r="M583" s="4">
        <f t="shared" si="153"/>
        <v>77150</v>
      </c>
    </row>
    <row r="584" spans="1:13" x14ac:dyDescent="0.3">
      <c r="A584" s="1">
        <f t="shared" si="134"/>
        <v>582</v>
      </c>
      <c r="B584" s="1">
        <v>100</v>
      </c>
      <c r="C584" s="1">
        <f t="shared" si="145"/>
        <v>100</v>
      </c>
      <c r="D584" s="4">
        <v>9800</v>
      </c>
      <c r="E584" s="4">
        <f t="shared" si="146"/>
        <v>702</v>
      </c>
      <c r="F584" s="10">
        <f t="shared" si="147"/>
        <v>5.6299999999999235</v>
      </c>
      <c r="G584" s="9">
        <f t="shared" si="148"/>
        <v>77300</v>
      </c>
      <c r="I584" s="4">
        <f t="shared" si="149"/>
        <v>10000</v>
      </c>
      <c r="J584" s="17">
        <f t="shared" si="150"/>
        <v>0.01</v>
      </c>
      <c r="K584" s="17">
        <f t="shared" si="151"/>
        <v>0.01</v>
      </c>
      <c r="L584" s="17">
        <f t="shared" si="152"/>
        <v>0.98</v>
      </c>
      <c r="M584" s="4">
        <f t="shared" si="153"/>
        <v>77300</v>
      </c>
    </row>
    <row r="585" spans="1:13" x14ac:dyDescent="0.3">
      <c r="A585" s="1">
        <f t="shared" si="134"/>
        <v>583</v>
      </c>
      <c r="B585" s="1">
        <v>100</v>
      </c>
      <c r="C585" s="1">
        <f t="shared" si="145"/>
        <v>100</v>
      </c>
      <c r="D585" s="4">
        <v>9800</v>
      </c>
      <c r="E585" s="4">
        <f t="shared" si="146"/>
        <v>703</v>
      </c>
      <c r="F585" s="10">
        <f t="shared" si="147"/>
        <v>5.6399999999999233</v>
      </c>
      <c r="G585" s="9">
        <f t="shared" si="148"/>
        <v>77450</v>
      </c>
      <c r="I585" s="4">
        <f t="shared" si="149"/>
        <v>10000</v>
      </c>
      <c r="J585" s="17">
        <f t="shared" si="150"/>
        <v>0.01</v>
      </c>
      <c r="K585" s="17">
        <f t="shared" si="151"/>
        <v>0.01</v>
      </c>
      <c r="L585" s="17">
        <f t="shared" si="152"/>
        <v>0.98</v>
      </c>
      <c r="M585" s="4">
        <f t="shared" si="153"/>
        <v>77450</v>
      </c>
    </row>
    <row r="586" spans="1:13" x14ac:dyDescent="0.3">
      <c r="A586" s="1">
        <f t="shared" si="134"/>
        <v>584</v>
      </c>
      <c r="B586" s="1">
        <v>100</v>
      </c>
      <c r="C586" s="1">
        <f t="shared" si="145"/>
        <v>100</v>
      </c>
      <c r="D586" s="4">
        <v>9800</v>
      </c>
      <c r="E586" s="4">
        <f t="shared" si="146"/>
        <v>704</v>
      </c>
      <c r="F586" s="10">
        <f t="shared" si="147"/>
        <v>5.6499999999999231</v>
      </c>
      <c r="G586" s="9">
        <f t="shared" si="148"/>
        <v>77600</v>
      </c>
      <c r="I586" s="4">
        <f t="shared" si="149"/>
        <v>10000</v>
      </c>
      <c r="J586" s="17">
        <f t="shared" si="150"/>
        <v>0.01</v>
      </c>
      <c r="K586" s="17">
        <f t="shared" si="151"/>
        <v>0.01</v>
      </c>
      <c r="L586" s="17">
        <f t="shared" si="152"/>
        <v>0.98</v>
      </c>
      <c r="M586" s="4">
        <f t="shared" si="153"/>
        <v>77600</v>
      </c>
    </row>
    <row r="587" spans="1:13" x14ac:dyDescent="0.3">
      <c r="A587" s="1">
        <f t="shared" si="134"/>
        <v>585</v>
      </c>
      <c r="B587" s="1">
        <v>100</v>
      </c>
      <c r="C587" s="1">
        <f t="shared" si="145"/>
        <v>100</v>
      </c>
      <c r="D587" s="4">
        <v>9800</v>
      </c>
      <c r="E587" s="4">
        <f t="shared" si="146"/>
        <v>705</v>
      </c>
      <c r="F587" s="10">
        <f t="shared" si="147"/>
        <v>5.6599999999999229</v>
      </c>
      <c r="G587" s="9">
        <f t="shared" si="148"/>
        <v>77750</v>
      </c>
      <c r="I587" s="4">
        <f t="shared" si="149"/>
        <v>10000</v>
      </c>
      <c r="J587" s="17">
        <f t="shared" si="150"/>
        <v>0.01</v>
      </c>
      <c r="K587" s="17">
        <f t="shared" si="151"/>
        <v>0.01</v>
      </c>
      <c r="L587" s="17">
        <f t="shared" si="152"/>
        <v>0.98</v>
      </c>
      <c r="M587" s="4">
        <f t="shared" si="153"/>
        <v>77750</v>
      </c>
    </row>
    <row r="588" spans="1:13" x14ac:dyDescent="0.3">
      <c r="A588" s="1">
        <f t="shared" si="134"/>
        <v>586</v>
      </c>
      <c r="B588" s="1">
        <v>100</v>
      </c>
      <c r="C588" s="1">
        <f t="shared" si="145"/>
        <v>100</v>
      </c>
      <c r="D588" s="4">
        <v>9800</v>
      </c>
      <c r="E588" s="4">
        <f t="shared" si="146"/>
        <v>706</v>
      </c>
      <c r="F588" s="10">
        <f t="shared" si="147"/>
        <v>5.6699999999999227</v>
      </c>
      <c r="G588" s="9">
        <f t="shared" si="148"/>
        <v>77900</v>
      </c>
      <c r="I588" s="4">
        <f t="shared" si="149"/>
        <v>10000</v>
      </c>
      <c r="J588" s="17">
        <f t="shared" si="150"/>
        <v>0.01</v>
      </c>
      <c r="K588" s="17">
        <f t="shared" si="151"/>
        <v>0.01</v>
      </c>
      <c r="L588" s="17">
        <f t="shared" si="152"/>
        <v>0.98</v>
      </c>
      <c r="M588" s="4">
        <f t="shared" si="153"/>
        <v>77900</v>
      </c>
    </row>
    <row r="589" spans="1:13" x14ac:dyDescent="0.3">
      <c r="A589" s="1">
        <f t="shared" si="134"/>
        <v>587</v>
      </c>
      <c r="B589" s="1">
        <v>100</v>
      </c>
      <c r="C589" s="1">
        <f t="shared" si="145"/>
        <v>100</v>
      </c>
      <c r="D589" s="4">
        <v>9800</v>
      </c>
      <c r="E589" s="4">
        <f t="shared" si="146"/>
        <v>707</v>
      </c>
      <c r="F589" s="10">
        <f t="shared" si="147"/>
        <v>5.6799999999999224</v>
      </c>
      <c r="G589" s="9">
        <f t="shared" si="148"/>
        <v>78050</v>
      </c>
      <c r="I589" s="4">
        <f t="shared" si="149"/>
        <v>10000</v>
      </c>
      <c r="J589" s="17">
        <f t="shared" si="150"/>
        <v>0.01</v>
      </c>
      <c r="K589" s="17">
        <f t="shared" si="151"/>
        <v>0.01</v>
      </c>
      <c r="L589" s="17">
        <f t="shared" si="152"/>
        <v>0.98</v>
      </c>
      <c r="M589" s="4">
        <f t="shared" si="153"/>
        <v>78050</v>
      </c>
    </row>
    <row r="590" spans="1:13" x14ac:dyDescent="0.3">
      <c r="A590" s="1">
        <f t="shared" si="134"/>
        <v>588</v>
      </c>
      <c r="B590" s="1">
        <v>100</v>
      </c>
      <c r="C590" s="1">
        <f t="shared" si="145"/>
        <v>100</v>
      </c>
      <c r="D590" s="4">
        <v>9800</v>
      </c>
      <c r="E590" s="4">
        <f t="shared" si="146"/>
        <v>708</v>
      </c>
      <c r="F590" s="10">
        <f t="shared" si="147"/>
        <v>5.6899999999999222</v>
      </c>
      <c r="G590" s="9">
        <f t="shared" si="148"/>
        <v>78200</v>
      </c>
      <c r="I590" s="4">
        <f t="shared" si="149"/>
        <v>10000</v>
      </c>
      <c r="J590" s="17">
        <f t="shared" si="150"/>
        <v>0.01</v>
      </c>
      <c r="K590" s="17">
        <f t="shared" si="151"/>
        <v>0.01</v>
      </c>
      <c r="L590" s="17">
        <f t="shared" si="152"/>
        <v>0.98</v>
      </c>
      <c r="M590" s="4">
        <f t="shared" si="153"/>
        <v>78200</v>
      </c>
    </row>
    <row r="591" spans="1:13" x14ac:dyDescent="0.3">
      <c r="A591" s="1">
        <f t="shared" si="134"/>
        <v>589</v>
      </c>
      <c r="B591" s="1">
        <v>100</v>
      </c>
      <c r="C591" s="1">
        <f t="shared" si="145"/>
        <v>100</v>
      </c>
      <c r="D591" s="4">
        <v>9800</v>
      </c>
      <c r="E591" s="4">
        <f t="shared" si="146"/>
        <v>709</v>
      </c>
      <c r="F591" s="10">
        <f t="shared" si="147"/>
        <v>5.699999999999922</v>
      </c>
      <c r="G591" s="9">
        <f t="shared" si="148"/>
        <v>78350</v>
      </c>
      <c r="I591" s="4">
        <f t="shared" si="149"/>
        <v>10000</v>
      </c>
      <c r="J591" s="17">
        <f t="shared" si="150"/>
        <v>0.01</v>
      </c>
      <c r="K591" s="17">
        <f t="shared" si="151"/>
        <v>0.01</v>
      </c>
      <c r="L591" s="17">
        <f t="shared" si="152"/>
        <v>0.98</v>
      </c>
      <c r="M591" s="4">
        <f t="shared" si="153"/>
        <v>78350</v>
      </c>
    </row>
    <row r="592" spans="1:13" x14ac:dyDescent="0.3">
      <c r="A592" s="1">
        <f t="shared" si="134"/>
        <v>590</v>
      </c>
      <c r="B592" s="1">
        <v>100</v>
      </c>
      <c r="C592" s="1">
        <f t="shared" si="145"/>
        <v>100</v>
      </c>
      <c r="D592" s="4">
        <v>9800</v>
      </c>
      <c r="E592" s="4">
        <f t="shared" si="146"/>
        <v>710</v>
      </c>
      <c r="F592" s="10">
        <f t="shared" si="147"/>
        <v>5.7099999999999218</v>
      </c>
      <c r="G592" s="9">
        <f t="shared" si="148"/>
        <v>78500</v>
      </c>
      <c r="I592" s="4">
        <f t="shared" si="149"/>
        <v>10000</v>
      </c>
      <c r="J592" s="17">
        <f t="shared" si="150"/>
        <v>0.01</v>
      </c>
      <c r="K592" s="17">
        <f t="shared" si="151"/>
        <v>0.01</v>
      </c>
      <c r="L592" s="17">
        <f t="shared" si="152"/>
        <v>0.98</v>
      </c>
      <c r="M592" s="4">
        <f t="shared" si="153"/>
        <v>78500</v>
      </c>
    </row>
    <row r="593" spans="1:13" x14ac:dyDescent="0.3">
      <c r="A593" s="1">
        <f t="shared" si="134"/>
        <v>591</v>
      </c>
      <c r="B593" s="1">
        <v>100</v>
      </c>
      <c r="C593" s="1">
        <f t="shared" si="145"/>
        <v>100</v>
      </c>
      <c r="D593" s="4">
        <v>9800</v>
      </c>
      <c r="E593" s="4">
        <f t="shared" si="146"/>
        <v>711</v>
      </c>
      <c r="F593" s="10">
        <f t="shared" si="147"/>
        <v>5.7199999999999216</v>
      </c>
      <c r="G593" s="9">
        <f t="shared" si="148"/>
        <v>78650</v>
      </c>
      <c r="I593" s="4">
        <f t="shared" si="149"/>
        <v>10000</v>
      </c>
      <c r="J593" s="17">
        <f t="shared" si="150"/>
        <v>0.01</v>
      </c>
      <c r="K593" s="17">
        <f t="shared" si="151"/>
        <v>0.01</v>
      </c>
      <c r="L593" s="17">
        <f t="shared" si="152"/>
        <v>0.98</v>
      </c>
      <c r="M593" s="4">
        <f t="shared" si="153"/>
        <v>78650</v>
      </c>
    </row>
    <row r="594" spans="1:13" x14ac:dyDescent="0.3">
      <c r="A594" s="1">
        <f t="shared" si="134"/>
        <v>592</v>
      </c>
      <c r="B594" s="1">
        <v>100</v>
      </c>
      <c r="C594" s="1">
        <f t="shared" si="145"/>
        <v>100</v>
      </c>
      <c r="D594" s="4">
        <v>9800</v>
      </c>
      <c r="E594" s="4">
        <f t="shared" si="146"/>
        <v>712</v>
      </c>
      <c r="F594" s="10">
        <f t="shared" si="147"/>
        <v>5.7299999999999214</v>
      </c>
      <c r="G594" s="9">
        <f t="shared" si="148"/>
        <v>78800</v>
      </c>
      <c r="I594" s="4">
        <f t="shared" si="149"/>
        <v>10000</v>
      </c>
      <c r="J594" s="17">
        <f t="shared" si="150"/>
        <v>0.01</v>
      </c>
      <c r="K594" s="17">
        <f t="shared" si="151"/>
        <v>0.01</v>
      </c>
      <c r="L594" s="17">
        <f t="shared" si="152"/>
        <v>0.98</v>
      </c>
      <c r="M594" s="4">
        <f t="shared" si="153"/>
        <v>78800</v>
      </c>
    </row>
    <row r="595" spans="1:13" x14ac:dyDescent="0.3">
      <c r="A595" s="1">
        <f t="shared" si="134"/>
        <v>593</v>
      </c>
      <c r="B595" s="1">
        <v>100</v>
      </c>
      <c r="C595" s="1">
        <f t="shared" si="145"/>
        <v>100</v>
      </c>
      <c r="D595" s="4">
        <v>9800</v>
      </c>
      <c r="E595" s="4">
        <f t="shared" si="146"/>
        <v>713</v>
      </c>
      <c r="F595" s="10">
        <f t="shared" si="147"/>
        <v>5.7399999999999212</v>
      </c>
      <c r="G595" s="9">
        <f t="shared" si="148"/>
        <v>78950</v>
      </c>
      <c r="I595" s="4">
        <f t="shared" si="149"/>
        <v>10000</v>
      </c>
      <c r="J595" s="17">
        <f t="shared" si="150"/>
        <v>0.01</v>
      </c>
      <c r="K595" s="17">
        <f t="shared" si="151"/>
        <v>0.01</v>
      </c>
      <c r="L595" s="17">
        <f t="shared" si="152"/>
        <v>0.98</v>
      </c>
      <c r="M595" s="4">
        <f t="shared" si="153"/>
        <v>78950</v>
      </c>
    </row>
    <row r="596" spans="1:13" x14ac:dyDescent="0.3">
      <c r="A596" s="1">
        <f t="shared" si="134"/>
        <v>594</v>
      </c>
      <c r="B596" s="1">
        <v>100</v>
      </c>
      <c r="C596" s="1">
        <f t="shared" si="145"/>
        <v>100</v>
      </c>
      <c r="D596" s="4">
        <v>9800</v>
      </c>
      <c r="E596" s="4">
        <f t="shared" si="146"/>
        <v>714</v>
      </c>
      <c r="F596" s="10">
        <f t="shared" si="147"/>
        <v>5.749999999999921</v>
      </c>
      <c r="G596" s="9">
        <f t="shared" si="148"/>
        <v>79100</v>
      </c>
      <c r="I596" s="4">
        <f t="shared" si="149"/>
        <v>10000</v>
      </c>
      <c r="J596" s="17">
        <f t="shared" si="150"/>
        <v>0.01</v>
      </c>
      <c r="K596" s="17">
        <f t="shared" si="151"/>
        <v>0.01</v>
      </c>
      <c r="L596" s="17">
        <f t="shared" si="152"/>
        <v>0.98</v>
      </c>
      <c r="M596" s="4">
        <f t="shared" si="153"/>
        <v>79100</v>
      </c>
    </row>
    <row r="597" spans="1:13" x14ac:dyDescent="0.3">
      <c r="A597" s="1">
        <f t="shared" si="134"/>
        <v>595</v>
      </c>
      <c r="B597" s="1">
        <v>100</v>
      </c>
      <c r="C597" s="1">
        <f t="shared" si="145"/>
        <v>100</v>
      </c>
      <c r="D597" s="4">
        <v>9800</v>
      </c>
      <c r="E597" s="4">
        <f t="shared" si="146"/>
        <v>715</v>
      </c>
      <c r="F597" s="10">
        <f t="shared" si="147"/>
        <v>5.7599999999999207</v>
      </c>
      <c r="G597" s="9">
        <f t="shared" si="148"/>
        <v>79250</v>
      </c>
      <c r="I597" s="4">
        <f t="shared" si="149"/>
        <v>10000</v>
      </c>
      <c r="J597" s="17">
        <f t="shared" si="150"/>
        <v>0.01</v>
      </c>
      <c r="K597" s="17">
        <f t="shared" si="151"/>
        <v>0.01</v>
      </c>
      <c r="L597" s="17">
        <f t="shared" si="152"/>
        <v>0.98</v>
      </c>
      <c r="M597" s="4">
        <f t="shared" si="153"/>
        <v>79250</v>
      </c>
    </row>
    <row r="598" spans="1:13" x14ac:dyDescent="0.3">
      <c r="A598" s="1">
        <f t="shared" si="134"/>
        <v>596</v>
      </c>
      <c r="B598" s="1">
        <v>100</v>
      </c>
      <c r="C598" s="1">
        <f t="shared" si="145"/>
        <v>100</v>
      </c>
      <c r="D598" s="4">
        <v>9800</v>
      </c>
      <c r="E598" s="4">
        <f t="shared" si="146"/>
        <v>716</v>
      </c>
      <c r="F598" s="10">
        <f t="shared" si="147"/>
        <v>5.7699999999999205</v>
      </c>
      <c r="G598" s="9">
        <f t="shared" si="148"/>
        <v>79400</v>
      </c>
      <c r="I598" s="4">
        <f t="shared" si="149"/>
        <v>10000</v>
      </c>
      <c r="J598" s="17">
        <f t="shared" si="150"/>
        <v>0.01</v>
      </c>
      <c r="K598" s="17">
        <f t="shared" si="151"/>
        <v>0.01</v>
      </c>
      <c r="L598" s="17">
        <f t="shared" si="152"/>
        <v>0.98</v>
      </c>
      <c r="M598" s="4">
        <f t="shared" si="153"/>
        <v>79400</v>
      </c>
    </row>
    <row r="599" spans="1:13" x14ac:dyDescent="0.3">
      <c r="A599" s="1">
        <f t="shared" si="134"/>
        <v>597</v>
      </c>
      <c r="B599" s="1">
        <v>100</v>
      </c>
      <c r="C599" s="1">
        <f t="shared" si="145"/>
        <v>100</v>
      </c>
      <c r="D599" s="4">
        <v>9800</v>
      </c>
      <c r="E599" s="4">
        <f t="shared" si="146"/>
        <v>717</v>
      </c>
      <c r="F599" s="10">
        <f t="shared" si="147"/>
        <v>5.7799999999999203</v>
      </c>
      <c r="G599" s="9">
        <f t="shared" si="148"/>
        <v>79550</v>
      </c>
      <c r="I599" s="4">
        <f t="shared" si="149"/>
        <v>10000</v>
      </c>
      <c r="J599" s="17">
        <f t="shared" si="150"/>
        <v>0.01</v>
      </c>
      <c r="K599" s="17">
        <f t="shared" si="151"/>
        <v>0.01</v>
      </c>
      <c r="L599" s="17">
        <f t="shared" si="152"/>
        <v>0.98</v>
      </c>
      <c r="M599" s="4">
        <f t="shared" si="153"/>
        <v>79550</v>
      </c>
    </row>
    <row r="600" spans="1:13" x14ac:dyDescent="0.3">
      <c r="A600" s="1">
        <f t="shared" si="134"/>
        <v>598</v>
      </c>
      <c r="B600" s="1">
        <v>100</v>
      </c>
      <c r="C600" s="1">
        <f t="shared" si="145"/>
        <v>100</v>
      </c>
      <c r="D600" s="4">
        <v>9800</v>
      </c>
      <c r="E600" s="4">
        <f t="shared" si="146"/>
        <v>718</v>
      </c>
      <c r="F600" s="10">
        <f t="shared" si="147"/>
        <v>5.7899999999999201</v>
      </c>
      <c r="G600" s="9">
        <f t="shared" si="148"/>
        <v>79700</v>
      </c>
      <c r="I600" s="4">
        <f t="shared" si="149"/>
        <v>10000</v>
      </c>
      <c r="J600" s="17">
        <f t="shared" si="150"/>
        <v>0.01</v>
      </c>
      <c r="K600" s="17">
        <f t="shared" si="151"/>
        <v>0.01</v>
      </c>
      <c r="L600" s="17">
        <f t="shared" si="152"/>
        <v>0.98</v>
      </c>
      <c r="M600" s="4">
        <f t="shared" si="153"/>
        <v>79700</v>
      </c>
    </row>
    <row r="601" spans="1:13" x14ac:dyDescent="0.3">
      <c r="A601" s="1">
        <f t="shared" si="134"/>
        <v>599</v>
      </c>
      <c r="B601" s="1">
        <v>100</v>
      </c>
      <c r="C601" s="1">
        <f t="shared" si="145"/>
        <v>100</v>
      </c>
      <c r="D601" s="4">
        <v>9800</v>
      </c>
      <c r="E601" s="4">
        <f t="shared" si="146"/>
        <v>719</v>
      </c>
      <c r="F601" s="10">
        <f t="shared" si="147"/>
        <v>5.7999999999999199</v>
      </c>
      <c r="G601" s="9">
        <f t="shared" si="148"/>
        <v>79850</v>
      </c>
      <c r="I601" s="4">
        <f t="shared" si="149"/>
        <v>10000</v>
      </c>
      <c r="J601" s="17">
        <f t="shared" si="150"/>
        <v>0.01</v>
      </c>
      <c r="K601" s="17">
        <f t="shared" si="151"/>
        <v>0.01</v>
      </c>
      <c r="L601" s="17">
        <f t="shared" si="152"/>
        <v>0.98</v>
      </c>
      <c r="M601" s="4">
        <f t="shared" si="153"/>
        <v>79850</v>
      </c>
    </row>
    <row r="602" spans="1:13" x14ac:dyDescent="0.3">
      <c r="A602" s="1">
        <f t="shared" si="134"/>
        <v>600</v>
      </c>
      <c r="B602" s="1">
        <v>100</v>
      </c>
      <c r="C602" s="1">
        <f t="shared" si="145"/>
        <v>100</v>
      </c>
      <c r="D602" s="4">
        <v>9800</v>
      </c>
      <c r="E602" s="4">
        <f t="shared" si="146"/>
        <v>720</v>
      </c>
      <c r="F602" s="10">
        <f t="shared" si="147"/>
        <v>5.8099999999999197</v>
      </c>
      <c r="G602" s="9">
        <f t="shared" si="148"/>
        <v>80000</v>
      </c>
      <c r="I602" s="4">
        <f t="shared" si="149"/>
        <v>10000</v>
      </c>
      <c r="J602" s="17">
        <f t="shared" si="150"/>
        <v>0.01</v>
      </c>
      <c r="K602" s="17">
        <f t="shared" si="151"/>
        <v>0.01</v>
      </c>
      <c r="L602" s="17">
        <f t="shared" si="152"/>
        <v>0.98</v>
      </c>
      <c r="M602" s="4">
        <f t="shared" si="153"/>
        <v>80000</v>
      </c>
    </row>
    <row r="603" spans="1:13" x14ac:dyDescent="0.3">
      <c r="A603" s="1">
        <f t="shared" si="134"/>
        <v>601</v>
      </c>
      <c r="B603" s="1">
        <v>50</v>
      </c>
      <c r="C603" s="1">
        <f t="shared" si="145"/>
        <v>100</v>
      </c>
      <c r="D603" s="4">
        <v>9850</v>
      </c>
      <c r="E603" s="4">
        <f t="shared" si="146"/>
        <v>721</v>
      </c>
      <c r="F603" s="10">
        <f t="shared" si="147"/>
        <v>5.8199999999999195</v>
      </c>
      <c r="G603" s="9">
        <f t="shared" si="148"/>
        <v>80150</v>
      </c>
      <c r="I603" s="4">
        <f t="shared" si="149"/>
        <v>10000</v>
      </c>
      <c r="J603" s="17">
        <f t="shared" si="150"/>
        <v>5.0000000000000001E-3</v>
      </c>
      <c r="K603" s="17">
        <f t="shared" si="151"/>
        <v>0.01</v>
      </c>
      <c r="L603" s="17">
        <f t="shared" si="152"/>
        <v>0.98499999999999999</v>
      </c>
      <c r="M603" s="4">
        <f t="shared" si="153"/>
        <v>80150</v>
      </c>
    </row>
    <row r="604" spans="1:13" x14ac:dyDescent="0.3">
      <c r="A604" s="1">
        <f t="shared" si="134"/>
        <v>602</v>
      </c>
      <c r="B604" s="1">
        <v>50</v>
      </c>
      <c r="C604" s="1">
        <f t="shared" si="145"/>
        <v>90</v>
      </c>
      <c r="D604" s="4">
        <f>D603+10</f>
        <v>9860</v>
      </c>
      <c r="E604" s="4">
        <f t="shared" si="146"/>
        <v>722</v>
      </c>
      <c r="F604" s="10">
        <f t="shared" si="147"/>
        <v>5.8299999999999192</v>
      </c>
      <c r="G604" s="9">
        <f t="shared" si="148"/>
        <v>80300</v>
      </c>
      <c r="I604" s="4">
        <f t="shared" si="149"/>
        <v>10000</v>
      </c>
      <c r="J604" s="17">
        <f t="shared" si="150"/>
        <v>5.0000000000000001E-3</v>
      </c>
      <c r="K604" s="17">
        <f t="shared" si="151"/>
        <v>8.9999999999999993E-3</v>
      </c>
      <c r="L604" s="17">
        <f t="shared" si="152"/>
        <v>0.98599999999999999</v>
      </c>
      <c r="M604" s="4">
        <f t="shared" si="153"/>
        <v>80300</v>
      </c>
    </row>
    <row r="605" spans="1:13" x14ac:dyDescent="0.3">
      <c r="A605" s="1">
        <f t="shared" si="134"/>
        <v>603</v>
      </c>
      <c r="B605" s="1">
        <v>50</v>
      </c>
      <c r="C605" s="1">
        <f t="shared" si="145"/>
        <v>80</v>
      </c>
      <c r="D605" s="4">
        <f t="shared" ref="D605:D607" si="154">D604+10</f>
        <v>9870</v>
      </c>
      <c r="E605" s="4">
        <f t="shared" si="146"/>
        <v>723</v>
      </c>
      <c r="F605" s="10">
        <f t="shared" si="147"/>
        <v>5.839999999999919</v>
      </c>
      <c r="G605" s="9">
        <f t="shared" si="148"/>
        <v>80450</v>
      </c>
      <c r="I605" s="4">
        <f t="shared" si="149"/>
        <v>10000</v>
      </c>
      <c r="J605" s="17">
        <f t="shared" si="150"/>
        <v>5.0000000000000001E-3</v>
      </c>
      <c r="K605" s="17">
        <f t="shared" si="151"/>
        <v>8.0000000000000002E-3</v>
      </c>
      <c r="L605" s="17">
        <f t="shared" si="152"/>
        <v>0.98699999999999999</v>
      </c>
      <c r="M605" s="4">
        <f t="shared" si="153"/>
        <v>80450</v>
      </c>
    </row>
    <row r="606" spans="1:13" x14ac:dyDescent="0.3">
      <c r="A606" s="1">
        <f t="shared" si="134"/>
        <v>604</v>
      </c>
      <c r="B606" s="1">
        <v>50</v>
      </c>
      <c r="C606" s="1">
        <f t="shared" si="145"/>
        <v>70</v>
      </c>
      <c r="D606" s="4">
        <f t="shared" si="154"/>
        <v>9880</v>
      </c>
      <c r="E606" s="4">
        <f t="shared" si="146"/>
        <v>724</v>
      </c>
      <c r="F606" s="10">
        <f t="shared" si="147"/>
        <v>5.8499999999999188</v>
      </c>
      <c r="G606" s="9">
        <f t="shared" si="148"/>
        <v>80600</v>
      </c>
      <c r="I606" s="4">
        <f t="shared" si="149"/>
        <v>10000</v>
      </c>
      <c r="J606" s="17">
        <f t="shared" si="150"/>
        <v>5.0000000000000001E-3</v>
      </c>
      <c r="K606" s="17">
        <f t="shared" si="151"/>
        <v>7.0000000000000001E-3</v>
      </c>
      <c r="L606" s="17">
        <f t="shared" si="152"/>
        <v>0.98799999999999999</v>
      </c>
      <c r="M606" s="4">
        <f t="shared" si="153"/>
        <v>80600</v>
      </c>
    </row>
    <row r="607" spans="1:13" x14ac:dyDescent="0.3">
      <c r="A607" s="1">
        <f t="shared" ref="A607:A670" si="155">A606+1</f>
        <v>605</v>
      </c>
      <c r="B607" s="1">
        <v>50</v>
      </c>
      <c r="C607" s="1">
        <f t="shared" si="145"/>
        <v>60</v>
      </c>
      <c r="D607" s="4">
        <f t="shared" si="154"/>
        <v>9890</v>
      </c>
      <c r="E607" s="4">
        <f t="shared" si="146"/>
        <v>725</v>
      </c>
      <c r="F607" s="10">
        <f t="shared" si="147"/>
        <v>5.8599999999999186</v>
      </c>
      <c r="G607" s="9">
        <f t="shared" si="148"/>
        <v>80750</v>
      </c>
      <c r="I607" s="4">
        <f t="shared" si="149"/>
        <v>10000</v>
      </c>
      <c r="J607" s="17">
        <f t="shared" si="150"/>
        <v>5.0000000000000001E-3</v>
      </c>
      <c r="K607" s="17">
        <f t="shared" si="151"/>
        <v>6.0000000000000001E-3</v>
      </c>
      <c r="L607" s="17">
        <f t="shared" si="152"/>
        <v>0.98899999999999999</v>
      </c>
      <c r="M607" s="4">
        <f t="shared" si="153"/>
        <v>80750</v>
      </c>
    </row>
    <row r="608" spans="1:13" x14ac:dyDescent="0.3">
      <c r="A608" s="1">
        <f t="shared" si="155"/>
        <v>606</v>
      </c>
      <c r="B608" s="1">
        <v>50</v>
      </c>
      <c r="C608" s="1">
        <f t="shared" si="145"/>
        <v>50</v>
      </c>
      <c r="D608" s="4">
        <v>9900</v>
      </c>
      <c r="E608" s="4">
        <f t="shared" si="146"/>
        <v>726</v>
      </c>
      <c r="F608" s="10">
        <f t="shared" si="147"/>
        <v>5.8699999999999184</v>
      </c>
      <c r="G608" s="9">
        <f t="shared" si="148"/>
        <v>80900</v>
      </c>
      <c r="I608" s="4">
        <f t="shared" si="149"/>
        <v>10000</v>
      </c>
      <c r="J608" s="17">
        <f t="shared" si="150"/>
        <v>5.0000000000000001E-3</v>
      </c>
      <c r="K608" s="17">
        <f t="shared" si="151"/>
        <v>5.0000000000000001E-3</v>
      </c>
      <c r="L608" s="17">
        <f t="shared" si="152"/>
        <v>0.99</v>
      </c>
      <c r="M608" s="4">
        <f t="shared" si="153"/>
        <v>80900</v>
      </c>
    </row>
    <row r="609" spans="1:13" x14ac:dyDescent="0.3">
      <c r="A609" s="1">
        <f t="shared" si="155"/>
        <v>607</v>
      </c>
      <c r="B609" s="1">
        <v>50</v>
      </c>
      <c r="C609" s="1">
        <f t="shared" si="145"/>
        <v>50</v>
      </c>
      <c r="D609" s="4">
        <v>9900</v>
      </c>
      <c r="E609" s="4">
        <f t="shared" si="146"/>
        <v>727</v>
      </c>
      <c r="F609" s="10">
        <f t="shared" si="147"/>
        <v>5.8799999999999182</v>
      </c>
      <c r="G609" s="9">
        <f t="shared" si="148"/>
        <v>81050</v>
      </c>
      <c r="I609" s="4">
        <f t="shared" si="149"/>
        <v>10000</v>
      </c>
      <c r="J609" s="17">
        <f t="shared" si="150"/>
        <v>5.0000000000000001E-3</v>
      </c>
      <c r="K609" s="17">
        <f t="shared" si="151"/>
        <v>5.0000000000000001E-3</v>
      </c>
      <c r="L609" s="17">
        <f t="shared" si="152"/>
        <v>0.99</v>
      </c>
      <c r="M609" s="4">
        <f t="shared" si="153"/>
        <v>81050</v>
      </c>
    </row>
    <row r="610" spans="1:13" x14ac:dyDescent="0.3">
      <c r="A610" s="1">
        <f t="shared" si="155"/>
        <v>608</v>
      </c>
      <c r="B610" s="1">
        <v>50</v>
      </c>
      <c r="C610" s="1">
        <f t="shared" si="145"/>
        <v>50</v>
      </c>
      <c r="D610" s="4">
        <v>9900</v>
      </c>
      <c r="E610" s="4">
        <f t="shared" si="146"/>
        <v>728</v>
      </c>
      <c r="F610" s="10">
        <f t="shared" si="147"/>
        <v>5.889999999999918</v>
      </c>
      <c r="G610" s="9">
        <f t="shared" si="148"/>
        <v>81200</v>
      </c>
      <c r="I610" s="4">
        <f t="shared" si="149"/>
        <v>10000</v>
      </c>
      <c r="J610" s="17">
        <f t="shared" si="150"/>
        <v>5.0000000000000001E-3</v>
      </c>
      <c r="K610" s="17">
        <f t="shared" si="151"/>
        <v>5.0000000000000001E-3</v>
      </c>
      <c r="L610" s="17">
        <f t="shared" si="152"/>
        <v>0.99</v>
      </c>
      <c r="M610" s="4">
        <f t="shared" si="153"/>
        <v>81200</v>
      </c>
    </row>
    <row r="611" spans="1:13" x14ac:dyDescent="0.3">
      <c r="A611" s="1">
        <f t="shared" si="155"/>
        <v>609</v>
      </c>
      <c r="B611" s="1">
        <v>50</v>
      </c>
      <c r="C611" s="1">
        <f t="shared" si="145"/>
        <v>50</v>
      </c>
      <c r="D611" s="4">
        <v>9900</v>
      </c>
      <c r="E611" s="4">
        <f t="shared" si="146"/>
        <v>729</v>
      </c>
      <c r="F611" s="10">
        <f t="shared" si="147"/>
        <v>5.8999999999999178</v>
      </c>
      <c r="G611" s="9">
        <f t="shared" si="148"/>
        <v>81350</v>
      </c>
      <c r="I611" s="4">
        <f t="shared" si="149"/>
        <v>10000</v>
      </c>
      <c r="J611" s="17">
        <f t="shared" si="150"/>
        <v>5.0000000000000001E-3</v>
      </c>
      <c r="K611" s="17">
        <f t="shared" si="151"/>
        <v>5.0000000000000001E-3</v>
      </c>
      <c r="L611" s="17">
        <f t="shared" si="152"/>
        <v>0.99</v>
      </c>
      <c r="M611" s="4">
        <f t="shared" si="153"/>
        <v>81350</v>
      </c>
    </row>
    <row r="612" spans="1:13" x14ac:dyDescent="0.3">
      <c r="A612" s="1">
        <f t="shared" si="155"/>
        <v>610</v>
      </c>
      <c r="B612" s="1">
        <v>50</v>
      </c>
      <c r="C612" s="1">
        <f t="shared" si="145"/>
        <v>50</v>
      </c>
      <c r="D612" s="4">
        <v>9900</v>
      </c>
      <c r="E612" s="4">
        <f t="shared" si="146"/>
        <v>730</v>
      </c>
      <c r="F612" s="10">
        <f t="shared" si="147"/>
        <v>5.9099999999999175</v>
      </c>
      <c r="G612" s="9">
        <f t="shared" si="148"/>
        <v>81500</v>
      </c>
      <c r="I612" s="4">
        <f t="shared" si="149"/>
        <v>10000</v>
      </c>
      <c r="J612" s="17">
        <f t="shared" si="150"/>
        <v>5.0000000000000001E-3</v>
      </c>
      <c r="K612" s="17">
        <f t="shared" si="151"/>
        <v>5.0000000000000001E-3</v>
      </c>
      <c r="L612" s="17">
        <f t="shared" si="152"/>
        <v>0.99</v>
      </c>
      <c r="M612" s="4">
        <f t="shared" si="153"/>
        <v>81500</v>
      </c>
    </row>
    <row r="613" spans="1:13" x14ac:dyDescent="0.3">
      <c r="A613" s="1">
        <f t="shared" si="155"/>
        <v>611</v>
      </c>
      <c r="B613" s="1">
        <v>50</v>
      </c>
      <c r="C613" s="1">
        <f t="shared" si="145"/>
        <v>50</v>
      </c>
      <c r="D613" s="4">
        <v>9900</v>
      </c>
      <c r="E613" s="4">
        <f t="shared" si="146"/>
        <v>731</v>
      </c>
      <c r="F613" s="10">
        <f t="shared" si="147"/>
        <v>5.9199999999999173</v>
      </c>
      <c r="G613" s="9">
        <f t="shared" si="148"/>
        <v>81650</v>
      </c>
      <c r="I613" s="4">
        <f t="shared" si="149"/>
        <v>10000</v>
      </c>
      <c r="J613" s="17">
        <f t="shared" si="150"/>
        <v>5.0000000000000001E-3</v>
      </c>
      <c r="K613" s="17">
        <f t="shared" si="151"/>
        <v>5.0000000000000001E-3</v>
      </c>
      <c r="L613" s="17">
        <f t="shared" si="152"/>
        <v>0.99</v>
      </c>
      <c r="M613" s="4">
        <f t="shared" si="153"/>
        <v>81650</v>
      </c>
    </row>
    <row r="614" spans="1:13" x14ac:dyDescent="0.3">
      <c r="A614" s="1">
        <f t="shared" si="155"/>
        <v>612</v>
      </c>
      <c r="B614" s="1">
        <v>50</v>
      </c>
      <c r="C614" s="1">
        <f t="shared" si="145"/>
        <v>50</v>
      </c>
      <c r="D614" s="4">
        <v>9900</v>
      </c>
      <c r="E614" s="4">
        <f t="shared" si="146"/>
        <v>732</v>
      </c>
      <c r="F614" s="10">
        <f t="shared" si="147"/>
        <v>5.9299999999999171</v>
      </c>
      <c r="G614" s="9">
        <f t="shared" si="148"/>
        <v>81800</v>
      </c>
      <c r="I614" s="4">
        <f t="shared" si="149"/>
        <v>10000</v>
      </c>
      <c r="J614" s="17">
        <f t="shared" si="150"/>
        <v>5.0000000000000001E-3</v>
      </c>
      <c r="K614" s="17">
        <f t="shared" si="151"/>
        <v>5.0000000000000001E-3</v>
      </c>
      <c r="L614" s="17">
        <f t="shared" si="152"/>
        <v>0.99</v>
      </c>
      <c r="M614" s="4">
        <f t="shared" si="153"/>
        <v>81800</v>
      </c>
    </row>
    <row r="615" spans="1:13" x14ac:dyDescent="0.3">
      <c r="A615" s="1">
        <f t="shared" si="155"/>
        <v>613</v>
      </c>
      <c r="B615" s="1">
        <v>50</v>
      </c>
      <c r="C615" s="1">
        <f t="shared" si="145"/>
        <v>50</v>
      </c>
      <c r="D615" s="4">
        <v>9900</v>
      </c>
      <c r="E615" s="4">
        <f t="shared" si="146"/>
        <v>733</v>
      </c>
      <c r="F615" s="10">
        <f t="shared" si="147"/>
        <v>5.9399999999999169</v>
      </c>
      <c r="G615" s="9">
        <f t="shared" si="148"/>
        <v>81950</v>
      </c>
      <c r="I615" s="4">
        <f t="shared" si="149"/>
        <v>10000</v>
      </c>
      <c r="J615" s="17">
        <f t="shared" si="150"/>
        <v>5.0000000000000001E-3</v>
      </c>
      <c r="K615" s="17">
        <f t="shared" si="151"/>
        <v>5.0000000000000001E-3</v>
      </c>
      <c r="L615" s="17">
        <f t="shared" si="152"/>
        <v>0.99</v>
      </c>
      <c r="M615" s="4">
        <f t="shared" si="153"/>
        <v>81950</v>
      </c>
    </row>
    <row r="616" spans="1:13" x14ac:dyDescent="0.3">
      <c r="A616" s="1">
        <f t="shared" si="155"/>
        <v>614</v>
      </c>
      <c r="B616" s="1">
        <v>50</v>
      </c>
      <c r="C616" s="1">
        <f t="shared" si="145"/>
        <v>50</v>
      </c>
      <c r="D616" s="4">
        <v>9900</v>
      </c>
      <c r="E616" s="4">
        <f t="shared" si="146"/>
        <v>734</v>
      </c>
      <c r="F616" s="10">
        <f t="shared" si="147"/>
        <v>5.9499999999999167</v>
      </c>
      <c r="G616" s="9">
        <f t="shared" si="148"/>
        <v>82100</v>
      </c>
      <c r="I616" s="4">
        <f t="shared" si="149"/>
        <v>10000</v>
      </c>
      <c r="J616" s="17">
        <f t="shared" si="150"/>
        <v>5.0000000000000001E-3</v>
      </c>
      <c r="K616" s="17">
        <f t="shared" si="151"/>
        <v>5.0000000000000001E-3</v>
      </c>
      <c r="L616" s="17">
        <f t="shared" si="152"/>
        <v>0.99</v>
      </c>
      <c r="M616" s="4">
        <f t="shared" si="153"/>
        <v>82100</v>
      </c>
    </row>
    <row r="617" spans="1:13" x14ac:dyDescent="0.3">
      <c r="A617" s="1">
        <f t="shared" si="155"/>
        <v>615</v>
      </c>
      <c r="B617" s="1">
        <v>50</v>
      </c>
      <c r="C617" s="1">
        <f t="shared" si="145"/>
        <v>50</v>
      </c>
      <c r="D617" s="4">
        <v>9900</v>
      </c>
      <c r="E617" s="4">
        <f t="shared" si="146"/>
        <v>735</v>
      </c>
      <c r="F617" s="10">
        <f t="shared" si="147"/>
        <v>5.9599999999999165</v>
      </c>
      <c r="G617" s="9">
        <f t="shared" si="148"/>
        <v>82250</v>
      </c>
      <c r="I617" s="4">
        <f t="shared" si="149"/>
        <v>10000</v>
      </c>
      <c r="J617" s="17">
        <f t="shared" si="150"/>
        <v>5.0000000000000001E-3</v>
      </c>
      <c r="K617" s="17">
        <f t="shared" si="151"/>
        <v>5.0000000000000001E-3</v>
      </c>
      <c r="L617" s="17">
        <f t="shared" si="152"/>
        <v>0.99</v>
      </c>
      <c r="M617" s="4">
        <f t="shared" si="153"/>
        <v>82250</v>
      </c>
    </row>
    <row r="618" spans="1:13" x14ac:dyDescent="0.3">
      <c r="A618" s="1">
        <f t="shared" si="155"/>
        <v>616</v>
      </c>
      <c r="B618" s="1">
        <v>50</v>
      </c>
      <c r="C618" s="1">
        <f t="shared" si="145"/>
        <v>50</v>
      </c>
      <c r="D618" s="4">
        <v>9900</v>
      </c>
      <c r="E618" s="4">
        <f t="shared" si="146"/>
        <v>736</v>
      </c>
      <c r="F618" s="10">
        <f t="shared" si="147"/>
        <v>5.9699999999999163</v>
      </c>
      <c r="G618" s="9">
        <f t="shared" si="148"/>
        <v>82400</v>
      </c>
      <c r="I618" s="4">
        <f t="shared" si="149"/>
        <v>10000</v>
      </c>
      <c r="J618" s="17">
        <f t="shared" si="150"/>
        <v>5.0000000000000001E-3</v>
      </c>
      <c r="K618" s="17">
        <f t="shared" si="151"/>
        <v>5.0000000000000001E-3</v>
      </c>
      <c r="L618" s="17">
        <f t="shared" si="152"/>
        <v>0.99</v>
      </c>
      <c r="M618" s="4">
        <f t="shared" si="153"/>
        <v>82400</v>
      </c>
    </row>
    <row r="619" spans="1:13" x14ac:dyDescent="0.3">
      <c r="A619" s="1">
        <f t="shared" si="155"/>
        <v>617</v>
      </c>
      <c r="B619" s="1">
        <v>50</v>
      </c>
      <c r="C619" s="1">
        <f t="shared" si="145"/>
        <v>50</v>
      </c>
      <c r="D619" s="4">
        <v>9900</v>
      </c>
      <c r="E619" s="4">
        <f t="shared" si="146"/>
        <v>737</v>
      </c>
      <c r="F619" s="10">
        <f t="shared" si="147"/>
        <v>5.979999999999916</v>
      </c>
      <c r="G619" s="9">
        <f t="shared" si="148"/>
        <v>82550</v>
      </c>
      <c r="I619" s="4">
        <f t="shared" si="149"/>
        <v>10000</v>
      </c>
      <c r="J619" s="17">
        <f t="shared" si="150"/>
        <v>5.0000000000000001E-3</v>
      </c>
      <c r="K619" s="17">
        <f t="shared" si="151"/>
        <v>5.0000000000000001E-3</v>
      </c>
      <c r="L619" s="17">
        <f t="shared" si="152"/>
        <v>0.99</v>
      </c>
      <c r="M619" s="4">
        <f t="shared" si="153"/>
        <v>82550</v>
      </c>
    </row>
    <row r="620" spans="1:13" x14ac:dyDescent="0.3">
      <c r="A620" s="1">
        <f t="shared" si="155"/>
        <v>618</v>
      </c>
      <c r="B620" s="1">
        <v>50</v>
      </c>
      <c r="C620" s="1">
        <f t="shared" si="145"/>
        <v>50</v>
      </c>
      <c r="D620" s="4">
        <v>9900</v>
      </c>
      <c r="E620" s="4">
        <f t="shared" si="146"/>
        <v>738</v>
      </c>
      <c r="F620" s="10">
        <f t="shared" si="147"/>
        <v>5.9899999999999158</v>
      </c>
      <c r="G620" s="9">
        <f t="shared" si="148"/>
        <v>82700</v>
      </c>
      <c r="I620" s="4">
        <f t="shared" si="149"/>
        <v>10000</v>
      </c>
      <c r="J620" s="17">
        <f t="shared" si="150"/>
        <v>5.0000000000000001E-3</v>
      </c>
      <c r="K620" s="17">
        <f t="shared" si="151"/>
        <v>5.0000000000000001E-3</v>
      </c>
      <c r="L620" s="17">
        <f t="shared" si="152"/>
        <v>0.99</v>
      </c>
      <c r="M620" s="4">
        <f t="shared" si="153"/>
        <v>82700</v>
      </c>
    </row>
    <row r="621" spans="1:13" x14ac:dyDescent="0.3">
      <c r="A621" s="1">
        <f t="shared" si="155"/>
        <v>619</v>
      </c>
      <c r="B621" s="1">
        <v>50</v>
      </c>
      <c r="C621" s="1">
        <f t="shared" si="145"/>
        <v>50</v>
      </c>
      <c r="D621" s="4">
        <v>9900</v>
      </c>
      <c r="E621" s="4">
        <f t="shared" si="146"/>
        <v>739</v>
      </c>
      <c r="F621" s="10">
        <f t="shared" si="147"/>
        <v>5.9999999999999156</v>
      </c>
      <c r="G621" s="9">
        <f t="shared" si="148"/>
        <v>82850</v>
      </c>
      <c r="I621" s="4">
        <f t="shared" si="149"/>
        <v>10000</v>
      </c>
      <c r="J621" s="17">
        <f t="shared" si="150"/>
        <v>5.0000000000000001E-3</v>
      </c>
      <c r="K621" s="17">
        <f t="shared" si="151"/>
        <v>5.0000000000000001E-3</v>
      </c>
      <c r="L621" s="17">
        <f t="shared" si="152"/>
        <v>0.99</v>
      </c>
      <c r="M621" s="4">
        <f t="shared" si="153"/>
        <v>82850</v>
      </c>
    </row>
    <row r="622" spans="1:13" x14ac:dyDescent="0.3">
      <c r="A622" s="1">
        <f t="shared" si="155"/>
        <v>620</v>
      </c>
      <c r="B622" s="1">
        <v>50</v>
      </c>
      <c r="C622" s="1">
        <f t="shared" si="145"/>
        <v>50</v>
      </c>
      <c r="D622" s="4">
        <v>9900</v>
      </c>
      <c r="E622" s="4">
        <f t="shared" si="146"/>
        <v>740</v>
      </c>
      <c r="F622" s="10">
        <f t="shared" si="147"/>
        <v>6.0099999999999154</v>
      </c>
      <c r="G622" s="9">
        <f t="shared" si="148"/>
        <v>83000</v>
      </c>
      <c r="I622" s="4">
        <f t="shared" si="149"/>
        <v>10000</v>
      </c>
      <c r="J622" s="17">
        <f t="shared" si="150"/>
        <v>5.0000000000000001E-3</v>
      </c>
      <c r="K622" s="17">
        <f t="shared" si="151"/>
        <v>5.0000000000000001E-3</v>
      </c>
      <c r="L622" s="17">
        <f t="shared" si="152"/>
        <v>0.99</v>
      </c>
      <c r="M622" s="4">
        <f t="shared" si="153"/>
        <v>83000</v>
      </c>
    </row>
    <row r="623" spans="1:13" x14ac:dyDescent="0.3">
      <c r="A623" s="1">
        <f t="shared" si="155"/>
        <v>621</v>
      </c>
      <c r="B623" s="1">
        <v>50</v>
      </c>
      <c r="C623" s="1">
        <f t="shared" si="145"/>
        <v>50</v>
      </c>
      <c r="D623" s="4">
        <v>9900</v>
      </c>
      <c r="E623" s="4">
        <f t="shared" si="146"/>
        <v>741</v>
      </c>
      <c r="F623" s="10">
        <f t="shared" si="147"/>
        <v>6.0199999999999152</v>
      </c>
      <c r="G623" s="9">
        <f t="shared" si="148"/>
        <v>83150</v>
      </c>
      <c r="I623" s="4">
        <f t="shared" si="149"/>
        <v>10000</v>
      </c>
      <c r="J623" s="17">
        <f t="shared" si="150"/>
        <v>5.0000000000000001E-3</v>
      </c>
      <c r="K623" s="17">
        <f t="shared" si="151"/>
        <v>5.0000000000000001E-3</v>
      </c>
      <c r="L623" s="17">
        <f t="shared" si="152"/>
        <v>0.99</v>
      </c>
      <c r="M623" s="4">
        <f t="shared" si="153"/>
        <v>83150</v>
      </c>
    </row>
    <row r="624" spans="1:13" x14ac:dyDescent="0.3">
      <c r="A624" s="1">
        <f t="shared" si="155"/>
        <v>622</v>
      </c>
      <c r="B624" s="1">
        <v>50</v>
      </c>
      <c r="C624" s="1">
        <f t="shared" si="145"/>
        <v>50</v>
      </c>
      <c r="D624" s="4">
        <v>9900</v>
      </c>
      <c r="E624" s="4">
        <f t="shared" si="146"/>
        <v>742</v>
      </c>
      <c r="F624" s="10">
        <f t="shared" si="147"/>
        <v>6.029999999999915</v>
      </c>
      <c r="G624" s="9">
        <f t="shared" si="148"/>
        <v>83300</v>
      </c>
      <c r="I624" s="4">
        <f t="shared" si="149"/>
        <v>10000</v>
      </c>
      <c r="J624" s="17">
        <f t="shared" si="150"/>
        <v>5.0000000000000001E-3</v>
      </c>
      <c r="K624" s="17">
        <f t="shared" si="151"/>
        <v>5.0000000000000001E-3</v>
      </c>
      <c r="L624" s="17">
        <f t="shared" si="152"/>
        <v>0.99</v>
      </c>
      <c r="M624" s="4">
        <f t="shared" si="153"/>
        <v>83300</v>
      </c>
    </row>
    <row r="625" spans="1:13" x14ac:dyDescent="0.3">
      <c r="A625" s="1">
        <f t="shared" si="155"/>
        <v>623</v>
      </c>
      <c r="B625" s="1">
        <v>50</v>
      </c>
      <c r="C625" s="1">
        <f t="shared" si="145"/>
        <v>50</v>
      </c>
      <c r="D625" s="4">
        <v>9900</v>
      </c>
      <c r="E625" s="4">
        <f t="shared" si="146"/>
        <v>743</v>
      </c>
      <c r="F625" s="10">
        <f t="shared" si="147"/>
        <v>6.0399999999999148</v>
      </c>
      <c r="G625" s="9">
        <f t="shared" si="148"/>
        <v>83450</v>
      </c>
      <c r="I625" s="4">
        <f t="shared" si="149"/>
        <v>10000</v>
      </c>
      <c r="J625" s="17">
        <f t="shared" si="150"/>
        <v>5.0000000000000001E-3</v>
      </c>
      <c r="K625" s="17">
        <f t="shared" si="151"/>
        <v>5.0000000000000001E-3</v>
      </c>
      <c r="L625" s="17">
        <f t="shared" si="152"/>
        <v>0.99</v>
      </c>
      <c r="M625" s="4">
        <f t="shared" si="153"/>
        <v>83450</v>
      </c>
    </row>
    <row r="626" spans="1:13" x14ac:dyDescent="0.3">
      <c r="A626" s="1">
        <f t="shared" si="155"/>
        <v>624</v>
      </c>
      <c r="B626" s="1">
        <v>50</v>
      </c>
      <c r="C626" s="1">
        <f t="shared" si="145"/>
        <v>50</v>
      </c>
      <c r="D626" s="4">
        <v>9900</v>
      </c>
      <c r="E626" s="4">
        <f t="shared" si="146"/>
        <v>744</v>
      </c>
      <c r="F626" s="10">
        <f t="shared" si="147"/>
        <v>6.0499999999999146</v>
      </c>
      <c r="G626" s="9">
        <f t="shared" si="148"/>
        <v>83600</v>
      </c>
      <c r="I626" s="4">
        <f t="shared" si="149"/>
        <v>10000</v>
      </c>
      <c r="J626" s="17">
        <f t="shared" si="150"/>
        <v>5.0000000000000001E-3</v>
      </c>
      <c r="K626" s="17">
        <f t="shared" si="151"/>
        <v>5.0000000000000001E-3</v>
      </c>
      <c r="L626" s="17">
        <f t="shared" si="152"/>
        <v>0.99</v>
      </c>
      <c r="M626" s="4">
        <f t="shared" si="153"/>
        <v>83600</v>
      </c>
    </row>
    <row r="627" spans="1:13" x14ac:dyDescent="0.3">
      <c r="A627" s="1">
        <f t="shared" si="155"/>
        <v>625</v>
      </c>
      <c r="B627" s="1">
        <v>50</v>
      </c>
      <c r="C627" s="1">
        <f t="shared" si="145"/>
        <v>50</v>
      </c>
      <c r="D627" s="4">
        <v>9900</v>
      </c>
      <c r="E627" s="4">
        <f t="shared" si="146"/>
        <v>745</v>
      </c>
      <c r="F627" s="10">
        <f t="shared" si="147"/>
        <v>6.0599999999999143</v>
      </c>
      <c r="G627" s="9">
        <f t="shared" si="148"/>
        <v>83750</v>
      </c>
      <c r="I627" s="4">
        <f t="shared" si="149"/>
        <v>10000</v>
      </c>
      <c r="J627" s="17">
        <f t="shared" si="150"/>
        <v>5.0000000000000001E-3</v>
      </c>
      <c r="K627" s="17">
        <f t="shared" si="151"/>
        <v>5.0000000000000001E-3</v>
      </c>
      <c r="L627" s="17">
        <f t="shared" si="152"/>
        <v>0.99</v>
      </c>
      <c r="M627" s="4">
        <f t="shared" si="153"/>
        <v>83750</v>
      </c>
    </row>
    <row r="628" spans="1:13" x14ac:dyDescent="0.3">
      <c r="A628" s="1">
        <f t="shared" si="155"/>
        <v>626</v>
      </c>
      <c r="B628" s="1">
        <v>50</v>
      </c>
      <c r="C628" s="1">
        <f t="shared" si="145"/>
        <v>50</v>
      </c>
      <c r="D628" s="4">
        <v>9900</v>
      </c>
      <c r="E628" s="4">
        <f t="shared" si="146"/>
        <v>746</v>
      </c>
      <c r="F628" s="10">
        <f t="shared" si="147"/>
        <v>6.0699999999999141</v>
      </c>
      <c r="G628" s="9">
        <f t="shared" si="148"/>
        <v>83900</v>
      </c>
      <c r="I628" s="4">
        <f t="shared" si="149"/>
        <v>10000</v>
      </c>
      <c r="J628" s="17">
        <f t="shared" si="150"/>
        <v>5.0000000000000001E-3</v>
      </c>
      <c r="K628" s="17">
        <f t="shared" si="151"/>
        <v>5.0000000000000001E-3</v>
      </c>
      <c r="L628" s="17">
        <f t="shared" si="152"/>
        <v>0.99</v>
      </c>
      <c r="M628" s="4">
        <f t="shared" si="153"/>
        <v>83900</v>
      </c>
    </row>
    <row r="629" spans="1:13" x14ac:dyDescent="0.3">
      <c r="A629" s="1">
        <f t="shared" si="155"/>
        <v>627</v>
      </c>
      <c r="B629" s="1">
        <v>50</v>
      </c>
      <c r="C629" s="1">
        <f t="shared" si="145"/>
        <v>50</v>
      </c>
      <c r="D629" s="4">
        <v>9900</v>
      </c>
      <c r="E629" s="4">
        <f t="shared" si="146"/>
        <v>747</v>
      </c>
      <c r="F629" s="10">
        <f t="shared" si="147"/>
        <v>6.0799999999999139</v>
      </c>
      <c r="G629" s="9">
        <f t="shared" si="148"/>
        <v>84050</v>
      </c>
      <c r="I629" s="4">
        <f t="shared" si="149"/>
        <v>10000</v>
      </c>
      <c r="J629" s="17">
        <f t="shared" si="150"/>
        <v>5.0000000000000001E-3</v>
      </c>
      <c r="K629" s="17">
        <f t="shared" si="151"/>
        <v>5.0000000000000001E-3</v>
      </c>
      <c r="L629" s="17">
        <f t="shared" si="152"/>
        <v>0.99</v>
      </c>
      <c r="M629" s="4">
        <f t="shared" si="153"/>
        <v>84050</v>
      </c>
    </row>
    <row r="630" spans="1:13" x14ac:dyDescent="0.3">
      <c r="A630" s="1">
        <f t="shared" si="155"/>
        <v>628</v>
      </c>
      <c r="B630" s="1">
        <v>50</v>
      </c>
      <c r="C630" s="1">
        <f t="shared" si="145"/>
        <v>50</v>
      </c>
      <c r="D630" s="4">
        <v>9900</v>
      </c>
      <c r="E630" s="4">
        <f t="shared" si="146"/>
        <v>748</v>
      </c>
      <c r="F630" s="10">
        <f t="shared" si="147"/>
        <v>6.0899999999999137</v>
      </c>
      <c r="G630" s="9">
        <f t="shared" si="148"/>
        <v>84200</v>
      </c>
      <c r="I630" s="4">
        <f t="shared" si="149"/>
        <v>10000</v>
      </c>
      <c r="J630" s="17">
        <f t="shared" si="150"/>
        <v>5.0000000000000001E-3</v>
      </c>
      <c r="K630" s="17">
        <f t="shared" si="151"/>
        <v>5.0000000000000001E-3</v>
      </c>
      <c r="L630" s="17">
        <f t="shared" si="152"/>
        <v>0.99</v>
      </c>
      <c r="M630" s="4">
        <f t="shared" si="153"/>
        <v>84200</v>
      </c>
    </row>
    <row r="631" spans="1:13" x14ac:dyDescent="0.3">
      <c r="A631" s="1">
        <f t="shared" si="155"/>
        <v>629</v>
      </c>
      <c r="B631" s="1">
        <v>50</v>
      </c>
      <c r="C631" s="1">
        <f t="shared" si="145"/>
        <v>50</v>
      </c>
      <c r="D631" s="4">
        <v>9900</v>
      </c>
      <c r="E631" s="4">
        <f t="shared" si="146"/>
        <v>749</v>
      </c>
      <c r="F631" s="10">
        <f t="shared" si="147"/>
        <v>6.0999999999999135</v>
      </c>
      <c r="G631" s="9">
        <f t="shared" si="148"/>
        <v>84350</v>
      </c>
      <c r="I631" s="4">
        <f t="shared" si="149"/>
        <v>10000</v>
      </c>
      <c r="J631" s="17">
        <f t="shared" si="150"/>
        <v>5.0000000000000001E-3</v>
      </c>
      <c r="K631" s="17">
        <f t="shared" si="151"/>
        <v>5.0000000000000001E-3</v>
      </c>
      <c r="L631" s="17">
        <f t="shared" si="152"/>
        <v>0.99</v>
      </c>
      <c r="M631" s="4">
        <f t="shared" si="153"/>
        <v>84350</v>
      </c>
    </row>
    <row r="632" spans="1:13" x14ac:dyDescent="0.3">
      <c r="A632" s="1">
        <f t="shared" si="155"/>
        <v>630</v>
      </c>
      <c r="B632" s="1">
        <v>50</v>
      </c>
      <c r="C632" s="1">
        <f t="shared" si="145"/>
        <v>50</v>
      </c>
      <c r="D632" s="4">
        <v>9900</v>
      </c>
      <c r="E632" s="4">
        <f t="shared" si="146"/>
        <v>750</v>
      </c>
      <c r="F632" s="10">
        <f t="shared" si="147"/>
        <v>6.1099999999999133</v>
      </c>
      <c r="G632" s="9">
        <f t="shared" si="148"/>
        <v>84500</v>
      </c>
      <c r="I632" s="4">
        <f t="shared" si="149"/>
        <v>10000</v>
      </c>
      <c r="J632" s="17">
        <f t="shared" si="150"/>
        <v>5.0000000000000001E-3</v>
      </c>
      <c r="K632" s="17">
        <f t="shared" si="151"/>
        <v>5.0000000000000001E-3</v>
      </c>
      <c r="L632" s="17">
        <f t="shared" si="152"/>
        <v>0.99</v>
      </c>
      <c r="M632" s="4">
        <f t="shared" si="153"/>
        <v>84500</v>
      </c>
    </row>
    <row r="633" spans="1:13" x14ac:dyDescent="0.3">
      <c r="A633" s="1">
        <f t="shared" si="155"/>
        <v>631</v>
      </c>
      <c r="B633" s="1">
        <v>50</v>
      </c>
      <c r="C633" s="1">
        <f t="shared" si="145"/>
        <v>50</v>
      </c>
      <c r="D633" s="4">
        <v>9900</v>
      </c>
      <c r="E633" s="4">
        <f t="shared" si="146"/>
        <v>751</v>
      </c>
      <c r="F633" s="10">
        <f t="shared" si="147"/>
        <v>6.1199999999999131</v>
      </c>
      <c r="G633" s="9">
        <f t="shared" si="148"/>
        <v>84650</v>
      </c>
      <c r="I633" s="4">
        <f t="shared" si="149"/>
        <v>10000</v>
      </c>
      <c r="J633" s="17">
        <f t="shared" si="150"/>
        <v>5.0000000000000001E-3</v>
      </c>
      <c r="K633" s="17">
        <f t="shared" si="151"/>
        <v>5.0000000000000001E-3</v>
      </c>
      <c r="L633" s="17">
        <f t="shared" si="152"/>
        <v>0.99</v>
      </c>
      <c r="M633" s="4">
        <f t="shared" si="153"/>
        <v>84650</v>
      </c>
    </row>
    <row r="634" spans="1:13" x14ac:dyDescent="0.3">
      <c r="A634" s="1">
        <f t="shared" si="155"/>
        <v>632</v>
      </c>
      <c r="B634" s="1">
        <v>50</v>
      </c>
      <c r="C634" s="1">
        <f t="shared" si="145"/>
        <v>50</v>
      </c>
      <c r="D634" s="4">
        <v>9900</v>
      </c>
      <c r="E634" s="4">
        <f t="shared" si="146"/>
        <v>752</v>
      </c>
      <c r="F634" s="10">
        <f t="shared" si="147"/>
        <v>6.1299999999999129</v>
      </c>
      <c r="G634" s="9">
        <f t="shared" si="148"/>
        <v>84800</v>
      </c>
      <c r="I634" s="4">
        <f t="shared" si="149"/>
        <v>10000</v>
      </c>
      <c r="J634" s="17">
        <f t="shared" si="150"/>
        <v>5.0000000000000001E-3</v>
      </c>
      <c r="K634" s="17">
        <f t="shared" si="151"/>
        <v>5.0000000000000001E-3</v>
      </c>
      <c r="L634" s="17">
        <f t="shared" si="152"/>
        <v>0.99</v>
      </c>
      <c r="M634" s="4">
        <f t="shared" si="153"/>
        <v>84800</v>
      </c>
    </row>
    <row r="635" spans="1:13" x14ac:dyDescent="0.3">
      <c r="A635" s="1">
        <f t="shared" si="155"/>
        <v>633</v>
      </c>
      <c r="B635" s="1">
        <v>50</v>
      </c>
      <c r="C635" s="1">
        <f t="shared" si="145"/>
        <v>50</v>
      </c>
      <c r="D635" s="4">
        <v>9900</v>
      </c>
      <c r="E635" s="4">
        <f t="shared" si="146"/>
        <v>753</v>
      </c>
      <c r="F635" s="10">
        <f t="shared" si="147"/>
        <v>6.1399999999999126</v>
      </c>
      <c r="G635" s="9">
        <f t="shared" si="148"/>
        <v>84950</v>
      </c>
      <c r="I635" s="4">
        <f t="shared" si="149"/>
        <v>10000</v>
      </c>
      <c r="J635" s="17">
        <f t="shared" si="150"/>
        <v>5.0000000000000001E-3</v>
      </c>
      <c r="K635" s="17">
        <f t="shared" si="151"/>
        <v>5.0000000000000001E-3</v>
      </c>
      <c r="L635" s="17">
        <f t="shared" si="152"/>
        <v>0.99</v>
      </c>
      <c r="M635" s="4">
        <f t="shared" si="153"/>
        <v>84950</v>
      </c>
    </row>
    <row r="636" spans="1:13" x14ac:dyDescent="0.3">
      <c r="A636" s="1">
        <f t="shared" si="155"/>
        <v>634</v>
      </c>
      <c r="B636" s="1">
        <v>50</v>
      </c>
      <c r="C636" s="1">
        <f t="shared" si="145"/>
        <v>50</v>
      </c>
      <c r="D636" s="4">
        <v>9900</v>
      </c>
      <c r="E636" s="4">
        <f t="shared" si="146"/>
        <v>754</v>
      </c>
      <c r="F636" s="10">
        <f t="shared" si="147"/>
        <v>6.1499999999999124</v>
      </c>
      <c r="G636" s="9">
        <f t="shared" si="148"/>
        <v>85100</v>
      </c>
      <c r="I636" s="4">
        <f t="shared" si="149"/>
        <v>10000</v>
      </c>
      <c r="J636" s="17">
        <f t="shared" si="150"/>
        <v>5.0000000000000001E-3</v>
      </c>
      <c r="K636" s="17">
        <f t="shared" si="151"/>
        <v>5.0000000000000001E-3</v>
      </c>
      <c r="L636" s="17">
        <f t="shared" si="152"/>
        <v>0.99</v>
      </c>
      <c r="M636" s="4">
        <f t="shared" si="153"/>
        <v>85100</v>
      </c>
    </row>
    <row r="637" spans="1:13" x14ac:dyDescent="0.3">
      <c r="A637" s="1">
        <f t="shared" si="155"/>
        <v>635</v>
      </c>
      <c r="B637" s="1">
        <v>50</v>
      </c>
      <c r="C637" s="1">
        <f t="shared" si="145"/>
        <v>50</v>
      </c>
      <c r="D637" s="4">
        <v>9900</v>
      </c>
      <c r="E637" s="4">
        <f t="shared" si="146"/>
        <v>755</v>
      </c>
      <c r="F637" s="10">
        <f t="shared" si="147"/>
        <v>6.1599999999999122</v>
      </c>
      <c r="G637" s="9">
        <f t="shared" si="148"/>
        <v>85250</v>
      </c>
      <c r="I637" s="4">
        <f t="shared" si="149"/>
        <v>10000</v>
      </c>
      <c r="J637" s="17">
        <f t="shared" si="150"/>
        <v>5.0000000000000001E-3</v>
      </c>
      <c r="K637" s="17">
        <f t="shared" si="151"/>
        <v>5.0000000000000001E-3</v>
      </c>
      <c r="L637" s="17">
        <f t="shared" si="152"/>
        <v>0.99</v>
      </c>
      <c r="M637" s="4">
        <f t="shared" si="153"/>
        <v>85250</v>
      </c>
    </row>
    <row r="638" spans="1:13" x14ac:dyDescent="0.3">
      <c r="A638" s="1">
        <f t="shared" si="155"/>
        <v>636</v>
      </c>
      <c r="B638" s="1">
        <v>50</v>
      </c>
      <c r="C638" s="1">
        <f t="shared" si="145"/>
        <v>50</v>
      </c>
      <c r="D638" s="4">
        <v>9900</v>
      </c>
      <c r="E638" s="4">
        <f t="shared" si="146"/>
        <v>756</v>
      </c>
      <c r="F638" s="10">
        <f t="shared" si="147"/>
        <v>6.169999999999912</v>
      </c>
      <c r="G638" s="9">
        <f t="shared" si="148"/>
        <v>85400</v>
      </c>
      <c r="I638" s="4">
        <f t="shared" si="149"/>
        <v>10000</v>
      </c>
      <c r="J638" s="17">
        <f t="shared" si="150"/>
        <v>5.0000000000000001E-3</v>
      </c>
      <c r="K638" s="17">
        <f t="shared" si="151"/>
        <v>5.0000000000000001E-3</v>
      </c>
      <c r="L638" s="17">
        <f t="shared" si="152"/>
        <v>0.99</v>
      </c>
      <c r="M638" s="4">
        <f t="shared" si="153"/>
        <v>85400</v>
      </c>
    </row>
    <row r="639" spans="1:13" x14ac:dyDescent="0.3">
      <c r="A639" s="1">
        <f t="shared" si="155"/>
        <v>637</v>
      </c>
      <c r="B639" s="1">
        <v>50</v>
      </c>
      <c r="C639" s="1">
        <f t="shared" si="145"/>
        <v>50</v>
      </c>
      <c r="D639" s="4">
        <v>9900</v>
      </c>
      <c r="E639" s="4">
        <f t="shared" si="146"/>
        <v>757</v>
      </c>
      <c r="F639" s="10">
        <f t="shared" si="147"/>
        <v>6.1799999999999118</v>
      </c>
      <c r="G639" s="9">
        <f t="shared" si="148"/>
        <v>85550</v>
      </c>
      <c r="I639" s="4">
        <f t="shared" si="149"/>
        <v>10000</v>
      </c>
      <c r="J639" s="17">
        <f t="shared" si="150"/>
        <v>5.0000000000000001E-3</v>
      </c>
      <c r="K639" s="17">
        <f t="shared" si="151"/>
        <v>5.0000000000000001E-3</v>
      </c>
      <c r="L639" s="17">
        <f t="shared" si="152"/>
        <v>0.99</v>
      </c>
      <c r="M639" s="4">
        <f t="shared" si="153"/>
        <v>85550</v>
      </c>
    </row>
    <row r="640" spans="1:13" x14ac:dyDescent="0.3">
      <c r="A640" s="1">
        <f t="shared" si="155"/>
        <v>638</v>
      </c>
      <c r="B640" s="1">
        <v>50</v>
      </c>
      <c r="C640" s="1">
        <f t="shared" si="145"/>
        <v>50</v>
      </c>
      <c r="D640" s="4">
        <v>9900</v>
      </c>
      <c r="E640" s="4">
        <f t="shared" si="146"/>
        <v>758</v>
      </c>
      <c r="F640" s="10">
        <f t="shared" si="147"/>
        <v>6.1899999999999116</v>
      </c>
      <c r="G640" s="9">
        <f t="shared" si="148"/>
        <v>85700</v>
      </c>
      <c r="I640" s="4">
        <f t="shared" si="149"/>
        <v>10000</v>
      </c>
      <c r="J640" s="17">
        <f t="shared" si="150"/>
        <v>5.0000000000000001E-3</v>
      </c>
      <c r="K640" s="17">
        <f t="shared" si="151"/>
        <v>5.0000000000000001E-3</v>
      </c>
      <c r="L640" s="17">
        <f t="shared" si="152"/>
        <v>0.99</v>
      </c>
      <c r="M640" s="4">
        <f t="shared" si="153"/>
        <v>85700</v>
      </c>
    </row>
    <row r="641" spans="1:13" x14ac:dyDescent="0.3">
      <c r="A641" s="1">
        <f t="shared" si="155"/>
        <v>639</v>
      </c>
      <c r="B641" s="1">
        <v>50</v>
      </c>
      <c r="C641" s="1">
        <f t="shared" si="145"/>
        <v>50</v>
      </c>
      <c r="D641" s="4">
        <v>9900</v>
      </c>
      <c r="E641" s="4">
        <f t="shared" si="146"/>
        <v>759</v>
      </c>
      <c r="F641" s="10">
        <f t="shared" si="147"/>
        <v>6.1999999999999114</v>
      </c>
      <c r="G641" s="9">
        <f t="shared" si="148"/>
        <v>85850</v>
      </c>
      <c r="I641" s="4">
        <f t="shared" si="149"/>
        <v>10000</v>
      </c>
      <c r="J641" s="17">
        <f t="shared" si="150"/>
        <v>5.0000000000000001E-3</v>
      </c>
      <c r="K641" s="17">
        <f t="shared" si="151"/>
        <v>5.0000000000000001E-3</v>
      </c>
      <c r="L641" s="17">
        <f t="shared" si="152"/>
        <v>0.99</v>
      </c>
      <c r="M641" s="4">
        <f t="shared" si="153"/>
        <v>85850</v>
      </c>
    </row>
    <row r="642" spans="1:13" x14ac:dyDescent="0.3">
      <c r="A642" s="1">
        <f t="shared" si="155"/>
        <v>640</v>
      </c>
      <c r="B642" s="1">
        <v>50</v>
      </c>
      <c r="C642" s="1">
        <f t="shared" si="145"/>
        <v>50</v>
      </c>
      <c r="D642" s="4">
        <v>9900</v>
      </c>
      <c r="E642" s="4">
        <f t="shared" si="146"/>
        <v>760</v>
      </c>
      <c r="F642" s="10">
        <f t="shared" si="147"/>
        <v>6.2099999999999111</v>
      </c>
      <c r="G642" s="9">
        <f t="shared" si="148"/>
        <v>86000</v>
      </c>
      <c r="I642" s="4">
        <f t="shared" si="149"/>
        <v>10000</v>
      </c>
      <c r="J642" s="17">
        <f t="shared" si="150"/>
        <v>5.0000000000000001E-3</v>
      </c>
      <c r="K642" s="17">
        <f t="shared" si="151"/>
        <v>5.0000000000000001E-3</v>
      </c>
      <c r="L642" s="17">
        <f t="shared" si="152"/>
        <v>0.99</v>
      </c>
      <c r="M642" s="4">
        <f t="shared" si="153"/>
        <v>86000</v>
      </c>
    </row>
    <row r="643" spans="1:13" x14ac:dyDescent="0.3">
      <c r="A643" s="1">
        <f t="shared" si="155"/>
        <v>641</v>
      </c>
      <c r="B643" s="1">
        <v>50</v>
      </c>
      <c r="C643" s="1">
        <f t="shared" ref="C643:C706" si="156">10000-B643-D643</f>
        <v>50</v>
      </c>
      <c r="D643" s="4">
        <v>9900</v>
      </c>
      <c r="E643" s="4">
        <f t="shared" ref="E643:E706" si="157">E642+1</f>
        <v>761</v>
      </c>
      <c r="F643" s="10">
        <f t="shared" ref="F643:F706" si="158">F642+0.01</f>
        <v>6.2199999999999109</v>
      </c>
      <c r="G643" s="9">
        <f t="shared" ref="G643:G706" si="159">G642+150</f>
        <v>86150</v>
      </c>
      <c r="I643" s="4">
        <f t="shared" ref="I643:I706" si="160">SUM(B643:D643)</f>
        <v>10000</v>
      </c>
      <c r="J643" s="17">
        <f t="shared" ref="J643:J706" si="161">B643/10000</f>
        <v>5.0000000000000001E-3</v>
      </c>
      <c r="K643" s="17">
        <f t="shared" ref="K643:K706" si="162">C643/10000</f>
        <v>5.0000000000000001E-3</v>
      </c>
      <c r="L643" s="17">
        <f t="shared" ref="L643:L706" si="163">D643/10000</f>
        <v>0.99</v>
      </c>
      <c r="M643" s="4">
        <f t="shared" ref="M643:M706" si="164">G643</f>
        <v>86150</v>
      </c>
    </row>
    <row r="644" spans="1:13" x14ac:dyDescent="0.3">
      <c r="A644" s="1">
        <f t="shared" si="155"/>
        <v>642</v>
      </c>
      <c r="B644" s="1">
        <v>50</v>
      </c>
      <c r="C644" s="1">
        <f t="shared" si="156"/>
        <v>50</v>
      </c>
      <c r="D644" s="4">
        <v>9900</v>
      </c>
      <c r="E644" s="4">
        <f t="shared" si="157"/>
        <v>762</v>
      </c>
      <c r="F644" s="10">
        <f t="shared" si="158"/>
        <v>6.2299999999999107</v>
      </c>
      <c r="G644" s="9">
        <f t="shared" si="159"/>
        <v>86300</v>
      </c>
      <c r="I644" s="4">
        <f t="shared" si="160"/>
        <v>10000</v>
      </c>
      <c r="J644" s="17">
        <f t="shared" si="161"/>
        <v>5.0000000000000001E-3</v>
      </c>
      <c r="K644" s="17">
        <f t="shared" si="162"/>
        <v>5.0000000000000001E-3</v>
      </c>
      <c r="L644" s="17">
        <f t="shared" si="163"/>
        <v>0.99</v>
      </c>
      <c r="M644" s="4">
        <f t="shared" si="164"/>
        <v>86300</v>
      </c>
    </row>
    <row r="645" spans="1:13" x14ac:dyDescent="0.3">
      <c r="A645" s="1">
        <f t="shared" si="155"/>
        <v>643</v>
      </c>
      <c r="B645" s="1">
        <v>50</v>
      </c>
      <c r="C645" s="1">
        <f t="shared" si="156"/>
        <v>50</v>
      </c>
      <c r="D645" s="4">
        <v>9900</v>
      </c>
      <c r="E645" s="4">
        <f t="shared" si="157"/>
        <v>763</v>
      </c>
      <c r="F645" s="10">
        <f t="shared" si="158"/>
        <v>6.2399999999999105</v>
      </c>
      <c r="G645" s="9">
        <f t="shared" si="159"/>
        <v>86450</v>
      </c>
      <c r="I645" s="4">
        <f t="shared" si="160"/>
        <v>10000</v>
      </c>
      <c r="J645" s="17">
        <f t="shared" si="161"/>
        <v>5.0000000000000001E-3</v>
      </c>
      <c r="K645" s="17">
        <f t="shared" si="162"/>
        <v>5.0000000000000001E-3</v>
      </c>
      <c r="L645" s="17">
        <f t="shared" si="163"/>
        <v>0.99</v>
      </c>
      <c r="M645" s="4">
        <f t="shared" si="164"/>
        <v>86450</v>
      </c>
    </row>
    <row r="646" spans="1:13" x14ac:dyDescent="0.3">
      <c r="A646" s="1">
        <f t="shared" si="155"/>
        <v>644</v>
      </c>
      <c r="B646" s="1">
        <v>50</v>
      </c>
      <c r="C646" s="1">
        <f t="shared" si="156"/>
        <v>50</v>
      </c>
      <c r="D646" s="4">
        <v>9900</v>
      </c>
      <c r="E646" s="4">
        <f t="shared" si="157"/>
        <v>764</v>
      </c>
      <c r="F646" s="10">
        <f t="shared" si="158"/>
        <v>6.2499999999999103</v>
      </c>
      <c r="G646" s="9">
        <f t="shared" si="159"/>
        <v>86600</v>
      </c>
      <c r="I646" s="4">
        <f t="shared" si="160"/>
        <v>10000</v>
      </c>
      <c r="J646" s="17">
        <f t="shared" si="161"/>
        <v>5.0000000000000001E-3</v>
      </c>
      <c r="K646" s="17">
        <f t="shared" si="162"/>
        <v>5.0000000000000001E-3</v>
      </c>
      <c r="L646" s="17">
        <f t="shared" si="163"/>
        <v>0.99</v>
      </c>
      <c r="M646" s="4">
        <f t="shared" si="164"/>
        <v>86600</v>
      </c>
    </row>
    <row r="647" spans="1:13" x14ac:dyDescent="0.3">
      <c r="A647" s="1">
        <f t="shared" si="155"/>
        <v>645</v>
      </c>
      <c r="B647" s="1">
        <v>50</v>
      </c>
      <c r="C647" s="1">
        <f t="shared" si="156"/>
        <v>50</v>
      </c>
      <c r="D647" s="4">
        <v>9900</v>
      </c>
      <c r="E647" s="4">
        <f t="shared" si="157"/>
        <v>765</v>
      </c>
      <c r="F647" s="10">
        <f t="shared" si="158"/>
        <v>6.2599999999999101</v>
      </c>
      <c r="G647" s="9">
        <f t="shared" si="159"/>
        <v>86750</v>
      </c>
      <c r="I647" s="4">
        <f t="shared" si="160"/>
        <v>10000</v>
      </c>
      <c r="J647" s="17">
        <f t="shared" si="161"/>
        <v>5.0000000000000001E-3</v>
      </c>
      <c r="K647" s="17">
        <f t="shared" si="162"/>
        <v>5.0000000000000001E-3</v>
      </c>
      <c r="L647" s="17">
        <f t="shared" si="163"/>
        <v>0.99</v>
      </c>
      <c r="M647" s="4">
        <f t="shared" si="164"/>
        <v>86750</v>
      </c>
    </row>
    <row r="648" spans="1:13" x14ac:dyDescent="0.3">
      <c r="A648" s="1">
        <f t="shared" si="155"/>
        <v>646</v>
      </c>
      <c r="B648" s="1">
        <v>50</v>
      </c>
      <c r="C648" s="1">
        <f t="shared" si="156"/>
        <v>50</v>
      </c>
      <c r="D648" s="4">
        <v>9900</v>
      </c>
      <c r="E648" s="4">
        <f t="shared" si="157"/>
        <v>766</v>
      </c>
      <c r="F648" s="10">
        <f t="shared" si="158"/>
        <v>6.2699999999999099</v>
      </c>
      <c r="G648" s="9">
        <f t="shared" si="159"/>
        <v>86900</v>
      </c>
      <c r="I648" s="4">
        <f t="shared" si="160"/>
        <v>10000</v>
      </c>
      <c r="J648" s="17">
        <f t="shared" si="161"/>
        <v>5.0000000000000001E-3</v>
      </c>
      <c r="K648" s="17">
        <f t="shared" si="162"/>
        <v>5.0000000000000001E-3</v>
      </c>
      <c r="L648" s="17">
        <f t="shared" si="163"/>
        <v>0.99</v>
      </c>
      <c r="M648" s="4">
        <f t="shared" si="164"/>
        <v>86900</v>
      </c>
    </row>
    <row r="649" spans="1:13" x14ac:dyDescent="0.3">
      <c r="A649" s="1">
        <f t="shared" si="155"/>
        <v>647</v>
      </c>
      <c r="B649" s="1">
        <v>50</v>
      </c>
      <c r="C649" s="1">
        <f t="shared" si="156"/>
        <v>50</v>
      </c>
      <c r="D649" s="4">
        <v>9900</v>
      </c>
      <c r="E649" s="4">
        <f t="shared" si="157"/>
        <v>767</v>
      </c>
      <c r="F649" s="10">
        <f t="shared" si="158"/>
        <v>6.2799999999999097</v>
      </c>
      <c r="G649" s="9">
        <f t="shared" si="159"/>
        <v>87050</v>
      </c>
      <c r="I649" s="4">
        <f t="shared" si="160"/>
        <v>10000</v>
      </c>
      <c r="J649" s="17">
        <f t="shared" si="161"/>
        <v>5.0000000000000001E-3</v>
      </c>
      <c r="K649" s="17">
        <f t="shared" si="162"/>
        <v>5.0000000000000001E-3</v>
      </c>
      <c r="L649" s="17">
        <f t="shared" si="163"/>
        <v>0.99</v>
      </c>
      <c r="M649" s="4">
        <f t="shared" si="164"/>
        <v>87050</v>
      </c>
    </row>
    <row r="650" spans="1:13" x14ac:dyDescent="0.3">
      <c r="A650" s="1">
        <f t="shared" si="155"/>
        <v>648</v>
      </c>
      <c r="B650" s="1">
        <v>50</v>
      </c>
      <c r="C650" s="1">
        <f t="shared" si="156"/>
        <v>50</v>
      </c>
      <c r="D650" s="4">
        <v>9900</v>
      </c>
      <c r="E650" s="4">
        <f t="shared" si="157"/>
        <v>768</v>
      </c>
      <c r="F650" s="10">
        <f t="shared" si="158"/>
        <v>6.2899999999999094</v>
      </c>
      <c r="G650" s="9">
        <f t="shared" si="159"/>
        <v>87200</v>
      </c>
      <c r="I650" s="4">
        <f t="shared" si="160"/>
        <v>10000</v>
      </c>
      <c r="J650" s="17">
        <f t="shared" si="161"/>
        <v>5.0000000000000001E-3</v>
      </c>
      <c r="K650" s="17">
        <f t="shared" si="162"/>
        <v>5.0000000000000001E-3</v>
      </c>
      <c r="L650" s="17">
        <f t="shared" si="163"/>
        <v>0.99</v>
      </c>
      <c r="M650" s="4">
        <f t="shared" si="164"/>
        <v>87200</v>
      </c>
    </row>
    <row r="651" spans="1:13" x14ac:dyDescent="0.3">
      <c r="A651" s="1">
        <f t="shared" si="155"/>
        <v>649</v>
      </c>
      <c r="B651" s="1">
        <v>50</v>
      </c>
      <c r="C651" s="1">
        <f t="shared" si="156"/>
        <v>50</v>
      </c>
      <c r="D651" s="4">
        <v>9900</v>
      </c>
      <c r="E651" s="4">
        <f t="shared" si="157"/>
        <v>769</v>
      </c>
      <c r="F651" s="10">
        <f t="shared" si="158"/>
        <v>6.2999999999999092</v>
      </c>
      <c r="G651" s="9">
        <f t="shared" si="159"/>
        <v>87350</v>
      </c>
      <c r="I651" s="4">
        <f t="shared" si="160"/>
        <v>10000</v>
      </c>
      <c r="J651" s="17">
        <f t="shared" si="161"/>
        <v>5.0000000000000001E-3</v>
      </c>
      <c r="K651" s="17">
        <f t="shared" si="162"/>
        <v>5.0000000000000001E-3</v>
      </c>
      <c r="L651" s="17">
        <f t="shared" si="163"/>
        <v>0.99</v>
      </c>
      <c r="M651" s="4">
        <f t="shared" si="164"/>
        <v>87350</v>
      </c>
    </row>
    <row r="652" spans="1:13" x14ac:dyDescent="0.3">
      <c r="A652" s="1">
        <f t="shared" si="155"/>
        <v>650</v>
      </c>
      <c r="B652" s="1">
        <v>50</v>
      </c>
      <c r="C652" s="1">
        <f t="shared" si="156"/>
        <v>50</v>
      </c>
      <c r="D652" s="4">
        <v>9900</v>
      </c>
      <c r="E652" s="4">
        <f t="shared" si="157"/>
        <v>770</v>
      </c>
      <c r="F652" s="10">
        <f t="shared" si="158"/>
        <v>6.309999999999909</v>
      </c>
      <c r="G652" s="9">
        <f t="shared" si="159"/>
        <v>87500</v>
      </c>
      <c r="I652" s="4">
        <f t="shared" si="160"/>
        <v>10000</v>
      </c>
      <c r="J652" s="17">
        <f t="shared" si="161"/>
        <v>5.0000000000000001E-3</v>
      </c>
      <c r="K652" s="17">
        <f t="shared" si="162"/>
        <v>5.0000000000000001E-3</v>
      </c>
      <c r="L652" s="17">
        <f t="shared" si="163"/>
        <v>0.99</v>
      </c>
      <c r="M652" s="4">
        <f t="shared" si="164"/>
        <v>87500</v>
      </c>
    </row>
    <row r="653" spans="1:13" x14ac:dyDescent="0.3">
      <c r="A653" s="1">
        <f t="shared" si="155"/>
        <v>651</v>
      </c>
      <c r="B653" s="1">
        <v>50</v>
      </c>
      <c r="C653" s="1">
        <f t="shared" si="156"/>
        <v>50</v>
      </c>
      <c r="D653" s="4">
        <v>9900</v>
      </c>
      <c r="E653" s="4">
        <f t="shared" si="157"/>
        <v>771</v>
      </c>
      <c r="F653" s="10">
        <f t="shared" si="158"/>
        <v>6.3199999999999088</v>
      </c>
      <c r="G653" s="9">
        <f t="shared" si="159"/>
        <v>87650</v>
      </c>
      <c r="I653" s="4">
        <f t="shared" si="160"/>
        <v>10000</v>
      </c>
      <c r="J653" s="17">
        <f t="shared" si="161"/>
        <v>5.0000000000000001E-3</v>
      </c>
      <c r="K653" s="17">
        <f t="shared" si="162"/>
        <v>5.0000000000000001E-3</v>
      </c>
      <c r="L653" s="17">
        <f t="shared" si="163"/>
        <v>0.99</v>
      </c>
      <c r="M653" s="4">
        <f t="shared" si="164"/>
        <v>87650</v>
      </c>
    </row>
    <row r="654" spans="1:13" x14ac:dyDescent="0.3">
      <c r="A654" s="1">
        <f t="shared" si="155"/>
        <v>652</v>
      </c>
      <c r="B654" s="1">
        <v>50</v>
      </c>
      <c r="C654" s="1">
        <f t="shared" si="156"/>
        <v>50</v>
      </c>
      <c r="D654" s="4">
        <v>9900</v>
      </c>
      <c r="E654" s="4">
        <f t="shared" si="157"/>
        <v>772</v>
      </c>
      <c r="F654" s="10">
        <f t="shared" si="158"/>
        <v>6.3299999999999086</v>
      </c>
      <c r="G654" s="9">
        <f t="shared" si="159"/>
        <v>87800</v>
      </c>
      <c r="I654" s="4">
        <f t="shared" si="160"/>
        <v>10000</v>
      </c>
      <c r="J654" s="17">
        <f t="shared" si="161"/>
        <v>5.0000000000000001E-3</v>
      </c>
      <c r="K654" s="17">
        <f t="shared" si="162"/>
        <v>5.0000000000000001E-3</v>
      </c>
      <c r="L654" s="17">
        <f t="shared" si="163"/>
        <v>0.99</v>
      </c>
      <c r="M654" s="4">
        <f t="shared" si="164"/>
        <v>87800</v>
      </c>
    </row>
    <row r="655" spans="1:13" x14ac:dyDescent="0.3">
      <c r="A655" s="1">
        <f t="shared" si="155"/>
        <v>653</v>
      </c>
      <c r="B655" s="1">
        <v>50</v>
      </c>
      <c r="C655" s="1">
        <f t="shared" si="156"/>
        <v>50</v>
      </c>
      <c r="D655" s="4">
        <v>9900</v>
      </c>
      <c r="E655" s="4">
        <f t="shared" si="157"/>
        <v>773</v>
      </c>
      <c r="F655" s="10">
        <f t="shared" si="158"/>
        <v>6.3399999999999084</v>
      </c>
      <c r="G655" s="9">
        <f t="shared" si="159"/>
        <v>87950</v>
      </c>
      <c r="I655" s="4">
        <f t="shared" si="160"/>
        <v>10000</v>
      </c>
      <c r="J655" s="17">
        <f t="shared" si="161"/>
        <v>5.0000000000000001E-3</v>
      </c>
      <c r="K655" s="17">
        <f t="shared" si="162"/>
        <v>5.0000000000000001E-3</v>
      </c>
      <c r="L655" s="17">
        <f t="shared" si="163"/>
        <v>0.99</v>
      </c>
      <c r="M655" s="4">
        <f t="shared" si="164"/>
        <v>87950</v>
      </c>
    </row>
    <row r="656" spans="1:13" x14ac:dyDescent="0.3">
      <c r="A656" s="1">
        <f t="shared" si="155"/>
        <v>654</v>
      </c>
      <c r="B656" s="1">
        <v>50</v>
      </c>
      <c r="C656" s="1">
        <f t="shared" si="156"/>
        <v>50</v>
      </c>
      <c r="D656" s="4">
        <v>9900</v>
      </c>
      <c r="E656" s="4">
        <f t="shared" si="157"/>
        <v>774</v>
      </c>
      <c r="F656" s="10">
        <f t="shared" si="158"/>
        <v>6.3499999999999082</v>
      </c>
      <c r="G656" s="9">
        <f t="shared" si="159"/>
        <v>88100</v>
      </c>
      <c r="I656" s="4">
        <f t="shared" si="160"/>
        <v>10000</v>
      </c>
      <c r="J656" s="17">
        <f t="shared" si="161"/>
        <v>5.0000000000000001E-3</v>
      </c>
      <c r="K656" s="17">
        <f t="shared" si="162"/>
        <v>5.0000000000000001E-3</v>
      </c>
      <c r="L656" s="17">
        <f t="shared" si="163"/>
        <v>0.99</v>
      </c>
      <c r="M656" s="4">
        <f t="shared" si="164"/>
        <v>88100</v>
      </c>
    </row>
    <row r="657" spans="1:13" x14ac:dyDescent="0.3">
      <c r="A657" s="1">
        <f t="shared" si="155"/>
        <v>655</v>
      </c>
      <c r="B657" s="1">
        <v>50</v>
      </c>
      <c r="C657" s="1">
        <f t="shared" si="156"/>
        <v>50</v>
      </c>
      <c r="D657" s="4">
        <v>9900</v>
      </c>
      <c r="E657" s="4">
        <f t="shared" si="157"/>
        <v>775</v>
      </c>
      <c r="F657" s="10">
        <f t="shared" si="158"/>
        <v>6.3599999999999079</v>
      </c>
      <c r="G657" s="9">
        <f t="shared" si="159"/>
        <v>88250</v>
      </c>
      <c r="I657" s="4">
        <f t="shared" si="160"/>
        <v>10000</v>
      </c>
      <c r="J657" s="17">
        <f t="shared" si="161"/>
        <v>5.0000000000000001E-3</v>
      </c>
      <c r="K657" s="17">
        <f t="shared" si="162"/>
        <v>5.0000000000000001E-3</v>
      </c>
      <c r="L657" s="17">
        <f t="shared" si="163"/>
        <v>0.99</v>
      </c>
      <c r="M657" s="4">
        <f t="shared" si="164"/>
        <v>88250</v>
      </c>
    </row>
    <row r="658" spans="1:13" x14ac:dyDescent="0.3">
      <c r="A658" s="1">
        <f t="shared" si="155"/>
        <v>656</v>
      </c>
      <c r="B658" s="1">
        <v>50</v>
      </c>
      <c r="C658" s="1">
        <f t="shared" si="156"/>
        <v>50</v>
      </c>
      <c r="D658" s="4">
        <v>9900</v>
      </c>
      <c r="E658" s="4">
        <f t="shared" si="157"/>
        <v>776</v>
      </c>
      <c r="F658" s="10">
        <f t="shared" si="158"/>
        <v>6.3699999999999077</v>
      </c>
      <c r="G658" s="9">
        <f t="shared" si="159"/>
        <v>88400</v>
      </c>
      <c r="I658" s="4">
        <f t="shared" si="160"/>
        <v>10000</v>
      </c>
      <c r="J658" s="17">
        <f t="shared" si="161"/>
        <v>5.0000000000000001E-3</v>
      </c>
      <c r="K658" s="17">
        <f t="shared" si="162"/>
        <v>5.0000000000000001E-3</v>
      </c>
      <c r="L658" s="17">
        <f t="shared" si="163"/>
        <v>0.99</v>
      </c>
      <c r="M658" s="4">
        <f t="shared" si="164"/>
        <v>88400</v>
      </c>
    </row>
    <row r="659" spans="1:13" x14ac:dyDescent="0.3">
      <c r="A659" s="1">
        <f t="shared" si="155"/>
        <v>657</v>
      </c>
      <c r="B659" s="1">
        <v>50</v>
      </c>
      <c r="C659" s="1">
        <f t="shared" si="156"/>
        <v>50</v>
      </c>
      <c r="D659" s="4">
        <v>9900</v>
      </c>
      <c r="E659" s="4">
        <f t="shared" si="157"/>
        <v>777</v>
      </c>
      <c r="F659" s="10">
        <f t="shared" si="158"/>
        <v>6.3799999999999075</v>
      </c>
      <c r="G659" s="9">
        <f t="shared" si="159"/>
        <v>88550</v>
      </c>
      <c r="I659" s="4">
        <f t="shared" si="160"/>
        <v>10000</v>
      </c>
      <c r="J659" s="17">
        <f t="shared" si="161"/>
        <v>5.0000000000000001E-3</v>
      </c>
      <c r="K659" s="17">
        <f t="shared" si="162"/>
        <v>5.0000000000000001E-3</v>
      </c>
      <c r="L659" s="17">
        <f t="shared" si="163"/>
        <v>0.99</v>
      </c>
      <c r="M659" s="4">
        <f t="shared" si="164"/>
        <v>88550</v>
      </c>
    </row>
    <row r="660" spans="1:13" x14ac:dyDescent="0.3">
      <c r="A660" s="1">
        <f t="shared" si="155"/>
        <v>658</v>
      </c>
      <c r="B660" s="1">
        <v>50</v>
      </c>
      <c r="C660" s="1">
        <f t="shared" si="156"/>
        <v>50</v>
      </c>
      <c r="D660" s="4">
        <v>9900</v>
      </c>
      <c r="E660" s="4">
        <f t="shared" si="157"/>
        <v>778</v>
      </c>
      <c r="F660" s="10">
        <f t="shared" si="158"/>
        <v>6.3899999999999073</v>
      </c>
      <c r="G660" s="9">
        <f t="shared" si="159"/>
        <v>88700</v>
      </c>
      <c r="I660" s="4">
        <f t="shared" si="160"/>
        <v>10000</v>
      </c>
      <c r="J660" s="17">
        <f t="shared" si="161"/>
        <v>5.0000000000000001E-3</v>
      </c>
      <c r="K660" s="17">
        <f t="shared" si="162"/>
        <v>5.0000000000000001E-3</v>
      </c>
      <c r="L660" s="17">
        <f t="shared" si="163"/>
        <v>0.99</v>
      </c>
      <c r="M660" s="4">
        <f t="shared" si="164"/>
        <v>88700</v>
      </c>
    </row>
    <row r="661" spans="1:13" x14ac:dyDescent="0.3">
      <c r="A661" s="1">
        <f t="shared" si="155"/>
        <v>659</v>
      </c>
      <c r="B661" s="1">
        <v>50</v>
      </c>
      <c r="C661" s="1">
        <f t="shared" si="156"/>
        <v>50</v>
      </c>
      <c r="D661" s="4">
        <v>9900</v>
      </c>
      <c r="E661" s="4">
        <f t="shared" si="157"/>
        <v>779</v>
      </c>
      <c r="F661" s="10">
        <f t="shared" si="158"/>
        <v>6.3999999999999071</v>
      </c>
      <c r="G661" s="9">
        <f t="shared" si="159"/>
        <v>88850</v>
      </c>
      <c r="I661" s="4">
        <f t="shared" si="160"/>
        <v>10000</v>
      </c>
      <c r="J661" s="17">
        <f t="shared" si="161"/>
        <v>5.0000000000000001E-3</v>
      </c>
      <c r="K661" s="17">
        <f t="shared" si="162"/>
        <v>5.0000000000000001E-3</v>
      </c>
      <c r="L661" s="17">
        <f t="shared" si="163"/>
        <v>0.99</v>
      </c>
      <c r="M661" s="4">
        <f t="shared" si="164"/>
        <v>88850</v>
      </c>
    </row>
    <row r="662" spans="1:13" x14ac:dyDescent="0.3">
      <c r="A662" s="1">
        <f t="shared" si="155"/>
        <v>660</v>
      </c>
      <c r="B662" s="1">
        <v>50</v>
      </c>
      <c r="C662" s="1">
        <f t="shared" si="156"/>
        <v>50</v>
      </c>
      <c r="D662" s="4">
        <v>9900</v>
      </c>
      <c r="E662" s="4">
        <f t="shared" si="157"/>
        <v>780</v>
      </c>
      <c r="F662" s="10">
        <f t="shared" si="158"/>
        <v>6.4099999999999069</v>
      </c>
      <c r="G662" s="9">
        <f t="shared" si="159"/>
        <v>89000</v>
      </c>
      <c r="I662" s="4">
        <f t="shared" si="160"/>
        <v>10000</v>
      </c>
      <c r="J662" s="17">
        <f t="shared" si="161"/>
        <v>5.0000000000000001E-3</v>
      </c>
      <c r="K662" s="17">
        <f t="shared" si="162"/>
        <v>5.0000000000000001E-3</v>
      </c>
      <c r="L662" s="17">
        <f t="shared" si="163"/>
        <v>0.99</v>
      </c>
      <c r="M662" s="4">
        <f t="shared" si="164"/>
        <v>89000</v>
      </c>
    </row>
    <row r="663" spans="1:13" x14ac:dyDescent="0.3">
      <c r="A663" s="1">
        <f t="shared" si="155"/>
        <v>661</v>
      </c>
      <c r="B663" s="1">
        <v>50</v>
      </c>
      <c r="C663" s="1">
        <f t="shared" si="156"/>
        <v>50</v>
      </c>
      <c r="D663" s="4">
        <v>9900</v>
      </c>
      <c r="E663" s="4">
        <f t="shared" si="157"/>
        <v>781</v>
      </c>
      <c r="F663" s="10">
        <f t="shared" si="158"/>
        <v>6.4199999999999067</v>
      </c>
      <c r="G663" s="9">
        <f t="shared" si="159"/>
        <v>89150</v>
      </c>
      <c r="I663" s="4">
        <f t="shared" si="160"/>
        <v>10000</v>
      </c>
      <c r="J663" s="17">
        <f t="shared" si="161"/>
        <v>5.0000000000000001E-3</v>
      </c>
      <c r="K663" s="17">
        <f t="shared" si="162"/>
        <v>5.0000000000000001E-3</v>
      </c>
      <c r="L663" s="17">
        <f t="shared" si="163"/>
        <v>0.99</v>
      </c>
      <c r="M663" s="4">
        <f t="shared" si="164"/>
        <v>89150</v>
      </c>
    </row>
    <row r="664" spans="1:13" x14ac:dyDescent="0.3">
      <c r="A664" s="1">
        <f t="shared" si="155"/>
        <v>662</v>
      </c>
      <c r="B664" s="1">
        <v>50</v>
      </c>
      <c r="C664" s="1">
        <f t="shared" si="156"/>
        <v>50</v>
      </c>
      <c r="D664" s="4">
        <v>9900</v>
      </c>
      <c r="E664" s="4">
        <f t="shared" si="157"/>
        <v>782</v>
      </c>
      <c r="F664" s="10">
        <f t="shared" si="158"/>
        <v>6.4299999999999065</v>
      </c>
      <c r="G664" s="9">
        <f t="shared" si="159"/>
        <v>89300</v>
      </c>
      <c r="I664" s="4">
        <f t="shared" si="160"/>
        <v>10000</v>
      </c>
      <c r="J664" s="17">
        <f t="shared" si="161"/>
        <v>5.0000000000000001E-3</v>
      </c>
      <c r="K664" s="17">
        <f t="shared" si="162"/>
        <v>5.0000000000000001E-3</v>
      </c>
      <c r="L664" s="17">
        <f t="shared" si="163"/>
        <v>0.99</v>
      </c>
      <c r="M664" s="4">
        <f t="shared" si="164"/>
        <v>89300</v>
      </c>
    </row>
    <row r="665" spans="1:13" x14ac:dyDescent="0.3">
      <c r="A665" s="1">
        <f t="shared" si="155"/>
        <v>663</v>
      </c>
      <c r="B665" s="1">
        <v>50</v>
      </c>
      <c r="C665" s="1">
        <f t="shared" si="156"/>
        <v>50</v>
      </c>
      <c r="D665" s="4">
        <v>9900</v>
      </c>
      <c r="E665" s="4">
        <f t="shared" si="157"/>
        <v>783</v>
      </c>
      <c r="F665" s="10">
        <f t="shared" si="158"/>
        <v>6.4399999999999062</v>
      </c>
      <c r="G665" s="9">
        <f t="shared" si="159"/>
        <v>89450</v>
      </c>
      <c r="I665" s="4">
        <f t="shared" si="160"/>
        <v>10000</v>
      </c>
      <c r="J665" s="17">
        <f t="shared" si="161"/>
        <v>5.0000000000000001E-3</v>
      </c>
      <c r="K665" s="17">
        <f t="shared" si="162"/>
        <v>5.0000000000000001E-3</v>
      </c>
      <c r="L665" s="17">
        <f t="shared" si="163"/>
        <v>0.99</v>
      </c>
      <c r="M665" s="4">
        <f t="shared" si="164"/>
        <v>89450</v>
      </c>
    </row>
    <row r="666" spans="1:13" x14ac:dyDescent="0.3">
      <c r="A666" s="1">
        <f t="shared" si="155"/>
        <v>664</v>
      </c>
      <c r="B666" s="1">
        <v>50</v>
      </c>
      <c r="C666" s="1">
        <f t="shared" si="156"/>
        <v>50</v>
      </c>
      <c r="D666" s="4">
        <v>9900</v>
      </c>
      <c r="E666" s="4">
        <f t="shared" si="157"/>
        <v>784</v>
      </c>
      <c r="F666" s="10">
        <f t="shared" si="158"/>
        <v>6.449999999999906</v>
      </c>
      <c r="G666" s="9">
        <f t="shared" si="159"/>
        <v>89600</v>
      </c>
      <c r="I666" s="4">
        <f t="shared" si="160"/>
        <v>10000</v>
      </c>
      <c r="J666" s="17">
        <f t="shared" si="161"/>
        <v>5.0000000000000001E-3</v>
      </c>
      <c r="K666" s="17">
        <f t="shared" si="162"/>
        <v>5.0000000000000001E-3</v>
      </c>
      <c r="L666" s="17">
        <f t="shared" si="163"/>
        <v>0.99</v>
      </c>
      <c r="M666" s="4">
        <f t="shared" si="164"/>
        <v>89600</v>
      </c>
    </row>
    <row r="667" spans="1:13" x14ac:dyDescent="0.3">
      <c r="A667" s="1">
        <f t="shared" si="155"/>
        <v>665</v>
      </c>
      <c r="B667" s="1">
        <v>50</v>
      </c>
      <c r="C667" s="1">
        <f t="shared" si="156"/>
        <v>50</v>
      </c>
      <c r="D667" s="4">
        <v>9900</v>
      </c>
      <c r="E667" s="4">
        <f t="shared" si="157"/>
        <v>785</v>
      </c>
      <c r="F667" s="10">
        <f t="shared" si="158"/>
        <v>6.4599999999999058</v>
      </c>
      <c r="G667" s="9">
        <f t="shared" si="159"/>
        <v>89750</v>
      </c>
      <c r="I667" s="4">
        <f t="shared" si="160"/>
        <v>10000</v>
      </c>
      <c r="J667" s="17">
        <f t="shared" si="161"/>
        <v>5.0000000000000001E-3</v>
      </c>
      <c r="K667" s="17">
        <f t="shared" si="162"/>
        <v>5.0000000000000001E-3</v>
      </c>
      <c r="L667" s="17">
        <f t="shared" si="163"/>
        <v>0.99</v>
      </c>
      <c r="M667" s="4">
        <f t="shared" si="164"/>
        <v>89750</v>
      </c>
    </row>
    <row r="668" spans="1:13" x14ac:dyDescent="0.3">
      <c r="A668" s="1">
        <f t="shared" si="155"/>
        <v>666</v>
      </c>
      <c r="B668" s="1">
        <v>50</v>
      </c>
      <c r="C668" s="1">
        <f t="shared" si="156"/>
        <v>50</v>
      </c>
      <c r="D668" s="4">
        <v>9900</v>
      </c>
      <c r="E668" s="4">
        <f t="shared" si="157"/>
        <v>786</v>
      </c>
      <c r="F668" s="10">
        <f t="shared" si="158"/>
        <v>6.4699999999999056</v>
      </c>
      <c r="G668" s="9">
        <f t="shared" si="159"/>
        <v>89900</v>
      </c>
      <c r="I668" s="4">
        <f t="shared" si="160"/>
        <v>10000</v>
      </c>
      <c r="J668" s="17">
        <f t="shared" si="161"/>
        <v>5.0000000000000001E-3</v>
      </c>
      <c r="K668" s="17">
        <f t="shared" si="162"/>
        <v>5.0000000000000001E-3</v>
      </c>
      <c r="L668" s="17">
        <f t="shared" si="163"/>
        <v>0.99</v>
      </c>
      <c r="M668" s="4">
        <f t="shared" si="164"/>
        <v>89900</v>
      </c>
    </row>
    <row r="669" spans="1:13" x14ac:dyDescent="0.3">
      <c r="A669" s="1">
        <f t="shared" si="155"/>
        <v>667</v>
      </c>
      <c r="B669" s="1">
        <v>50</v>
      </c>
      <c r="C669" s="1">
        <f t="shared" si="156"/>
        <v>50</v>
      </c>
      <c r="D669" s="4">
        <v>9900</v>
      </c>
      <c r="E669" s="4">
        <f t="shared" si="157"/>
        <v>787</v>
      </c>
      <c r="F669" s="10">
        <f t="shared" si="158"/>
        <v>6.4799999999999054</v>
      </c>
      <c r="G669" s="9">
        <f t="shared" si="159"/>
        <v>90050</v>
      </c>
      <c r="I669" s="4">
        <f t="shared" si="160"/>
        <v>10000</v>
      </c>
      <c r="J669" s="17">
        <f t="shared" si="161"/>
        <v>5.0000000000000001E-3</v>
      </c>
      <c r="K669" s="17">
        <f t="shared" si="162"/>
        <v>5.0000000000000001E-3</v>
      </c>
      <c r="L669" s="17">
        <f t="shared" si="163"/>
        <v>0.99</v>
      </c>
      <c r="M669" s="4">
        <f t="shared" si="164"/>
        <v>90050</v>
      </c>
    </row>
    <row r="670" spans="1:13" x14ac:dyDescent="0.3">
      <c r="A670" s="1">
        <f t="shared" si="155"/>
        <v>668</v>
      </c>
      <c r="B670" s="1">
        <v>50</v>
      </c>
      <c r="C670" s="1">
        <f t="shared" si="156"/>
        <v>50</v>
      </c>
      <c r="D670" s="4">
        <v>9900</v>
      </c>
      <c r="E670" s="4">
        <f t="shared" si="157"/>
        <v>788</v>
      </c>
      <c r="F670" s="10">
        <f t="shared" si="158"/>
        <v>6.4899999999999052</v>
      </c>
      <c r="G670" s="9">
        <f t="shared" si="159"/>
        <v>90200</v>
      </c>
      <c r="I670" s="4">
        <f t="shared" si="160"/>
        <v>10000</v>
      </c>
      <c r="J670" s="17">
        <f t="shared" si="161"/>
        <v>5.0000000000000001E-3</v>
      </c>
      <c r="K670" s="17">
        <f t="shared" si="162"/>
        <v>5.0000000000000001E-3</v>
      </c>
      <c r="L670" s="17">
        <f t="shared" si="163"/>
        <v>0.99</v>
      </c>
      <c r="M670" s="4">
        <f t="shared" si="164"/>
        <v>90200</v>
      </c>
    </row>
    <row r="671" spans="1:13" x14ac:dyDescent="0.3">
      <c r="A671" s="1">
        <f t="shared" ref="A671:A734" si="165">A670+1</f>
        <v>669</v>
      </c>
      <c r="B671" s="1">
        <v>50</v>
      </c>
      <c r="C671" s="1">
        <f t="shared" si="156"/>
        <v>50</v>
      </c>
      <c r="D671" s="4">
        <v>9900</v>
      </c>
      <c r="E671" s="4">
        <f t="shared" si="157"/>
        <v>789</v>
      </c>
      <c r="F671" s="10">
        <f t="shared" si="158"/>
        <v>6.499999999999905</v>
      </c>
      <c r="G671" s="9">
        <f t="shared" si="159"/>
        <v>90350</v>
      </c>
      <c r="I671" s="4">
        <f t="shared" si="160"/>
        <v>10000</v>
      </c>
      <c r="J671" s="17">
        <f t="shared" si="161"/>
        <v>5.0000000000000001E-3</v>
      </c>
      <c r="K671" s="17">
        <f t="shared" si="162"/>
        <v>5.0000000000000001E-3</v>
      </c>
      <c r="L671" s="17">
        <f t="shared" si="163"/>
        <v>0.99</v>
      </c>
      <c r="M671" s="4">
        <f t="shared" si="164"/>
        <v>90350</v>
      </c>
    </row>
    <row r="672" spans="1:13" x14ac:dyDescent="0.3">
      <c r="A672" s="1">
        <f t="shared" si="165"/>
        <v>670</v>
      </c>
      <c r="B672" s="1">
        <v>50</v>
      </c>
      <c r="C672" s="1">
        <f t="shared" si="156"/>
        <v>50</v>
      </c>
      <c r="D672" s="4">
        <v>9900</v>
      </c>
      <c r="E672" s="4">
        <f t="shared" si="157"/>
        <v>790</v>
      </c>
      <c r="F672" s="10">
        <f t="shared" si="158"/>
        <v>6.5099999999999048</v>
      </c>
      <c r="G672" s="9">
        <f t="shared" si="159"/>
        <v>90500</v>
      </c>
      <c r="I672" s="4">
        <f t="shared" si="160"/>
        <v>10000</v>
      </c>
      <c r="J672" s="17">
        <f t="shared" si="161"/>
        <v>5.0000000000000001E-3</v>
      </c>
      <c r="K672" s="17">
        <f t="shared" si="162"/>
        <v>5.0000000000000001E-3</v>
      </c>
      <c r="L672" s="17">
        <f t="shared" si="163"/>
        <v>0.99</v>
      </c>
      <c r="M672" s="4">
        <f t="shared" si="164"/>
        <v>90500</v>
      </c>
    </row>
    <row r="673" spans="1:13" x14ac:dyDescent="0.3">
      <c r="A673" s="1">
        <f t="shared" si="165"/>
        <v>671</v>
      </c>
      <c r="B673" s="1">
        <v>50</v>
      </c>
      <c r="C673" s="1">
        <f t="shared" si="156"/>
        <v>50</v>
      </c>
      <c r="D673" s="4">
        <v>9900</v>
      </c>
      <c r="E673" s="4">
        <f t="shared" si="157"/>
        <v>791</v>
      </c>
      <c r="F673" s="10">
        <f t="shared" si="158"/>
        <v>6.5199999999999045</v>
      </c>
      <c r="G673" s="9">
        <f t="shared" si="159"/>
        <v>90650</v>
      </c>
      <c r="I673" s="4">
        <f t="shared" si="160"/>
        <v>10000</v>
      </c>
      <c r="J673" s="17">
        <f t="shared" si="161"/>
        <v>5.0000000000000001E-3</v>
      </c>
      <c r="K673" s="17">
        <f t="shared" si="162"/>
        <v>5.0000000000000001E-3</v>
      </c>
      <c r="L673" s="17">
        <f t="shared" si="163"/>
        <v>0.99</v>
      </c>
      <c r="M673" s="4">
        <f t="shared" si="164"/>
        <v>90650</v>
      </c>
    </row>
    <row r="674" spans="1:13" x14ac:dyDescent="0.3">
      <c r="A674" s="1">
        <f t="shared" si="165"/>
        <v>672</v>
      </c>
      <c r="B674" s="1">
        <v>50</v>
      </c>
      <c r="C674" s="1">
        <f t="shared" si="156"/>
        <v>50</v>
      </c>
      <c r="D674" s="4">
        <v>9900</v>
      </c>
      <c r="E674" s="4">
        <f t="shared" si="157"/>
        <v>792</v>
      </c>
      <c r="F674" s="10">
        <f t="shared" si="158"/>
        <v>6.5299999999999043</v>
      </c>
      <c r="G674" s="9">
        <f t="shared" si="159"/>
        <v>90800</v>
      </c>
      <c r="I674" s="4">
        <f t="shared" si="160"/>
        <v>10000</v>
      </c>
      <c r="J674" s="17">
        <f t="shared" si="161"/>
        <v>5.0000000000000001E-3</v>
      </c>
      <c r="K674" s="17">
        <f t="shared" si="162"/>
        <v>5.0000000000000001E-3</v>
      </c>
      <c r="L674" s="17">
        <f t="shared" si="163"/>
        <v>0.99</v>
      </c>
      <c r="M674" s="4">
        <f t="shared" si="164"/>
        <v>90800</v>
      </c>
    </row>
    <row r="675" spans="1:13" x14ac:dyDescent="0.3">
      <c r="A675" s="1">
        <f t="shared" si="165"/>
        <v>673</v>
      </c>
      <c r="B675" s="1">
        <v>50</v>
      </c>
      <c r="C675" s="1">
        <f t="shared" si="156"/>
        <v>50</v>
      </c>
      <c r="D675" s="4">
        <v>9900</v>
      </c>
      <c r="E675" s="4">
        <f t="shared" si="157"/>
        <v>793</v>
      </c>
      <c r="F675" s="10">
        <f t="shared" si="158"/>
        <v>6.5399999999999041</v>
      </c>
      <c r="G675" s="9">
        <f t="shared" si="159"/>
        <v>90950</v>
      </c>
      <c r="I675" s="4">
        <f t="shared" si="160"/>
        <v>10000</v>
      </c>
      <c r="J675" s="17">
        <f t="shared" si="161"/>
        <v>5.0000000000000001E-3</v>
      </c>
      <c r="K675" s="17">
        <f t="shared" si="162"/>
        <v>5.0000000000000001E-3</v>
      </c>
      <c r="L675" s="17">
        <f t="shared" si="163"/>
        <v>0.99</v>
      </c>
      <c r="M675" s="4">
        <f t="shared" si="164"/>
        <v>90950</v>
      </c>
    </row>
    <row r="676" spans="1:13" x14ac:dyDescent="0.3">
      <c r="A676" s="1">
        <f t="shared" si="165"/>
        <v>674</v>
      </c>
      <c r="B676" s="1">
        <v>50</v>
      </c>
      <c r="C676" s="1">
        <f t="shared" si="156"/>
        <v>50</v>
      </c>
      <c r="D676" s="4">
        <v>9900</v>
      </c>
      <c r="E676" s="4">
        <f t="shared" si="157"/>
        <v>794</v>
      </c>
      <c r="F676" s="10">
        <f t="shared" si="158"/>
        <v>6.5499999999999039</v>
      </c>
      <c r="G676" s="9">
        <f t="shared" si="159"/>
        <v>91100</v>
      </c>
      <c r="I676" s="4">
        <f t="shared" si="160"/>
        <v>10000</v>
      </c>
      <c r="J676" s="17">
        <f t="shared" si="161"/>
        <v>5.0000000000000001E-3</v>
      </c>
      <c r="K676" s="17">
        <f t="shared" si="162"/>
        <v>5.0000000000000001E-3</v>
      </c>
      <c r="L676" s="17">
        <f t="shared" si="163"/>
        <v>0.99</v>
      </c>
      <c r="M676" s="4">
        <f t="shared" si="164"/>
        <v>91100</v>
      </c>
    </row>
    <row r="677" spans="1:13" x14ac:dyDescent="0.3">
      <c r="A677" s="1">
        <f t="shared" si="165"/>
        <v>675</v>
      </c>
      <c r="B677" s="1">
        <v>50</v>
      </c>
      <c r="C677" s="1">
        <f t="shared" si="156"/>
        <v>50</v>
      </c>
      <c r="D677" s="4">
        <v>9900</v>
      </c>
      <c r="E677" s="4">
        <f t="shared" si="157"/>
        <v>795</v>
      </c>
      <c r="F677" s="10">
        <f t="shared" si="158"/>
        <v>6.5599999999999037</v>
      </c>
      <c r="G677" s="9">
        <f t="shared" si="159"/>
        <v>91250</v>
      </c>
      <c r="I677" s="4">
        <f t="shared" si="160"/>
        <v>10000</v>
      </c>
      <c r="J677" s="17">
        <f t="shared" si="161"/>
        <v>5.0000000000000001E-3</v>
      </c>
      <c r="K677" s="17">
        <f t="shared" si="162"/>
        <v>5.0000000000000001E-3</v>
      </c>
      <c r="L677" s="17">
        <f t="shared" si="163"/>
        <v>0.99</v>
      </c>
      <c r="M677" s="4">
        <f t="shared" si="164"/>
        <v>91250</v>
      </c>
    </row>
    <row r="678" spans="1:13" x14ac:dyDescent="0.3">
      <c r="A678" s="1">
        <f t="shared" si="165"/>
        <v>676</v>
      </c>
      <c r="B678" s="1">
        <v>50</v>
      </c>
      <c r="C678" s="1">
        <f t="shared" si="156"/>
        <v>50</v>
      </c>
      <c r="D678" s="4">
        <v>9900</v>
      </c>
      <c r="E678" s="4">
        <f t="shared" si="157"/>
        <v>796</v>
      </c>
      <c r="F678" s="10">
        <f t="shared" si="158"/>
        <v>6.5699999999999035</v>
      </c>
      <c r="G678" s="9">
        <f t="shared" si="159"/>
        <v>91400</v>
      </c>
      <c r="I678" s="4">
        <f t="shared" si="160"/>
        <v>10000</v>
      </c>
      <c r="J678" s="17">
        <f t="shared" si="161"/>
        <v>5.0000000000000001E-3</v>
      </c>
      <c r="K678" s="17">
        <f t="shared" si="162"/>
        <v>5.0000000000000001E-3</v>
      </c>
      <c r="L678" s="17">
        <f t="shared" si="163"/>
        <v>0.99</v>
      </c>
      <c r="M678" s="4">
        <f t="shared" si="164"/>
        <v>91400</v>
      </c>
    </row>
    <row r="679" spans="1:13" x14ac:dyDescent="0.3">
      <c r="A679" s="1">
        <f t="shared" si="165"/>
        <v>677</v>
      </c>
      <c r="B679" s="1">
        <v>50</v>
      </c>
      <c r="C679" s="1">
        <f t="shared" si="156"/>
        <v>50</v>
      </c>
      <c r="D679" s="4">
        <v>9900</v>
      </c>
      <c r="E679" s="4">
        <f t="shared" si="157"/>
        <v>797</v>
      </c>
      <c r="F679" s="10">
        <f t="shared" si="158"/>
        <v>6.5799999999999033</v>
      </c>
      <c r="G679" s="9">
        <f t="shared" si="159"/>
        <v>91550</v>
      </c>
      <c r="I679" s="4">
        <f t="shared" si="160"/>
        <v>10000</v>
      </c>
      <c r="J679" s="17">
        <f t="shared" si="161"/>
        <v>5.0000000000000001E-3</v>
      </c>
      <c r="K679" s="17">
        <f t="shared" si="162"/>
        <v>5.0000000000000001E-3</v>
      </c>
      <c r="L679" s="17">
        <f t="shared" si="163"/>
        <v>0.99</v>
      </c>
      <c r="M679" s="4">
        <f t="shared" si="164"/>
        <v>91550</v>
      </c>
    </row>
    <row r="680" spans="1:13" x14ac:dyDescent="0.3">
      <c r="A680" s="1">
        <f t="shared" si="165"/>
        <v>678</v>
      </c>
      <c r="B680" s="1">
        <v>50</v>
      </c>
      <c r="C680" s="1">
        <f t="shared" si="156"/>
        <v>50</v>
      </c>
      <c r="D680" s="4">
        <v>9900</v>
      </c>
      <c r="E680" s="4">
        <f t="shared" si="157"/>
        <v>798</v>
      </c>
      <c r="F680" s="10">
        <f t="shared" si="158"/>
        <v>6.589999999999903</v>
      </c>
      <c r="G680" s="9">
        <f t="shared" si="159"/>
        <v>91700</v>
      </c>
      <c r="I680" s="4">
        <f t="shared" si="160"/>
        <v>10000</v>
      </c>
      <c r="J680" s="17">
        <f t="shared" si="161"/>
        <v>5.0000000000000001E-3</v>
      </c>
      <c r="K680" s="17">
        <f t="shared" si="162"/>
        <v>5.0000000000000001E-3</v>
      </c>
      <c r="L680" s="17">
        <f t="shared" si="163"/>
        <v>0.99</v>
      </c>
      <c r="M680" s="4">
        <f t="shared" si="164"/>
        <v>91700</v>
      </c>
    </row>
    <row r="681" spans="1:13" x14ac:dyDescent="0.3">
      <c r="A681" s="1">
        <f t="shared" si="165"/>
        <v>679</v>
      </c>
      <c r="B681" s="1">
        <v>50</v>
      </c>
      <c r="C681" s="1">
        <f t="shared" si="156"/>
        <v>50</v>
      </c>
      <c r="D681" s="4">
        <v>9900</v>
      </c>
      <c r="E681" s="4">
        <f t="shared" si="157"/>
        <v>799</v>
      </c>
      <c r="F681" s="10">
        <f t="shared" si="158"/>
        <v>6.5999999999999028</v>
      </c>
      <c r="G681" s="9">
        <f t="shared" si="159"/>
        <v>91850</v>
      </c>
      <c r="I681" s="4">
        <f t="shared" si="160"/>
        <v>10000</v>
      </c>
      <c r="J681" s="17">
        <f t="shared" si="161"/>
        <v>5.0000000000000001E-3</v>
      </c>
      <c r="K681" s="17">
        <f t="shared" si="162"/>
        <v>5.0000000000000001E-3</v>
      </c>
      <c r="L681" s="17">
        <f t="shared" si="163"/>
        <v>0.99</v>
      </c>
      <c r="M681" s="4">
        <f t="shared" si="164"/>
        <v>91850</v>
      </c>
    </row>
    <row r="682" spans="1:13" x14ac:dyDescent="0.3">
      <c r="A682" s="1">
        <f t="shared" si="165"/>
        <v>680</v>
      </c>
      <c r="B682" s="1">
        <v>50</v>
      </c>
      <c r="C682" s="1">
        <f t="shared" si="156"/>
        <v>50</v>
      </c>
      <c r="D682" s="4">
        <v>9900</v>
      </c>
      <c r="E682" s="4">
        <f t="shared" si="157"/>
        <v>800</v>
      </c>
      <c r="F682" s="10">
        <f t="shared" si="158"/>
        <v>6.6099999999999026</v>
      </c>
      <c r="G682" s="9">
        <f t="shared" si="159"/>
        <v>92000</v>
      </c>
      <c r="I682" s="4">
        <f t="shared" si="160"/>
        <v>10000</v>
      </c>
      <c r="J682" s="17">
        <f t="shared" si="161"/>
        <v>5.0000000000000001E-3</v>
      </c>
      <c r="K682" s="17">
        <f t="shared" si="162"/>
        <v>5.0000000000000001E-3</v>
      </c>
      <c r="L682" s="17">
        <f t="shared" si="163"/>
        <v>0.99</v>
      </c>
      <c r="M682" s="4">
        <f t="shared" si="164"/>
        <v>92000</v>
      </c>
    </row>
    <row r="683" spans="1:13" x14ac:dyDescent="0.3">
      <c r="A683" s="1">
        <f t="shared" si="165"/>
        <v>681</v>
      </c>
      <c r="B683" s="1">
        <v>50</v>
      </c>
      <c r="C683" s="1">
        <f t="shared" si="156"/>
        <v>50</v>
      </c>
      <c r="D683" s="4">
        <v>9900</v>
      </c>
      <c r="E683" s="4">
        <f t="shared" si="157"/>
        <v>801</v>
      </c>
      <c r="F683" s="10">
        <f t="shared" si="158"/>
        <v>6.6199999999999024</v>
      </c>
      <c r="G683" s="9">
        <f t="shared" si="159"/>
        <v>92150</v>
      </c>
      <c r="I683" s="4">
        <f t="shared" si="160"/>
        <v>10000</v>
      </c>
      <c r="J683" s="17">
        <f t="shared" si="161"/>
        <v>5.0000000000000001E-3</v>
      </c>
      <c r="K683" s="17">
        <f t="shared" si="162"/>
        <v>5.0000000000000001E-3</v>
      </c>
      <c r="L683" s="17">
        <f t="shared" si="163"/>
        <v>0.99</v>
      </c>
      <c r="M683" s="4">
        <f t="shared" si="164"/>
        <v>92150</v>
      </c>
    </row>
    <row r="684" spans="1:13" x14ac:dyDescent="0.3">
      <c r="A684" s="1">
        <f t="shared" si="165"/>
        <v>682</v>
      </c>
      <c r="B684" s="1">
        <v>50</v>
      </c>
      <c r="C684" s="1">
        <f t="shared" si="156"/>
        <v>50</v>
      </c>
      <c r="D684" s="4">
        <v>9900</v>
      </c>
      <c r="E684" s="4">
        <f t="shared" si="157"/>
        <v>802</v>
      </c>
      <c r="F684" s="10">
        <f t="shared" si="158"/>
        <v>6.6299999999999022</v>
      </c>
      <c r="G684" s="9">
        <f t="shared" si="159"/>
        <v>92300</v>
      </c>
      <c r="I684" s="4">
        <f t="shared" si="160"/>
        <v>10000</v>
      </c>
      <c r="J684" s="17">
        <f t="shared" si="161"/>
        <v>5.0000000000000001E-3</v>
      </c>
      <c r="K684" s="17">
        <f t="shared" si="162"/>
        <v>5.0000000000000001E-3</v>
      </c>
      <c r="L684" s="17">
        <f t="shared" si="163"/>
        <v>0.99</v>
      </c>
      <c r="M684" s="4">
        <f t="shared" si="164"/>
        <v>92300</v>
      </c>
    </row>
    <row r="685" spans="1:13" x14ac:dyDescent="0.3">
      <c r="A685" s="1">
        <f t="shared" si="165"/>
        <v>683</v>
      </c>
      <c r="B685" s="1">
        <v>50</v>
      </c>
      <c r="C685" s="1">
        <f t="shared" si="156"/>
        <v>50</v>
      </c>
      <c r="D685" s="4">
        <v>9900</v>
      </c>
      <c r="E685" s="4">
        <f t="shared" si="157"/>
        <v>803</v>
      </c>
      <c r="F685" s="10">
        <f t="shared" si="158"/>
        <v>6.639999999999902</v>
      </c>
      <c r="G685" s="9">
        <f t="shared" si="159"/>
        <v>92450</v>
      </c>
      <c r="I685" s="4">
        <f t="shared" si="160"/>
        <v>10000</v>
      </c>
      <c r="J685" s="17">
        <f t="shared" si="161"/>
        <v>5.0000000000000001E-3</v>
      </c>
      <c r="K685" s="17">
        <f t="shared" si="162"/>
        <v>5.0000000000000001E-3</v>
      </c>
      <c r="L685" s="17">
        <f t="shared" si="163"/>
        <v>0.99</v>
      </c>
      <c r="M685" s="4">
        <f t="shared" si="164"/>
        <v>92450</v>
      </c>
    </row>
    <row r="686" spans="1:13" x14ac:dyDescent="0.3">
      <c r="A686" s="1">
        <f t="shared" si="165"/>
        <v>684</v>
      </c>
      <c r="B686" s="1">
        <v>50</v>
      </c>
      <c r="C686" s="1">
        <f t="shared" si="156"/>
        <v>50</v>
      </c>
      <c r="D686" s="4">
        <v>9900</v>
      </c>
      <c r="E686" s="4">
        <f t="shared" si="157"/>
        <v>804</v>
      </c>
      <c r="F686" s="10">
        <f t="shared" si="158"/>
        <v>6.6499999999999018</v>
      </c>
      <c r="G686" s="9">
        <f t="shared" si="159"/>
        <v>92600</v>
      </c>
      <c r="I686" s="4">
        <f t="shared" si="160"/>
        <v>10000</v>
      </c>
      <c r="J686" s="17">
        <f t="shared" si="161"/>
        <v>5.0000000000000001E-3</v>
      </c>
      <c r="K686" s="17">
        <f t="shared" si="162"/>
        <v>5.0000000000000001E-3</v>
      </c>
      <c r="L686" s="17">
        <f t="shared" si="163"/>
        <v>0.99</v>
      </c>
      <c r="M686" s="4">
        <f t="shared" si="164"/>
        <v>92600</v>
      </c>
    </row>
    <row r="687" spans="1:13" x14ac:dyDescent="0.3">
      <c r="A687" s="1">
        <f t="shared" si="165"/>
        <v>685</v>
      </c>
      <c r="B687" s="1">
        <v>50</v>
      </c>
      <c r="C687" s="1">
        <f t="shared" si="156"/>
        <v>50</v>
      </c>
      <c r="D687" s="4">
        <v>9900</v>
      </c>
      <c r="E687" s="4">
        <f t="shared" si="157"/>
        <v>805</v>
      </c>
      <c r="F687" s="10">
        <f t="shared" si="158"/>
        <v>6.6599999999999016</v>
      </c>
      <c r="G687" s="9">
        <f t="shared" si="159"/>
        <v>92750</v>
      </c>
      <c r="I687" s="4">
        <f t="shared" si="160"/>
        <v>10000</v>
      </c>
      <c r="J687" s="17">
        <f t="shared" si="161"/>
        <v>5.0000000000000001E-3</v>
      </c>
      <c r="K687" s="17">
        <f t="shared" si="162"/>
        <v>5.0000000000000001E-3</v>
      </c>
      <c r="L687" s="17">
        <f t="shared" si="163"/>
        <v>0.99</v>
      </c>
      <c r="M687" s="4">
        <f t="shared" si="164"/>
        <v>92750</v>
      </c>
    </row>
    <row r="688" spans="1:13" x14ac:dyDescent="0.3">
      <c r="A688" s="1">
        <f t="shared" si="165"/>
        <v>686</v>
      </c>
      <c r="B688" s="1">
        <v>50</v>
      </c>
      <c r="C688" s="1">
        <f t="shared" si="156"/>
        <v>50</v>
      </c>
      <c r="D688" s="4">
        <v>9900</v>
      </c>
      <c r="E688" s="4">
        <f t="shared" si="157"/>
        <v>806</v>
      </c>
      <c r="F688" s="10">
        <f t="shared" si="158"/>
        <v>6.6699999999999013</v>
      </c>
      <c r="G688" s="9">
        <f t="shared" si="159"/>
        <v>92900</v>
      </c>
      <c r="I688" s="4">
        <f t="shared" si="160"/>
        <v>10000</v>
      </c>
      <c r="J688" s="17">
        <f t="shared" si="161"/>
        <v>5.0000000000000001E-3</v>
      </c>
      <c r="K688" s="17">
        <f t="shared" si="162"/>
        <v>5.0000000000000001E-3</v>
      </c>
      <c r="L688" s="17">
        <f t="shared" si="163"/>
        <v>0.99</v>
      </c>
      <c r="M688" s="4">
        <f t="shared" si="164"/>
        <v>92900</v>
      </c>
    </row>
    <row r="689" spans="1:13" x14ac:dyDescent="0.3">
      <c r="A689" s="1">
        <f t="shared" si="165"/>
        <v>687</v>
      </c>
      <c r="B689" s="1">
        <v>50</v>
      </c>
      <c r="C689" s="1">
        <f t="shared" si="156"/>
        <v>50</v>
      </c>
      <c r="D689" s="4">
        <v>9900</v>
      </c>
      <c r="E689" s="4">
        <f t="shared" si="157"/>
        <v>807</v>
      </c>
      <c r="F689" s="10">
        <f t="shared" si="158"/>
        <v>6.6799999999999011</v>
      </c>
      <c r="G689" s="9">
        <f t="shared" si="159"/>
        <v>93050</v>
      </c>
      <c r="I689" s="4">
        <f t="shared" si="160"/>
        <v>10000</v>
      </c>
      <c r="J689" s="17">
        <f t="shared" si="161"/>
        <v>5.0000000000000001E-3</v>
      </c>
      <c r="K689" s="17">
        <f t="shared" si="162"/>
        <v>5.0000000000000001E-3</v>
      </c>
      <c r="L689" s="17">
        <f t="shared" si="163"/>
        <v>0.99</v>
      </c>
      <c r="M689" s="4">
        <f t="shared" si="164"/>
        <v>93050</v>
      </c>
    </row>
    <row r="690" spans="1:13" x14ac:dyDescent="0.3">
      <c r="A690" s="1">
        <f t="shared" si="165"/>
        <v>688</v>
      </c>
      <c r="B690" s="1">
        <v>50</v>
      </c>
      <c r="C690" s="1">
        <f t="shared" si="156"/>
        <v>50</v>
      </c>
      <c r="D690" s="4">
        <v>9900</v>
      </c>
      <c r="E690" s="4">
        <f t="shared" si="157"/>
        <v>808</v>
      </c>
      <c r="F690" s="10">
        <f t="shared" si="158"/>
        <v>6.6899999999999009</v>
      </c>
      <c r="G690" s="9">
        <f t="shared" si="159"/>
        <v>93200</v>
      </c>
      <c r="I690" s="4">
        <f t="shared" si="160"/>
        <v>10000</v>
      </c>
      <c r="J690" s="17">
        <f t="shared" si="161"/>
        <v>5.0000000000000001E-3</v>
      </c>
      <c r="K690" s="17">
        <f t="shared" si="162"/>
        <v>5.0000000000000001E-3</v>
      </c>
      <c r="L690" s="17">
        <f t="shared" si="163"/>
        <v>0.99</v>
      </c>
      <c r="M690" s="4">
        <f t="shared" si="164"/>
        <v>93200</v>
      </c>
    </row>
    <row r="691" spans="1:13" x14ac:dyDescent="0.3">
      <c r="A691" s="1">
        <f t="shared" si="165"/>
        <v>689</v>
      </c>
      <c r="B691" s="1">
        <v>50</v>
      </c>
      <c r="C691" s="1">
        <f t="shared" si="156"/>
        <v>50</v>
      </c>
      <c r="D691" s="4">
        <v>9900</v>
      </c>
      <c r="E691" s="4">
        <f t="shared" si="157"/>
        <v>809</v>
      </c>
      <c r="F691" s="10">
        <f t="shared" si="158"/>
        <v>6.6999999999999007</v>
      </c>
      <c r="G691" s="9">
        <f t="shared" si="159"/>
        <v>93350</v>
      </c>
      <c r="I691" s="4">
        <f t="shared" si="160"/>
        <v>10000</v>
      </c>
      <c r="J691" s="17">
        <f t="shared" si="161"/>
        <v>5.0000000000000001E-3</v>
      </c>
      <c r="K691" s="17">
        <f t="shared" si="162"/>
        <v>5.0000000000000001E-3</v>
      </c>
      <c r="L691" s="17">
        <f t="shared" si="163"/>
        <v>0.99</v>
      </c>
      <c r="M691" s="4">
        <f t="shared" si="164"/>
        <v>93350</v>
      </c>
    </row>
    <row r="692" spans="1:13" x14ac:dyDescent="0.3">
      <c r="A692" s="1">
        <f t="shared" si="165"/>
        <v>690</v>
      </c>
      <c r="B692" s="1">
        <v>50</v>
      </c>
      <c r="C692" s="1">
        <f t="shared" si="156"/>
        <v>50</v>
      </c>
      <c r="D692" s="4">
        <v>9900</v>
      </c>
      <c r="E692" s="4">
        <f t="shared" si="157"/>
        <v>810</v>
      </c>
      <c r="F692" s="10">
        <f t="shared" si="158"/>
        <v>6.7099999999999005</v>
      </c>
      <c r="G692" s="9">
        <f t="shared" si="159"/>
        <v>93500</v>
      </c>
      <c r="I692" s="4">
        <f t="shared" si="160"/>
        <v>10000</v>
      </c>
      <c r="J692" s="17">
        <f t="shared" si="161"/>
        <v>5.0000000000000001E-3</v>
      </c>
      <c r="K692" s="17">
        <f t="shared" si="162"/>
        <v>5.0000000000000001E-3</v>
      </c>
      <c r="L692" s="17">
        <f t="shared" si="163"/>
        <v>0.99</v>
      </c>
      <c r="M692" s="4">
        <f t="shared" si="164"/>
        <v>93500</v>
      </c>
    </row>
    <row r="693" spans="1:13" x14ac:dyDescent="0.3">
      <c r="A693" s="1">
        <f t="shared" si="165"/>
        <v>691</v>
      </c>
      <c r="B693" s="1">
        <v>50</v>
      </c>
      <c r="C693" s="1">
        <f t="shared" si="156"/>
        <v>50</v>
      </c>
      <c r="D693" s="4">
        <v>9900</v>
      </c>
      <c r="E693" s="4">
        <f t="shared" si="157"/>
        <v>811</v>
      </c>
      <c r="F693" s="10">
        <f t="shared" si="158"/>
        <v>6.7199999999999003</v>
      </c>
      <c r="G693" s="9">
        <f t="shared" si="159"/>
        <v>93650</v>
      </c>
      <c r="I693" s="4">
        <f t="shared" si="160"/>
        <v>10000</v>
      </c>
      <c r="J693" s="17">
        <f t="shared" si="161"/>
        <v>5.0000000000000001E-3</v>
      </c>
      <c r="K693" s="17">
        <f t="shared" si="162"/>
        <v>5.0000000000000001E-3</v>
      </c>
      <c r="L693" s="17">
        <f t="shared" si="163"/>
        <v>0.99</v>
      </c>
      <c r="M693" s="4">
        <f t="shared" si="164"/>
        <v>93650</v>
      </c>
    </row>
    <row r="694" spans="1:13" x14ac:dyDescent="0.3">
      <c r="A694" s="1">
        <f t="shared" si="165"/>
        <v>692</v>
      </c>
      <c r="B694" s="1">
        <v>50</v>
      </c>
      <c r="C694" s="1">
        <f t="shared" si="156"/>
        <v>50</v>
      </c>
      <c r="D694" s="4">
        <v>9900</v>
      </c>
      <c r="E694" s="4">
        <f t="shared" si="157"/>
        <v>812</v>
      </c>
      <c r="F694" s="10">
        <f t="shared" si="158"/>
        <v>6.7299999999999001</v>
      </c>
      <c r="G694" s="9">
        <f t="shared" si="159"/>
        <v>93800</v>
      </c>
      <c r="I694" s="4">
        <f t="shared" si="160"/>
        <v>10000</v>
      </c>
      <c r="J694" s="17">
        <f t="shared" si="161"/>
        <v>5.0000000000000001E-3</v>
      </c>
      <c r="K694" s="17">
        <f t="shared" si="162"/>
        <v>5.0000000000000001E-3</v>
      </c>
      <c r="L694" s="17">
        <f t="shared" si="163"/>
        <v>0.99</v>
      </c>
      <c r="M694" s="4">
        <f t="shared" si="164"/>
        <v>93800</v>
      </c>
    </row>
    <row r="695" spans="1:13" x14ac:dyDescent="0.3">
      <c r="A695" s="1">
        <f t="shared" si="165"/>
        <v>693</v>
      </c>
      <c r="B695" s="1">
        <v>50</v>
      </c>
      <c r="C695" s="1">
        <f t="shared" si="156"/>
        <v>50</v>
      </c>
      <c r="D695" s="4">
        <v>9900</v>
      </c>
      <c r="E695" s="4">
        <f t="shared" si="157"/>
        <v>813</v>
      </c>
      <c r="F695" s="10">
        <f t="shared" si="158"/>
        <v>6.7399999999998998</v>
      </c>
      <c r="G695" s="9">
        <f t="shared" si="159"/>
        <v>93950</v>
      </c>
      <c r="I695" s="4">
        <f t="shared" si="160"/>
        <v>10000</v>
      </c>
      <c r="J695" s="17">
        <f t="shared" si="161"/>
        <v>5.0000000000000001E-3</v>
      </c>
      <c r="K695" s="17">
        <f t="shared" si="162"/>
        <v>5.0000000000000001E-3</v>
      </c>
      <c r="L695" s="17">
        <f t="shared" si="163"/>
        <v>0.99</v>
      </c>
      <c r="M695" s="4">
        <f t="shared" si="164"/>
        <v>93950</v>
      </c>
    </row>
    <row r="696" spans="1:13" x14ac:dyDescent="0.3">
      <c r="A696" s="1">
        <f t="shared" si="165"/>
        <v>694</v>
      </c>
      <c r="B696" s="1">
        <v>50</v>
      </c>
      <c r="C696" s="1">
        <f t="shared" si="156"/>
        <v>50</v>
      </c>
      <c r="D696" s="4">
        <v>9900</v>
      </c>
      <c r="E696" s="4">
        <f t="shared" si="157"/>
        <v>814</v>
      </c>
      <c r="F696" s="10">
        <f t="shared" si="158"/>
        <v>6.7499999999998996</v>
      </c>
      <c r="G696" s="9">
        <f t="shared" si="159"/>
        <v>94100</v>
      </c>
      <c r="I696" s="4">
        <f t="shared" si="160"/>
        <v>10000</v>
      </c>
      <c r="J696" s="17">
        <f t="shared" si="161"/>
        <v>5.0000000000000001E-3</v>
      </c>
      <c r="K696" s="17">
        <f t="shared" si="162"/>
        <v>5.0000000000000001E-3</v>
      </c>
      <c r="L696" s="17">
        <f t="shared" si="163"/>
        <v>0.99</v>
      </c>
      <c r="M696" s="4">
        <f t="shared" si="164"/>
        <v>94100</v>
      </c>
    </row>
    <row r="697" spans="1:13" x14ac:dyDescent="0.3">
      <c r="A697" s="1">
        <f t="shared" si="165"/>
        <v>695</v>
      </c>
      <c r="B697" s="1">
        <v>50</v>
      </c>
      <c r="C697" s="1">
        <f t="shared" si="156"/>
        <v>50</v>
      </c>
      <c r="D697" s="4">
        <v>9900</v>
      </c>
      <c r="E697" s="4">
        <f t="shared" si="157"/>
        <v>815</v>
      </c>
      <c r="F697" s="10">
        <f t="shared" si="158"/>
        <v>6.7599999999998994</v>
      </c>
      <c r="G697" s="9">
        <f t="shared" si="159"/>
        <v>94250</v>
      </c>
      <c r="I697" s="4">
        <f t="shared" si="160"/>
        <v>10000</v>
      </c>
      <c r="J697" s="17">
        <f t="shared" si="161"/>
        <v>5.0000000000000001E-3</v>
      </c>
      <c r="K697" s="17">
        <f t="shared" si="162"/>
        <v>5.0000000000000001E-3</v>
      </c>
      <c r="L697" s="17">
        <f t="shared" si="163"/>
        <v>0.99</v>
      </c>
      <c r="M697" s="4">
        <f t="shared" si="164"/>
        <v>94250</v>
      </c>
    </row>
    <row r="698" spans="1:13" x14ac:dyDescent="0.3">
      <c r="A698" s="1">
        <f t="shared" si="165"/>
        <v>696</v>
      </c>
      <c r="B698" s="1">
        <v>50</v>
      </c>
      <c r="C698" s="1">
        <f t="shared" si="156"/>
        <v>50</v>
      </c>
      <c r="D698" s="4">
        <v>9900</v>
      </c>
      <c r="E698" s="4">
        <f t="shared" si="157"/>
        <v>816</v>
      </c>
      <c r="F698" s="10">
        <f t="shared" si="158"/>
        <v>6.7699999999998992</v>
      </c>
      <c r="G698" s="9">
        <f t="shared" si="159"/>
        <v>94400</v>
      </c>
      <c r="I698" s="4">
        <f t="shared" si="160"/>
        <v>10000</v>
      </c>
      <c r="J698" s="17">
        <f t="shared" si="161"/>
        <v>5.0000000000000001E-3</v>
      </c>
      <c r="K698" s="17">
        <f t="shared" si="162"/>
        <v>5.0000000000000001E-3</v>
      </c>
      <c r="L698" s="17">
        <f t="shared" si="163"/>
        <v>0.99</v>
      </c>
      <c r="M698" s="4">
        <f t="shared" si="164"/>
        <v>94400</v>
      </c>
    </row>
    <row r="699" spans="1:13" x14ac:dyDescent="0.3">
      <c r="A699" s="1">
        <f t="shared" si="165"/>
        <v>697</v>
      </c>
      <c r="B699" s="1">
        <v>50</v>
      </c>
      <c r="C699" s="1">
        <f t="shared" si="156"/>
        <v>50</v>
      </c>
      <c r="D699" s="4">
        <v>9900</v>
      </c>
      <c r="E699" s="4">
        <f t="shared" si="157"/>
        <v>817</v>
      </c>
      <c r="F699" s="10">
        <f t="shared" si="158"/>
        <v>6.779999999999899</v>
      </c>
      <c r="G699" s="9">
        <f t="shared" si="159"/>
        <v>94550</v>
      </c>
      <c r="I699" s="4">
        <f t="shared" si="160"/>
        <v>10000</v>
      </c>
      <c r="J699" s="17">
        <f t="shared" si="161"/>
        <v>5.0000000000000001E-3</v>
      </c>
      <c r="K699" s="17">
        <f t="shared" si="162"/>
        <v>5.0000000000000001E-3</v>
      </c>
      <c r="L699" s="17">
        <f t="shared" si="163"/>
        <v>0.99</v>
      </c>
      <c r="M699" s="4">
        <f t="shared" si="164"/>
        <v>94550</v>
      </c>
    </row>
    <row r="700" spans="1:13" x14ac:dyDescent="0.3">
      <c r="A700" s="1">
        <f t="shared" si="165"/>
        <v>698</v>
      </c>
      <c r="B700" s="1">
        <v>50</v>
      </c>
      <c r="C700" s="1">
        <f t="shared" si="156"/>
        <v>50</v>
      </c>
      <c r="D700" s="4">
        <v>9900</v>
      </c>
      <c r="E700" s="4">
        <f t="shared" si="157"/>
        <v>818</v>
      </c>
      <c r="F700" s="10">
        <f t="shared" si="158"/>
        <v>6.7899999999998988</v>
      </c>
      <c r="G700" s="9">
        <f t="shared" si="159"/>
        <v>94700</v>
      </c>
      <c r="I700" s="4">
        <f t="shared" si="160"/>
        <v>10000</v>
      </c>
      <c r="J700" s="17">
        <f t="shared" si="161"/>
        <v>5.0000000000000001E-3</v>
      </c>
      <c r="K700" s="17">
        <f t="shared" si="162"/>
        <v>5.0000000000000001E-3</v>
      </c>
      <c r="L700" s="17">
        <f t="shared" si="163"/>
        <v>0.99</v>
      </c>
      <c r="M700" s="4">
        <f t="shared" si="164"/>
        <v>94700</v>
      </c>
    </row>
    <row r="701" spans="1:13" x14ac:dyDescent="0.3">
      <c r="A701" s="1">
        <f t="shared" si="165"/>
        <v>699</v>
      </c>
      <c r="B701" s="1">
        <v>50</v>
      </c>
      <c r="C701" s="1">
        <f t="shared" si="156"/>
        <v>50</v>
      </c>
      <c r="D701" s="4">
        <v>9900</v>
      </c>
      <c r="E701" s="4">
        <f t="shared" si="157"/>
        <v>819</v>
      </c>
      <c r="F701" s="10">
        <f t="shared" si="158"/>
        <v>6.7999999999998986</v>
      </c>
      <c r="G701" s="9">
        <f t="shared" si="159"/>
        <v>94850</v>
      </c>
      <c r="I701" s="4">
        <f t="shared" si="160"/>
        <v>10000</v>
      </c>
      <c r="J701" s="17">
        <f t="shared" si="161"/>
        <v>5.0000000000000001E-3</v>
      </c>
      <c r="K701" s="17">
        <f t="shared" si="162"/>
        <v>5.0000000000000001E-3</v>
      </c>
      <c r="L701" s="17">
        <f t="shared" si="163"/>
        <v>0.99</v>
      </c>
      <c r="M701" s="4">
        <f t="shared" si="164"/>
        <v>94850</v>
      </c>
    </row>
    <row r="702" spans="1:13" x14ac:dyDescent="0.3">
      <c r="A702" s="1">
        <f t="shared" si="165"/>
        <v>700</v>
      </c>
      <c r="B702" s="1">
        <v>50</v>
      </c>
      <c r="C702" s="1">
        <f t="shared" si="156"/>
        <v>50</v>
      </c>
      <c r="D702" s="4">
        <v>9900</v>
      </c>
      <c r="E702" s="4">
        <f t="shared" si="157"/>
        <v>820</v>
      </c>
      <c r="F702" s="10">
        <f t="shared" si="158"/>
        <v>6.8099999999998984</v>
      </c>
      <c r="G702" s="9">
        <f t="shared" si="159"/>
        <v>95000</v>
      </c>
      <c r="I702" s="4">
        <f t="shared" si="160"/>
        <v>10000</v>
      </c>
      <c r="J702" s="17">
        <f t="shared" si="161"/>
        <v>5.0000000000000001E-3</v>
      </c>
      <c r="K702" s="17">
        <f t="shared" si="162"/>
        <v>5.0000000000000001E-3</v>
      </c>
      <c r="L702" s="17">
        <f t="shared" si="163"/>
        <v>0.99</v>
      </c>
      <c r="M702" s="4">
        <f t="shared" si="164"/>
        <v>95000</v>
      </c>
    </row>
    <row r="703" spans="1:13" x14ac:dyDescent="0.3">
      <c r="A703" s="1">
        <f t="shared" si="165"/>
        <v>701</v>
      </c>
      <c r="B703" s="1">
        <v>10</v>
      </c>
      <c r="C703" s="1">
        <f t="shared" si="156"/>
        <v>10</v>
      </c>
      <c r="D703" s="4">
        <v>9980</v>
      </c>
      <c r="E703" s="4">
        <f t="shared" si="157"/>
        <v>821</v>
      </c>
      <c r="F703" s="10">
        <f t="shared" si="158"/>
        <v>6.8199999999998981</v>
      </c>
      <c r="G703" s="9">
        <f t="shared" si="159"/>
        <v>95150</v>
      </c>
      <c r="I703" s="4">
        <f t="shared" si="160"/>
        <v>10000</v>
      </c>
      <c r="J703" s="17">
        <f t="shared" si="161"/>
        <v>1E-3</v>
      </c>
      <c r="K703" s="17">
        <f t="shared" si="162"/>
        <v>1E-3</v>
      </c>
      <c r="L703" s="17">
        <f t="shared" si="163"/>
        <v>0.998</v>
      </c>
      <c r="M703" s="4">
        <f t="shared" si="164"/>
        <v>95150</v>
      </c>
    </row>
    <row r="704" spans="1:13" x14ac:dyDescent="0.3">
      <c r="A704" s="1">
        <f t="shared" si="165"/>
        <v>702</v>
      </c>
      <c r="B704" s="1">
        <v>10</v>
      </c>
      <c r="C704" s="1">
        <f t="shared" si="156"/>
        <v>10</v>
      </c>
      <c r="D704" s="4">
        <v>9980</v>
      </c>
      <c r="E704" s="4">
        <f t="shared" si="157"/>
        <v>822</v>
      </c>
      <c r="F704" s="10">
        <f t="shared" si="158"/>
        <v>6.8299999999998979</v>
      </c>
      <c r="G704" s="9">
        <f t="shared" si="159"/>
        <v>95300</v>
      </c>
      <c r="I704" s="4">
        <f t="shared" si="160"/>
        <v>10000</v>
      </c>
      <c r="J704" s="17">
        <f t="shared" si="161"/>
        <v>1E-3</v>
      </c>
      <c r="K704" s="17">
        <f t="shared" si="162"/>
        <v>1E-3</v>
      </c>
      <c r="L704" s="17">
        <f t="shared" si="163"/>
        <v>0.998</v>
      </c>
      <c r="M704" s="4">
        <f t="shared" si="164"/>
        <v>95300</v>
      </c>
    </row>
    <row r="705" spans="1:13" x14ac:dyDescent="0.3">
      <c r="A705" s="1">
        <f t="shared" si="165"/>
        <v>703</v>
      </c>
      <c r="B705" s="1">
        <v>10</v>
      </c>
      <c r="C705" s="1">
        <f t="shared" si="156"/>
        <v>10</v>
      </c>
      <c r="D705" s="4">
        <v>9980</v>
      </c>
      <c r="E705" s="4">
        <f t="shared" si="157"/>
        <v>823</v>
      </c>
      <c r="F705" s="10">
        <f t="shared" si="158"/>
        <v>6.8399999999998977</v>
      </c>
      <c r="G705" s="9">
        <f t="shared" si="159"/>
        <v>95450</v>
      </c>
      <c r="I705" s="4">
        <f t="shared" si="160"/>
        <v>10000</v>
      </c>
      <c r="J705" s="17">
        <f t="shared" si="161"/>
        <v>1E-3</v>
      </c>
      <c r="K705" s="17">
        <f t="shared" si="162"/>
        <v>1E-3</v>
      </c>
      <c r="L705" s="17">
        <f t="shared" si="163"/>
        <v>0.998</v>
      </c>
      <c r="M705" s="4">
        <f t="shared" si="164"/>
        <v>95450</v>
      </c>
    </row>
    <row r="706" spans="1:13" x14ac:dyDescent="0.3">
      <c r="A706" s="1">
        <f t="shared" si="165"/>
        <v>704</v>
      </c>
      <c r="B706" s="1">
        <v>10</v>
      </c>
      <c r="C706" s="1">
        <f t="shared" si="156"/>
        <v>10</v>
      </c>
      <c r="D706" s="4">
        <v>9980</v>
      </c>
      <c r="E706" s="4">
        <f t="shared" si="157"/>
        <v>824</v>
      </c>
      <c r="F706" s="10">
        <f t="shared" si="158"/>
        <v>6.8499999999998975</v>
      </c>
      <c r="G706" s="9">
        <f t="shared" si="159"/>
        <v>95600</v>
      </c>
      <c r="I706" s="4">
        <f t="shared" si="160"/>
        <v>10000</v>
      </c>
      <c r="J706" s="17">
        <f t="shared" si="161"/>
        <v>1E-3</v>
      </c>
      <c r="K706" s="17">
        <f t="shared" si="162"/>
        <v>1E-3</v>
      </c>
      <c r="L706" s="17">
        <f t="shared" si="163"/>
        <v>0.998</v>
      </c>
      <c r="M706" s="4">
        <f t="shared" si="164"/>
        <v>95600</v>
      </c>
    </row>
    <row r="707" spans="1:13" x14ac:dyDescent="0.3">
      <c r="A707" s="1">
        <f t="shared" si="165"/>
        <v>705</v>
      </c>
      <c r="B707" s="1">
        <v>10</v>
      </c>
      <c r="C707" s="1">
        <f t="shared" ref="C707:C770" si="166">10000-B707-D707</f>
        <v>10</v>
      </c>
      <c r="D707" s="4">
        <v>9980</v>
      </c>
      <c r="E707" s="4">
        <f t="shared" ref="E707:E770" si="167">E706+1</f>
        <v>825</v>
      </c>
      <c r="F707" s="10">
        <f t="shared" ref="F707:F770" si="168">F706+0.01</f>
        <v>6.8599999999998973</v>
      </c>
      <c r="G707" s="9">
        <f t="shared" ref="G707:G770" si="169">G706+150</f>
        <v>95750</v>
      </c>
      <c r="I707" s="4">
        <f t="shared" ref="I707:I770" si="170">SUM(B707:D707)</f>
        <v>10000</v>
      </c>
      <c r="J707" s="17">
        <f t="shared" ref="J707:J770" si="171">B707/10000</f>
        <v>1E-3</v>
      </c>
      <c r="K707" s="17">
        <f t="shared" ref="K707:K770" si="172">C707/10000</f>
        <v>1E-3</v>
      </c>
      <c r="L707" s="17">
        <f t="shared" ref="L707:L770" si="173">D707/10000</f>
        <v>0.998</v>
      </c>
      <c r="M707" s="4">
        <f t="shared" ref="M707:M770" si="174">G707</f>
        <v>95750</v>
      </c>
    </row>
    <row r="708" spans="1:13" x14ac:dyDescent="0.3">
      <c r="A708" s="1">
        <f t="shared" si="165"/>
        <v>706</v>
      </c>
      <c r="B708" s="1">
        <v>10</v>
      </c>
      <c r="C708" s="1">
        <f t="shared" si="166"/>
        <v>10</v>
      </c>
      <c r="D708" s="4">
        <v>9980</v>
      </c>
      <c r="E708" s="4">
        <f t="shared" si="167"/>
        <v>826</v>
      </c>
      <c r="F708" s="10">
        <f t="shared" si="168"/>
        <v>6.8699999999998971</v>
      </c>
      <c r="G708" s="9">
        <f t="shared" si="169"/>
        <v>95900</v>
      </c>
      <c r="I708" s="4">
        <f t="shared" si="170"/>
        <v>10000</v>
      </c>
      <c r="J708" s="17">
        <f t="shared" si="171"/>
        <v>1E-3</v>
      </c>
      <c r="K708" s="17">
        <f t="shared" si="172"/>
        <v>1E-3</v>
      </c>
      <c r="L708" s="17">
        <f t="shared" si="173"/>
        <v>0.998</v>
      </c>
      <c r="M708" s="4">
        <f t="shared" si="174"/>
        <v>95900</v>
      </c>
    </row>
    <row r="709" spans="1:13" x14ac:dyDescent="0.3">
      <c r="A709" s="1">
        <f t="shared" si="165"/>
        <v>707</v>
      </c>
      <c r="B709" s="1">
        <v>10</v>
      </c>
      <c r="C709" s="1">
        <f t="shared" si="166"/>
        <v>10</v>
      </c>
      <c r="D709" s="4">
        <v>9980</v>
      </c>
      <c r="E709" s="4">
        <f t="shared" si="167"/>
        <v>827</v>
      </c>
      <c r="F709" s="10">
        <f t="shared" si="168"/>
        <v>6.8799999999998969</v>
      </c>
      <c r="G709" s="9">
        <f t="shared" si="169"/>
        <v>96050</v>
      </c>
      <c r="I709" s="4">
        <f t="shared" si="170"/>
        <v>10000</v>
      </c>
      <c r="J709" s="17">
        <f t="shared" si="171"/>
        <v>1E-3</v>
      </c>
      <c r="K709" s="17">
        <f t="shared" si="172"/>
        <v>1E-3</v>
      </c>
      <c r="L709" s="17">
        <f t="shared" si="173"/>
        <v>0.998</v>
      </c>
      <c r="M709" s="4">
        <f t="shared" si="174"/>
        <v>96050</v>
      </c>
    </row>
    <row r="710" spans="1:13" x14ac:dyDescent="0.3">
      <c r="A710" s="1">
        <f t="shared" si="165"/>
        <v>708</v>
      </c>
      <c r="B710" s="1">
        <v>10</v>
      </c>
      <c r="C710" s="1">
        <f t="shared" si="166"/>
        <v>10</v>
      </c>
      <c r="D710" s="4">
        <v>9980</v>
      </c>
      <c r="E710" s="4">
        <f t="shared" si="167"/>
        <v>828</v>
      </c>
      <c r="F710" s="10">
        <f t="shared" si="168"/>
        <v>6.8899999999998967</v>
      </c>
      <c r="G710" s="9">
        <f t="shared" si="169"/>
        <v>96200</v>
      </c>
      <c r="I710" s="4">
        <f t="shared" si="170"/>
        <v>10000</v>
      </c>
      <c r="J710" s="17">
        <f t="shared" si="171"/>
        <v>1E-3</v>
      </c>
      <c r="K710" s="17">
        <f t="shared" si="172"/>
        <v>1E-3</v>
      </c>
      <c r="L710" s="17">
        <f t="shared" si="173"/>
        <v>0.998</v>
      </c>
      <c r="M710" s="4">
        <f t="shared" si="174"/>
        <v>96200</v>
      </c>
    </row>
    <row r="711" spans="1:13" x14ac:dyDescent="0.3">
      <c r="A711" s="1">
        <f t="shared" si="165"/>
        <v>709</v>
      </c>
      <c r="B711" s="1">
        <v>10</v>
      </c>
      <c r="C711" s="1">
        <f t="shared" si="166"/>
        <v>10</v>
      </c>
      <c r="D711" s="4">
        <v>9980</v>
      </c>
      <c r="E711" s="4">
        <f t="shared" si="167"/>
        <v>829</v>
      </c>
      <c r="F711" s="10">
        <f t="shared" si="168"/>
        <v>6.8999999999998964</v>
      </c>
      <c r="G711" s="9">
        <f t="shared" si="169"/>
        <v>96350</v>
      </c>
      <c r="I711" s="4">
        <f t="shared" si="170"/>
        <v>10000</v>
      </c>
      <c r="J711" s="17">
        <f t="shared" si="171"/>
        <v>1E-3</v>
      </c>
      <c r="K711" s="17">
        <f t="shared" si="172"/>
        <v>1E-3</v>
      </c>
      <c r="L711" s="17">
        <f t="shared" si="173"/>
        <v>0.998</v>
      </c>
      <c r="M711" s="4">
        <f t="shared" si="174"/>
        <v>96350</v>
      </c>
    </row>
    <row r="712" spans="1:13" x14ac:dyDescent="0.3">
      <c r="A712" s="1">
        <f t="shared" si="165"/>
        <v>710</v>
      </c>
      <c r="B712" s="1">
        <v>10</v>
      </c>
      <c r="C712" s="1">
        <f t="shared" si="166"/>
        <v>10</v>
      </c>
      <c r="D712" s="4">
        <v>9980</v>
      </c>
      <c r="E712" s="4">
        <f t="shared" si="167"/>
        <v>830</v>
      </c>
      <c r="F712" s="10">
        <f t="shared" si="168"/>
        <v>6.9099999999998962</v>
      </c>
      <c r="G712" s="9">
        <f t="shared" si="169"/>
        <v>96500</v>
      </c>
      <c r="I712" s="4">
        <f t="shared" si="170"/>
        <v>10000</v>
      </c>
      <c r="J712" s="17">
        <f t="shared" si="171"/>
        <v>1E-3</v>
      </c>
      <c r="K712" s="17">
        <f t="shared" si="172"/>
        <v>1E-3</v>
      </c>
      <c r="L712" s="17">
        <f t="shared" si="173"/>
        <v>0.998</v>
      </c>
      <c r="M712" s="4">
        <f t="shared" si="174"/>
        <v>96500</v>
      </c>
    </row>
    <row r="713" spans="1:13" x14ac:dyDescent="0.3">
      <c r="A713" s="1">
        <f t="shared" si="165"/>
        <v>711</v>
      </c>
      <c r="B713" s="1">
        <v>10</v>
      </c>
      <c r="C713" s="1">
        <f t="shared" si="166"/>
        <v>10</v>
      </c>
      <c r="D713" s="4">
        <v>9980</v>
      </c>
      <c r="E713" s="4">
        <f t="shared" si="167"/>
        <v>831</v>
      </c>
      <c r="F713" s="10">
        <f t="shared" si="168"/>
        <v>6.919999999999896</v>
      </c>
      <c r="G713" s="9">
        <f t="shared" si="169"/>
        <v>96650</v>
      </c>
      <c r="I713" s="4">
        <f t="shared" si="170"/>
        <v>10000</v>
      </c>
      <c r="J713" s="17">
        <f t="shared" si="171"/>
        <v>1E-3</v>
      </c>
      <c r="K713" s="17">
        <f t="shared" si="172"/>
        <v>1E-3</v>
      </c>
      <c r="L713" s="17">
        <f t="shared" si="173"/>
        <v>0.998</v>
      </c>
      <c r="M713" s="4">
        <f t="shared" si="174"/>
        <v>96650</v>
      </c>
    </row>
    <row r="714" spans="1:13" x14ac:dyDescent="0.3">
      <c r="A714" s="1">
        <f t="shared" si="165"/>
        <v>712</v>
      </c>
      <c r="B714" s="1">
        <v>10</v>
      </c>
      <c r="C714" s="1">
        <f t="shared" si="166"/>
        <v>10</v>
      </c>
      <c r="D714" s="4">
        <v>9980</v>
      </c>
      <c r="E714" s="4">
        <f t="shared" si="167"/>
        <v>832</v>
      </c>
      <c r="F714" s="10">
        <f t="shared" si="168"/>
        <v>6.9299999999998958</v>
      </c>
      <c r="G714" s="9">
        <f t="shared" si="169"/>
        <v>96800</v>
      </c>
      <c r="I714" s="4">
        <f t="shared" si="170"/>
        <v>10000</v>
      </c>
      <c r="J714" s="17">
        <f t="shared" si="171"/>
        <v>1E-3</v>
      </c>
      <c r="K714" s="17">
        <f t="shared" si="172"/>
        <v>1E-3</v>
      </c>
      <c r="L714" s="17">
        <f t="shared" si="173"/>
        <v>0.998</v>
      </c>
      <c r="M714" s="4">
        <f t="shared" si="174"/>
        <v>96800</v>
      </c>
    </row>
    <row r="715" spans="1:13" x14ac:dyDescent="0.3">
      <c r="A715" s="1">
        <f t="shared" si="165"/>
        <v>713</v>
      </c>
      <c r="B715" s="1">
        <v>10</v>
      </c>
      <c r="C715" s="1">
        <f t="shared" si="166"/>
        <v>10</v>
      </c>
      <c r="D715" s="4">
        <v>9980</v>
      </c>
      <c r="E715" s="4">
        <f t="shared" si="167"/>
        <v>833</v>
      </c>
      <c r="F715" s="10">
        <f t="shared" si="168"/>
        <v>6.9399999999998956</v>
      </c>
      <c r="G715" s="9">
        <f t="shared" si="169"/>
        <v>96950</v>
      </c>
      <c r="I715" s="4">
        <f t="shared" si="170"/>
        <v>10000</v>
      </c>
      <c r="J715" s="17">
        <f t="shared" si="171"/>
        <v>1E-3</v>
      </c>
      <c r="K715" s="17">
        <f t="shared" si="172"/>
        <v>1E-3</v>
      </c>
      <c r="L715" s="17">
        <f t="shared" si="173"/>
        <v>0.998</v>
      </c>
      <c r="M715" s="4">
        <f t="shared" si="174"/>
        <v>96950</v>
      </c>
    </row>
    <row r="716" spans="1:13" x14ac:dyDescent="0.3">
      <c r="A716" s="1">
        <f t="shared" si="165"/>
        <v>714</v>
      </c>
      <c r="B716" s="1">
        <v>10</v>
      </c>
      <c r="C716" s="1">
        <f t="shared" si="166"/>
        <v>10</v>
      </c>
      <c r="D716" s="4">
        <v>9980</v>
      </c>
      <c r="E716" s="4">
        <f t="shared" si="167"/>
        <v>834</v>
      </c>
      <c r="F716" s="10">
        <f t="shared" si="168"/>
        <v>6.9499999999998954</v>
      </c>
      <c r="G716" s="9">
        <f t="shared" si="169"/>
        <v>97100</v>
      </c>
      <c r="I716" s="4">
        <f t="shared" si="170"/>
        <v>10000</v>
      </c>
      <c r="J716" s="17">
        <f t="shared" si="171"/>
        <v>1E-3</v>
      </c>
      <c r="K716" s="17">
        <f t="shared" si="172"/>
        <v>1E-3</v>
      </c>
      <c r="L716" s="17">
        <f t="shared" si="173"/>
        <v>0.998</v>
      </c>
      <c r="M716" s="4">
        <f t="shared" si="174"/>
        <v>97100</v>
      </c>
    </row>
    <row r="717" spans="1:13" x14ac:dyDescent="0.3">
      <c r="A717" s="1">
        <f t="shared" si="165"/>
        <v>715</v>
      </c>
      <c r="B717" s="1">
        <v>10</v>
      </c>
      <c r="C717" s="1">
        <f t="shared" si="166"/>
        <v>10</v>
      </c>
      <c r="D717" s="4">
        <v>9980</v>
      </c>
      <c r="E717" s="4">
        <f t="shared" si="167"/>
        <v>835</v>
      </c>
      <c r="F717" s="10">
        <f t="shared" si="168"/>
        <v>6.9599999999998952</v>
      </c>
      <c r="G717" s="9">
        <f t="shared" si="169"/>
        <v>97250</v>
      </c>
      <c r="I717" s="4">
        <f t="shared" si="170"/>
        <v>10000</v>
      </c>
      <c r="J717" s="17">
        <f t="shared" si="171"/>
        <v>1E-3</v>
      </c>
      <c r="K717" s="17">
        <f t="shared" si="172"/>
        <v>1E-3</v>
      </c>
      <c r="L717" s="17">
        <f t="shared" si="173"/>
        <v>0.998</v>
      </c>
      <c r="M717" s="4">
        <f t="shared" si="174"/>
        <v>97250</v>
      </c>
    </row>
    <row r="718" spans="1:13" x14ac:dyDescent="0.3">
      <c r="A718" s="1">
        <f t="shared" si="165"/>
        <v>716</v>
      </c>
      <c r="B718" s="1">
        <v>10</v>
      </c>
      <c r="C718" s="1">
        <f t="shared" si="166"/>
        <v>10</v>
      </c>
      <c r="D718" s="4">
        <v>9980</v>
      </c>
      <c r="E718" s="4">
        <f t="shared" si="167"/>
        <v>836</v>
      </c>
      <c r="F718" s="10">
        <f t="shared" si="168"/>
        <v>6.9699999999998949</v>
      </c>
      <c r="G718" s="9">
        <f t="shared" si="169"/>
        <v>97400</v>
      </c>
      <c r="I718" s="4">
        <f t="shared" si="170"/>
        <v>10000</v>
      </c>
      <c r="J718" s="17">
        <f t="shared" si="171"/>
        <v>1E-3</v>
      </c>
      <c r="K718" s="17">
        <f t="shared" si="172"/>
        <v>1E-3</v>
      </c>
      <c r="L718" s="17">
        <f t="shared" si="173"/>
        <v>0.998</v>
      </c>
      <c r="M718" s="4">
        <f t="shared" si="174"/>
        <v>97400</v>
      </c>
    </row>
    <row r="719" spans="1:13" x14ac:dyDescent="0.3">
      <c r="A719" s="1">
        <f t="shared" si="165"/>
        <v>717</v>
      </c>
      <c r="B719" s="1">
        <v>10</v>
      </c>
      <c r="C719" s="1">
        <f t="shared" si="166"/>
        <v>10</v>
      </c>
      <c r="D719" s="4">
        <v>9980</v>
      </c>
      <c r="E719" s="4">
        <f t="shared" si="167"/>
        <v>837</v>
      </c>
      <c r="F719" s="10">
        <f t="shared" si="168"/>
        <v>6.9799999999998947</v>
      </c>
      <c r="G719" s="9">
        <f t="shared" si="169"/>
        <v>97550</v>
      </c>
      <c r="I719" s="4">
        <f t="shared" si="170"/>
        <v>10000</v>
      </c>
      <c r="J719" s="17">
        <f t="shared" si="171"/>
        <v>1E-3</v>
      </c>
      <c r="K719" s="17">
        <f t="shared" si="172"/>
        <v>1E-3</v>
      </c>
      <c r="L719" s="17">
        <f t="shared" si="173"/>
        <v>0.998</v>
      </c>
      <c r="M719" s="4">
        <f t="shared" si="174"/>
        <v>97550</v>
      </c>
    </row>
    <row r="720" spans="1:13" x14ac:dyDescent="0.3">
      <c r="A720" s="1">
        <f t="shared" si="165"/>
        <v>718</v>
      </c>
      <c r="B720" s="1">
        <v>10</v>
      </c>
      <c r="C720" s="1">
        <f t="shared" si="166"/>
        <v>10</v>
      </c>
      <c r="D720" s="4">
        <v>9980</v>
      </c>
      <c r="E720" s="4">
        <f t="shared" si="167"/>
        <v>838</v>
      </c>
      <c r="F720" s="10">
        <f t="shared" si="168"/>
        <v>6.9899999999998945</v>
      </c>
      <c r="G720" s="9">
        <f t="shared" si="169"/>
        <v>97700</v>
      </c>
      <c r="I720" s="4">
        <f t="shared" si="170"/>
        <v>10000</v>
      </c>
      <c r="J720" s="17">
        <f t="shared" si="171"/>
        <v>1E-3</v>
      </c>
      <c r="K720" s="17">
        <f t="shared" si="172"/>
        <v>1E-3</v>
      </c>
      <c r="L720" s="17">
        <f t="shared" si="173"/>
        <v>0.998</v>
      </c>
      <c r="M720" s="4">
        <f t="shared" si="174"/>
        <v>97700</v>
      </c>
    </row>
    <row r="721" spans="1:13" x14ac:dyDescent="0.3">
      <c r="A721" s="1">
        <f t="shared" si="165"/>
        <v>719</v>
      </c>
      <c r="B721" s="1">
        <v>10</v>
      </c>
      <c r="C721" s="1">
        <f t="shared" si="166"/>
        <v>10</v>
      </c>
      <c r="D721" s="4">
        <v>9980</v>
      </c>
      <c r="E721" s="4">
        <f t="shared" si="167"/>
        <v>839</v>
      </c>
      <c r="F721" s="10">
        <f t="shared" si="168"/>
        <v>6.9999999999998943</v>
      </c>
      <c r="G721" s="9">
        <f t="shared" si="169"/>
        <v>97850</v>
      </c>
      <c r="I721" s="4">
        <f t="shared" si="170"/>
        <v>10000</v>
      </c>
      <c r="J721" s="17">
        <f t="shared" si="171"/>
        <v>1E-3</v>
      </c>
      <c r="K721" s="17">
        <f t="shared" si="172"/>
        <v>1E-3</v>
      </c>
      <c r="L721" s="17">
        <f t="shared" si="173"/>
        <v>0.998</v>
      </c>
      <c r="M721" s="4">
        <f t="shared" si="174"/>
        <v>97850</v>
      </c>
    </row>
    <row r="722" spans="1:13" x14ac:dyDescent="0.3">
      <c r="A722" s="1">
        <f t="shared" si="165"/>
        <v>720</v>
      </c>
      <c r="B722" s="1">
        <v>10</v>
      </c>
      <c r="C722" s="1">
        <f t="shared" si="166"/>
        <v>10</v>
      </c>
      <c r="D722" s="4">
        <v>9980</v>
      </c>
      <c r="E722" s="4">
        <f t="shared" si="167"/>
        <v>840</v>
      </c>
      <c r="F722" s="10">
        <f t="shared" si="168"/>
        <v>7.0099999999998941</v>
      </c>
      <c r="G722" s="9">
        <f t="shared" si="169"/>
        <v>98000</v>
      </c>
      <c r="I722" s="4">
        <f t="shared" si="170"/>
        <v>10000</v>
      </c>
      <c r="J722" s="17">
        <f t="shared" si="171"/>
        <v>1E-3</v>
      </c>
      <c r="K722" s="17">
        <f t="shared" si="172"/>
        <v>1E-3</v>
      </c>
      <c r="L722" s="17">
        <f t="shared" si="173"/>
        <v>0.998</v>
      </c>
      <c r="M722" s="4">
        <f t="shared" si="174"/>
        <v>98000</v>
      </c>
    </row>
    <row r="723" spans="1:13" x14ac:dyDescent="0.3">
      <c r="A723" s="1">
        <f t="shared" si="165"/>
        <v>721</v>
      </c>
      <c r="B723" s="1">
        <v>10</v>
      </c>
      <c r="C723" s="1">
        <f t="shared" si="166"/>
        <v>10</v>
      </c>
      <c r="D723" s="4">
        <v>9980</v>
      </c>
      <c r="E723" s="4">
        <f t="shared" si="167"/>
        <v>841</v>
      </c>
      <c r="F723" s="10">
        <f t="shared" si="168"/>
        <v>7.0199999999998939</v>
      </c>
      <c r="G723" s="9">
        <f t="shared" si="169"/>
        <v>98150</v>
      </c>
      <c r="I723" s="4">
        <f t="shared" si="170"/>
        <v>10000</v>
      </c>
      <c r="J723" s="17">
        <f t="shared" si="171"/>
        <v>1E-3</v>
      </c>
      <c r="K723" s="17">
        <f t="shared" si="172"/>
        <v>1E-3</v>
      </c>
      <c r="L723" s="17">
        <f t="shared" si="173"/>
        <v>0.998</v>
      </c>
      <c r="M723" s="4">
        <f t="shared" si="174"/>
        <v>98150</v>
      </c>
    </row>
    <row r="724" spans="1:13" x14ac:dyDescent="0.3">
      <c r="A724" s="1">
        <f t="shared" si="165"/>
        <v>722</v>
      </c>
      <c r="B724" s="1">
        <v>10</v>
      </c>
      <c r="C724" s="1">
        <f t="shared" si="166"/>
        <v>10</v>
      </c>
      <c r="D724" s="4">
        <v>9980</v>
      </c>
      <c r="E724" s="4">
        <f t="shared" si="167"/>
        <v>842</v>
      </c>
      <c r="F724" s="10">
        <f t="shared" si="168"/>
        <v>7.0299999999998937</v>
      </c>
      <c r="G724" s="9">
        <f t="shared" si="169"/>
        <v>98300</v>
      </c>
      <c r="I724" s="4">
        <f t="shared" si="170"/>
        <v>10000</v>
      </c>
      <c r="J724" s="17">
        <f t="shared" si="171"/>
        <v>1E-3</v>
      </c>
      <c r="K724" s="17">
        <f t="shared" si="172"/>
        <v>1E-3</v>
      </c>
      <c r="L724" s="17">
        <f t="shared" si="173"/>
        <v>0.998</v>
      </c>
      <c r="M724" s="4">
        <f t="shared" si="174"/>
        <v>98300</v>
      </c>
    </row>
    <row r="725" spans="1:13" x14ac:dyDescent="0.3">
      <c r="A725" s="1">
        <f t="shared" si="165"/>
        <v>723</v>
      </c>
      <c r="B725" s="1">
        <v>10</v>
      </c>
      <c r="C725" s="1">
        <f t="shared" si="166"/>
        <v>10</v>
      </c>
      <c r="D725" s="4">
        <v>9980</v>
      </c>
      <c r="E725" s="4">
        <f t="shared" si="167"/>
        <v>843</v>
      </c>
      <c r="F725" s="10">
        <f t="shared" si="168"/>
        <v>7.0399999999998935</v>
      </c>
      <c r="G725" s="9">
        <f t="shared" si="169"/>
        <v>98450</v>
      </c>
      <c r="I725" s="4">
        <f t="shared" si="170"/>
        <v>10000</v>
      </c>
      <c r="J725" s="17">
        <f t="shared" si="171"/>
        <v>1E-3</v>
      </c>
      <c r="K725" s="17">
        <f t="shared" si="172"/>
        <v>1E-3</v>
      </c>
      <c r="L725" s="17">
        <f t="shared" si="173"/>
        <v>0.998</v>
      </c>
      <c r="M725" s="4">
        <f t="shared" si="174"/>
        <v>98450</v>
      </c>
    </row>
    <row r="726" spans="1:13" x14ac:dyDescent="0.3">
      <c r="A726" s="1">
        <f t="shared" si="165"/>
        <v>724</v>
      </c>
      <c r="B726" s="1">
        <v>10</v>
      </c>
      <c r="C726" s="1">
        <f t="shared" si="166"/>
        <v>10</v>
      </c>
      <c r="D726" s="4">
        <v>9980</v>
      </c>
      <c r="E726" s="4">
        <f t="shared" si="167"/>
        <v>844</v>
      </c>
      <c r="F726" s="10">
        <f t="shared" si="168"/>
        <v>7.0499999999998932</v>
      </c>
      <c r="G726" s="9">
        <f t="shared" si="169"/>
        <v>98600</v>
      </c>
      <c r="I726" s="4">
        <f t="shared" si="170"/>
        <v>10000</v>
      </c>
      <c r="J726" s="17">
        <f t="shared" si="171"/>
        <v>1E-3</v>
      </c>
      <c r="K726" s="17">
        <f t="shared" si="172"/>
        <v>1E-3</v>
      </c>
      <c r="L726" s="17">
        <f t="shared" si="173"/>
        <v>0.998</v>
      </c>
      <c r="M726" s="4">
        <f t="shared" si="174"/>
        <v>98600</v>
      </c>
    </row>
    <row r="727" spans="1:13" x14ac:dyDescent="0.3">
      <c r="A727" s="1">
        <f t="shared" si="165"/>
        <v>725</v>
      </c>
      <c r="B727" s="1">
        <v>10</v>
      </c>
      <c r="C727" s="1">
        <f t="shared" si="166"/>
        <v>10</v>
      </c>
      <c r="D727" s="4">
        <v>9980</v>
      </c>
      <c r="E727" s="4">
        <f t="shared" si="167"/>
        <v>845</v>
      </c>
      <c r="F727" s="10">
        <f t="shared" si="168"/>
        <v>7.059999999999893</v>
      </c>
      <c r="G727" s="9">
        <f t="shared" si="169"/>
        <v>98750</v>
      </c>
      <c r="I727" s="4">
        <f t="shared" si="170"/>
        <v>10000</v>
      </c>
      <c r="J727" s="17">
        <f t="shared" si="171"/>
        <v>1E-3</v>
      </c>
      <c r="K727" s="17">
        <f t="shared" si="172"/>
        <v>1E-3</v>
      </c>
      <c r="L727" s="17">
        <f t="shared" si="173"/>
        <v>0.998</v>
      </c>
      <c r="M727" s="4">
        <f t="shared" si="174"/>
        <v>98750</v>
      </c>
    </row>
    <row r="728" spans="1:13" x14ac:dyDescent="0.3">
      <c r="A728" s="1">
        <f t="shared" si="165"/>
        <v>726</v>
      </c>
      <c r="B728" s="1">
        <v>10</v>
      </c>
      <c r="C728" s="1">
        <f t="shared" si="166"/>
        <v>10</v>
      </c>
      <c r="D728" s="4">
        <v>9980</v>
      </c>
      <c r="E728" s="4">
        <f t="shared" si="167"/>
        <v>846</v>
      </c>
      <c r="F728" s="10">
        <f t="shared" si="168"/>
        <v>7.0699999999998928</v>
      </c>
      <c r="G728" s="9">
        <f t="shared" si="169"/>
        <v>98900</v>
      </c>
      <c r="I728" s="4">
        <f t="shared" si="170"/>
        <v>10000</v>
      </c>
      <c r="J728" s="17">
        <f t="shared" si="171"/>
        <v>1E-3</v>
      </c>
      <c r="K728" s="17">
        <f t="shared" si="172"/>
        <v>1E-3</v>
      </c>
      <c r="L728" s="17">
        <f t="shared" si="173"/>
        <v>0.998</v>
      </c>
      <c r="M728" s="4">
        <f t="shared" si="174"/>
        <v>98900</v>
      </c>
    </row>
    <row r="729" spans="1:13" x14ac:dyDescent="0.3">
      <c r="A729" s="1">
        <f t="shared" si="165"/>
        <v>727</v>
      </c>
      <c r="B729" s="1">
        <v>10</v>
      </c>
      <c r="C729" s="1">
        <f t="shared" si="166"/>
        <v>10</v>
      </c>
      <c r="D729" s="4">
        <v>9980</v>
      </c>
      <c r="E729" s="4">
        <f t="shared" si="167"/>
        <v>847</v>
      </c>
      <c r="F729" s="10">
        <f t="shared" si="168"/>
        <v>7.0799999999998926</v>
      </c>
      <c r="G729" s="9">
        <f t="shared" si="169"/>
        <v>99050</v>
      </c>
      <c r="I729" s="4">
        <f t="shared" si="170"/>
        <v>10000</v>
      </c>
      <c r="J729" s="17">
        <f t="shared" si="171"/>
        <v>1E-3</v>
      </c>
      <c r="K729" s="17">
        <f t="shared" si="172"/>
        <v>1E-3</v>
      </c>
      <c r="L729" s="17">
        <f t="shared" si="173"/>
        <v>0.998</v>
      </c>
      <c r="M729" s="4">
        <f t="shared" si="174"/>
        <v>99050</v>
      </c>
    </row>
    <row r="730" spans="1:13" x14ac:dyDescent="0.3">
      <c r="A730" s="1">
        <f t="shared" si="165"/>
        <v>728</v>
      </c>
      <c r="B730" s="1">
        <v>10</v>
      </c>
      <c r="C730" s="1">
        <f t="shared" si="166"/>
        <v>10</v>
      </c>
      <c r="D730" s="4">
        <v>9980</v>
      </c>
      <c r="E730" s="4">
        <f t="shared" si="167"/>
        <v>848</v>
      </c>
      <c r="F730" s="10">
        <f t="shared" si="168"/>
        <v>7.0899999999998924</v>
      </c>
      <c r="G730" s="9">
        <f t="shared" si="169"/>
        <v>99200</v>
      </c>
      <c r="I730" s="4">
        <f t="shared" si="170"/>
        <v>10000</v>
      </c>
      <c r="J730" s="17">
        <f t="shared" si="171"/>
        <v>1E-3</v>
      </c>
      <c r="K730" s="17">
        <f t="shared" si="172"/>
        <v>1E-3</v>
      </c>
      <c r="L730" s="17">
        <f t="shared" si="173"/>
        <v>0.998</v>
      </c>
      <c r="M730" s="4">
        <f t="shared" si="174"/>
        <v>99200</v>
      </c>
    </row>
    <row r="731" spans="1:13" x14ac:dyDescent="0.3">
      <c r="A731" s="1">
        <f t="shared" si="165"/>
        <v>729</v>
      </c>
      <c r="B731" s="1">
        <v>10</v>
      </c>
      <c r="C731" s="1">
        <f t="shared" si="166"/>
        <v>10</v>
      </c>
      <c r="D731" s="4">
        <v>9980</v>
      </c>
      <c r="E731" s="4">
        <f t="shared" si="167"/>
        <v>849</v>
      </c>
      <c r="F731" s="10">
        <f t="shared" si="168"/>
        <v>7.0999999999998922</v>
      </c>
      <c r="G731" s="9">
        <f t="shared" si="169"/>
        <v>99350</v>
      </c>
      <c r="I731" s="4">
        <f t="shared" si="170"/>
        <v>10000</v>
      </c>
      <c r="J731" s="17">
        <f t="shared" si="171"/>
        <v>1E-3</v>
      </c>
      <c r="K731" s="17">
        <f t="shared" si="172"/>
        <v>1E-3</v>
      </c>
      <c r="L731" s="17">
        <f t="shared" si="173"/>
        <v>0.998</v>
      </c>
      <c r="M731" s="4">
        <f t="shared" si="174"/>
        <v>99350</v>
      </c>
    </row>
    <row r="732" spans="1:13" x14ac:dyDescent="0.3">
      <c r="A732" s="1">
        <f t="shared" si="165"/>
        <v>730</v>
      </c>
      <c r="B732" s="1">
        <v>10</v>
      </c>
      <c r="C732" s="1">
        <f t="shared" si="166"/>
        <v>10</v>
      </c>
      <c r="D732" s="4">
        <v>9980</v>
      </c>
      <c r="E732" s="4">
        <f t="shared" si="167"/>
        <v>850</v>
      </c>
      <c r="F732" s="10">
        <f t="shared" si="168"/>
        <v>7.109999999999892</v>
      </c>
      <c r="G732" s="9">
        <f t="shared" si="169"/>
        <v>99500</v>
      </c>
      <c r="I732" s="4">
        <f t="shared" si="170"/>
        <v>10000</v>
      </c>
      <c r="J732" s="17">
        <f t="shared" si="171"/>
        <v>1E-3</v>
      </c>
      <c r="K732" s="17">
        <f t="shared" si="172"/>
        <v>1E-3</v>
      </c>
      <c r="L732" s="17">
        <f t="shared" si="173"/>
        <v>0.998</v>
      </c>
      <c r="M732" s="4">
        <f t="shared" si="174"/>
        <v>99500</v>
      </c>
    </row>
    <row r="733" spans="1:13" x14ac:dyDescent="0.3">
      <c r="A733" s="1">
        <f t="shared" si="165"/>
        <v>731</v>
      </c>
      <c r="B733" s="1">
        <v>10</v>
      </c>
      <c r="C733" s="1">
        <f t="shared" si="166"/>
        <v>10</v>
      </c>
      <c r="D733" s="4">
        <v>9980</v>
      </c>
      <c r="E733" s="4">
        <f t="shared" si="167"/>
        <v>851</v>
      </c>
      <c r="F733" s="10">
        <f t="shared" si="168"/>
        <v>7.1199999999998917</v>
      </c>
      <c r="G733" s="9">
        <f t="shared" si="169"/>
        <v>99650</v>
      </c>
      <c r="I733" s="4">
        <f t="shared" si="170"/>
        <v>10000</v>
      </c>
      <c r="J733" s="17">
        <f t="shared" si="171"/>
        <v>1E-3</v>
      </c>
      <c r="K733" s="17">
        <f t="shared" si="172"/>
        <v>1E-3</v>
      </c>
      <c r="L733" s="17">
        <f t="shared" si="173"/>
        <v>0.998</v>
      </c>
      <c r="M733" s="4">
        <f t="shared" si="174"/>
        <v>99650</v>
      </c>
    </row>
    <row r="734" spans="1:13" x14ac:dyDescent="0.3">
      <c r="A734" s="1">
        <f t="shared" si="165"/>
        <v>732</v>
      </c>
      <c r="B734" s="1">
        <v>10</v>
      </c>
      <c r="C734" s="1">
        <f t="shared" si="166"/>
        <v>10</v>
      </c>
      <c r="D734" s="4">
        <v>9980</v>
      </c>
      <c r="E734" s="4">
        <f t="shared" si="167"/>
        <v>852</v>
      </c>
      <c r="F734" s="10">
        <f t="shared" si="168"/>
        <v>7.1299999999998915</v>
      </c>
      <c r="G734" s="9">
        <f t="shared" si="169"/>
        <v>99800</v>
      </c>
      <c r="I734" s="4">
        <f t="shared" si="170"/>
        <v>10000</v>
      </c>
      <c r="J734" s="17">
        <f t="shared" si="171"/>
        <v>1E-3</v>
      </c>
      <c r="K734" s="17">
        <f t="shared" si="172"/>
        <v>1E-3</v>
      </c>
      <c r="L734" s="17">
        <f t="shared" si="173"/>
        <v>0.998</v>
      </c>
      <c r="M734" s="4">
        <f t="shared" si="174"/>
        <v>99800</v>
      </c>
    </row>
    <row r="735" spans="1:13" x14ac:dyDescent="0.3">
      <c r="A735" s="1">
        <f t="shared" ref="A735:A798" si="175">A734+1</f>
        <v>733</v>
      </c>
      <c r="B735" s="1">
        <v>10</v>
      </c>
      <c r="C735" s="1">
        <f t="shared" si="166"/>
        <v>10</v>
      </c>
      <c r="D735" s="4">
        <v>9980</v>
      </c>
      <c r="E735" s="4">
        <f t="shared" si="167"/>
        <v>853</v>
      </c>
      <c r="F735" s="10">
        <f t="shared" si="168"/>
        <v>7.1399999999998913</v>
      </c>
      <c r="G735" s="9">
        <f t="shared" si="169"/>
        <v>99950</v>
      </c>
      <c r="I735" s="4">
        <f t="shared" si="170"/>
        <v>10000</v>
      </c>
      <c r="J735" s="17">
        <f t="shared" si="171"/>
        <v>1E-3</v>
      </c>
      <c r="K735" s="17">
        <f t="shared" si="172"/>
        <v>1E-3</v>
      </c>
      <c r="L735" s="17">
        <f t="shared" si="173"/>
        <v>0.998</v>
      </c>
      <c r="M735" s="4">
        <f t="shared" si="174"/>
        <v>99950</v>
      </c>
    </row>
    <row r="736" spans="1:13" x14ac:dyDescent="0.3">
      <c r="A736" s="1">
        <f t="shared" si="175"/>
        <v>734</v>
      </c>
      <c r="B736" s="1">
        <v>10</v>
      </c>
      <c r="C736" s="1">
        <f t="shared" si="166"/>
        <v>10</v>
      </c>
      <c r="D736" s="4">
        <v>9980</v>
      </c>
      <c r="E736" s="4">
        <f t="shared" si="167"/>
        <v>854</v>
      </c>
      <c r="F736" s="10">
        <f t="shared" si="168"/>
        <v>7.1499999999998911</v>
      </c>
      <c r="G736" s="9">
        <f t="shared" si="169"/>
        <v>100100</v>
      </c>
      <c r="I736" s="4">
        <f t="shared" si="170"/>
        <v>10000</v>
      </c>
      <c r="J736" s="17">
        <f t="shared" si="171"/>
        <v>1E-3</v>
      </c>
      <c r="K736" s="17">
        <f t="shared" si="172"/>
        <v>1E-3</v>
      </c>
      <c r="L736" s="17">
        <f t="shared" si="173"/>
        <v>0.998</v>
      </c>
      <c r="M736" s="4">
        <f t="shared" si="174"/>
        <v>100100</v>
      </c>
    </row>
    <row r="737" spans="1:13" x14ac:dyDescent="0.3">
      <c r="A737" s="1">
        <f t="shared" si="175"/>
        <v>735</v>
      </c>
      <c r="B737" s="1">
        <v>10</v>
      </c>
      <c r="C737" s="1">
        <f t="shared" si="166"/>
        <v>10</v>
      </c>
      <c r="D737" s="4">
        <v>9980</v>
      </c>
      <c r="E737" s="4">
        <f t="shared" si="167"/>
        <v>855</v>
      </c>
      <c r="F737" s="10">
        <f t="shared" si="168"/>
        <v>7.1599999999998909</v>
      </c>
      <c r="G737" s="9">
        <f t="shared" si="169"/>
        <v>100250</v>
      </c>
      <c r="I737" s="4">
        <f t="shared" si="170"/>
        <v>10000</v>
      </c>
      <c r="J737" s="17">
        <f t="shared" si="171"/>
        <v>1E-3</v>
      </c>
      <c r="K737" s="17">
        <f t="shared" si="172"/>
        <v>1E-3</v>
      </c>
      <c r="L737" s="17">
        <f t="shared" si="173"/>
        <v>0.998</v>
      </c>
      <c r="M737" s="4">
        <f t="shared" si="174"/>
        <v>100250</v>
      </c>
    </row>
    <row r="738" spans="1:13" x14ac:dyDescent="0.3">
      <c r="A738" s="1">
        <f t="shared" si="175"/>
        <v>736</v>
      </c>
      <c r="B738" s="1">
        <v>10</v>
      </c>
      <c r="C738" s="1">
        <f t="shared" si="166"/>
        <v>10</v>
      </c>
      <c r="D738" s="4">
        <v>9980</v>
      </c>
      <c r="E738" s="4">
        <f t="shared" si="167"/>
        <v>856</v>
      </c>
      <c r="F738" s="10">
        <f t="shared" si="168"/>
        <v>7.1699999999998907</v>
      </c>
      <c r="G738" s="9">
        <f t="shared" si="169"/>
        <v>100400</v>
      </c>
      <c r="I738" s="4">
        <f t="shared" si="170"/>
        <v>10000</v>
      </c>
      <c r="J738" s="17">
        <f t="shared" si="171"/>
        <v>1E-3</v>
      </c>
      <c r="K738" s="17">
        <f t="shared" si="172"/>
        <v>1E-3</v>
      </c>
      <c r="L738" s="17">
        <f t="shared" si="173"/>
        <v>0.998</v>
      </c>
      <c r="M738" s="4">
        <f t="shared" si="174"/>
        <v>100400</v>
      </c>
    </row>
    <row r="739" spans="1:13" x14ac:dyDescent="0.3">
      <c r="A739" s="1">
        <f t="shared" si="175"/>
        <v>737</v>
      </c>
      <c r="B739" s="1">
        <v>10</v>
      </c>
      <c r="C739" s="1">
        <f t="shared" si="166"/>
        <v>10</v>
      </c>
      <c r="D739" s="4">
        <v>9980</v>
      </c>
      <c r="E739" s="4">
        <f t="shared" si="167"/>
        <v>857</v>
      </c>
      <c r="F739" s="10">
        <f t="shared" si="168"/>
        <v>7.1799999999998905</v>
      </c>
      <c r="G739" s="9">
        <f t="shared" si="169"/>
        <v>100550</v>
      </c>
      <c r="I739" s="4">
        <f t="shared" si="170"/>
        <v>10000</v>
      </c>
      <c r="J739" s="17">
        <f t="shared" si="171"/>
        <v>1E-3</v>
      </c>
      <c r="K739" s="17">
        <f t="shared" si="172"/>
        <v>1E-3</v>
      </c>
      <c r="L739" s="17">
        <f t="shared" si="173"/>
        <v>0.998</v>
      </c>
      <c r="M739" s="4">
        <f t="shared" si="174"/>
        <v>100550</v>
      </c>
    </row>
    <row r="740" spans="1:13" x14ac:dyDescent="0.3">
      <c r="A740" s="1">
        <f t="shared" si="175"/>
        <v>738</v>
      </c>
      <c r="B740" s="1">
        <v>10</v>
      </c>
      <c r="C740" s="1">
        <f t="shared" si="166"/>
        <v>10</v>
      </c>
      <c r="D740" s="4">
        <v>9980</v>
      </c>
      <c r="E740" s="4">
        <f t="shared" si="167"/>
        <v>858</v>
      </c>
      <c r="F740" s="10">
        <f t="shared" si="168"/>
        <v>7.1899999999998903</v>
      </c>
      <c r="G740" s="9">
        <f t="shared" si="169"/>
        <v>100700</v>
      </c>
      <c r="I740" s="4">
        <f t="shared" si="170"/>
        <v>10000</v>
      </c>
      <c r="J740" s="17">
        <f t="shared" si="171"/>
        <v>1E-3</v>
      </c>
      <c r="K740" s="17">
        <f t="shared" si="172"/>
        <v>1E-3</v>
      </c>
      <c r="L740" s="17">
        <f t="shared" si="173"/>
        <v>0.998</v>
      </c>
      <c r="M740" s="4">
        <f t="shared" si="174"/>
        <v>100700</v>
      </c>
    </row>
    <row r="741" spans="1:13" x14ac:dyDescent="0.3">
      <c r="A741" s="1">
        <f t="shared" si="175"/>
        <v>739</v>
      </c>
      <c r="B741" s="1">
        <v>10</v>
      </c>
      <c r="C741" s="1">
        <f t="shared" si="166"/>
        <v>10</v>
      </c>
      <c r="D741" s="4">
        <v>9980</v>
      </c>
      <c r="E741" s="4">
        <f t="shared" si="167"/>
        <v>859</v>
      </c>
      <c r="F741" s="10">
        <f t="shared" si="168"/>
        <v>7.19999999999989</v>
      </c>
      <c r="G741" s="9">
        <f t="shared" si="169"/>
        <v>100850</v>
      </c>
      <c r="I741" s="4">
        <f t="shared" si="170"/>
        <v>10000</v>
      </c>
      <c r="J741" s="17">
        <f t="shared" si="171"/>
        <v>1E-3</v>
      </c>
      <c r="K741" s="17">
        <f t="shared" si="172"/>
        <v>1E-3</v>
      </c>
      <c r="L741" s="17">
        <f t="shared" si="173"/>
        <v>0.998</v>
      </c>
      <c r="M741" s="4">
        <f t="shared" si="174"/>
        <v>100850</v>
      </c>
    </row>
    <row r="742" spans="1:13" x14ac:dyDescent="0.3">
      <c r="A742" s="1">
        <f t="shared" si="175"/>
        <v>740</v>
      </c>
      <c r="B742" s="1">
        <v>10</v>
      </c>
      <c r="C742" s="1">
        <f t="shared" si="166"/>
        <v>10</v>
      </c>
      <c r="D742" s="4">
        <v>9980</v>
      </c>
      <c r="E742" s="4">
        <f t="shared" si="167"/>
        <v>860</v>
      </c>
      <c r="F742" s="10">
        <f t="shared" si="168"/>
        <v>7.2099999999998898</v>
      </c>
      <c r="G742" s="9">
        <f t="shared" si="169"/>
        <v>101000</v>
      </c>
      <c r="I742" s="4">
        <f t="shared" si="170"/>
        <v>10000</v>
      </c>
      <c r="J742" s="17">
        <f t="shared" si="171"/>
        <v>1E-3</v>
      </c>
      <c r="K742" s="17">
        <f t="shared" si="172"/>
        <v>1E-3</v>
      </c>
      <c r="L742" s="17">
        <f t="shared" si="173"/>
        <v>0.998</v>
      </c>
      <c r="M742" s="4">
        <f t="shared" si="174"/>
        <v>101000</v>
      </c>
    </row>
    <row r="743" spans="1:13" x14ac:dyDescent="0.3">
      <c r="A743" s="1">
        <f t="shared" si="175"/>
        <v>741</v>
      </c>
      <c r="B743" s="1">
        <v>10</v>
      </c>
      <c r="C743" s="1">
        <f t="shared" si="166"/>
        <v>10</v>
      </c>
      <c r="D743" s="4">
        <v>9980</v>
      </c>
      <c r="E743" s="4">
        <f t="shared" si="167"/>
        <v>861</v>
      </c>
      <c r="F743" s="10">
        <f t="shared" si="168"/>
        <v>7.2199999999998896</v>
      </c>
      <c r="G743" s="9">
        <f t="shared" si="169"/>
        <v>101150</v>
      </c>
      <c r="I743" s="4">
        <f t="shared" si="170"/>
        <v>10000</v>
      </c>
      <c r="J743" s="17">
        <f t="shared" si="171"/>
        <v>1E-3</v>
      </c>
      <c r="K743" s="17">
        <f t="shared" si="172"/>
        <v>1E-3</v>
      </c>
      <c r="L743" s="17">
        <f t="shared" si="173"/>
        <v>0.998</v>
      </c>
      <c r="M743" s="4">
        <f t="shared" si="174"/>
        <v>101150</v>
      </c>
    </row>
    <row r="744" spans="1:13" x14ac:dyDescent="0.3">
      <c r="A744" s="1">
        <f t="shared" si="175"/>
        <v>742</v>
      </c>
      <c r="B744" s="1">
        <v>10</v>
      </c>
      <c r="C744" s="1">
        <f t="shared" si="166"/>
        <v>10</v>
      </c>
      <c r="D744" s="4">
        <v>9980</v>
      </c>
      <c r="E744" s="4">
        <f t="shared" si="167"/>
        <v>862</v>
      </c>
      <c r="F744" s="10">
        <f t="shared" si="168"/>
        <v>7.2299999999998894</v>
      </c>
      <c r="G744" s="9">
        <f t="shared" si="169"/>
        <v>101300</v>
      </c>
      <c r="I744" s="4">
        <f t="shared" si="170"/>
        <v>10000</v>
      </c>
      <c r="J744" s="17">
        <f t="shared" si="171"/>
        <v>1E-3</v>
      </c>
      <c r="K744" s="17">
        <f t="shared" si="172"/>
        <v>1E-3</v>
      </c>
      <c r="L744" s="17">
        <f t="shared" si="173"/>
        <v>0.998</v>
      </c>
      <c r="M744" s="4">
        <f t="shared" si="174"/>
        <v>101300</v>
      </c>
    </row>
    <row r="745" spans="1:13" x14ac:dyDescent="0.3">
      <c r="A745" s="1">
        <f t="shared" si="175"/>
        <v>743</v>
      </c>
      <c r="B745" s="1">
        <v>10</v>
      </c>
      <c r="C745" s="1">
        <f t="shared" si="166"/>
        <v>10</v>
      </c>
      <c r="D745" s="4">
        <v>9980</v>
      </c>
      <c r="E745" s="4">
        <f t="shared" si="167"/>
        <v>863</v>
      </c>
      <c r="F745" s="10">
        <f t="shared" si="168"/>
        <v>7.2399999999998892</v>
      </c>
      <c r="G745" s="9">
        <f t="shared" si="169"/>
        <v>101450</v>
      </c>
      <c r="I745" s="4">
        <f t="shared" si="170"/>
        <v>10000</v>
      </c>
      <c r="J745" s="17">
        <f t="shared" si="171"/>
        <v>1E-3</v>
      </c>
      <c r="K745" s="17">
        <f t="shared" si="172"/>
        <v>1E-3</v>
      </c>
      <c r="L745" s="17">
        <f t="shared" si="173"/>
        <v>0.998</v>
      </c>
      <c r="M745" s="4">
        <f t="shared" si="174"/>
        <v>101450</v>
      </c>
    </row>
    <row r="746" spans="1:13" x14ac:dyDescent="0.3">
      <c r="A746" s="1">
        <f t="shared" si="175"/>
        <v>744</v>
      </c>
      <c r="B746" s="1">
        <v>10</v>
      </c>
      <c r="C746" s="1">
        <f t="shared" si="166"/>
        <v>10</v>
      </c>
      <c r="D746" s="4">
        <v>9980</v>
      </c>
      <c r="E746" s="4">
        <f t="shared" si="167"/>
        <v>864</v>
      </c>
      <c r="F746" s="10">
        <f t="shared" si="168"/>
        <v>7.249999999999889</v>
      </c>
      <c r="G746" s="9">
        <f t="shared" si="169"/>
        <v>101600</v>
      </c>
      <c r="I746" s="4">
        <f t="shared" si="170"/>
        <v>10000</v>
      </c>
      <c r="J746" s="17">
        <f t="shared" si="171"/>
        <v>1E-3</v>
      </c>
      <c r="K746" s="17">
        <f t="shared" si="172"/>
        <v>1E-3</v>
      </c>
      <c r="L746" s="17">
        <f t="shared" si="173"/>
        <v>0.998</v>
      </c>
      <c r="M746" s="4">
        <f t="shared" si="174"/>
        <v>101600</v>
      </c>
    </row>
    <row r="747" spans="1:13" x14ac:dyDescent="0.3">
      <c r="A747" s="1">
        <f t="shared" si="175"/>
        <v>745</v>
      </c>
      <c r="B747" s="1">
        <v>10</v>
      </c>
      <c r="C747" s="1">
        <f t="shared" si="166"/>
        <v>10</v>
      </c>
      <c r="D747" s="4">
        <v>9980</v>
      </c>
      <c r="E747" s="4">
        <f t="shared" si="167"/>
        <v>865</v>
      </c>
      <c r="F747" s="10">
        <f t="shared" si="168"/>
        <v>7.2599999999998888</v>
      </c>
      <c r="G747" s="9">
        <f t="shared" si="169"/>
        <v>101750</v>
      </c>
      <c r="I747" s="4">
        <f t="shared" si="170"/>
        <v>10000</v>
      </c>
      <c r="J747" s="17">
        <f t="shared" si="171"/>
        <v>1E-3</v>
      </c>
      <c r="K747" s="17">
        <f t="shared" si="172"/>
        <v>1E-3</v>
      </c>
      <c r="L747" s="17">
        <f t="shared" si="173"/>
        <v>0.998</v>
      </c>
      <c r="M747" s="4">
        <f t="shared" si="174"/>
        <v>101750</v>
      </c>
    </row>
    <row r="748" spans="1:13" x14ac:dyDescent="0.3">
      <c r="A748" s="1">
        <f t="shared" si="175"/>
        <v>746</v>
      </c>
      <c r="B748" s="1">
        <v>10</v>
      </c>
      <c r="C748" s="1">
        <f t="shared" si="166"/>
        <v>10</v>
      </c>
      <c r="D748" s="4">
        <v>9980</v>
      </c>
      <c r="E748" s="4">
        <f t="shared" si="167"/>
        <v>866</v>
      </c>
      <c r="F748" s="10">
        <f t="shared" si="168"/>
        <v>7.2699999999998886</v>
      </c>
      <c r="G748" s="9">
        <f t="shared" si="169"/>
        <v>101900</v>
      </c>
      <c r="I748" s="4">
        <f t="shared" si="170"/>
        <v>10000</v>
      </c>
      <c r="J748" s="17">
        <f t="shared" si="171"/>
        <v>1E-3</v>
      </c>
      <c r="K748" s="17">
        <f t="shared" si="172"/>
        <v>1E-3</v>
      </c>
      <c r="L748" s="17">
        <f t="shared" si="173"/>
        <v>0.998</v>
      </c>
      <c r="M748" s="4">
        <f t="shared" si="174"/>
        <v>101900</v>
      </c>
    </row>
    <row r="749" spans="1:13" x14ac:dyDescent="0.3">
      <c r="A749" s="1">
        <f t="shared" si="175"/>
        <v>747</v>
      </c>
      <c r="B749" s="1">
        <v>10</v>
      </c>
      <c r="C749" s="1">
        <f t="shared" si="166"/>
        <v>10</v>
      </c>
      <c r="D749" s="4">
        <v>9980</v>
      </c>
      <c r="E749" s="4">
        <f t="shared" si="167"/>
        <v>867</v>
      </c>
      <c r="F749" s="10">
        <f t="shared" si="168"/>
        <v>7.2799999999998883</v>
      </c>
      <c r="G749" s="9">
        <f t="shared" si="169"/>
        <v>102050</v>
      </c>
      <c r="I749" s="4">
        <f t="shared" si="170"/>
        <v>10000</v>
      </c>
      <c r="J749" s="17">
        <f t="shared" si="171"/>
        <v>1E-3</v>
      </c>
      <c r="K749" s="17">
        <f t="shared" si="172"/>
        <v>1E-3</v>
      </c>
      <c r="L749" s="17">
        <f t="shared" si="173"/>
        <v>0.998</v>
      </c>
      <c r="M749" s="4">
        <f t="shared" si="174"/>
        <v>102050</v>
      </c>
    </row>
    <row r="750" spans="1:13" x14ac:dyDescent="0.3">
      <c r="A750" s="1">
        <f t="shared" si="175"/>
        <v>748</v>
      </c>
      <c r="B750" s="1">
        <v>10</v>
      </c>
      <c r="C750" s="1">
        <f t="shared" si="166"/>
        <v>10</v>
      </c>
      <c r="D750" s="4">
        <v>9980</v>
      </c>
      <c r="E750" s="4">
        <f t="shared" si="167"/>
        <v>868</v>
      </c>
      <c r="F750" s="10">
        <f t="shared" si="168"/>
        <v>7.2899999999998881</v>
      </c>
      <c r="G750" s="9">
        <f t="shared" si="169"/>
        <v>102200</v>
      </c>
      <c r="I750" s="4">
        <f t="shared" si="170"/>
        <v>10000</v>
      </c>
      <c r="J750" s="17">
        <f t="shared" si="171"/>
        <v>1E-3</v>
      </c>
      <c r="K750" s="17">
        <f t="shared" si="172"/>
        <v>1E-3</v>
      </c>
      <c r="L750" s="17">
        <f t="shared" si="173"/>
        <v>0.998</v>
      </c>
      <c r="M750" s="4">
        <f t="shared" si="174"/>
        <v>102200</v>
      </c>
    </row>
    <row r="751" spans="1:13" x14ac:dyDescent="0.3">
      <c r="A751" s="1">
        <f t="shared" si="175"/>
        <v>749</v>
      </c>
      <c r="B751" s="1">
        <v>10</v>
      </c>
      <c r="C751" s="1">
        <f t="shared" si="166"/>
        <v>10</v>
      </c>
      <c r="D751" s="4">
        <v>9980</v>
      </c>
      <c r="E751" s="4">
        <f t="shared" si="167"/>
        <v>869</v>
      </c>
      <c r="F751" s="10">
        <f t="shared" si="168"/>
        <v>7.2999999999998879</v>
      </c>
      <c r="G751" s="9">
        <f t="shared" si="169"/>
        <v>102350</v>
      </c>
      <c r="I751" s="4">
        <f t="shared" si="170"/>
        <v>10000</v>
      </c>
      <c r="J751" s="17">
        <f t="shared" si="171"/>
        <v>1E-3</v>
      </c>
      <c r="K751" s="17">
        <f t="shared" si="172"/>
        <v>1E-3</v>
      </c>
      <c r="L751" s="17">
        <f t="shared" si="173"/>
        <v>0.998</v>
      </c>
      <c r="M751" s="4">
        <f t="shared" si="174"/>
        <v>102350</v>
      </c>
    </row>
    <row r="752" spans="1:13" x14ac:dyDescent="0.3">
      <c r="A752" s="1">
        <f t="shared" si="175"/>
        <v>750</v>
      </c>
      <c r="B752" s="1">
        <v>10</v>
      </c>
      <c r="C752" s="1">
        <f t="shared" si="166"/>
        <v>10</v>
      </c>
      <c r="D752" s="4">
        <v>9980</v>
      </c>
      <c r="E752" s="4">
        <f t="shared" si="167"/>
        <v>870</v>
      </c>
      <c r="F752" s="10">
        <f t="shared" si="168"/>
        <v>7.3099999999998877</v>
      </c>
      <c r="G752" s="9">
        <f t="shared" si="169"/>
        <v>102500</v>
      </c>
      <c r="I752" s="4">
        <f t="shared" si="170"/>
        <v>10000</v>
      </c>
      <c r="J752" s="17">
        <f t="shared" si="171"/>
        <v>1E-3</v>
      </c>
      <c r="K752" s="17">
        <f t="shared" si="172"/>
        <v>1E-3</v>
      </c>
      <c r="L752" s="17">
        <f t="shared" si="173"/>
        <v>0.998</v>
      </c>
      <c r="M752" s="4">
        <f t="shared" si="174"/>
        <v>102500</v>
      </c>
    </row>
    <row r="753" spans="1:13" x14ac:dyDescent="0.3">
      <c r="A753" s="1">
        <f t="shared" si="175"/>
        <v>751</v>
      </c>
      <c r="B753" s="1">
        <v>10</v>
      </c>
      <c r="C753" s="1">
        <f t="shared" si="166"/>
        <v>10</v>
      </c>
      <c r="D753" s="4">
        <v>9980</v>
      </c>
      <c r="E753" s="4">
        <f t="shared" si="167"/>
        <v>871</v>
      </c>
      <c r="F753" s="10">
        <f t="shared" si="168"/>
        <v>7.3199999999998875</v>
      </c>
      <c r="G753" s="9">
        <f t="shared" si="169"/>
        <v>102650</v>
      </c>
      <c r="I753" s="4">
        <f t="shared" si="170"/>
        <v>10000</v>
      </c>
      <c r="J753" s="17">
        <f t="shared" si="171"/>
        <v>1E-3</v>
      </c>
      <c r="K753" s="17">
        <f t="shared" si="172"/>
        <v>1E-3</v>
      </c>
      <c r="L753" s="17">
        <f t="shared" si="173"/>
        <v>0.998</v>
      </c>
      <c r="M753" s="4">
        <f t="shared" si="174"/>
        <v>102650</v>
      </c>
    </row>
    <row r="754" spans="1:13" x14ac:dyDescent="0.3">
      <c r="A754" s="1">
        <f t="shared" si="175"/>
        <v>752</v>
      </c>
      <c r="B754" s="1">
        <v>10</v>
      </c>
      <c r="C754" s="1">
        <f t="shared" si="166"/>
        <v>10</v>
      </c>
      <c r="D754" s="4">
        <v>9980</v>
      </c>
      <c r="E754" s="4">
        <f t="shared" si="167"/>
        <v>872</v>
      </c>
      <c r="F754" s="10">
        <f t="shared" si="168"/>
        <v>7.3299999999998873</v>
      </c>
      <c r="G754" s="9">
        <f t="shared" si="169"/>
        <v>102800</v>
      </c>
      <c r="I754" s="4">
        <f t="shared" si="170"/>
        <v>10000</v>
      </c>
      <c r="J754" s="17">
        <f t="shared" si="171"/>
        <v>1E-3</v>
      </c>
      <c r="K754" s="17">
        <f t="shared" si="172"/>
        <v>1E-3</v>
      </c>
      <c r="L754" s="17">
        <f t="shared" si="173"/>
        <v>0.998</v>
      </c>
      <c r="M754" s="4">
        <f t="shared" si="174"/>
        <v>102800</v>
      </c>
    </row>
    <row r="755" spans="1:13" x14ac:dyDescent="0.3">
      <c r="A755" s="1">
        <f t="shared" si="175"/>
        <v>753</v>
      </c>
      <c r="B755" s="1">
        <v>10</v>
      </c>
      <c r="C755" s="1">
        <f t="shared" si="166"/>
        <v>10</v>
      </c>
      <c r="D755" s="4">
        <v>9980</v>
      </c>
      <c r="E755" s="4">
        <f t="shared" si="167"/>
        <v>873</v>
      </c>
      <c r="F755" s="10">
        <f t="shared" si="168"/>
        <v>7.3399999999998871</v>
      </c>
      <c r="G755" s="9">
        <f t="shared" si="169"/>
        <v>102950</v>
      </c>
      <c r="I755" s="4">
        <f t="shared" si="170"/>
        <v>10000</v>
      </c>
      <c r="J755" s="17">
        <f t="shared" si="171"/>
        <v>1E-3</v>
      </c>
      <c r="K755" s="17">
        <f t="shared" si="172"/>
        <v>1E-3</v>
      </c>
      <c r="L755" s="17">
        <f t="shared" si="173"/>
        <v>0.998</v>
      </c>
      <c r="M755" s="4">
        <f t="shared" si="174"/>
        <v>102950</v>
      </c>
    </row>
    <row r="756" spans="1:13" x14ac:dyDescent="0.3">
      <c r="A756" s="1">
        <f t="shared" si="175"/>
        <v>754</v>
      </c>
      <c r="B756" s="1">
        <v>10</v>
      </c>
      <c r="C756" s="1">
        <f t="shared" si="166"/>
        <v>10</v>
      </c>
      <c r="D756" s="4">
        <v>9980</v>
      </c>
      <c r="E756" s="4">
        <f t="shared" si="167"/>
        <v>874</v>
      </c>
      <c r="F756" s="10">
        <f t="shared" si="168"/>
        <v>7.3499999999998868</v>
      </c>
      <c r="G756" s="9">
        <f t="shared" si="169"/>
        <v>103100</v>
      </c>
      <c r="I756" s="4">
        <f t="shared" si="170"/>
        <v>10000</v>
      </c>
      <c r="J756" s="17">
        <f t="shared" si="171"/>
        <v>1E-3</v>
      </c>
      <c r="K756" s="17">
        <f t="shared" si="172"/>
        <v>1E-3</v>
      </c>
      <c r="L756" s="17">
        <f t="shared" si="173"/>
        <v>0.998</v>
      </c>
      <c r="M756" s="4">
        <f t="shared" si="174"/>
        <v>103100</v>
      </c>
    </row>
    <row r="757" spans="1:13" x14ac:dyDescent="0.3">
      <c r="A757" s="1">
        <f t="shared" si="175"/>
        <v>755</v>
      </c>
      <c r="B757" s="1">
        <v>10</v>
      </c>
      <c r="C757" s="1">
        <f t="shared" si="166"/>
        <v>10</v>
      </c>
      <c r="D757" s="4">
        <v>9980</v>
      </c>
      <c r="E757" s="4">
        <f t="shared" si="167"/>
        <v>875</v>
      </c>
      <c r="F757" s="10">
        <f t="shared" si="168"/>
        <v>7.3599999999998866</v>
      </c>
      <c r="G757" s="9">
        <f t="shared" si="169"/>
        <v>103250</v>
      </c>
      <c r="I757" s="4">
        <f t="shared" si="170"/>
        <v>10000</v>
      </c>
      <c r="J757" s="17">
        <f t="shared" si="171"/>
        <v>1E-3</v>
      </c>
      <c r="K757" s="17">
        <f t="shared" si="172"/>
        <v>1E-3</v>
      </c>
      <c r="L757" s="17">
        <f t="shared" si="173"/>
        <v>0.998</v>
      </c>
      <c r="M757" s="4">
        <f t="shared" si="174"/>
        <v>103250</v>
      </c>
    </row>
    <row r="758" spans="1:13" x14ac:dyDescent="0.3">
      <c r="A758" s="1">
        <f t="shared" si="175"/>
        <v>756</v>
      </c>
      <c r="B758" s="1">
        <v>10</v>
      </c>
      <c r="C758" s="1">
        <f t="shared" si="166"/>
        <v>10</v>
      </c>
      <c r="D758" s="4">
        <v>9980</v>
      </c>
      <c r="E758" s="4">
        <f t="shared" si="167"/>
        <v>876</v>
      </c>
      <c r="F758" s="10">
        <f t="shared" si="168"/>
        <v>7.3699999999998864</v>
      </c>
      <c r="G758" s="9">
        <f t="shared" si="169"/>
        <v>103400</v>
      </c>
      <c r="I758" s="4">
        <f t="shared" si="170"/>
        <v>10000</v>
      </c>
      <c r="J758" s="17">
        <f t="shared" si="171"/>
        <v>1E-3</v>
      </c>
      <c r="K758" s="17">
        <f t="shared" si="172"/>
        <v>1E-3</v>
      </c>
      <c r="L758" s="17">
        <f t="shared" si="173"/>
        <v>0.998</v>
      </c>
      <c r="M758" s="4">
        <f t="shared" si="174"/>
        <v>103400</v>
      </c>
    </row>
    <row r="759" spans="1:13" x14ac:dyDescent="0.3">
      <c r="A759" s="1">
        <f t="shared" si="175"/>
        <v>757</v>
      </c>
      <c r="B759" s="1">
        <v>10</v>
      </c>
      <c r="C759" s="1">
        <f t="shared" si="166"/>
        <v>10</v>
      </c>
      <c r="D759" s="4">
        <v>9980</v>
      </c>
      <c r="E759" s="4">
        <f t="shared" si="167"/>
        <v>877</v>
      </c>
      <c r="F759" s="10">
        <f t="shared" si="168"/>
        <v>7.3799999999998862</v>
      </c>
      <c r="G759" s="9">
        <f t="shared" si="169"/>
        <v>103550</v>
      </c>
      <c r="I759" s="4">
        <f t="shared" si="170"/>
        <v>10000</v>
      </c>
      <c r="J759" s="17">
        <f t="shared" si="171"/>
        <v>1E-3</v>
      </c>
      <c r="K759" s="17">
        <f t="shared" si="172"/>
        <v>1E-3</v>
      </c>
      <c r="L759" s="17">
        <f t="shared" si="173"/>
        <v>0.998</v>
      </c>
      <c r="M759" s="4">
        <f t="shared" si="174"/>
        <v>103550</v>
      </c>
    </row>
    <row r="760" spans="1:13" x14ac:dyDescent="0.3">
      <c r="A760" s="1">
        <f t="shared" si="175"/>
        <v>758</v>
      </c>
      <c r="B760" s="1">
        <v>10</v>
      </c>
      <c r="C760" s="1">
        <f t="shared" si="166"/>
        <v>10</v>
      </c>
      <c r="D760" s="4">
        <v>9980</v>
      </c>
      <c r="E760" s="4">
        <f t="shared" si="167"/>
        <v>878</v>
      </c>
      <c r="F760" s="10">
        <f t="shared" si="168"/>
        <v>7.389999999999886</v>
      </c>
      <c r="G760" s="9">
        <f t="shared" si="169"/>
        <v>103700</v>
      </c>
      <c r="I760" s="4">
        <f t="shared" si="170"/>
        <v>10000</v>
      </c>
      <c r="J760" s="17">
        <f t="shared" si="171"/>
        <v>1E-3</v>
      </c>
      <c r="K760" s="17">
        <f t="shared" si="172"/>
        <v>1E-3</v>
      </c>
      <c r="L760" s="17">
        <f t="shared" si="173"/>
        <v>0.998</v>
      </c>
      <c r="M760" s="4">
        <f t="shared" si="174"/>
        <v>103700</v>
      </c>
    </row>
    <row r="761" spans="1:13" x14ac:dyDescent="0.3">
      <c r="A761" s="1">
        <f t="shared" si="175"/>
        <v>759</v>
      </c>
      <c r="B761" s="1">
        <v>10</v>
      </c>
      <c r="C761" s="1">
        <f t="shared" si="166"/>
        <v>10</v>
      </c>
      <c r="D761" s="4">
        <v>9980</v>
      </c>
      <c r="E761" s="4">
        <f t="shared" si="167"/>
        <v>879</v>
      </c>
      <c r="F761" s="10">
        <f t="shared" si="168"/>
        <v>7.3999999999998858</v>
      </c>
      <c r="G761" s="9">
        <f t="shared" si="169"/>
        <v>103850</v>
      </c>
      <c r="I761" s="4">
        <f t="shared" si="170"/>
        <v>10000</v>
      </c>
      <c r="J761" s="17">
        <f t="shared" si="171"/>
        <v>1E-3</v>
      </c>
      <c r="K761" s="17">
        <f t="shared" si="172"/>
        <v>1E-3</v>
      </c>
      <c r="L761" s="17">
        <f t="shared" si="173"/>
        <v>0.998</v>
      </c>
      <c r="M761" s="4">
        <f t="shared" si="174"/>
        <v>103850</v>
      </c>
    </row>
    <row r="762" spans="1:13" x14ac:dyDescent="0.3">
      <c r="A762" s="1">
        <f t="shared" si="175"/>
        <v>760</v>
      </c>
      <c r="B762" s="1">
        <v>10</v>
      </c>
      <c r="C762" s="1">
        <f t="shared" si="166"/>
        <v>10</v>
      </c>
      <c r="D762" s="4">
        <v>9980</v>
      </c>
      <c r="E762" s="4">
        <f t="shared" si="167"/>
        <v>880</v>
      </c>
      <c r="F762" s="10">
        <f t="shared" si="168"/>
        <v>7.4099999999998856</v>
      </c>
      <c r="G762" s="9">
        <f t="shared" si="169"/>
        <v>104000</v>
      </c>
      <c r="I762" s="4">
        <f t="shared" si="170"/>
        <v>10000</v>
      </c>
      <c r="J762" s="17">
        <f t="shared" si="171"/>
        <v>1E-3</v>
      </c>
      <c r="K762" s="17">
        <f t="shared" si="172"/>
        <v>1E-3</v>
      </c>
      <c r="L762" s="17">
        <f t="shared" si="173"/>
        <v>0.998</v>
      </c>
      <c r="M762" s="4">
        <f t="shared" si="174"/>
        <v>104000</v>
      </c>
    </row>
    <row r="763" spans="1:13" x14ac:dyDescent="0.3">
      <c r="A763" s="1">
        <f t="shared" si="175"/>
        <v>761</v>
      </c>
      <c r="B763" s="1">
        <v>10</v>
      </c>
      <c r="C763" s="1">
        <f t="shared" si="166"/>
        <v>10</v>
      </c>
      <c r="D763" s="4">
        <v>9980</v>
      </c>
      <c r="E763" s="4">
        <f t="shared" si="167"/>
        <v>881</v>
      </c>
      <c r="F763" s="10">
        <f t="shared" si="168"/>
        <v>7.4199999999998854</v>
      </c>
      <c r="G763" s="9">
        <f t="shared" si="169"/>
        <v>104150</v>
      </c>
      <c r="I763" s="4">
        <f t="shared" si="170"/>
        <v>10000</v>
      </c>
      <c r="J763" s="17">
        <f t="shared" si="171"/>
        <v>1E-3</v>
      </c>
      <c r="K763" s="17">
        <f t="shared" si="172"/>
        <v>1E-3</v>
      </c>
      <c r="L763" s="17">
        <f t="shared" si="173"/>
        <v>0.998</v>
      </c>
      <c r="M763" s="4">
        <f t="shared" si="174"/>
        <v>104150</v>
      </c>
    </row>
    <row r="764" spans="1:13" x14ac:dyDescent="0.3">
      <c r="A764" s="1">
        <f t="shared" si="175"/>
        <v>762</v>
      </c>
      <c r="B764" s="1">
        <v>10</v>
      </c>
      <c r="C764" s="1">
        <f t="shared" si="166"/>
        <v>10</v>
      </c>
      <c r="D764" s="4">
        <v>9980</v>
      </c>
      <c r="E764" s="4">
        <f t="shared" si="167"/>
        <v>882</v>
      </c>
      <c r="F764" s="10">
        <f t="shared" si="168"/>
        <v>7.4299999999998851</v>
      </c>
      <c r="G764" s="9">
        <f t="shared" si="169"/>
        <v>104300</v>
      </c>
      <c r="I764" s="4">
        <f t="shared" si="170"/>
        <v>10000</v>
      </c>
      <c r="J764" s="17">
        <f t="shared" si="171"/>
        <v>1E-3</v>
      </c>
      <c r="K764" s="17">
        <f t="shared" si="172"/>
        <v>1E-3</v>
      </c>
      <c r="L764" s="17">
        <f t="shared" si="173"/>
        <v>0.998</v>
      </c>
      <c r="M764" s="4">
        <f t="shared" si="174"/>
        <v>104300</v>
      </c>
    </row>
    <row r="765" spans="1:13" x14ac:dyDescent="0.3">
      <c r="A765" s="1">
        <f t="shared" si="175"/>
        <v>763</v>
      </c>
      <c r="B765" s="1">
        <v>10</v>
      </c>
      <c r="C765" s="1">
        <f t="shared" si="166"/>
        <v>10</v>
      </c>
      <c r="D765" s="4">
        <v>9980</v>
      </c>
      <c r="E765" s="4">
        <f t="shared" si="167"/>
        <v>883</v>
      </c>
      <c r="F765" s="10">
        <f t="shared" si="168"/>
        <v>7.4399999999998849</v>
      </c>
      <c r="G765" s="9">
        <f t="shared" si="169"/>
        <v>104450</v>
      </c>
      <c r="I765" s="4">
        <f t="shared" si="170"/>
        <v>10000</v>
      </c>
      <c r="J765" s="17">
        <f t="shared" si="171"/>
        <v>1E-3</v>
      </c>
      <c r="K765" s="17">
        <f t="shared" si="172"/>
        <v>1E-3</v>
      </c>
      <c r="L765" s="17">
        <f t="shared" si="173"/>
        <v>0.998</v>
      </c>
      <c r="M765" s="4">
        <f t="shared" si="174"/>
        <v>104450</v>
      </c>
    </row>
    <row r="766" spans="1:13" x14ac:dyDescent="0.3">
      <c r="A766" s="1">
        <f t="shared" si="175"/>
        <v>764</v>
      </c>
      <c r="B766" s="1">
        <v>10</v>
      </c>
      <c r="C766" s="1">
        <f t="shared" si="166"/>
        <v>10</v>
      </c>
      <c r="D766" s="4">
        <v>9980</v>
      </c>
      <c r="E766" s="4">
        <f t="shared" si="167"/>
        <v>884</v>
      </c>
      <c r="F766" s="10">
        <f t="shared" si="168"/>
        <v>7.4499999999998847</v>
      </c>
      <c r="G766" s="9">
        <f t="shared" si="169"/>
        <v>104600</v>
      </c>
      <c r="I766" s="4">
        <f t="shared" si="170"/>
        <v>10000</v>
      </c>
      <c r="J766" s="17">
        <f t="shared" si="171"/>
        <v>1E-3</v>
      </c>
      <c r="K766" s="17">
        <f t="shared" si="172"/>
        <v>1E-3</v>
      </c>
      <c r="L766" s="17">
        <f t="shared" si="173"/>
        <v>0.998</v>
      </c>
      <c r="M766" s="4">
        <f t="shared" si="174"/>
        <v>104600</v>
      </c>
    </row>
    <row r="767" spans="1:13" x14ac:dyDescent="0.3">
      <c r="A767" s="1">
        <f t="shared" si="175"/>
        <v>765</v>
      </c>
      <c r="B767" s="1">
        <v>10</v>
      </c>
      <c r="C767" s="1">
        <f t="shared" si="166"/>
        <v>10</v>
      </c>
      <c r="D767" s="4">
        <v>9980</v>
      </c>
      <c r="E767" s="4">
        <f t="shared" si="167"/>
        <v>885</v>
      </c>
      <c r="F767" s="10">
        <f t="shared" si="168"/>
        <v>7.4599999999998845</v>
      </c>
      <c r="G767" s="9">
        <f t="shared" si="169"/>
        <v>104750</v>
      </c>
      <c r="I767" s="4">
        <f t="shared" si="170"/>
        <v>10000</v>
      </c>
      <c r="J767" s="17">
        <f t="shared" si="171"/>
        <v>1E-3</v>
      </c>
      <c r="K767" s="17">
        <f t="shared" si="172"/>
        <v>1E-3</v>
      </c>
      <c r="L767" s="17">
        <f t="shared" si="173"/>
        <v>0.998</v>
      </c>
      <c r="M767" s="4">
        <f t="shared" si="174"/>
        <v>104750</v>
      </c>
    </row>
    <row r="768" spans="1:13" x14ac:dyDescent="0.3">
      <c r="A768" s="1">
        <f t="shared" si="175"/>
        <v>766</v>
      </c>
      <c r="B768" s="1">
        <v>10</v>
      </c>
      <c r="C768" s="1">
        <f t="shared" si="166"/>
        <v>10</v>
      </c>
      <c r="D768" s="4">
        <v>9980</v>
      </c>
      <c r="E768" s="4">
        <f t="shared" si="167"/>
        <v>886</v>
      </c>
      <c r="F768" s="10">
        <f t="shared" si="168"/>
        <v>7.4699999999998843</v>
      </c>
      <c r="G768" s="9">
        <f t="shared" si="169"/>
        <v>104900</v>
      </c>
      <c r="I768" s="4">
        <f t="shared" si="170"/>
        <v>10000</v>
      </c>
      <c r="J768" s="17">
        <f t="shared" si="171"/>
        <v>1E-3</v>
      </c>
      <c r="K768" s="17">
        <f t="shared" si="172"/>
        <v>1E-3</v>
      </c>
      <c r="L768" s="17">
        <f t="shared" si="173"/>
        <v>0.998</v>
      </c>
      <c r="M768" s="4">
        <f t="shared" si="174"/>
        <v>104900</v>
      </c>
    </row>
    <row r="769" spans="1:13" x14ac:dyDescent="0.3">
      <c r="A769" s="1">
        <f t="shared" si="175"/>
        <v>767</v>
      </c>
      <c r="B769" s="1">
        <v>10</v>
      </c>
      <c r="C769" s="1">
        <f t="shared" si="166"/>
        <v>10</v>
      </c>
      <c r="D769" s="4">
        <v>9980</v>
      </c>
      <c r="E769" s="4">
        <f t="shared" si="167"/>
        <v>887</v>
      </c>
      <c r="F769" s="10">
        <f t="shared" si="168"/>
        <v>7.4799999999998841</v>
      </c>
      <c r="G769" s="9">
        <f t="shared" si="169"/>
        <v>105050</v>
      </c>
      <c r="I769" s="4">
        <f t="shared" si="170"/>
        <v>10000</v>
      </c>
      <c r="J769" s="17">
        <f t="shared" si="171"/>
        <v>1E-3</v>
      </c>
      <c r="K769" s="17">
        <f t="shared" si="172"/>
        <v>1E-3</v>
      </c>
      <c r="L769" s="17">
        <f t="shared" si="173"/>
        <v>0.998</v>
      </c>
      <c r="M769" s="4">
        <f t="shared" si="174"/>
        <v>105050</v>
      </c>
    </row>
    <row r="770" spans="1:13" x14ac:dyDescent="0.3">
      <c r="A770" s="1">
        <f t="shared" si="175"/>
        <v>768</v>
      </c>
      <c r="B770" s="1">
        <v>10</v>
      </c>
      <c r="C770" s="1">
        <f t="shared" si="166"/>
        <v>10</v>
      </c>
      <c r="D770" s="4">
        <v>9980</v>
      </c>
      <c r="E770" s="4">
        <f t="shared" si="167"/>
        <v>888</v>
      </c>
      <c r="F770" s="10">
        <f t="shared" si="168"/>
        <v>7.4899999999998839</v>
      </c>
      <c r="G770" s="9">
        <f t="shared" si="169"/>
        <v>105200</v>
      </c>
      <c r="I770" s="4">
        <f t="shared" si="170"/>
        <v>10000</v>
      </c>
      <c r="J770" s="17">
        <f t="shared" si="171"/>
        <v>1E-3</v>
      </c>
      <c r="K770" s="17">
        <f t="shared" si="172"/>
        <v>1E-3</v>
      </c>
      <c r="L770" s="17">
        <f t="shared" si="173"/>
        <v>0.998</v>
      </c>
      <c r="M770" s="4">
        <f t="shared" si="174"/>
        <v>105200</v>
      </c>
    </row>
    <row r="771" spans="1:13" x14ac:dyDescent="0.3">
      <c r="A771" s="1">
        <f t="shared" si="175"/>
        <v>769</v>
      </c>
      <c r="B771" s="1">
        <v>10</v>
      </c>
      <c r="C771" s="1">
        <f t="shared" ref="C771:C834" si="176">10000-B771-D771</f>
        <v>10</v>
      </c>
      <c r="D771" s="4">
        <v>9980</v>
      </c>
      <c r="E771" s="4">
        <f t="shared" ref="E771:E834" si="177">E770+1</f>
        <v>889</v>
      </c>
      <c r="F771" s="10">
        <f t="shared" ref="F771:F834" si="178">F770+0.01</f>
        <v>7.4999999999998836</v>
      </c>
      <c r="G771" s="9">
        <f t="shared" ref="G771:G834" si="179">G770+150</f>
        <v>105350</v>
      </c>
      <c r="I771" s="4">
        <f t="shared" ref="I771:I834" si="180">SUM(B771:D771)</f>
        <v>10000</v>
      </c>
      <c r="J771" s="17">
        <f t="shared" ref="J771:J834" si="181">B771/10000</f>
        <v>1E-3</v>
      </c>
      <c r="K771" s="17">
        <f t="shared" ref="K771:K834" si="182">C771/10000</f>
        <v>1E-3</v>
      </c>
      <c r="L771" s="17">
        <f t="shared" ref="L771:L834" si="183">D771/10000</f>
        <v>0.998</v>
      </c>
      <c r="M771" s="4">
        <f t="shared" ref="M771:M834" si="184">G771</f>
        <v>105350</v>
      </c>
    </row>
    <row r="772" spans="1:13" x14ac:dyDescent="0.3">
      <c r="A772" s="1">
        <f t="shared" si="175"/>
        <v>770</v>
      </c>
      <c r="B772" s="1">
        <v>10</v>
      </c>
      <c r="C772" s="1">
        <f t="shared" si="176"/>
        <v>10</v>
      </c>
      <c r="D772" s="4">
        <v>9980</v>
      </c>
      <c r="E772" s="4">
        <f t="shared" si="177"/>
        <v>890</v>
      </c>
      <c r="F772" s="10">
        <f t="shared" si="178"/>
        <v>7.5099999999998834</v>
      </c>
      <c r="G772" s="9">
        <f t="shared" si="179"/>
        <v>105500</v>
      </c>
      <c r="I772" s="4">
        <f t="shared" si="180"/>
        <v>10000</v>
      </c>
      <c r="J772" s="17">
        <f t="shared" si="181"/>
        <v>1E-3</v>
      </c>
      <c r="K772" s="17">
        <f t="shared" si="182"/>
        <v>1E-3</v>
      </c>
      <c r="L772" s="17">
        <f t="shared" si="183"/>
        <v>0.998</v>
      </c>
      <c r="M772" s="4">
        <f t="shared" si="184"/>
        <v>105500</v>
      </c>
    </row>
    <row r="773" spans="1:13" x14ac:dyDescent="0.3">
      <c r="A773" s="1">
        <f t="shared" si="175"/>
        <v>771</v>
      </c>
      <c r="B773" s="1">
        <v>10</v>
      </c>
      <c r="C773" s="1">
        <f t="shared" si="176"/>
        <v>10</v>
      </c>
      <c r="D773" s="4">
        <v>9980</v>
      </c>
      <c r="E773" s="4">
        <f t="shared" si="177"/>
        <v>891</v>
      </c>
      <c r="F773" s="10">
        <f t="shared" si="178"/>
        <v>7.5199999999998832</v>
      </c>
      <c r="G773" s="9">
        <f t="shared" si="179"/>
        <v>105650</v>
      </c>
      <c r="I773" s="4">
        <f t="shared" si="180"/>
        <v>10000</v>
      </c>
      <c r="J773" s="17">
        <f t="shared" si="181"/>
        <v>1E-3</v>
      </c>
      <c r="K773" s="17">
        <f t="shared" si="182"/>
        <v>1E-3</v>
      </c>
      <c r="L773" s="17">
        <f t="shared" si="183"/>
        <v>0.998</v>
      </c>
      <c r="M773" s="4">
        <f t="shared" si="184"/>
        <v>105650</v>
      </c>
    </row>
    <row r="774" spans="1:13" x14ac:dyDescent="0.3">
      <c r="A774" s="1">
        <f t="shared" si="175"/>
        <v>772</v>
      </c>
      <c r="B774" s="1">
        <v>10</v>
      </c>
      <c r="C774" s="1">
        <f t="shared" si="176"/>
        <v>10</v>
      </c>
      <c r="D774" s="4">
        <v>9980</v>
      </c>
      <c r="E774" s="4">
        <f t="shared" si="177"/>
        <v>892</v>
      </c>
      <c r="F774" s="10">
        <f t="shared" si="178"/>
        <v>7.529999999999883</v>
      </c>
      <c r="G774" s="9">
        <f t="shared" si="179"/>
        <v>105800</v>
      </c>
      <c r="I774" s="4">
        <f t="shared" si="180"/>
        <v>10000</v>
      </c>
      <c r="J774" s="17">
        <f t="shared" si="181"/>
        <v>1E-3</v>
      </c>
      <c r="K774" s="17">
        <f t="shared" si="182"/>
        <v>1E-3</v>
      </c>
      <c r="L774" s="17">
        <f t="shared" si="183"/>
        <v>0.998</v>
      </c>
      <c r="M774" s="4">
        <f t="shared" si="184"/>
        <v>105800</v>
      </c>
    </row>
    <row r="775" spans="1:13" x14ac:dyDescent="0.3">
      <c r="A775" s="1">
        <f t="shared" si="175"/>
        <v>773</v>
      </c>
      <c r="B775" s="1">
        <v>10</v>
      </c>
      <c r="C775" s="1">
        <f t="shared" si="176"/>
        <v>10</v>
      </c>
      <c r="D775" s="4">
        <v>9980</v>
      </c>
      <c r="E775" s="4">
        <f t="shared" si="177"/>
        <v>893</v>
      </c>
      <c r="F775" s="10">
        <f t="shared" si="178"/>
        <v>7.5399999999998828</v>
      </c>
      <c r="G775" s="9">
        <f t="shared" si="179"/>
        <v>105950</v>
      </c>
      <c r="I775" s="4">
        <f t="shared" si="180"/>
        <v>10000</v>
      </c>
      <c r="J775" s="17">
        <f t="shared" si="181"/>
        <v>1E-3</v>
      </c>
      <c r="K775" s="17">
        <f t="shared" si="182"/>
        <v>1E-3</v>
      </c>
      <c r="L775" s="17">
        <f t="shared" si="183"/>
        <v>0.998</v>
      </c>
      <c r="M775" s="4">
        <f t="shared" si="184"/>
        <v>105950</v>
      </c>
    </row>
    <row r="776" spans="1:13" x14ac:dyDescent="0.3">
      <c r="A776" s="1">
        <f t="shared" si="175"/>
        <v>774</v>
      </c>
      <c r="B776" s="1">
        <v>10</v>
      </c>
      <c r="C776" s="1">
        <f t="shared" si="176"/>
        <v>10</v>
      </c>
      <c r="D776" s="4">
        <v>9980</v>
      </c>
      <c r="E776" s="4">
        <f t="shared" si="177"/>
        <v>894</v>
      </c>
      <c r="F776" s="10">
        <f t="shared" si="178"/>
        <v>7.5499999999998826</v>
      </c>
      <c r="G776" s="9">
        <f t="shared" si="179"/>
        <v>106100</v>
      </c>
      <c r="I776" s="4">
        <f t="shared" si="180"/>
        <v>10000</v>
      </c>
      <c r="J776" s="17">
        <f t="shared" si="181"/>
        <v>1E-3</v>
      </c>
      <c r="K776" s="17">
        <f t="shared" si="182"/>
        <v>1E-3</v>
      </c>
      <c r="L776" s="17">
        <f t="shared" si="183"/>
        <v>0.998</v>
      </c>
      <c r="M776" s="4">
        <f t="shared" si="184"/>
        <v>106100</v>
      </c>
    </row>
    <row r="777" spans="1:13" x14ac:dyDescent="0.3">
      <c r="A777" s="1">
        <f t="shared" si="175"/>
        <v>775</v>
      </c>
      <c r="B777" s="1">
        <v>10</v>
      </c>
      <c r="C777" s="1">
        <f t="shared" si="176"/>
        <v>10</v>
      </c>
      <c r="D777" s="4">
        <v>9980</v>
      </c>
      <c r="E777" s="4">
        <f t="shared" si="177"/>
        <v>895</v>
      </c>
      <c r="F777" s="10">
        <f t="shared" si="178"/>
        <v>7.5599999999998824</v>
      </c>
      <c r="G777" s="9">
        <f t="shared" si="179"/>
        <v>106250</v>
      </c>
      <c r="I777" s="4">
        <f t="shared" si="180"/>
        <v>10000</v>
      </c>
      <c r="J777" s="17">
        <f t="shared" si="181"/>
        <v>1E-3</v>
      </c>
      <c r="K777" s="17">
        <f t="shared" si="182"/>
        <v>1E-3</v>
      </c>
      <c r="L777" s="17">
        <f t="shared" si="183"/>
        <v>0.998</v>
      </c>
      <c r="M777" s="4">
        <f t="shared" si="184"/>
        <v>106250</v>
      </c>
    </row>
    <row r="778" spans="1:13" x14ac:dyDescent="0.3">
      <c r="A778" s="1">
        <f t="shared" si="175"/>
        <v>776</v>
      </c>
      <c r="B778" s="1">
        <v>10</v>
      </c>
      <c r="C778" s="1">
        <f t="shared" si="176"/>
        <v>10</v>
      </c>
      <c r="D778" s="4">
        <v>9980</v>
      </c>
      <c r="E778" s="4">
        <f t="shared" si="177"/>
        <v>896</v>
      </c>
      <c r="F778" s="10">
        <f t="shared" si="178"/>
        <v>7.5699999999998822</v>
      </c>
      <c r="G778" s="9">
        <f t="shared" si="179"/>
        <v>106400</v>
      </c>
      <c r="I778" s="4">
        <f t="shared" si="180"/>
        <v>10000</v>
      </c>
      <c r="J778" s="17">
        <f t="shared" si="181"/>
        <v>1E-3</v>
      </c>
      <c r="K778" s="17">
        <f t="shared" si="182"/>
        <v>1E-3</v>
      </c>
      <c r="L778" s="17">
        <f t="shared" si="183"/>
        <v>0.998</v>
      </c>
      <c r="M778" s="4">
        <f t="shared" si="184"/>
        <v>106400</v>
      </c>
    </row>
    <row r="779" spans="1:13" x14ac:dyDescent="0.3">
      <c r="A779" s="1">
        <f t="shared" si="175"/>
        <v>777</v>
      </c>
      <c r="B779" s="1">
        <v>10</v>
      </c>
      <c r="C779" s="1">
        <f t="shared" si="176"/>
        <v>10</v>
      </c>
      <c r="D779" s="4">
        <v>9980</v>
      </c>
      <c r="E779" s="4">
        <f t="shared" si="177"/>
        <v>897</v>
      </c>
      <c r="F779" s="10">
        <f t="shared" si="178"/>
        <v>7.5799999999998819</v>
      </c>
      <c r="G779" s="9">
        <f t="shared" si="179"/>
        <v>106550</v>
      </c>
      <c r="I779" s="4">
        <f t="shared" si="180"/>
        <v>10000</v>
      </c>
      <c r="J779" s="17">
        <f t="shared" si="181"/>
        <v>1E-3</v>
      </c>
      <c r="K779" s="17">
        <f t="shared" si="182"/>
        <v>1E-3</v>
      </c>
      <c r="L779" s="17">
        <f t="shared" si="183"/>
        <v>0.998</v>
      </c>
      <c r="M779" s="4">
        <f t="shared" si="184"/>
        <v>106550</v>
      </c>
    </row>
    <row r="780" spans="1:13" x14ac:dyDescent="0.3">
      <c r="A780" s="1">
        <f t="shared" si="175"/>
        <v>778</v>
      </c>
      <c r="B780" s="1">
        <v>10</v>
      </c>
      <c r="C780" s="1">
        <f t="shared" si="176"/>
        <v>10</v>
      </c>
      <c r="D780" s="4">
        <v>9980</v>
      </c>
      <c r="E780" s="4">
        <f t="shared" si="177"/>
        <v>898</v>
      </c>
      <c r="F780" s="10">
        <f t="shared" si="178"/>
        <v>7.5899999999998817</v>
      </c>
      <c r="G780" s="9">
        <f t="shared" si="179"/>
        <v>106700</v>
      </c>
      <c r="I780" s="4">
        <f t="shared" si="180"/>
        <v>10000</v>
      </c>
      <c r="J780" s="17">
        <f t="shared" si="181"/>
        <v>1E-3</v>
      </c>
      <c r="K780" s="17">
        <f t="shared" si="182"/>
        <v>1E-3</v>
      </c>
      <c r="L780" s="17">
        <f t="shared" si="183"/>
        <v>0.998</v>
      </c>
      <c r="M780" s="4">
        <f t="shared" si="184"/>
        <v>106700</v>
      </c>
    </row>
    <row r="781" spans="1:13" x14ac:dyDescent="0.3">
      <c r="A781" s="1">
        <f t="shared" si="175"/>
        <v>779</v>
      </c>
      <c r="B781" s="1">
        <v>10</v>
      </c>
      <c r="C781" s="1">
        <f t="shared" si="176"/>
        <v>10</v>
      </c>
      <c r="D781" s="4">
        <v>9980</v>
      </c>
      <c r="E781" s="4">
        <f t="shared" si="177"/>
        <v>899</v>
      </c>
      <c r="F781" s="10">
        <f t="shared" si="178"/>
        <v>7.5999999999998815</v>
      </c>
      <c r="G781" s="9">
        <f t="shared" si="179"/>
        <v>106850</v>
      </c>
      <c r="I781" s="4">
        <f t="shared" si="180"/>
        <v>10000</v>
      </c>
      <c r="J781" s="17">
        <f t="shared" si="181"/>
        <v>1E-3</v>
      </c>
      <c r="K781" s="17">
        <f t="shared" si="182"/>
        <v>1E-3</v>
      </c>
      <c r="L781" s="17">
        <f t="shared" si="183"/>
        <v>0.998</v>
      </c>
      <c r="M781" s="4">
        <f t="shared" si="184"/>
        <v>106850</v>
      </c>
    </row>
    <row r="782" spans="1:13" x14ac:dyDescent="0.3">
      <c r="A782" s="1">
        <f t="shared" si="175"/>
        <v>780</v>
      </c>
      <c r="B782" s="1">
        <v>10</v>
      </c>
      <c r="C782" s="1">
        <f t="shared" si="176"/>
        <v>10</v>
      </c>
      <c r="D782" s="4">
        <v>9980</v>
      </c>
      <c r="E782" s="4">
        <f t="shared" si="177"/>
        <v>900</v>
      </c>
      <c r="F782" s="10">
        <f t="shared" si="178"/>
        <v>7.6099999999998813</v>
      </c>
      <c r="G782" s="9">
        <f t="shared" si="179"/>
        <v>107000</v>
      </c>
      <c r="I782" s="4">
        <f t="shared" si="180"/>
        <v>10000</v>
      </c>
      <c r="J782" s="17">
        <f t="shared" si="181"/>
        <v>1E-3</v>
      </c>
      <c r="K782" s="17">
        <f t="shared" si="182"/>
        <v>1E-3</v>
      </c>
      <c r="L782" s="17">
        <f t="shared" si="183"/>
        <v>0.998</v>
      </c>
      <c r="M782" s="4">
        <f t="shared" si="184"/>
        <v>107000</v>
      </c>
    </row>
    <row r="783" spans="1:13" x14ac:dyDescent="0.3">
      <c r="A783" s="1">
        <f t="shared" si="175"/>
        <v>781</v>
      </c>
      <c r="B783" s="1">
        <v>10</v>
      </c>
      <c r="C783" s="1">
        <f t="shared" si="176"/>
        <v>10</v>
      </c>
      <c r="D783" s="4">
        <v>9980</v>
      </c>
      <c r="E783" s="4">
        <f t="shared" si="177"/>
        <v>901</v>
      </c>
      <c r="F783" s="10">
        <f t="shared" si="178"/>
        <v>7.6199999999998811</v>
      </c>
      <c r="G783" s="9">
        <f t="shared" si="179"/>
        <v>107150</v>
      </c>
      <c r="I783" s="4">
        <f t="shared" si="180"/>
        <v>10000</v>
      </c>
      <c r="J783" s="17">
        <f t="shared" si="181"/>
        <v>1E-3</v>
      </c>
      <c r="K783" s="17">
        <f t="shared" si="182"/>
        <v>1E-3</v>
      </c>
      <c r="L783" s="17">
        <f t="shared" si="183"/>
        <v>0.998</v>
      </c>
      <c r="M783" s="4">
        <f t="shared" si="184"/>
        <v>107150</v>
      </c>
    </row>
    <row r="784" spans="1:13" x14ac:dyDescent="0.3">
      <c r="A784" s="1">
        <f t="shared" si="175"/>
        <v>782</v>
      </c>
      <c r="B784" s="1">
        <v>10</v>
      </c>
      <c r="C784" s="1">
        <f t="shared" si="176"/>
        <v>10</v>
      </c>
      <c r="D784" s="4">
        <v>9980</v>
      </c>
      <c r="E784" s="4">
        <f t="shared" si="177"/>
        <v>902</v>
      </c>
      <c r="F784" s="10">
        <f t="shared" si="178"/>
        <v>7.6299999999998809</v>
      </c>
      <c r="G784" s="9">
        <f t="shared" si="179"/>
        <v>107300</v>
      </c>
      <c r="I784" s="4">
        <f t="shared" si="180"/>
        <v>10000</v>
      </c>
      <c r="J784" s="17">
        <f t="shared" si="181"/>
        <v>1E-3</v>
      </c>
      <c r="K784" s="17">
        <f t="shared" si="182"/>
        <v>1E-3</v>
      </c>
      <c r="L784" s="17">
        <f t="shared" si="183"/>
        <v>0.998</v>
      </c>
      <c r="M784" s="4">
        <f t="shared" si="184"/>
        <v>107300</v>
      </c>
    </row>
    <row r="785" spans="1:13" x14ac:dyDescent="0.3">
      <c r="A785" s="1">
        <f t="shared" si="175"/>
        <v>783</v>
      </c>
      <c r="B785" s="1">
        <v>10</v>
      </c>
      <c r="C785" s="1">
        <f t="shared" si="176"/>
        <v>10</v>
      </c>
      <c r="D785" s="4">
        <v>9980</v>
      </c>
      <c r="E785" s="4">
        <f t="shared" si="177"/>
        <v>903</v>
      </c>
      <c r="F785" s="10">
        <f t="shared" si="178"/>
        <v>7.6399999999998807</v>
      </c>
      <c r="G785" s="9">
        <f t="shared" si="179"/>
        <v>107450</v>
      </c>
      <c r="I785" s="4">
        <f t="shared" si="180"/>
        <v>10000</v>
      </c>
      <c r="J785" s="17">
        <f t="shared" si="181"/>
        <v>1E-3</v>
      </c>
      <c r="K785" s="17">
        <f t="shared" si="182"/>
        <v>1E-3</v>
      </c>
      <c r="L785" s="17">
        <f t="shared" si="183"/>
        <v>0.998</v>
      </c>
      <c r="M785" s="4">
        <f t="shared" si="184"/>
        <v>107450</v>
      </c>
    </row>
    <row r="786" spans="1:13" x14ac:dyDescent="0.3">
      <c r="A786" s="1">
        <f t="shared" si="175"/>
        <v>784</v>
      </c>
      <c r="B786" s="1">
        <v>10</v>
      </c>
      <c r="C786" s="1">
        <f t="shared" si="176"/>
        <v>10</v>
      </c>
      <c r="D786" s="4">
        <v>9980</v>
      </c>
      <c r="E786" s="4">
        <f t="shared" si="177"/>
        <v>904</v>
      </c>
      <c r="F786" s="10">
        <f t="shared" si="178"/>
        <v>7.6499999999998805</v>
      </c>
      <c r="G786" s="9">
        <f t="shared" si="179"/>
        <v>107600</v>
      </c>
      <c r="I786" s="4">
        <f t="shared" si="180"/>
        <v>10000</v>
      </c>
      <c r="J786" s="17">
        <f t="shared" si="181"/>
        <v>1E-3</v>
      </c>
      <c r="K786" s="17">
        <f t="shared" si="182"/>
        <v>1E-3</v>
      </c>
      <c r="L786" s="17">
        <f t="shared" si="183"/>
        <v>0.998</v>
      </c>
      <c r="M786" s="4">
        <f t="shared" si="184"/>
        <v>107600</v>
      </c>
    </row>
    <row r="787" spans="1:13" x14ac:dyDescent="0.3">
      <c r="A787" s="1">
        <f t="shared" si="175"/>
        <v>785</v>
      </c>
      <c r="B787" s="1">
        <v>10</v>
      </c>
      <c r="C787" s="1">
        <f t="shared" si="176"/>
        <v>10</v>
      </c>
      <c r="D787" s="4">
        <v>9980</v>
      </c>
      <c r="E787" s="4">
        <f t="shared" si="177"/>
        <v>905</v>
      </c>
      <c r="F787" s="10">
        <f t="shared" si="178"/>
        <v>7.6599999999998802</v>
      </c>
      <c r="G787" s="9">
        <f t="shared" si="179"/>
        <v>107750</v>
      </c>
      <c r="I787" s="4">
        <f t="shared" si="180"/>
        <v>10000</v>
      </c>
      <c r="J787" s="17">
        <f t="shared" si="181"/>
        <v>1E-3</v>
      </c>
      <c r="K787" s="17">
        <f t="shared" si="182"/>
        <v>1E-3</v>
      </c>
      <c r="L787" s="17">
        <f t="shared" si="183"/>
        <v>0.998</v>
      </c>
      <c r="M787" s="4">
        <f t="shared" si="184"/>
        <v>107750</v>
      </c>
    </row>
    <row r="788" spans="1:13" x14ac:dyDescent="0.3">
      <c r="A788" s="1">
        <f t="shared" si="175"/>
        <v>786</v>
      </c>
      <c r="B788" s="1">
        <v>10</v>
      </c>
      <c r="C788" s="1">
        <f t="shared" si="176"/>
        <v>10</v>
      </c>
      <c r="D788" s="4">
        <v>9980</v>
      </c>
      <c r="E788" s="4">
        <f t="shared" si="177"/>
        <v>906</v>
      </c>
      <c r="F788" s="10">
        <f t="shared" si="178"/>
        <v>7.66999999999988</v>
      </c>
      <c r="G788" s="9">
        <f t="shared" si="179"/>
        <v>107900</v>
      </c>
      <c r="I788" s="4">
        <f t="shared" si="180"/>
        <v>10000</v>
      </c>
      <c r="J788" s="17">
        <f t="shared" si="181"/>
        <v>1E-3</v>
      </c>
      <c r="K788" s="17">
        <f t="shared" si="182"/>
        <v>1E-3</v>
      </c>
      <c r="L788" s="17">
        <f t="shared" si="183"/>
        <v>0.998</v>
      </c>
      <c r="M788" s="4">
        <f t="shared" si="184"/>
        <v>107900</v>
      </c>
    </row>
    <row r="789" spans="1:13" x14ac:dyDescent="0.3">
      <c r="A789" s="1">
        <f t="shared" si="175"/>
        <v>787</v>
      </c>
      <c r="B789" s="1">
        <v>10</v>
      </c>
      <c r="C789" s="1">
        <f t="shared" si="176"/>
        <v>10</v>
      </c>
      <c r="D789" s="4">
        <v>9980</v>
      </c>
      <c r="E789" s="4">
        <f t="shared" si="177"/>
        <v>907</v>
      </c>
      <c r="F789" s="10">
        <f t="shared" si="178"/>
        <v>7.6799999999998798</v>
      </c>
      <c r="G789" s="9">
        <f t="shared" si="179"/>
        <v>108050</v>
      </c>
      <c r="I789" s="4">
        <f t="shared" si="180"/>
        <v>10000</v>
      </c>
      <c r="J789" s="17">
        <f t="shared" si="181"/>
        <v>1E-3</v>
      </c>
      <c r="K789" s="17">
        <f t="shared" si="182"/>
        <v>1E-3</v>
      </c>
      <c r="L789" s="17">
        <f t="shared" si="183"/>
        <v>0.998</v>
      </c>
      <c r="M789" s="4">
        <f t="shared" si="184"/>
        <v>108050</v>
      </c>
    </row>
    <row r="790" spans="1:13" x14ac:dyDescent="0.3">
      <c r="A790" s="1">
        <f t="shared" si="175"/>
        <v>788</v>
      </c>
      <c r="B790" s="1">
        <v>10</v>
      </c>
      <c r="C790" s="1">
        <f t="shared" si="176"/>
        <v>10</v>
      </c>
      <c r="D790" s="4">
        <v>9980</v>
      </c>
      <c r="E790" s="4">
        <f t="shared" si="177"/>
        <v>908</v>
      </c>
      <c r="F790" s="10">
        <f t="shared" si="178"/>
        <v>7.6899999999998796</v>
      </c>
      <c r="G790" s="9">
        <f t="shared" si="179"/>
        <v>108200</v>
      </c>
      <c r="I790" s="4">
        <f t="shared" si="180"/>
        <v>10000</v>
      </c>
      <c r="J790" s="17">
        <f t="shared" si="181"/>
        <v>1E-3</v>
      </c>
      <c r="K790" s="17">
        <f t="shared" si="182"/>
        <v>1E-3</v>
      </c>
      <c r="L790" s="17">
        <f t="shared" si="183"/>
        <v>0.998</v>
      </c>
      <c r="M790" s="4">
        <f t="shared" si="184"/>
        <v>108200</v>
      </c>
    </row>
    <row r="791" spans="1:13" x14ac:dyDescent="0.3">
      <c r="A791" s="1">
        <f t="shared" si="175"/>
        <v>789</v>
      </c>
      <c r="B791" s="1">
        <v>10</v>
      </c>
      <c r="C791" s="1">
        <f t="shared" si="176"/>
        <v>10</v>
      </c>
      <c r="D791" s="4">
        <v>9980</v>
      </c>
      <c r="E791" s="4">
        <f t="shared" si="177"/>
        <v>909</v>
      </c>
      <c r="F791" s="10">
        <f t="shared" si="178"/>
        <v>7.6999999999998794</v>
      </c>
      <c r="G791" s="9">
        <f t="shared" si="179"/>
        <v>108350</v>
      </c>
      <c r="I791" s="4">
        <f t="shared" si="180"/>
        <v>10000</v>
      </c>
      <c r="J791" s="17">
        <f t="shared" si="181"/>
        <v>1E-3</v>
      </c>
      <c r="K791" s="17">
        <f t="shared" si="182"/>
        <v>1E-3</v>
      </c>
      <c r="L791" s="17">
        <f t="shared" si="183"/>
        <v>0.998</v>
      </c>
      <c r="M791" s="4">
        <f t="shared" si="184"/>
        <v>108350</v>
      </c>
    </row>
    <row r="792" spans="1:13" x14ac:dyDescent="0.3">
      <c r="A792" s="1">
        <f t="shared" si="175"/>
        <v>790</v>
      </c>
      <c r="B792" s="1">
        <v>10</v>
      </c>
      <c r="C792" s="1">
        <f t="shared" si="176"/>
        <v>10</v>
      </c>
      <c r="D792" s="4">
        <v>9980</v>
      </c>
      <c r="E792" s="4">
        <f t="shared" si="177"/>
        <v>910</v>
      </c>
      <c r="F792" s="10">
        <f t="shared" si="178"/>
        <v>7.7099999999998792</v>
      </c>
      <c r="G792" s="9">
        <f t="shared" si="179"/>
        <v>108500</v>
      </c>
      <c r="I792" s="4">
        <f t="shared" si="180"/>
        <v>10000</v>
      </c>
      <c r="J792" s="17">
        <f t="shared" si="181"/>
        <v>1E-3</v>
      </c>
      <c r="K792" s="17">
        <f t="shared" si="182"/>
        <v>1E-3</v>
      </c>
      <c r="L792" s="17">
        <f t="shared" si="183"/>
        <v>0.998</v>
      </c>
      <c r="M792" s="4">
        <f t="shared" si="184"/>
        <v>108500</v>
      </c>
    </row>
    <row r="793" spans="1:13" x14ac:dyDescent="0.3">
      <c r="A793" s="1">
        <f t="shared" si="175"/>
        <v>791</v>
      </c>
      <c r="B793" s="1">
        <v>10</v>
      </c>
      <c r="C793" s="1">
        <f t="shared" si="176"/>
        <v>10</v>
      </c>
      <c r="D793" s="4">
        <v>9980</v>
      </c>
      <c r="E793" s="4">
        <f t="shared" si="177"/>
        <v>911</v>
      </c>
      <c r="F793" s="10">
        <f t="shared" si="178"/>
        <v>7.719999999999879</v>
      </c>
      <c r="G793" s="9">
        <f t="shared" si="179"/>
        <v>108650</v>
      </c>
      <c r="I793" s="4">
        <f t="shared" si="180"/>
        <v>10000</v>
      </c>
      <c r="J793" s="17">
        <f t="shared" si="181"/>
        <v>1E-3</v>
      </c>
      <c r="K793" s="17">
        <f t="shared" si="182"/>
        <v>1E-3</v>
      </c>
      <c r="L793" s="17">
        <f t="shared" si="183"/>
        <v>0.998</v>
      </c>
      <c r="M793" s="4">
        <f t="shared" si="184"/>
        <v>108650</v>
      </c>
    </row>
    <row r="794" spans="1:13" x14ac:dyDescent="0.3">
      <c r="A794" s="1">
        <f t="shared" si="175"/>
        <v>792</v>
      </c>
      <c r="B794" s="1">
        <v>10</v>
      </c>
      <c r="C794" s="1">
        <f t="shared" si="176"/>
        <v>10</v>
      </c>
      <c r="D794" s="4">
        <v>9980</v>
      </c>
      <c r="E794" s="4">
        <f t="shared" si="177"/>
        <v>912</v>
      </c>
      <c r="F794" s="10">
        <f t="shared" si="178"/>
        <v>7.7299999999998787</v>
      </c>
      <c r="G794" s="9">
        <f t="shared" si="179"/>
        <v>108800</v>
      </c>
      <c r="I794" s="4">
        <f t="shared" si="180"/>
        <v>10000</v>
      </c>
      <c r="J794" s="17">
        <f t="shared" si="181"/>
        <v>1E-3</v>
      </c>
      <c r="K794" s="17">
        <f t="shared" si="182"/>
        <v>1E-3</v>
      </c>
      <c r="L794" s="17">
        <f t="shared" si="183"/>
        <v>0.998</v>
      </c>
      <c r="M794" s="4">
        <f t="shared" si="184"/>
        <v>108800</v>
      </c>
    </row>
    <row r="795" spans="1:13" x14ac:dyDescent="0.3">
      <c r="A795" s="1">
        <f t="shared" si="175"/>
        <v>793</v>
      </c>
      <c r="B795" s="1">
        <v>10</v>
      </c>
      <c r="C795" s="1">
        <f t="shared" si="176"/>
        <v>10</v>
      </c>
      <c r="D795" s="4">
        <v>9980</v>
      </c>
      <c r="E795" s="4">
        <f t="shared" si="177"/>
        <v>913</v>
      </c>
      <c r="F795" s="10">
        <f t="shared" si="178"/>
        <v>7.7399999999998785</v>
      </c>
      <c r="G795" s="9">
        <f t="shared" si="179"/>
        <v>108950</v>
      </c>
      <c r="I795" s="4">
        <f t="shared" si="180"/>
        <v>10000</v>
      </c>
      <c r="J795" s="17">
        <f t="shared" si="181"/>
        <v>1E-3</v>
      </c>
      <c r="K795" s="17">
        <f t="shared" si="182"/>
        <v>1E-3</v>
      </c>
      <c r="L795" s="17">
        <f t="shared" si="183"/>
        <v>0.998</v>
      </c>
      <c r="M795" s="4">
        <f t="shared" si="184"/>
        <v>108950</v>
      </c>
    </row>
    <row r="796" spans="1:13" x14ac:dyDescent="0.3">
      <c r="A796" s="1">
        <f t="shared" si="175"/>
        <v>794</v>
      </c>
      <c r="B796" s="1">
        <v>10</v>
      </c>
      <c r="C796" s="1">
        <f t="shared" si="176"/>
        <v>10</v>
      </c>
      <c r="D796" s="4">
        <v>9980</v>
      </c>
      <c r="E796" s="4">
        <f t="shared" si="177"/>
        <v>914</v>
      </c>
      <c r="F796" s="10">
        <f t="shared" si="178"/>
        <v>7.7499999999998783</v>
      </c>
      <c r="G796" s="9">
        <f t="shared" si="179"/>
        <v>109100</v>
      </c>
      <c r="I796" s="4">
        <f t="shared" si="180"/>
        <v>10000</v>
      </c>
      <c r="J796" s="17">
        <f t="shared" si="181"/>
        <v>1E-3</v>
      </c>
      <c r="K796" s="17">
        <f t="shared" si="182"/>
        <v>1E-3</v>
      </c>
      <c r="L796" s="17">
        <f t="shared" si="183"/>
        <v>0.998</v>
      </c>
      <c r="M796" s="4">
        <f t="shared" si="184"/>
        <v>109100</v>
      </c>
    </row>
    <row r="797" spans="1:13" x14ac:dyDescent="0.3">
      <c r="A797" s="1">
        <f t="shared" si="175"/>
        <v>795</v>
      </c>
      <c r="B797" s="1">
        <v>10</v>
      </c>
      <c r="C797" s="1">
        <f t="shared" si="176"/>
        <v>10</v>
      </c>
      <c r="D797" s="4">
        <v>9980</v>
      </c>
      <c r="E797" s="4">
        <f t="shared" si="177"/>
        <v>915</v>
      </c>
      <c r="F797" s="10">
        <f t="shared" si="178"/>
        <v>7.7599999999998781</v>
      </c>
      <c r="G797" s="9">
        <f t="shared" si="179"/>
        <v>109250</v>
      </c>
      <c r="I797" s="4">
        <f t="shared" si="180"/>
        <v>10000</v>
      </c>
      <c r="J797" s="17">
        <f t="shared" si="181"/>
        <v>1E-3</v>
      </c>
      <c r="K797" s="17">
        <f t="shared" si="182"/>
        <v>1E-3</v>
      </c>
      <c r="L797" s="17">
        <f t="shared" si="183"/>
        <v>0.998</v>
      </c>
      <c r="M797" s="4">
        <f t="shared" si="184"/>
        <v>109250</v>
      </c>
    </row>
    <row r="798" spans="1:13" x14ac:dyDescent="0.3">
      <c r="A798" s="1">
        <f t="shared" si="175"/>
        <v>796</v>
      </c>
      <c r="B798" s="1">
        <v>10</v>
      </c>
      <c r="C798" s="1">
        <f t="shared" si="176"/>
        <v>10</v>
      </c>
      <c r="D798" s="4">
        <v>9980</v>
      </c>
      <c r="E798" s="4">
        <f t="shared" si="177"/>
        <v>916</v>
      </c>
      <c r="F798" s="10">
        <f t="shared" si="178"/>
        <v>7.7699999999998779</v>
      </c>
      <c r="G798" s="9">
        <f t="shared" si="179"/>
        <v>109400</v>
      </c>
      <c r="I798" s="4">
        <f t="shared" si="180"/>
        <v>10000</v>
      </c>
      <c r="J798" s="17">
        <f t="shared" si="181"/>
        <v>1E-3</v>
      </c>
      <c r="K798" s="17">
        <f t="shared" si="182"/>
        <v>1E-3</v>
      </c>
      <c r="L798" s="17">
        <f t="shared" si="183"/>
        <v>0.998</v>
      </c>
      <c r="M798" s="4">
        <f t="shared" si="184"/>
        <v>109400</v>
      </c>
    </row>
    <row r="799" spans="1:13" x14ac:dyDescent="0.3">
      <c r="A799" s="1">
        <f t="shared" ref="A799:A862" si="185">A798+1</f>
        <v>797</v>
      </c>
      <c r="B799" s="1">
        <v>10</v>
      </c>
      <c r="C799" s="1">
        <f t="shared" si="176"/>
        <v>10</v>
      </c>
      <c r="D799" s="4">
        <v>9980</v>
      </c>
      <c r="E799" s="4">
        <f t="shared" si="177"/>
        <v>917</v>
      </c>
      <c r="F799" s="10">
        <f t="shared" si="178"/>
        <v>7.7799999999998777</v>
      </c>
      <c r="G799" s="9">
        <f t="shared" si="179"/>
        <v>109550</v>
      </c>
      <c r="I799" s="4">
        <f t="shared" si="180"/>
        <v>10000</v>
      </c>
      <c r="J799" s="17">
        <f t="shared" si="181"/>
        <v>1E-3</v>
      </c>
      <c r="K799" s="17">
        <f t="shared" si="182"/>
        <v>1E-3</v>
      </c>
      <c r="L799" s="17">
        <f t="shared" si="183"/>
        <v>0.998</v>
      </c>
      <c r="M799" s="4">
        <f t="shared" si="184"/>
        <v>109550</v>
      </c>
    </row>
    <row r="800" spans="1:13" x14ac:dyDescent="0.3">
      <c r="A800" s="1">
        <f t="shared" si="185"/>
        <v>798</v>
      </c>
      <c r="B800" s="1">
        <v>10</v>
      </c>
      <c r="C800" s="1">
        <f t="shared" si="176"/>
        <v>10</v>
      </c>
      <c r="D800" s="4">
        <v>9980</v>
      </c>
      <c r="E800" s="4">
        <f t="shared" si="177"/>
        <v>918</v>
      </c>
      <c r="F800" s="10">
        <f t="shared" si="178"/>
        <v>7.7899999999998775</v>
      </c>
      <c r="G800" s="9">
        <f t="shared" si="179"/>
        <v>109700</v>
      </c>
      <c r="I800" s="4">
        <f t="shared" si="180"/>
        <v>10000</v>
      </c>
      <c r="J800" s="17">
        <f t="shared" si="181"/>
        <v>1E-3</v>
      </c>
      <c r="K800" s="17">
        <f t="shared" si="182"/>
        <v>1E-3</v>
      </c>
      <c r="L800" s="17">
        <f t="shared" si="183"/>
        <v>0.998</v>
      </c>
      <c r="M800" s="4">
        <f t="shared" si="184"/>
        <v>109700</v>
      </c>
    </row>
    <row r="801" spans="1:13" x14ac:dyDescent="0.3">
      <c r="A801" s="1">
        <f t="shared" si="185"/>
        <v>799</v>
      </c>
      <c r="B801" s="1">
        <v>10</v>
      </c>
      <c r="C801" s="1">
        <f t="shared" si="176"/>
        <v>10</v>
      </c>
      <c r="D801" s="4">
        <v>9980</v>
      </c>
      <c r="E801" s="4">
        <f t="shared" si="177"/>
        <v>919</v>
      </c>
      <c r="F801" s="10">
        <f t="shared" si="178"/>
        <v>7.7999999999998773</v>
      </c>
      <c r="G801" s="9">
        <f t="shared" si="179"/>
        <v>109850</v>
      </c>
      <c r="I801" s="4">
        <f t="shared" si="180"/>
        <v>10000</v>
      </c>
      <c r="J801" s="17">
        <f t="shared" si="181"/>
        <v>1E-3</v>
      </c>
      <c r="K801" s="17">
        <f t="shared" si="182"/>
        <v>1E-3</v>
      </c>
      <c r="L801" s="17">
        <f t="shared" si="183"/>
        <v>0.998</v>
      </c>
      <c r="M801" s="4">
        <f t="shared" si="184"/>
        <v>109850</v>
      </c>
    </row>
    <row r="802" spans="1:13" x14ac:dyDescent="0.3">
      <c r="A802" s="1">
        <f t="shared" si="185"/>
        <v>800</v>
      </c>
      <c r="B802" s="1">
        <v>10</v>
      </c>
      <c r="C802" s="1">
        <f t="shared" si="176"/>
        <v>10</v>
      </c>
      <c r="D802" s="4">
        <v>9980</v>
      </c>
      <c r="E802" s="4">
        <f t="shared" si="177"/>
        <v>920</v>
      </c>
      <c r="F802" s="10">
        <f t="shared" si="178"/>
        <v>7.809999999999877</v>
      </c>
      <c r="G802" s="9">
        <f t="shared" si="179"/>
        <v>110000</v>
      </c>
      <c r="I802" s="4">
        <f t="shared" si="180"/>
        <v>10000</v>
      </c>
      <c r="J802" s="17">
        <f t="shared" si="181"/>
        <v>1E-3</v>
      </c>
      <c r="K802" s="17">
        <f t="shared" si="182"/>
        <v>1E-3</v>
      </c>
      <c r="L802" s="17">
        <f t="shared" si="183"/>
        <v>0.998</v>
      </c>
      <c r="M802" s="4">
        <f t="shared" si="184"/>
        <v>110000</v>
      </c>
    </row>
    <row r="803" spans="1:13" x14ac:dyDescent="0.3">
      <c r="A803" s="1">
        <f t="shared" si="185"/>
        <v>801</v>
      </c>
      <c r="B803" s="1">
        <v>10</v>
      </c>
      <c r="C803" s="1">
        <f t="shared" si="176"/>
        <v>10</v>
      </c>
      <c r="D803" s="4">
        <v>9980</v>
      </c>
      <c r="E803" s="4">
        <f t="shared" si="177"/>
        <v>921</v>
      </c>
      <c r="F803" s="10">
        <f t="shared" si="178"/>
        <v>7.8199999999998768</v>
      </c>
      <c r="G803" s="9">
        <f t="shared" si="179"/>
        <v>110150</v>
      </c>
      <c r="I803" s="4">
        <f t="shared" si="180"/>
        <v>10000</v>
      </c>
      <c r="J803" s="17">
        <f t="shared" si="181"/>
        <v>1E-3</v>
      </c>
      <c r="K803" s="17">
        <f t="shared" si="182"/>
        <v>1E-3</v>
      </c>
      <c r="L803" s="17">
        <f t="shared" si="183"/>
        <v>0.998</v>
      </c>
      <c r="M803" s="4">
        <f t="shared" si="184"/>
        <v>110150</v>
      </c>
    </row>
    <row r="804" spans="1:13" x14ac:dyDescent="0.3">
      <c r="A804" s="1">
        <f t="shared" si="185"/>
        <v>802</v>
      </c>
      <c r="B804" s="1">
        <v>10</v>
      </c>
      <c r="C804" s="1">
        <f t="shared" si="176"/>
        <v>10</v>
      </c>
      <c r="D804" s="4">
        <v>9980</v>
      </c>
      <c r="E804" s="4">
        <f t="shared" si="177"/>
        <v>922</v>
      </c>
      <c r="F804" s="10">
        <f t="shared" si="178"/>
        <v>7.8299999999998766</v>
      </c>
      <c r="G804" s="9">
        <f t="shared" si="179"/>
        <v>110300</v>
      </c>
      <c r="I804" s="4">
        <f t="shared" si="180"/>
        <v>10000</v>
      </c>
      <c r="J804" s="17">
        <f t="shared" si="181"/>
        <v>1E-3</v>
      </c>
      <c r="K804" s="17">
        <f t="shared" si="182"/>
        <v>1E-3</v>
      </c>
      <c r="L804" s="17">
        <f t="shared" si="183"/>
        <v>0.998</v>
      </c>
      <c r="M804" s="4">
        <f t="shared" si="184"/>
        <v>110300</v>
      </c>
    </row>
    <row r="805" spans="1:13" x14ac:dyDescent="0.3">
      <c r="A805" s="1">
        <f t="shared" si="185"/>
        <v>803</v>
      </c>
      <c r="B805" s="1">
        <v>10</v>
      </c>
      <c r="C805" s="1">
        <f t="shared" si="176"/>
        <v>10</v>
      </c>
      <c r="D805" s="4">
        <v>9980</v>
      </c>
      <c r="E805" s="4">
        <f t="shared" si="177"/>
        <v>923</v>
      </c>
      <c r="F805" s="10">
        <f t="shared" si="178"/>
        <v>7.8399999999998764</v>
      </c>
      <c r="G805" s="9">
        <f t="shared" si="179"/>
        <v>110450</v>
      </c>
      <c r="I805" s="4">
        <f t="shared" si="180"/>
        <v>10000</v>
      </c>
      <c r="J805" s="17">
        <f t="shared" si="181"/>
        <v>1E-3</v>
      </c>
      <c r="K805" s="17">
        <f t="shared" si="182"/>
        <v>1E-3</v>
      </c>
      <c r="L805" s="17">
        <f t="shared" si="183"/>
        <v>0.998</v>
      </c>
      <c r="M805" s="4">
        <f t="shared" si="184"/>
        <v>110450</v>
      </c>
    </row>
    <row r="806" spans="1:13" x14ac:dyDescent="0.3">
      <c r="A806" s="1">
        <f t="shared" si="185"/>
        <v>804</v>
      </c>
      <c r="B806" s="1">
        <v>10</v>
      </c>
      <c r="C806" s="1">
        <f t="shared" si="176"/>
        <v>10</v>
      </c>
      <c r="D806" s="4">
        <v>9980</v>
      </c>
      <c r="E806" s="4">
        <f t="shared" si="177"/>
        <v>924</v>
      </c>
      <c r="F806" s="10">
        <f t="shared" si="178"/>
        <v>7.8499999999998762</v>
      </c>
      <c r="G806" s="9">
        <f t="shared" si="179"/>
        <v>110600</v>
      </c>
      <c r="I806" s="4">
        <f t="shared" si="180"/>
        <v>10000</v>
      </c>
      <c r="J806" s="17">
        <f t="shared" si="181"/>
        <v>1E-3</v>
      </c>
      <c r="K806" s="17">
        <f t="shared" si="182"/>
        <v>1E-3</v>
      </c>
      <c r="L806" s="17">
        <f t="shared" si="183"/>
        <v>0.998</v>
      </c>
      <c r="M806" s="4">
        <f t="shared" si="184"/>
        <v>110600</v>
      </c>
    </row>
    <row r="807" spans="1:13" x14ac:dyDescent="0.3">
      <c r="A807" s="1">
        <f t="shared" si="185"/>
        <v>805</v>
      </c>
      <c r="B807" s="1">
        <v>10</v>
      </c>
      <c r="C807" s="1">
        <f t="shared" si="176"/>
        <v>10</v>
      </c>
      <c r="D807" s="4">
        <v>9980</v>
      </c>
      <c r="E807" s="4">
        <f t="shared" si="177"/>
        <v>925</v>
      </c>
      <c r="F807" s="10">
        <f t="shared" si="178"/>
        <v>7.859999999999876</v>
      </c>
      <c r="G807" s="9">
        <f t="shared" si="179"/>
        <v>110750</v>
      </c>
      <c r="I807" s="4">
        <f t="shared" si="180"/>
        <v>10000</v>
      </c>
      <c r="J807" s="17">
        <f t="shared" si="181"/>
        <v>1E-3</v>
      </c>
      <c r="K807" s="17">
        <f t="shared" si="182"/>
        <v>1E-3</v>
      </c>
      <c r="L807" s="17">
        <f t="shared" si="183"/>
        <v>0.998</v>
      </c>
      <c r="M807" s="4">
        <f t="shared" si="184"/>
        <v>110750</v>
      </c>
    </row>
    <row r="808" spans="1:13" x14ac:dyDescent="0.3">
      <c r="A808" s="1">
        <f t="shared" si="185"/>
        <v>806</v>
      </c>
      <c r="B808" s="1">
        <v>10</v>
      </c>
      <c r="C808" s="1">
        <f t="shared" si="176"/>
        <v>10</v>
      </c>
      <c r="D808" s="4">
        <v>9980</v>
      </c>
      <c r="E808" s="4">
        <f t="shared" si="177"/>
        <v>926</v>
      </c>
      <c r="F808" s="10">
        <f t="shared" si="178"/>
        <v>7.8699999999998758</v>
      </c>
      <c r="G808" s="9">
        <f t="shared" si="179"/>
        <v>110900</v>
      </c>
      <c r="I808" s="4">
        <f t="shared" si="180"/>
        <v>10000</v>
      </c>
      <c r="J808" s="17">
        <f t="shared" si="181"/>
        <v>1E-3</v>
      </c>
      <c r="K808" s="17">
        <f t="shared" si="182"/>
        <v>1E-3</v>
      </c>
      <c r="L808" s="17">
        <f t="shared" si="183"/>
        <v>0.998</v>
      </c>
      <c r="M808" s="4">
        <f t="shared" si="184"/>
        <v>110900</v>
      </c>
    </row>
    <row r="809" spans="1:13" x14ac:dyDescent="0.3">
      <c r="A809" s="1">
        <f t="shared" si="185"/>
        <v>807</v>
      </c>
      <c r="B809" s="1">
        <v>10</v>
      </c>
      <c r="C809" s="1">
        <f t="shared" si="176"/>
        <v>10</v>
      </c>
      <c r="D809" s="4">
        <v>9980</v>
      </c>
      <c r="E809" s="4">
        <f t="shared" si="177"/>
        <v>927</v>
      </c>
      <c r="F809" s="10">
        <f t="shared" si="178"/>
        <v>7.8799999999998755</v>
      </c>
      <c r="G809" s="9">
        <f t="shared" si="179"/>
        <v>111050</v>
      </c>
      <c r="I809" s="4">
        <f t="shared" si="180"/>
        <v>10000</v>
      </c>
      <c r="J809" s="17">
        <f t="shared" si="181"/>
        <v>1E-3</v>
      </c>
      <c r="K809" s="17">
        <f t="shared" si="182"/>
        <v>1E-3</v>
      </c>
      <c r="L809" s="17">
        <f t="shared" si="183"/>
        <v>0.998</v>
      </c>
      <c r="M809" s="4">
        <f t="shared" si="184"/>
        <v>111050</v>
      </c>
    </row>
    <row r="810" spans="1:13" x14ac:dyDescent="0.3">
      <c r="A810" s="1">
        <f t="shared" si="185"/>
        <v>808</v>
      </c>
      <c r="B810" s="1">
        <v>10</v>
      </c>
      <c r="C810" s="1">
        <f t="shared" si="176"/>
        <v>10</v>
      </c>
      <c r="D810" s="4">
        <v>9980</v>
      </c>
      <c r="E810" s="4">
        <f t="shared" si="177"/>
        <v>928</v>
      </c>
      <c r="F810" s="10">
        <f t="shared" si="178"/>
        <v>7.8899999999998753</v>
      </c>
      <c r="G810" s="9">
        <f t="shared" si="179"/>
        <v>111200</v>
      </c>
      <c r="I810" s="4">
        <f t="shared" si="180"/>
        <v>10000</v>
      </c>
      <c r="J810" s="17">
        <f t="shared" si="181"/>
        <v>1E-3</v>
      </c>
      <c r="K810" s="17">
        <f t="shared" si="182"/>
        <v>1E-3</v>
      </c>
      <c r="L810" s="17">
        <f t="shared" si="183"/>
        <v>0.998</v>
      </c>
      <c r="M810" s="4">
        <f t="shared" si="184"/>
        <v>111200</v>
      </c>
    </row>
    <row r="811" spans="1:13" x14ac:dyDescent="0.3">
      <c r="A811" s="1">
        <f t="shared" si="185"/>
        <v>809</v>
      </c>
      <c r="B811" s="1">
        <v>10</v>
      </c>
      <c r="C811" s="1">
        <f t="shared" si="176"/>
        <v>10</v>
      </c>
      <c r="D811" s="4">
        <v>9980</v>
      </c>
      <c r="E811" s="4">
        <f t="shared" si="177"/>
        <v>929</v>
      </c>
      <c r="F811" s="10">
        <f t="shared" si="178"/>
        <v>7.8999999999998751</v>
      </c>
      <c r="G811" s="9">
        <f t="shared" si="179"/>
        <v>111350</v>
      </c>
      <c r="I811" s="4">
        <f t="shared" si="180"/>
        <v>10000</v>
      </c>
      <c r="J811" s="17">
        <f t="shared" si="181"/>
        <v>1E-3</v>
      </c>
      <c r="K811" s="17">
        <f t="shared" si="182"/>
        <v>1E-3</v>
      </c>
      <c r="L811" s="17">
        <f t="shared" si="183"/>
        <v>0.998</v>
      </c>
      <c r="M811" s="4">
        <f t="shared" si="184"/>
        <v>111350</v>
      </c>
    </row>
    <row r="812" spans="1:13" x14ac:dyDescent="0.3">
      <c r="A812" s="1">
        <f t="shared" si="185"/>
        <v>810</v>
      </c>
      <c r="B812" s="1">
        <v>10</v>
      </c>
      <c r="C812" s="1">
        <f t="shared" si="176"/>
        <v>10</v>
      </c>
      <c r="D812" s="4">
        <v>9980</v>
      </c>
      <c r="E812" s="4">
        <f t="shared" si="177"/>
        <v>930</v>
      </c>
      <c r="F812" s="10">
        <f t="shared" si="178"/>
        <v>7.9099999999998749</v>
      </c>
      <c r="G812" s="9">
        <f t="shared" si="179"/>
        <v>111500</v>
      </c>
      <c r="I812" s="4">
        <f t="shared" si="180"/>
        <v>10000</v>
      </c>
      <c r="J812" s="17">
        <f t="shared" si="181"/>
        <v>1E-3</v>
      </c>
      <c r="K812" s="17">
        <f t="shared" si="182"/>
        <v>1E-3</v>
      </c>
      <c r="L812" s="17">
        <f t="shared" si="183"/>
        <v>0.998</v>
      </c>
      <c r="M812" s="4">
        <f t="shared" si="184"/>
        <v>111500</v>
      </c>
    </row>
    <row r="813" spans="1:13" x14ac:dyDescent="0.3">
      <c r="A813" s="1">
        <f t="shared" si="185"/>
        <v>811</v>
      </c>
      <c r="B813" s="1">
        <v>10</v>
      </c>
      <c r="C813" s="1">
        <f t="shared" si="176"/>
        <v>10</v>
      </c>
      <c r="D813" s="4">
        <v>9980</v>
      </c>
      <c r="E813" s="4">
        <f t="shared" si="177"/>
        <v>931</v>
      </c>
      <c r="F813" s="10">
        <f t="shared" si="178"/>
        <v>7.9199999999998747</v>
      </c>
      <c r="G813" s="9">
        <f t="shared" si="179"/>
        <v>111650</v>
      </c>
      <c r="I813" s="4">
        <f t="shared" si="180"/>
        <v>10000</v>
      </c>
      <c r="J813" s="17">
        <f t="shared" si="181"/>
        <v>1E-3</v>
      </c>
      <c r="K813" s="17">
        <f t="shared" si="182"/>
        <v>1E-3</v>
      </c>
      <c r="L813" s="17">
        <f t="shared" si="183"/>
        <v>0.998</v>
      </c>
      <c r="M813" s="4">
        <f t="shared" si="184"/>
        <v>111650</v>
      </c>
    </row>
    <row r="814" spans="1:13" x14ac:dyDescent="0.3">
      <c r="A814" s="1">
        <f t="shared" si="185"/>
        <v>812</v>
      </c>
      <c r="B814" s="1">
        <v>10</v>
      </c>
      <c r="C814" s="1">
        <f t="shared" si="176"/>
        <v>10</v>
      </c>
      <c r="D814" s="4">
        <v>9980</v>
      </c>
      <c r="E814" s="4">
        <f t="shared" si="177"/>
        <v>932</v>
      </c>
      <c r="F814" s="10">
        <f t="shared" si="178"/>
        <v>7.9299999999998745</v>
      </c>
      <c r="G814" s="9">
        <f t="shared" si="179"/>
        <v>111800</v>
      </c>
      <c r="I814" s="4">
        <f t="shared" si="180"/>
        <v>10000</v>
      </c>
      <c r="J814" s="17">
        <f t="shared" si="181"/>
        <v>1E-3</v>
      </c>
      <c r="K814" s="17">
        <f t="shared" si="182"/>
        <v>1E-3</v>
      </c>
      <c r="L814" s="17">
        <f t="shared" si="183"/>
        <v>0.998</v>
      </c>
      <c r="M814" s="4">
        <f t="shared" si="184"/>
        <v>111800</v>
      </c>
    </row>
    <row r="815" spans="1:13" x14ac:dyDescent="0.3">
      <c r="A815" s="1">
        <f t="shared" si="185"/>
        <v>813</v>
      </c>
      <c r="B815" s="1">
        <v>10</v>
      </c>
      <c r="C815" s="1">
        <f t="shared" si="176"/>
        <v>10</v>
      </c>
      <c r="D815" s="4">
        <v>9980</v>
      </c>
      <c r="E815" s="4">
        <f t="shared" si="177"/>
        <v>933</v>
      </c>
      <c r="F815" s="10">
        <f t="shared" si="178"/>
        <v>7.9399999999998743</v>
      </c>
      <c r="G815" s="9">
        <f t="shared" si="179"/>
        <v>111950</v>
      </c>
      <c r="I815" s="4">
        <f t="shared" si="180"/>
        <v>10000</v>
      </c>
      <c r="J815" s="17">
        <f t="shared" si="181"/>
        <v>1E-3</v>
      </c>
      <c r="K815" s="17">
        <f t="shared" si="182"/>
        <v>1E-3</v>
      </c>
      <c r="L815" s="17">
        <f t="shared" si="183"/>
        <v>0.998</v>
      </c>
      <c r="M815" s="4">
        <f t="shared" si="184"/>
        <v>111950</v>
      </c>
    </row>
    <row r="816" spans="1:13" x14ac:dyDescent="0.3">
      <c r="A816" s="1">
        <f t="shared" si="185"/>
        <v>814</v>
      </c>
      <c r="B816" s="1">
        <v>10</v>
      </c>
      <c r="C816" s="1">
        <f t="shared" si="176"/>
        <v>10</v>
      </c>
      <c r="D816" s="4">
        <v>9980</v>
      </c>
      <c r="E816" s="4">
        <f t="shared" si="177"/>
        <v>934</v>
      </c>
      <c r="F816" s="10">
        <f t="shared" si="178"/>
        <v>7.9499999999998741</v>
      </c>
      <c r="G816" s="9">
        <f t="shared" si="179"/>
        <v>112100</v>
      </c>
      <c r="I816" s="4">
        <f t="shared" si="180"/>
        <v>10000</v>
      </c>
      <c r="J816" s="17">
        <f t="shared" si="181"/>
        <v>1E-3</v>
      </c>
      <c r="K816" s="17">
        <f t="shared" si="182"/>
        <v>1E-3</v>
      </c>
      <c r="L816" s="17">
        <f t="shared" si="183"/>
        <v>0.998</v>
      </c>
      <c r="M816" s="4">
        <f t="shared" si="184"/>
        <v>112100</v>
      </c>
    </row>
    <row r="817" spans="1:13" x14ac:dyDescent="0.3">
      <c r="A817" s="1">
        <f t="shared" si="185"/>
        <v>815</v>
      </c>
      <c r="B817" s="1">
        <v>10</v>
      </c>
      <c r="C817" s="1">
        <f t="shared" si="176"/>
        <v>10</v>
      </c>
      <c r="D817" s="4">
        <v>9980</v>
      </c>
      <c r="E817" s="4">
        <f t="shared" si="177"/>
        <v>935</v>
      </c>
      <c r="F817" s="10">
        <f t="shared" si="178"/>
        <v>7.9599999999998738</v>
      </c>
      <c r="G817" s="9">
        <f t="shared" si="179"/>
        <v>112250</v>
      </c>
      <c r="I817" s="4">
        <f t="shared" si="180"/>
        <v>10000</v>
      </c>
      <c r="J817" s="17">
        <f t="shared" si="181"/>
        <v>1E-3</v>
      </c>
      <c r="K817" s="17">
        <f t="shared" si="182"/>
        <v>1E-3</v>
      </c>
      <c r="L817" s="17">
        <f t="shared" si="183"/>
        <v>0.998</v>
      </c>
      <c r="M817" s="4">
        <f t="shared" si="184"/>
        <v>112250</v>
      </c>
    </row>
    <row r="818" spans="1:13" x14ac:dyDescent="0.3">
      <c r="A818" s="1">
        <f t="shared" si="185"/>
        <v>816</v>
      </c>
      <c r="B818" s="1">
        <v>10</v>
      </c>
      <c r="C818" s="1">
        <f t="shared" si="176"/>
        <v>10</v>
      </c>
      <c r="D818" s="4">
        <v>9980</v>
      </c>
      <c r="E818" s="4">
        <f t="shared" si="177"/>
        <v>936</v>
      </c>
      <c r="F818" s="10">
        <f t="shared" si="178"/>
        <v>7.9699999999998736</v>
      </c>
      <c r="G818" s="9">
        <f t="shared" si="179"/>
        <v>112400</v>
      </c>
      <c r="I818" s="4">
        <f t="shared" si="180"/>
        <v>10000</v>
      </c>
      <c r="J818" s="17">
        <f t="shared" si="181"/>
        <v>1E-3</v>
      </c>
      <c r="K818" s="17">
        <f t="shared" si="182"/>
        <v>1E-3</v>
      </c>
      <c r="L818" s="17">
        <f t="shared" si="183"/>
        <v>0.998</v>
      </c>
      <c r="M818" s="4">
        <f t="shared" si="184"/>
        <v>112400</v>
      </c>
    </row>
    <row r="819" spans="1:13" x14ac:dyDescent="0.3">
      <c r="A819" s="1">
        <f t="shared" si="185"/>
        <v>817</v>
      </c>
      <c r="B819" s="1">
        <v>10</v>
      </c>
      <c r="C819" s="1">
        <f t="shared" si="176"/>
        <v>10</v>
      </c>
      <c r="D819" s="4">
        <v>9980</v>
      </c>
      <c r="E819" s="4">
        <f t="shared" si="177"/>
        <v>937</v>
      </c>
      <c r="F819" s="10">
        <f t="shared" si="178"/>
        <v>7.9799999999998734</v>
      </c>
      <c r="G819" s="9">
        <f t="shared" si="179"/>
        <v>112550</v>
      </c>
      <c r="I819" s="4">
        <f t="shared" si="180"/>
        <v>10000</v>
      </c>
      <c r="J819" s="17">
        <f t="shared" si="181"/>
        <v>1E-3</v>
      </c>
      <c r="K819" s="17">
        <f t="shared" si="182"/>
        <v>1E-3</v>
      </c>
      <c r="L819" s="17">
        <f t="shared" si="183"/>
        <v>0.998</v>
      </c>
      <c r="M819" s="4">
        <f t="shared" si="184"/>
        <v>112550</v>
      </c>
    </row>
    <row r="820" spans="1:13" x14ac:dyDescent="0.3">
      <c r="A820" s="1">
        <f t="shared" si="185"/>
        <v>818</v>
      </c>
      <c r="B820" s="1">
        <v>10</v>
      </c>
      <c r="C820" s="1">
        <f t="shared" si="176"/>
        <v>10</v>
      </c>
      <c r="D820" s="4">
        <v>9980</v>
      </c>
      <c r="E820" s="4">
        <f t="shared" si="177"/>
        <v>938</v>
      </c>
      <c r="F820" s="10">
        <f t="shared" si="178"/>
        <v>7.9899999999998732</v>
      </c>
      <c r="G820" s="9">
        <f t="shared" si="179"/>
        <v>112700</v>
      </c>
      <c r="I820" s="4">
        <f t="shared" si="180"/>
        <v>10000</v>
      </c>
      <c r="J820" s="17">
        <f t="shared" si="181"/>
        <v>1E-3</v>
      </c>
      <c r="K820" s="17">
        <f t="shared" si="182"/>
        <v>1E-3</v>
      </c>
      <c r="L820" s="17">
        <f t="shared" si="183"/>
        <v>0.998</v>
      </c>
      <c r="M820" s="4">
        <f t="shared" si="184"/>
        <v>112700</v>
      </c>
    </row>
    <row r="821" spans="1:13" x14ac:dyDescent="0.3">
      <c r="A821" s="1">
        <f t="shared" si="185"/>
        <v>819</v>
      </c>
      <c r="B821" s="1">
        <v>10</v>
      </c>
      <c r="C821" s="1">
        <f t="shared" si="176"/>
        <v>10</v>
      </c>
      <c r="D821" s="4">
        <v>9980</v>
      </c>
      <c r="E821" s="4">
        <f t="shared" si="177"/>
        <v>939</v>
      </c>
      <c r="F821" s="10">
        <f t="shared" si="178"/>
        <v>7.999999999999873</v>
      </c>
      <c r="G821" s="9">
        <f t="shared" si="179"/>
        <v>112850</v>
      </c>
      <c r="I821" s="4">
        <f t="shared" si="180"/>
        <v>10000</v>
      </c>
      <c r="J821" s="17">
        <f t="shared" si="181"/>
        <v>1E-3</v>
      </c>
      <c r="K821" s="17">
        <f t="shared" si="182"/>
        <v>1E-3</v>
      </c>
      <c r="L821" s="17">
        <f t="shared" si="183"/>
        <v>0.998</v>
      </c>
      <c r="M821" s="4">
        <f t="shared" si="184"/>
        <v>112850</v>
      </c>
    </row>
    <row r="822" spans="1:13" x14ac:dyDescent="0.3">
      <c r="A822" s="1">
        <f t="shared" si="185"/>
        <v>820</v>
      </c>
      <c r="B822" s="1">
        <v>10</v>
      </c>
      <c r="C822" s="1">
        <f t="shared" si="176"/>
        <v>10</v>
      </c>
      <c r="D822" s="4">
        <v>9980</v>
      </c>
      <c r="E822" s="4">
        <f t="shared" si="177"/>
        <v>940</v>
      </c>
      <c r="F822" s="10">
        <f t="shared" si="178"/>
        <v>8.0099999999998737</v>
      </c>
      <c r="G822" s="9">
        <f t="shared" si="179"/>
        <v>113000</v>
      </c>
      <c r="I822" s="4">
        <f t="shared" si="180"/>
        <v>10000</v>
      </c>
      <c r="J822" s="17">
        <f t="shared" si="181"/>
        <v>1E-3</v>
      </c>
      <c r="K822" s="17">
        <f t="shared" si="182"/>
        <v>1E-3</v>
      </c>
      <c r="L822" s="17">
        <f t="shared" si="183"/>
        <v>0.998</v>
      </c>
      <c r="M822" s="4">
        <f t="shared" si="184"/>
        <v>113000</v>
      </c>
    </row>
    <row r="823" spans="1:13" x14ac:dyDescent="0.3">
      <c r="A823" s="1">
        <f t="shared" si="185"/>
        <v>821</v>
      </c>
      <c r="B823" s="1">
        <v>10</v>
      </c>
      <c r="C823" s="1">
        <f t="shared" si="176"/>
        <v>10</v>
      </c>
      <c r="D823" s="4">
        <v>9980</v>
      </c>
      <c r="E823" s="4">
        <f t="shared" si="177"/>
        <v>941</v>
      </c>
      <c r="F823" s="10">
        <f t="shared" si="178"/>
        <v>8.0199999999998735</v>
      </c>
      <c r="G823" s="9">
        <f t="shared" si="179"/>
        <v>113150</v>
      </c>
      <c r="I823" s="4">
        <f t="shared" si="180"/>
        <v>10000</v>
      </c>
      <c r="J823" s="17">
        <f t="shared" si="181"/>
        <v>1E-3</v>
      </c>
      <c r="K823" s="17">
        <f t="shared" si="182"/>
        <v>1E-3</v>
      </c>
      <c r="L823" s="17">
        <f t="shared" si="183"/>
        <v>0.998</v>
      </c>
      <c r="M823" s="4">
        <f t="shared" si="184"/>
        <v>113150</v>
      </c>
    </row>
    <row r="824" spans="1:13" x14ac:dyDescent="0.3">
      <c r="A824" s="1">
        <f t="shared" si="185"/>
        <v>822</v>
      </c>
      <c r="B824" s="1">
        <v>10</v>
      </c>
      <c r="C824" s="1">
        <f t="shared" si="176"/>
        <v>10</v>
      </c>
      <c r="D824" s="4">
        <v>9980</v>
      </c>
      <c r="E824" s="4">
        <f t="shared" si="177"/>
        <v>942</v>
      </c>
      <c r="F824" s="10">
        <f t="shared" si="178"/>
        <v>8.0299999999998732</v>
      </c>
      <c r="G824" s="9">
        <f t="shared" si="179"/>
        <v>113300</v>
      </c>
      <c r="I824" s="4">
        <f t="shared" si="180"/>
        <v>10000</v>
      </c>
      <c r="J824" s="17">
        <f t="shared" si="181"/>
        <v>1E-3</v>
      </c>
      <c r="K824" s="17">
        <f t="shared" si="182"/>
        <v>1E-3</v>
      </c>
      <c r="L824" s="17">
        <f t="shared" si="183"/>
        <v>0.998</v>
      </c>
      <c r="M824" s="4">
        <f t="shared" si="184"/>
        <v>113300</v>
      </c>
    </row>
    <row r="825" spans="1:13" x14ac:dyDescent="0.3">
      <c r="A825" s="1">
        <f t="shared" si="185"/>
        <v>823</v>
      </c>
      <c r="B825" s="1">
        <v>10</v>
      </c>
      <c r="C825" s="1">
        <f t="shared" si="176"/>
        <v>10</v>
      </c>
      <c r="D825" s="4">
        <v>9980</v>
      </c>
      <c r="E825" s="4">
        <f t="shared" si="177"/>
        <v>943</v>
      </c>
      <c r="F825" s="10">
        <f t="shared" si="178"/>
        <v>8.039999999999873</v>
      </c>
      <c r="G825" s="9">
        <f t="shared" si="179"/>
        <v>113450</v>
      </c>
      <c r="I825" s="4">
        <f t="shared" si="180"/>
        <v>10000</v>
      </c>
      <c r="J825" s="17">
        <f t="shared" si="181"/>
        <v>1E-3</v>
      </c>
      <c r="K825" s="17">
        <f t="shared" si="182"/>
        <v>1E-3</v>
      </c>
      <c r="L825" s="17">
        <f t="shared" si="183"/>
        <v>0.998</v>
      </c>
      <c r="M825" s="4">
        <f t="shared" si="184"/>
        <v>113450</v>
      </c>
    </row>
    <row r="826" spans="1:13" x14ac:dyDescent="0.3">
      <c r="A826" s="1">
        <f t="shared" si="185"/>
        <v>824</v>
      </c>
      <c r="B826" s="1">
        <v>10</v>
      </c>
      <c r="C826" s="1">
        <f t="shared" si="176"/>
        <v>10</v>
      </c>
      <c r="D826" s="4">
        <v>9980</v>
      </c>
      <c r="E826" s="4">
        <f t="shared" si="177"/>
        <v>944</v>
      </c>
      <c r="F826" s="10">
        <f t="shared" si="178"/>
        <v>8.0499999999998728</v>
      </c>
      <c r="G826" s="9">
        <f t="shared" si="179"/>
        <v>113600</v>
      </c>
      <c r="I826" s="4">
        <f t="shared" si="180"/>
        <v>10000</v>
      </c>
      <c r="J826" s="17">
        <f t="shared" si="181"/>
        <v>1E-3</v>
      </c>
      <c r="K826" s="17">
        <f t="shared" si="182"/>
        <v>1E-3</v>
      </c>
      <c r="L826" s="17">
        <f t="shared" si="183"/>
        <v>0.998</v>
      </c>
      <c r="M826" s="4">
        <f t="shared" si="184"/>
        <v>113600</v>
      </c>
    </row>
    <row r="827" spans="1:13" x14ac:dyDescent="0.3">
      <c r="A827" s="1">
        <f t="shared" si="185"/>
        <v>825</v>
      </c>
      <c r="B827" s="1">
        <v>10</v>
      </c>
      <c r="C827" s="1">
        <f t="shared" si="176"/>
        <v>10</v>
      </c>
      <c r="D827" s="4">
        <v>9980</v>
      </c>
      <c r="E827" s="4">
        <f t="shared" si="177"/>
        <v>945</v>
      </c>
      <c r="F827" s="10">
        <f t="shared" si="178"/>
        <v>8.0599999999998726</v>
      </c>
      <c r="G827" s="9">
        <f t="shared" si="179"/>
        <v>113750</v>
      </c>
      <c r="I827" s="4">
        <f t="shared" si="180"/>
        <v>10000</v>
      </c>
      <c r="J827" s="17">
        <f t="shared" si="181"/>
        <v>1E-3</v>
      </c>
      <c r="K827" s="17">
        <f t="shared" si="182"/>
        <v>1E-3</v>
      </c>
      <c r="L827" s="17">
        <f t="shared" si="183"/>
        <v>0.998</v>
      </c>
      <c r="M827" s="4">
        <f t="shared" si="184"/>
        <v>113750</v>
      </c>
    </row>
    <row r="828" spans="1:13" x14ac:dyDescent="0.3">
      <c r="A828" s="1">
        <f t="shared" si="185"/>
        <v>826</v>
      </c>
      <c r="B828" s="1">
        <v>10</v>
      </c>
      <c r="C828" s="1">
        <f t="shared" si="176"/>
        <v>10</v>
      </c>
      <c r="D828" s="4">
        <v>9980</v>
      </c>
      <c r="E828" s="4">
        <f t="shared" si="177"/>
        <v>946</v>
      </c>
      <c r="F828" s="10">
        <f t="shared" si="178"/>
        <v>8.0699999999998724</v>
      </c>
      <c r="G828" s="9">
        <f t="shared" si="179"/>
        <v>113900</v>
      </c>
      <c r="I828" s="4">
        <f t="shared" si="180"/>
        <v>10000</v>
      </c>
      <c r="J828" s="17">
        <f t="shared" si="181"/>
        <v>1E-3</v>
      </c>
      <c r="K828" s="17">
        <f t="shared" si="182"/>
        <v>1E-3</v>
      </c>
      <c r="L828" s="17">
        <f t="shared" si="183"/>
        <v>0.998</v>
      </c>
      <c r="M828" s="4">
        <f t="shared" si="184"/>
        <v>113900</v>
      </c>
    </row>
    <row r="829" spans="1:13" x14ac:dyDescent="0.3">
      <c r="A829" s="1">
        <f t="shared" si="185"/>
        <v>827</v>
      </c>
      <c r="B829" s="1">
        <v>10</v>
      </c>
      <c r="C829" s="1">
        <f t="shared" si="176"/>
        <v>10</v>
      </c>
      <c r="D829" s="4">
        <v>9980</v>
      </c>
      <c r="E829" s="4">
        <f t="shared" si="177"/>
        <v>947</v>
      </c>
      <c r="F829" s="10">
        <f t="shared" si="178"/>
        <v>8.0799999999998722</v>
      </c>
      <c r="G829" s="9">
        <f t="shared" si="179"/>
        <v>114050</v>
      </c>
      <c r="I829" s="4">
        <f t="shared" si="180"/>
        <v>10000</v>
      </c>
      <c r="J829" s="17">
        <f t="shared" si="181"/>
        <v>1E-3</v>
      </c>
      <c r="K829" s="17">
        <f t="shared" si="182"/>
        <v>1E-3</v>
      </c>
      <c r="L829" s="17">
        <f t="shared" si="183"/>
        <v>0.998</v>
      </c>
      <c r="M829" s="4">
        <f t="shared" si="184"/>
        <v>114050</v>
      </c>
    </row>
    <row r="830" spans="1:13" x14ac:dyDescent="0.3">
      <c r="A830" s="1">
        <f t="shared" si="185"/>
        <v>828</v>
      </c>
      <c r="B830" s="1">
        <v>10</v>
      </c>
      <c r="C830" s="1">
        <f t="shared" si="176"/>
        <v>10</v>
      </c>
      <c r="D830" s="4">
        <v>9980</v>
      </c>
      <c r="E830" s="4">
        <f t="shared" si="177"/>
        <v>948</v>
      </c>
      <c r="F830" s="10">
        <f t="shared" si="178"/>
        <v>8.089999999999872</v>
      </c>
      <c r="G830" s="9">
        <f t="shared" si="179"/>
        <v>114200</v>
      </c>
      <c r="I830" s="4">
        <f t="shared" si="180"/>
        <v>10000</v>
      </c>
      <c r="J830" s="17">
        <f t="shared" si="181"/>
        <v>1E-3</v>
      </c>
      <c r="K830" s="17">
        <f t="shared" si="182"/>
        <v>1E-3</v>
      </c>
      <c r="L830" s="17">
        <f t="shared" si="183"/>
        <v>0.998</v>
      </c>
      <c r="M830" s="4">
        <f t="shared" si="184"/>
        <v>114200</v>
      </c>
    </row>
    <row r="831" spans="1:13" x14ac:dyDescent="0.3">
      <c r="A831" s="1">
        <f t="shared" si="185"/>
        <v>829</v>
      </c>
      <c r="B831" s="1">
        <v>10</v>
      </c>
      <c r="C831" s="1">
        <f t="shared" si="176"/>
        <v>10</v>
      </c>
      <c r="D831" s="4">
        <v>9980</v>
      </c>
      <c r="E831" s="4">
        <f t="shared" si="177"/>
        <v>949</v>
      </c>
      <c r="F831" s="10">
        <f t="shared" si="178"/>
        <v>8.0999999999998717</v>
      </c>
      <c r="G831" s="9">
        <f t="shared" si="179"/>
        <v>114350</v>
      </c>
      <c r="I831" s="4">
        <f t="shared" si="180"/>
        <v>10000</v>
      </c>
      <c r="J831" s="17">
        <f t="shared" si="181"/>
        <v>1E-3</v>
      </c>
      <c r="K831" s="17">
        <f t="shared" si="182"/>
        <v>1E-3</v>
      </c>
      <c r="L831" s="17">
        <f t="shared" si="183"/>
        <v>0.998</v>
      </c>
      <c r="M831" s="4">
        <f t="shared" si="184"/>
        <v>114350</v>
      </c>
    </row>
    <row r="832" spans="1:13" x14ac:dyDescent="0.3">
      <c r="A832" s="1">
        <f t="shared" si="185"/>
        <v>830</v>
      </c>
      <c r="B832" s="1">
        <v>10</v>
      </c>
      <c r="C832" s="1">
        <f t="shared" si="176"/>
        <v>10</v>
      </c>
      <c r="D832" s="4">
        <v>9980</v>
      </c>
      <c r="E832" s="4">
        <f t="shared" si="177"/>
        <v>950</v>
      </c>
      <c r="F832" s="10">
        <f t="shared" si="178"/>
        <v>8.1099999999998715</v>
      </c>
      <c r="G832" s="9">
        <f t="shared" si="179"/>
        <v>114500</v>
      </c>
      <c r="I832" s="4">
        <f t="shared" si="180"/>
        <v>10000</v>
      </c>
      <c r="J832" s="17">
        <f t="shared" si="181"/>
        <v>1E-3</v>
      </c>
      <c r="K832" s="17">
        <f t="shared" si="182"/>
        <v>1E-3</v>
      </c>
      <c r="L832" s="17">
        <f t="shared" si="183"/>
        <v>0.998</v>
      </c>
      <c r="M832" s="4">
        <f t="shared" si="184"/>
        <v>114500</v>
      </c>
    </row>
    <row r="833" spans="1:13" x14ac:dyDescent="0.3">
      <c r="A833" s="1">
        <f t="shared" si="185"/>
        <v>831</v>
      </c>
      <c r="B833" s="1">
        <v>10</v>
      </c>
      <c r="C833" s="1">
        <f t="shared" si="176"/>
        <v>10</v>
      </c>
      <c r="D833" s="4">
        <v>9980</v>
      </c>
      <c r="E833" s="4">
        <f t="shared" si="177"/>
        <v>951</v>
      </c>
      <c r="F833" s="10">
        <f t="shared" si="178"/>
        <v>8.1199999999998713</v>
      </c>
      <c r="G833" s="9">
        <f t="shared" si="179"/>
        <v>114650</v>
      </c>
      <c r="I833" s="4">
        <f t="shared" si="180"/>
        <v>10000</v>
      </c>
      <c r="J833" s="17">
        <f t="shared" si="181"/>
        <v>1E-3</v>
      </c>
      <c r="K833" s="17">
        <f t="shared" si="182"/>
        <v>1E-3</v>
      </c>
      <c r="L833" s="17">
        <f t="shared" si="183"/>
        <v>0.998</v>
      </c>
      <c r="M833" s="4">
        <f t="shared" si="184"/>
        <v>114650</v>
      </c>
    </row>
    <row r="834" spans="1:13" x14ac:dyDescent="0.3">
      <c r="A834" s="1">
        <f t="shared" si="185"/>
        <v>832</v>
      </c>
      <c r="B834" s="1">
        <v>10</v>
      </c>
      <c r="C834" s="1">
        <f t="shared" si="176"/>
        <v>10</v>
      </c>
      <c r="D834" s="4">
        <v>9980</v>
      </c>
      <c r="E834" s="4">
        <f t="shared" si="177"/>
        <v>952</v>
      </c>
      <c r="F834" s="10">
        <f t="shared" si="178"/>
        <v>8.1299999999998711</v>
      </c>
      <c r="G834" s="9">
        <f t="shared" si="179"/>
        <v>114800</v>
      </c>
      <c r="I834" s="4">
        <f t="shared" si="180"/>
        <v>10000</v>
      </c>
      <c r="J834" s="17">
        <f t="shared" si="181"/>
        <v>1E-3</v>
      </c>
      <c r="K834" s="17">
        <f t="shared" si="182"/>
        <v>1E-3</v>
      </c>
      <c r="L834" s="17">
        <f t="shared" si="183"/>
        <v>0.998</v>
      </c>
      <c r="M834" s="4">
        <f t="shared" si="184"/>
        <v>114800</v>
      </c>
    </row>
    <row r="835" spans="1:13" x14ac:dyDescent="0.3">
      <c r="A835" s="1">
        <f t="shared" si="185"/>
        <v>833</v>
      </c>
      <c r="B835" s="1">
        <v>10</v>
      </c>
      <c r="C835" s="1">
        <f t="shared" ref="C835:C898" si="186">10000-B835-D835</f>
        <v>10</v>
      </c>
      <c r="D835" s="4">
        <v>9980</v>
      </c>
      <c r="E835" s="4">
        <f t="shared" ref="E835:E898" si="187">E834+1</f>
        <v>953</v>
      </c>
      <c r="F835" s="10">
        <f t="shared" ref="F835:F898" si="188">F834+0.01</f>
        <v>8.1399999999998709</v>
      </c>
      <c r="G835" s="9">
        <f t="shared" ref="G835:G898" si="189">G834+150</f>
        <v>114950</v>
      </c>
      <c r="I835" s="4">
        <f t="shared" ref="I835:I898" si="190">SUM(B835:D835)</f>
        <v>10000</v>
      </c>
      <c r="J835" s="17">
        <f t="shared" ref="J835:J898" si="191">B835/10000</f>
        <v>1E-3</v>
      </c>
      <c r="K835" s="17">
        <f t="shared" ref="K835:K898" si="192">C835/10000</f>
        <v>1E-3</v>
      </c>
      <c r="L835" s="17">
        <f t="shared" ref="L835:L898" si="193">D835/10000</f>
        <v>0.998</v>
      </c>
      <c r="M835" s="4">
        <f t="shared" ref="M835:M898" si="194">G835</f>
        <v>114950</v>
      </c>
    </row>
    <row r="836" spans="1:13" x14ac:dyDescent="0.3">
      <c r="A836" s="1">
        <f t="shared" si="185"/>
        <v>834</v>
      </c>
      <c r="B836" s="1">
        <v>10</v>
      </c>
      <c r="C836" s="1">
        <f t="shared" si="186"/>
        <v>10</v>
      </c>
      <c r="D836" s="4">
        <v>9980</v>
      </c>
      <c r="E836" s="4">
        <f t="shared" si="187"/>
        <v>954</v>
      </c>
      <c r="F836" s="10">
        <f t="shared" si="188"/>
        <v>8.1499999999998707</v>
      </c>
      <c r="G836" s="9">
        <f t="shared" si="189"/>
        <v>115100</v>
      </c>
      <c r="I836" s="4">
        <f t="shared" si="190"/>
        <v>10000</v>
      </c>
      <c r="J836" s="17">
        <f t="shared" si="191"/>
        <v>1E-3</v>
      </c>
      <c r="K836" s="17">
        <f t="shared" si="192"/>
        <v>1E-3</v>
      </c>
      <c r="L836" s="17">
        <f t="shared" si="193"/>
        <v>0.998</v>
      </c>
      <c r="M836" s="4">
        <f t="shared" si="194"/>
        <v>115100</v>
      </c>
    </row>
    <row r="837" spans="1:13" x14ac:dyDescent="0.3">
      <c r="A837" s="1">
        <f t="shared" si="185"/>
        <v>835</v>
      </c>
      <c r="B837" s="1">
        <v>10</v>
      </c>
      <c r="C837" s="1">
        <f t="shared" si="186"/>
        <v>10</v>
      </c>
      <c r="D837" s="4">
        <v>9980</v>
      </c>
      <c r="E837" s="4">
        <f t="shared" si="187"/>
        <v>955</v>
      </c>
      <c r="F837" s="10">
        <f t="shared" si="188"/>
        <v>8.1599999999998705</v>
      </c>
      <c r="G837" s="9">
        <f t="shared" si="189"/>
        <v>115250</v>
      </c>
      <c r="I837" s="4">
        <f t="shared" si="190"/>
        <v>10000</v>
      </c>
      <c r="J837" s="17">
        <f t="shared" si="191"/>
        <v>1E-3</v>
      </c>
      <c r="K837" s="17">
        <f t="shared" si="192"/>
        <v>1E-3</v>
      </c>
      <c r="L837" s="17">
        <f t="shared" si="193"/>
        <v>0.998</v>
      </c>
      <c r="M837" s="4">
        <f t="shared" si="194"/>
        <v>115250</v>
      </c>
    </row>
    <row r="838" spans="1:13" x14ac:dyDescent="0.3">
      <c r="A838" s="1">
        <f t="shared" si="185"/>
        <v>836</v>
      </c>
      <c r="B838" s="1">
        <v>10</v>
      </c>
      <c r="C838" s="1">
        <f t="shared" si="186"/>
        <v>10</v>
      </c>
      <c r="D838" s="4">
        <v>9980</v>
      </c>
      <c r="E838" s="4">
        <f t="shared" si="187"/>
        <v>956</v>
      </c>
      <c r="F838" s="10">
        <f t="shared" si="188"/>
        <v>8.1699999999998703</v>
      </c>
      <c r="G838" s="9">
        <f t="shared" si="189"/>
        <v>115400</v>
      </c>
      <c r="I838" s="4">
        <f t="shared" si="190"/>
        <v>10000</v>
      </c>
      <c r="J838" s="17">
        <f t="shared" si="191"/>
        <v>1E-3</v>
      </c>
      <c r="K838" s="17">
        <f t="shared" si="192"/>
        <v>1E-3</v>
      </c>
      <c r="L838" s="17">
        <f t="shared" si="193"/>
        <v>0.998</v>
      </c>
      <c r="M838" s="4">
        <f t="shared" si="194"/>
        <v>115400</v>
      </c>
    </row>
    <row r="839" spans="1:13" x14ac:dyDescent="0.3">
      <c r="A839" s="1">
        <f t="shared" si="185"/>
        <v>837</v>
      </c>
      <c r="B839" s="1">
        <v>10</v>
      </c>
      <c r="C839" s="1">
        <f t="shared" si="186"/>
        <v>10</v>
      </c>
      <c r="D839" s="4">
        <v>9980</v>
      </c>
      <c r="E839" s="4">
        <f t="shared" si="187"/>
        <v>957</v>
      </c>
      <c r="F839" s="10">
        <f t="shared" si="188"/>
        <v>8.17999999999987</v>
      </c>
      <c r="G839" s="9">
        <f t="shared" si="189"/>
        <v>115550</v>
      </c>
      <c r="I839" s="4">
        <f t="shared" si="190"/>
        <v>10000</v>
      </c>
      <c r="J839" s="17">
        <f t="shared" si="191"/>
        <v>1E-3</v>
      </c>
      <c r="K839" s="17">
        <f t="shared" si="192"/>
        <v>1E-3</v>
      </c>
      <c r="L839" s="17">
        <f t="shared" si="193"/>
        <v>0.998</v>
      </c>
      <c r="M839" s="4">
        <f t="shared" si="194"/>
        <v>115550</v>
      </c>
    </row>
    <row r="840" spans="1:13" x14ac:dyDescent="0.3">
      <c r="A840" s="1">
        <f t="shared" si="185"/>
        <v>838</v>
      </c>
      <c r="B840" s="1">
        <v>10</v>
      </c>
      <c r="C840" s="1">
        <f t="shared" si="186"/>
        <v>10</v>
      </c>
      <c r="D840" s="4">
        <v>9980</v>
      </c>
      <c r="E840" s="4">
        <f t="shared" si="187"/>
        <v>958</v>
      </c>
      <c r="F840" s="10">
        <f t="shared" si="188"/>
        <v>8.1899999999998698</v>
      </c>
      <c r="G840" s="9">
        <f t="shared" si="189"/>
        <v>115700</v>
      </c>
      <c r="I840" s="4">
        <f t="shared" si="190"/>
        <v>10000</v>
      </c>
      <c r="J840" s="17">
        <f t="shared" si="191"/>
        <v>1E-3</v>
      </c>
      <c r="K840" s="17">
        <f t="shared" si="192"/>
        <v>1E-3</v>
      </c>
      <c r="L840" s="17">
        <f t="shared" si="193"/>
        <v>0.998</v>
      </c>
      <c r="M840" s="4">
        <f t="shared" si="194"/>
        <v>115700</v>
      </c>
    </row>
    <row r="841" spans="1:13" x14ac:dyDescent="0.3">
      <c r="A841" s="1">
        <f t="shared" si="185"/>
        <v>839</v>
      </c>
      <c r="B841" s="1">
        <v>10</v>
      </c>
      <c r="C841" s="1">
        <f t="shared" si="186"/>
        <v>10</v>
      </c>
      <c r="D841" s="4">
        <v>9980</v>
      </c>
      <c r="E841" s="4">
        <f t="shared" si="187"/>
        <v>959</v>
      </c>
      <c r="F841" s="10">
        <f t="shared" si="188"/>
        <v>8.1999999999998696</v>
      </c>
      <c r="G841" s="9">
        <f t="shared" si="189"/>
        <v>115850</v>
      </c>
      <c r="I841" s="4">
        <f t="shared" si="190"/>
        <v>10000</v>
      </c>
      <c r="J841" s="17">
        <f t="shared" si="191"/>
        <v>1E-3</v>
      </c>
      <c r="K841" s="17">
        <f t="shared" si="192"/>
        <v>1E-3</v>
      </c>
      <c r="L841" s="17">
        <f t="shared" si="193"/>
        <v>0.998</v>
      </c>
      <c r="M841" s="4">
        <f t="shared" si="194"/>
        <v>115850</v>
      </c>
    </row>
    <row r="842" spans="1:13" x14ac:dyDescent="0.3">
      <c r="A842" s="1">
        <f t="shared" si="185"/>
        <v>840</v>
      </c>
      <c r="B842" s="1">
        <v>10</v>
      </c>
      <c r="C842" s="1">
        <f t="shared" si="186"/>
        <v>10</v>
      </c>
      <c r="D842" s="4">
        <v>9980</v>
      </c>
      <c r="E842" s="4">
        <f t="shared" si="187"/>
        <v>960</v>
      </c>
      <c r="F842" s="10">
        <f t="shared" si="188"/>
        <v>8.2099999999998694</v>
      </c>
      <c r="G842" s="9">
        <f t="shared" si="189"/>
        <v>116000</v>
      </c>
      <c r="I842" s="4">
        <f t="shared" si="190"/>
        <v>10000</v>
      </c>
      <c r="J842" s="17">
        <f t="shared" si="191"/>
        <v>1E-3</v>
      </c>
      <c r="K842" s="17">
        <f t="shared" si="192"/>
        <v>1E-3</v>
      </c>
      <c r="L842" s="17">
        <f t="shared" si="193"/>
        <v>0.998</v>
      </c>
      <c r="M842" s="4">
        <f t="shared" si="194"/>
        <v>116000</v>
      </c>
    </row>
    <row r="843" spans="1:13" x14ac:dyDescent="0.3">
      <c r="A843" s="1">
        <f t="shared" si="185"/>
        <v>841</v>
      </c>
      <c r="B843" s="1">
        <v>10</v>
      </c>
      <c r="C843" s="1">
        <f t="shared" si="186"/>
        <v>10</v>
      </c>
      <c r="D843" s="4">
        <v>9980</v>
      </c>
      <c r="E843" s="4">
        <f t="shared" si="187"/>
        <v>961</v>
      </c>
      <c r="F843" s="10">
        <f t="shared" si="188"/>
        <v>8.2199999999998692</v>
      </c>
      <c r="G843" s="9">
        <f t="shared" si="189"/>
        <v>116150</v>
      </c>
      <c r="I843" s="4">
        <f t="shared" si="190"/>
        <v>10000</v>
      </c>
      <c r="J843" s="17">
        <f t="shared" si="191"/>
        <v>1E-3</v>
      </c>
      <c r="K843" s="17">
        <f t="shared" si="192"/>
        <v>1E-3</v>
      </c>
      <c r="L843" s="17">
        <f t="shared" si="193"/>
        <v>0.998</v>
      </c>
      <c r="M843" s="4">
        <f t="shared" si="194"/>
        <v>116150</v>
      </c>
    </row>
    <row r="844" spans="1:13" x14ac:dyDescent="0.3">
      <c r="A844" s="1">
        <f t="shared" si="185"/>
        <v>842</v>
      </c>
      <c r="B844" s="1">
        <v>10</v>
      </c>
      <c r="C844" s="1">
        <f t="shared" si="186"/>
        <v>10</v>
      </c>
      <c r="D844" s="4">
        <v>9980</v>
      </c>
      <c r="E844" s="4">
        <f t="shared" si="187"/>
        <v>962</v>
      </c>
      <c r="F844" s="10">
        <f t="shared" si="188"/>
        <v>8.229999999999869</v>
      </c>
      <c r="G844" s="9">
        <f t="shared" si="189"/>
        <v>116300</v>
      </c>
      <c r="I844" s="4">
        <f t="shared" si="190"/>
        <v>10000</v>
      </c>
      <c r="J844" s="17">
        <f t="shared" si="191"/>
        <v>1E-3</v>
      </c>
      <c r="K844" s="17">
        <f t="shared" si="192"/>
        <v>1E-3</v>
      </c>
      <c r="L844" s="17">
        <f t="shared" si="193"/>
        <v>0.998</v>
      </c>
      <c r="M844" s="4">
        <f t="shared" si="194"/>
        <v>116300</v>
      </c>
    </row>
    <row r="845" spans="1:13" x14ac:dyDescent="0.3">
      <c r="A845" s="1">
        <f t="shared" si="185"/>
        <v>843</v>
      </c>
      <c r="B845" s="1">
        <v>10</v>
      </c>
      <c r="C845" s="1">
        <f t="shared" si="186"/>
        <v>10</v>
      </c>
      <c r="D845" s="4">
        <v>9980</v>
      </c>
      <c r="E845" s="4">
        <f t="shared" si="187"/>
        <v>963</v>
      </c>
      <c r="F845" s="10">
        <f t="shared" si="188"/>
        <v>8.2399999999998688</v>
      </c>
      <c r="G845" s="9">
        <f t="shared" si="189"/>
        <v>116450</v>
      </c>
      <c r="I845" s="4">
        <f t="shared" si="190"/>
        <v>10000</v>
      </c>
      <c r="J845" s="17">
        <f t="shared" si="191"/>
        <v>1E-3</v>
      </c>
      <c r="K845" s="17">
        <f t="shared" si="192"/>
        <v>1E-3</v>
      </c>
      <c r="L845" s="17">
        <f t="shared" si="193"/>
        <v>0.998</v>
      </c>
      <c r="M845" s="4">
        <f t="shared" si="194"/>
        <v>116450</v>
      </c>
    </row>
    <row r="846" spans="1:13" x14ac:dyDescent="0.3">
      <c r="A846" s="1">
        <f t="shared" si="185"/>
        <v>844</v>
      </c>
      <c r="B846" s="1">
        <v>10</v>
      </c>
      <c r="C846" s="1">
        <f t="shared" si="186"/>
        <v>10</v>
      </c>
      <c r="D846" s="4">
        <v>9980</v>
      </c>
      <c r="E846" s="4">
        <f t="shared" si="187"/>
        <v>964</v>
      </c>
      <c r="F846" s="10">
        <f t="shared" si="188"/>
        <v>8.2499999999998685</v>
      </c>
      <c r="G846" s="9">
        <f t="shared" si="189"/>
        <v>116600</v>
      </c>
      <c r="I846" s="4">
        <f t="shared" si="190"/>
        <v>10000</v>
      </c>
      <c r="J846" s="17">
        <f t="shared" si="191"/>
        <v>1E-3</v>
      </c>
      <c r="K846" s="17">
        <f t="shared" si="192"/>
        <v>1E-3</v>
      </c>
      <c r="L846" s="17">
        <f t="shared" si="193"/>
        <v>0.998</v>
      </c>
      <c r="M846" s="4">
        <f t="shared" si="194"/>
        <v>116600</v>
      </c>
    </row>
    <row r="847" spans="1:13" x14ac:dyDescent="0.3">
      <c r="A847" s="1">
        <f t="shared" si="185"/>
        <v>845</v>
      </c>
      <c r="B847" s="1">
        <v>10</v>
      </c>
      <c r="C847" s="1">
        <f t="shared" si="186"/>
        <v>10</v>
      </c>
      <c r="D847" s="4">
        <v>9980</v>
      </c>
      <c r="E847" s="4">
        <f t="shared" si="187"/>
        <v>965</v>
      </c>
      <c r="F847" s="10">
        <f t="shared" si="188"/>
        <v>8.2599999999998683</v>
      </c>
      <c r="G847" s="9">
        <f t="shared" si="189"/>
        <v>116750</v>
      </c>
      <c r="I847" s="4">
        <f t="shared" si="190"/>
        <v>10000</v>
      </c>
      <c r="J847" s="17">
        <f t="shared" si="191"/>
        <v>1E-3</v>
      </c>
      <c r="K847" s="17">
        <f t="shared" si="192"/>
        <v>1E-3</v>
      </c>
      <c r="L847" s="17">
        <f t="shared" si="193"/>
        <v>0.998</v>
      </c>
      <c r="M847" s="4">
        <f t="shared" si="194"/>
        <v>116750</v>
      </c>
    </row>
    <row r="848" spans="1:13" x14ac:dyDescent="0.3">
      <c r="A848" s="1">
        <f t="shared" si="185"/>
        <v>846</v>
      </c>
      <c r="B848" s="1">
        <v>10</v>
      </c>
      <c r="C848" s="1">
        <f t="shared" si="186"/>
        <v>10</v>
      </c>
      <c r="D848" s="4">
        <v>9980</v>
      </c>
      <c r="E848" s="4">
        <f t="shared" si="187"/>
        <v>966</v>
      </c>
      <c r="F848" s="10">
        <f t="shared" si="188"/>
        <v>8.2699999999998681</v>
      </c>
      <c r="G848" s="9">
        <f t="shared" si="189"/>
        <v>116900</v>
      </c>
      <c r="I848" s="4">
        <f t="shared" si="190"/>
        <v>10000</v>
      </c>
      <c r="J848" s="17">
        <f t="shared" si="191"/>
        <v>1E-3</v>
      </c>
      <c r="K848" s="17">
        <f t="shared" si="192"/>
        <v>1E-3</v>
      </c>
      <c r="L848" s="17">
        <f t="shared" si="193"/>
        <v>0.998</v>
      </c>
      <c r="M848" s="4">
        <f t="shared" si="194"/>
        <v>116900</v>
      </c>
    </row>
    <row r="849" spans="1:13" x14ac:dyDescent="0.3">
      <c r="A849" s="1">
        <f t="shared" si="185"/>
        <v>847</v>
      </c>
      <c r="B849" s="1">
        <v>10</v>
      </c>
      <c r="C849" s="1">
        <f t="shared" si="186"/>
        <v>10</v>
      </c>
      <c r="D849" s="4">
        <v>9980</v>
      </c>
      <c r="E849" s="4">
        <f t="shared" si="187"/>
        <v>967</v>
      </c>
      <c r="F849" s="10">
        <f t="shared" si="188"/>
        <v>8.2799999999998679</v>
      </c>
      <c r="G849" s="9">
        <f t="shared" si="189"/>
        <v>117050</v>
      </c>
      <c r="I849" s="4">
        <f t="shared" si="190"/>
        <v>10000</v>
      </c>
      <c r="J849" s="17">
        <f t="shared" si="191"/>
        <v>1E-3</v>
      </c>
      <c r="K849" s="17">
        <f t="shared" si="192"/>
        <v>1E-3</v>
      </c>
      <c r="L849" s="17">
        <f t="shared" si="193"/>
        <v>0.998</v>
      </c>
      <c r="M849" s="4">
        <f t="shared" si="194"/>
        <v>117050</v>
      </c>
    </row>
    <row r="850" spans="1:13" x14ac:dyDescent="0.3">
      <c r="A850" s="1">
        <f t="shared" si="185"/>
        <v>848</v>
      </c>
      <c r="B850" s="1">
        <v>10</v>
      </c>
      <c r="C850" s="1">
        <f t="shared" si="186"/>
        <v>10</v>
      </c>
      <c r="D850" s="4">
        <v>9980</v>
      </c>
      <c r="E850" s="4">
        <f t="shared" si="187"/>
        <v>968</v>
      </c>
      <c r="F850" s="10">
        <f t="shared" si="188"/>
        <v>8.2899999999998677</v>
      </c>
      <c r="G850" s="9">
        <f t="shared" si="189"/>
        <v>117200</v>
      </c>
      <c r="I850" s="4">
        <f t="shared" si="190"/>
        <v>10000</v>
      </c>
      <c r="J850" s="17">
        <f t="shared" si="191"/>
        <v>1E-3</v>
      </c>
      <c r="K850" s="17">
        <f t="shared" si="192"/>
        <v>1E-3</v>
      </c>
      <c r="L850" s="17">
        <f t="shared" si="193"/>
        <v>0.998</v>
      </c>
      <c r="M850" s="4">
        <f t="shared" si="194"/>
        <v>117200</v>
      </c>
    </row>
    <row r="851" spans="1:13" x14ac:dyDescent="0.3">
      <c r="A851" s="1">
        <f t="shared" si="185"/>
        <v>849</v>
      </c>
      <c r="B851" s="1">
        <v>10</v>
      </c>
      <c r="C851" s="1">
        <f t="shared" si="186"/>
        <v>10</v>
      </c>
      <c r="D851" s="4">
        <v>9980</v>
      </c>
      <c r="E851" s="4">
        <f t="shared" si="187"/>
        <v>969</v>
      </c>
      <c r="F851" s="10">
        <f t="shared" si="188"/>
        <v>8.2999999999998675</v>
      </c>
      <c r="G851" s="9">
        <f t="shared" si="189"/>
        <v>117350</v>
      </c>
      <c r="I851" s="4">
        <f t="shared" si="190"/>
        <v>10000</v>
      </c>
      <c r="J851" s="17">
        <f t="shared" si="191"/>
        <v>1E-3</v>
      </c>
      <c r="K851" s="17">
        <f t="shared" si="192"/>
        <v>1E-3</v>
      </c>
      <c r="L851" s="17">
        <f t="shared" si="193"/>
        <v>0.998</v>
      </c>
      <c r="M851" s="4">
        <f t="shared" si="194"/>
        <v>117350</v>
      </c>
    </row>
    <row r="852" spans="1:13" x14ac:dyDescent="0.3">
      <c r="A852" s="1">
        <f t="shared" si="185"/>
        <v>850</v>
      </c>
      <c r="B852" s="1">
        <v>10</v>
      </c>
      <c r="C852" s="1">
        <f t="shared" si="186"/>
        <v>10</v>
      </c>
      <c r="D852" s="4">
        <v>9980</v>
      </c>
      <c r="E852" s="4">
        <f t="shared" si="187"/>
        <v>970</v>
      </c>
      <c r="F852" s="10">
        <f t="shared" si="188"/>
        <v>8.3099999999998673</v>
      </c>
      <c r="G852" s="9">
        <f t="shared" si="189"/>
        <v>117500</v>
      </c>
      <c r="I852" s="4">
        <f t="shared" si="190"/>
        <v>10000</v>
      </c>
      <c r="J852" s="17">
        <f t="shared" si="191"/>
        <v>1E-3</v>
      </c>
      <c r="K852" s="17">
        <f t="shared" si="192"/>
        <v>1E-3</v>
      </c>
      <c r="L852" s="17">
        <f t="shared" si="193"/>
        <v>0.998</v>
      </c>
      <c r="M852" s="4">
        <f t="shared" si="194"/>
        <v>117500</v>
      </c>
    </row>
    <row r="853" spans="1:13" x14ac:dyDescent="0.3">
      <c r="A853" s="1">
        <f t="shared" si="185"/>
        <v>851</v>
      </c>
      <c r="B853" s="1">
        <v>10</v>
      </c>
      <c r="C853" s="1">
        <f t="shared" si="186"/>
        <v>10</v>
      </c>
      <c r="D853" s="4">
        <v>9980</v>
      </c>
      <c r="E853" s="4">
        <f t="shared" si="187"/>
        <v>971</v>
      </c>
      <c r="F853" s="10">
        <f t="shared" si="188"/>
        <v>8.3199999999998671</v>
      </c>
      <c r="G853" s="9">
        <f t="shared" si="189"/>
        <v>117650</v>
      </c>
      <c r="I853" s="4">
        <f t="shared" si="190"/>
        <v>10000</v>
      </c>
      <c r="J853" s="17">
        <f t="shared" si="191"/>
        <v>1E-3</v>
      </c>
      <c r="K853" s="17">
        <f t="shared" si="192"/>
        <v>1E-3</v>
      </c>
      <c r="L853" s="17">
        <f t="shared" si="193"/>
        <v>0.998</v>
      </c>
      <c r="M853" s="4">
        <f t="shared" si="194"/>
        <v>117650</v>
      </c>
    </row>
    <row r="854" spans="1:13" x14ac:dyDescent="0.3">
      <c r="A854" s="1">
        <f t="shared" si="185"/>
        <v>852</v>
      </c>
      <c r="B854" s="1">
        <v>10</v>
      </c>
      <c r="C854" s="1">
        <f t="shared" si="186"/>
        <v>10</v>
      </c>
      <c r="D854" s="4">
        <v>9980</v>
      </c>
      <c r="E854" s="4">
        <f t="shared" si="187"/>
        <v>972</v>
      </c>
      <c r="F854" s="10">
        <f t="shared" si="188"/>
        <v>8.3299999999998668</v>
      </c>
      <c r="G854" s="9">
        <f t="shared" si="189"/>
        <v>117800</v>
      </c>
      <c r="I854" s="4">
        <f t="shared" si="190"/>
        <v>10000</v>
      </c>
      <c r="J854" s="17">
        <f t="shared" si="191"/>
        <v>1E-3</v>
      </c>
      <c r="K854" s="17">
        <f t="shared" si="192"/>
        <v>1E-3</v>
      </c>
      <c r="L854" s="17">
        <f t="shared" si="193"/>
        <v>0.998</v>
      </c>
      <c r="M854" s="4">
        <f t="shared" si="194"/>
        <v>117800</v>
      </c>
    </row>
    <row r="855" spans="1:13" x14ac:dyDescent="0.3">
      <c r="A855" s="1">
        <f t="shared" si="185"/>
        <v>853</v>
      </c>
      <c r="B855" s="1">
        <v>10</v>
      </c>
      <c r="C855" s="1">
        <f t="shared" si="186"/>
        <v>10</v>
      </c>
      <c r="D855" s="4">
        <v>9980</v>
      </c>
      <c r="E855" s="4">
        <f t="shared" si="187"/>
        <v>973</v>
      </c>
      <c r="F855" s="10">
        <f t="shared" si="188"/>
        <v>8.3399999999998666</v>
      </c>
      <c r="G855" s="9">
        <f t="shared" si="189"/>
        <v>117950</v>
      </c>
      <c r="I855" s="4">
        <f t="shared" si="190"/>
        <v>10000</v>
      </c>
      <c r="J855" s="17">
        <f t="shared" si="191"/>
        <v>1E-3</v>
      </c>
      <c r="K855" s="17">
        <f t="shared" si="192"/>
        <v>1E-3</v>
      </c>
      <c r="L855" s="17">
        <f t="shared" si="193"/>
        <v>0.998</v>
      </c>
      <c r="M855" s="4">
        <f t="shared" si="194"/>
        <v>117950</v>
      </c>
    </row>
    <row r="856" spans="1:13" x14ac:dyDescent="0.3">
      <c r="A856" s="1">
        <f t="shared" si="185"/>
        <v>854</v>
      </c>
      <c r="B856" s="1">
        <v>10</v>
      </c>
      <c r="C856" s="1">
        <f t="shared" si="186"/>
        <v>10</v>
      </c>
      <c r="D856" s="4">
        <v>9980</v>
      </c>
      <c r="E856" s="4">
        <f t="shared" si="187"/>
        <v>974</v>
      </c>
      <c r="F856" s="10">
        <f t="shared" si="188"/>
        <v>8.3499999999998664</v>
      </c>
      <c r="G856" s="9">
        <f t="shared" si="189"/>
        <v>118100</v>
      </c>
      <c r="I856" s="4">
        <f t="shared" si="190"/>
        <v>10000</v>
      </c>
      <c r="J856" s="17">
        <f t="shared" si="191"/>
        <v>1E-3</v>
      </c>
      <c r="K856" s="17">
        <f t="shared" si="192"/>
        <v>1E-3</v>
      </c>
      <c r="L856" s="17">
        <f t="shared" si="193"/>
        <v>0.998</v>
      </c>
      <c r="M856" s="4">
        <f t="shared" si="194"/>
        <v>118100</v>
      </c>
    </row>
    <row r="857" spans="1:13" x14ac:dyDescent="0.3">
      <c r="A857" s="1">
        <f t="shared" si="185"/>
        <v>855</v>
      </c>
      <c r="B857" s="1">
        <v>10</v>
      </c>
      <c r="C857" s="1">
        <f t="shared" si="186"/>
        <v>10</v>
      </c>
      <c r="D857" s="4">
        <v>9980</v>
      </c>
      <c r="E857" s="4">
        <f t="shared" si="187"/>
        <v>975</v>
      </c>
      <c r="F857" s="10">
        <f t="shared" si="188"/>
        <v>8.3599999999998662</v>
      </c>
      <c r="G857" s="9">
        <f t="shared" si="189"/>
        <v>118250</v>
      </c>
      <c r="I857" s="4">
        <f t="shared" si="190"/>
        <v>10000</v>
      </c>
      <c r="J857" s="17">
        <f t="shared" si="191"/>
        <v>1E-3</v>
      </c>
      <c r="K857" s="17">
        <f t="shared" si="192"/>
        <v>1E-3</v>
      </c>
      <c r="L857" s="17">
        <f t="shared" si="193"/>
        <v>0.998</v>
      </c>
      <c r="M857" s="4">
        <f t="shared" si="194"/>
        <v>118250</v>
      </c>
    </row>
    <row r="858" spans="1:13" x14ac:dyDescent="0.3">
      <c r="A858" s="1">
        <f t="shared" si="185"/>
        <v>856</v>
      </c>
      <c r="B858" s="1">
        <v>10</v>
      </c>
      <c r="C858" s="1">
        <f t="shared" si="186"/>
        <v>10</v>
      </c>
      <c r="D858" s="4">
        <v>9980</v>
      </c>
      <c r="E858" s="4">
        <f t="shared" si="187"/>
        <v>976</v>
      </c>
      <c r="F858" s="10">
        <f t="shared" si="188"/>
        <v>8.369999999999866</v>
      </c>
      <c r="G858" s="9">
        <f t="shared" si="189"/>
        <v>118400</v>
      </c>
      <c r="I858" s="4">
        <f t="shared" si="190"/>
        <v>10000</v>
      </c>
      <c r="J858" s="17">
        <f t="shared" si="191"/>
        <v>1E-3</v>
      </c>
      <c r="K858" s="17">
        <f t="shared" si="192"/>
        <v>1E-3</v>
      </c>
      <c r="L858" s="17">
        <f t="shared" si="193"/>
        <v>0.998</v>
      </c>
      <c r="M858" s="4">
        <f t="shared" si="194"/>
        <v>118400</v>
      </c>
    </row>
    <row r="859" spans="1:13" x14ac:dyDescent="0.3">
      <c r="A859" s="1">
        <f t="shared" si="185"/>
        <v>857</v>
      </c>
      <c r="B859" s="1">
        <v>10</v>
      </c>
      <c r="C859" s="1">
        <f t="shared" si="186"/>
        <v>10</v>
      </c>
      <c r="D859" s="4">
        <v>9980</v>
      </c>
      <c r="E859" s="4">
        <f t="shared" si="187"/>
        <v>977</v>
      </c>
      <c r="F859" s="10">
        <f t="shared" si="188"/>
        <v>8.3799999999998658</v>
      </c>
      <c r="G859" s="9">
        <f t="shared" si="189"/>
        <v>118550</v>
      </c>
      <c r="I859" s="4">
        <f t="shared" si="190"/>
        <v>10000</v>
      </c>
      <c r="J859" s="17">
        <f t="shared" si="191"/>
        <v>1E-3</v>
      </c>
      <c r="K859" s="17">
        <f t="shared" si="192"/>
        <v>1E-3</v>
      </c>
      <c r="L859" s="17">
        <f t="shared" si="193"/>
        <v>0.998</v>
      </c>
      <c r="M859" s="4">
        <f t="shared" si="194"/>
        <v>118550</v>
      </c>
    </row>
    <row r="860" spans="1:13" x14ac:dyDescent="0.3">
      <c r="A860" s="1">
        <f t="shared" si="185"/>
        <v>858</v>
      </c>
      <c r="B860" s="1">
        <v>10</v>
      </c>
      <c r="C860" s="1">
        <f t="shared" si="186"/>
        <v>10</v>
      </c>
      <c r="D860" s="4">
        <v>9980</v>
      </c>
      <c r="E860" s="4">
        <f t="shared" si="187"/>
        <v>978</v>
      </c>
      <c r="F860" s="10">
        <f t="shared" si="188"/>
        <v>8.3899999999998656</v>
      </c>
      <c r="G860" s="9">
        <f t="shared" si="189"/>
        <v>118700</v>
      </c>
      <c r="I860" s="4">
        <f t="shared" si="190"/>
        <v>10000</v>
      </c>
      <c r="J860" s="17">
        <f t="shared" si="191"/>
        <v>1E-3</v>
      </c>
      <c r="K860" s="17">
        <f t="shared" si="192"/>
        <v>1E-3</v>
      </c>
      <c r="L860" s="17">
        <f t="shared" si="193"/>
        <v>0.998</v>
      </c>
      <c r="M860" s="4">
        <f t="shared" si="194"/>
        <v>118700</v>
      </c>
    </row>
    <row r="861" spans="1:13" x14ac:dyDescent="0.3">
      <c r="A861" s="1">
        <f t="shared" si="185"/>
        <v>859</v>
      </c>
      <c r="B861" s="1">
        <v>10</v>
      </c>
      <c r="C861" s="1">
        <f t="shared" si="186"/>
        <v>10</v>
      </c>
      <c r="D861" s="4">
        <v>9980</v>
      </c>
      <c r="E861" s="4">
        <f t="shared" si="187"/>
        <v>979</v>
      </c>
      <c r="F861" s="10">
        <f t="shared" si="188"/>
        <v>8.3999999999998654</v>
      </c>
      <c r="G861" s="9">
        <f t="shared" si="189"/>
        <v>118850</v>
      </c>
      <c r="I861" s="4">
        <f t="shared" si="190"/>
        <v>10000</v>
      </c>
      <c r="J861" s="17">
        <f t="shared" si="191"/>
        <v>1E-3</v>
      </c>
      <c r="K861" s="17">
        <f t="shared" si="192"/>
        <v>1E-3</v>
      </c>
      <c r="L861" s="17">
        <f t="shared" si="193"/>
        <v>0.998</v>
      </c>
      <c r="M861" s="4">
        <f t="shared" si="194"/>
        <v>118850</v>
      </c>
    </row>
    <row r="862" spans="1:13" x14ac:dyDescent="0.3">
      <c r="A862" s="1">
        <f t="shared" si="185"/>
        <v>860</v>
      </c>
      <c r="B862" s="1">
        <v>10</v>
      </c>
      <c r="C862" s="1">
        <f t="shared" si="186"/>
        <v>10</v>
      </c>
      <c r="D862" s="4">
        <v>9980</v>
      </c>
      <c r="E862" s="4">
        <f t="shared" si="187"/>
        <v>980</v>
      </c>
      <c r="F862" s="10">
        <f t="shared" si="188"/>
        <v>8.4099999999998651</v>
      </c>
      <c r="G862" s="9">
        <f t="shared" si="189"/>
        <v>119000</v>
      </c>
      <c r="I862" s="4">
        <f t="shared" si="190"/>
        <v>10000</v>
      </c>
      <c r="J862" s="17">
        <f t="shared" si="191"/>
        <v>1E-3</v>
      </c>
      <c r="K862" s="17">
        <f t="shared" si="192"/>
        <v>1E-3</v>
      </c>
      <c r="L862" s="17">
        <f t="shared" si="193"/>
        <v>0.998</v>
      </c>
      <c r="M862" s="4">
        <f t="shared" si="194"/>
        <v>119000</v>
      </c>
    </row>
    <row r="863" spans="1:13" x14ac:dyDescent="0.3">
      <c r="A863" s="1">
        <f t="shared" ref="A863:A926" si="195">A862+1</f>
        <v>861</v>
      </c>
      <c r="B863" s="1">
        <v>10</v>
      </c>
      <c r="C863" s="1">
        <f t="shared" si="186"/>
        <v>10</v>
      </c>
      <c r="D863" s="4">
        <v>9980</v>
      </c>
      <c r="E863" s="4">
        <f t="shared" si="187"/>
        <v>981</v>
      </c>
      <c r="F863" s="10">
        <f t="shared" si="188"/>
        <v>8.4199999999998649</v>
      </c>
      <c r="G863" s="9">
        <f t="shared" si="189"/>
        <v>119150</v>
      </c>
      <c r="I863" s="4">
        <f t="shared" si="190"/>
        <v>10000</v>
      </c>
      <c r="J863" s="17">
        <f t="shared" si="191"/>
        <v>1E-3</v>
      </c>
      <c r="K863" s="17">
        <f t="shared" si="192"/>
        <v>1E-3</v>
      </c>
      <c r="L863" s="17">
        <f t="shared" si="193"/>
        <v>0.998</v>
      </c>
      <c r="M863" s="4">
        <f t="shared" si="194"/>
        <v>119150</v>
      </c>
    </row>
    <row r="864" spans="1:13" x14ac:dyDescent="0.3">
      <c r="A864" s="1">
        <f t="shared" si="195"/>
        <v>862</v>
      </c>
      <c r="B864" s="1">
        <v>10</v>
      </c>
      <c r="C864" s="1">
        <f t="shared" si="186"/>
        <v>10</v>
      </c>
      <c r="D864" s="4">
        <v>9980</v>
      </c>
      <c r="E864" s="4">
        <f t="shared" si="187"/>
        <v>982</v>
      </c>
      <c r="F864" s="10">
        <f t="shared" si="188"/>
        <v>8.4299999999998647</v>
      </c>
      <c r="G864" s="9">
        <f t="shared" si="189"/>
        <v>119300</v>
      </c>
      <c r="I864" s="4">
        <f t="shared" si="190"/>
        <v>10000</v>
      </c>
      <c r="J864" s="17">
        <f t="shared" si="191"/>
        <v>1E-3</v>
      </c>
      <c r="K864" s="17">
        <f t="shared" si="192"/>
        <v>1E-3</v>
      </c>
      <c r="L864" s="17">
        <f t="shared" si="193"/>
        <v>0.998</v>
      </c>
      <c r="M864" s="4">
        <f t="shared" si="194"/>
        <v>119300</v>
      </c>
    </row>
    <row r="865" spans="1:13" x14ac:dyDescent="0.3">
      <c r="A865" s="1">
        <f t="shared" si="195"/>
        <v>863</v>
      </c>
      <c r="B865" s="1">
        <v>10</v>
      </c>
      <c r="C865" s="1">
        <f t="shared" si="186"/>
        <v>10</v>
      </c>
      <c r="D865" s="4">
        <v>9980</v>
      </c>
      <c r="E865" s="4">
        <f t="shared" si="187"/>
        <v>983</v>
      </c>
      <c r="F865" s="10">
        <f t="shared" si="188"/>
        <v>8.4399999999998645</v>
      </c>
      <c r="G865" s="9">
        <f t="shared" si="189"/>
        <v>119450</v>
      </c>
      <c r="I865" s="4">
        <f t="shared" si="190"/>
        <v>10000</v>
      </c>
      <c r="J865" s="17">
        <f t="shared" si="191"/>
        <v>1E-3</v>
      </c>
      <c r="K865" s="17">
        <f t="shared" si="192"/>
        <v>1E-3</v>
      </c>
      <c r="L865" s="17">
        <f t="shared" si="193"/>
        <v>0.998</v>
      </c>
      <c r="M865" s="4">
        <f t="shared" si="194"/>
        <v>119450</v>
      </c>
    </row>
    <row r="866" spans="1:13" x14ac:dyDescent="0.3">
      <c r="A866" s="1">
        <f t="shared" si="195"/>
        <v>864</v>
      </c>
      <c r="B866" s="1">
        <v>10</v>
      </c>
      <c r="C866" s="1">
        <f t="shared" si="186"/>
        <v>10</v>
      </c>
      <c r="D866" s="4">
        <v>9980</v>
      </c>
      <c r="E866" s="4">
        <f t="shared" si="187"/>
        <v>984</v>
      </c>
      <c r="F866" s="10">
        <f t="shared" si="188"/>
        <v>8.4499999999998643</v>
      </c>
      <c r="G866" s="9">
        <f t="shared" si="189"/>
        <v>119600</v>
      </c>
      <c r="I866" s="4">
        <f t="shared" si="190"/>
        <v>10000</v>
      </c>
      <c r="J866" s="17">
        <f t="shared" si="191"/>
        <v>1E-3</v>
      </c>
      <c r="K866" s="17">
        <f t="shared" si="192"/>
        <v>1E-3</v>
      </c>
      <c r="L866" s="17">
        <f t="shared" si="193"/>
        <v>0.998</v>
      </c>
      <c r="M866" s="4">
        <f t="shared" si="194"/>
        <v>119600</v>
      </c>
    </row>
    <row r="867" spans="1:13" x14ac:dyDescent="0.3">
      <c r="A867" s="1">
        <f t="shared" si="195"/>
        <v>865</v>
      </c>
      <c r="B867" s="1">
        <v>10</v>
      </c>
      <c r="C867" s="1">
        <f t="shared" ref="C867:C892" si="196">10000-B867-D867</f>
        <v>10</v>
      </c>
      <c r="D867" s="4">
        <v>9980</v>
      </c>
      <c r="E867" s="4">
        <f t="shared" si="187"/>
        <v>985</v>
      </c>
      <c r="F867" s="10">
        <f t="shared" si="188"/>
        <v>8.4599999999998641</v>
      </c>
      <c r="G867" s="9">
        <f t="shared" si="189"/>
        <v>119750</v>
      </c>
      <c r="I867" s="4">
        <f t="shared" si="190"/>
        <v>10000</v>
      </c>
      <c r="J867" s="17">
        <f t="shared" si="191"/>
        <v>1E-3</v>
      </c>
      <c r="K867" s="17">
        <f t="shared" si="192"/>
        <v>1E-3</v>
      </c>
      <c r="L867" s="17">
        <f t="shared" si="193"/>
        <v>0.998</v>
      </c>
      <c r="M867" s="4">
        <f t="shared" si="194"/>
        <v>119750</v>
      </c>
    </row>
    <row r="868" spans="1:13" x14ac:dyDescent="0.3">
      <c r="A868" s="1">
        <f t="shared" si="195"/>
        <v>866</v>
      </c>
      <c r="B868" s="1">
        <v>10</v>
      </c>
      <c r="C868" s="1">
        <f t="shared" si="196"/>
        <v>10</v>
      </c>
      <c r="D868" s="4">
        <v>9980</v>
      </c>
      <c r="E868" s="4">
        <f t="shared" si="187"/>
        <v>986</v>
      </c>
      <c r="F868" s="10">
        <f t="shared" si="188"/>
        <v>8.4699999999998639</v>
      </c>
      <c r="G868" s="9">
        <f t="shared" si="189"/>
        <v>119900</v>
      </c>
      <c r="I868" s="4">
        <f t="shared" si="190"/>
        <v>10000</v>
      </c>
      <c r="J868" s="17">
        <f t="shared" si="191"/>
        <v>1E-3</v>
      </c>
      <c r="K868" s="17">
        <f t="shared" si="192"/>
        <v>1E-3</v>
      </c>
      <c r="L868" s="17">
        <f t="shared" si="193"/>
        <v>0.998</v>
      </c>
      <c r="M868" s="4">
        <f t="shared" si="194"/>
        <v>119900</v>
      </c>
    </row>
    <row r="869" spans="1:13" x14ac:dyDescent="0.3">
      <c r="A869" s="1">
        <f t="shared" si="195"/>
        <v>867</v>
      </c>
      <c r="B869" s="1">
        <v>10</v>
      </c>
      <c r="C869" s="1">
        <f t="shared" si="196"/>
        <v>10</v>
      </c>
      <c r="D869" s="4">
        <v>9980</v>
      </c>
      <c r="E869" s="4">
        <f t="shared" si="187"/>
        <v>987</v>
      </c>
      <c r="F869" s="10">
        <f t="shared" si="188"/>
        <v>8.4799999999998636</v>
      </c>
      <c r="G869" s="9">
        <f t="shared" si="189"/>
        <v>120050</v>
      </c>
      <c r="I869" s="4">
        <f t="shared" si="190"/>
        <v>10000</v>
      </c>
      <c r="J869" s="17">
        <f t="shared" si="191"/>
        <v>1E-3</v>
      </c>
      <c r="K869" s="17">
        <f t="shared" si="192"/>
        <v>1E-3</v>
      </c>
      <c r="L869" s="17">
        <f t="shared" si="193"/>
        <v>0.998</v>
      </c>
      <c r="M869" s="4">
        <f t="shared" si="194"/>
        <v>120050</v>
      </c>
    </row>
    <row r="870" spans="1:13" x14ac:dyDescent="0.3">
      <c r="A870" s="1">
        <f t="shared" si="195"/>
        <v>868</v>
      </c>
      <c r="B870" s="1">
        <v>10</v>
      </c>
      <c r="C870" s="1">
        <f t="shared" si="196"/>
        <v>10</v>
      </c>
      <c r="D870" s="4">
        <v>9980</v>
      </c>
      <c r="E870" s="4">
        <f t="shared" si="187"/>
        <v>988</v>
      </c>
      <c r="F870" s="10">
        <f t="shared" si="188"/>
        <v>8.4899999999998634</v>
      </c>
      <c r="G870" s="9">
        <f t="shared" si="189"/>
        <v>120200</v>
      </c>
      <c r="I870" s="4">
        <f t="shared" si="190"/>
        <v>10000</v>
      </c>
      <c r="J870" s="17">
        <f t="shared" si="191"/>
        <v>1E-3</v>
      </c>
      <c r="K870" s="17">
        <f t="shared" si="192"/>
        <v>1E-3</v>
      </c>
      <c r="L870" s="17">
        <f t="shared" si="193"/>
        <v>0.998</v>
      </c>
      <c r="M870" s="4">
        <f t="shared" si="194"/>
        <v>120200</v>
      </c>
    </row>
    <row r="871" spans="1:13" x14ac:dyDescent="0.3">
      <c r="A871" s="1">
        <f t="shared" si="195"/>
        <v>869</v>
      </c>
      <c r="B871" s="1">
        <v>10</v>
      </c>
      <c r="C871" s="1">
        <f t="shared" si="196"/>
        <v>10</v>
      </c>
      <c r="D871" s="4">
        <v>9980</v>
      </c>
      <c r="E871" s="4">
        <f t="shared" si="187"/>
        <v>989</v>
      </c>
      <c r="F871" s="10">
        <f t="shared" si="188"/>
        <v>8.4999999999998632</v>
      </c>
      <c r="G871" s="9">
        <f t="shared" si="189"/>
        <v>120350</v>
      </c>
      <c r="I871" s="4">
        <f t="shared" si="190"/>
        <v>10000</v>
      </c>
      <c r="J871" s="17">
        <f t="shared" si="191"/>
        <v>1E-3</v>
      </c>
      <c r="K871" s="17">
        <f t="shared" si="192"/>
        <v>1E-3</v>
      </c>
      <c r="L871" s="17">
        <f t="shared" si="193"/>
        <v>0.998</v>
      </c>
      <c r="M871" s="4">
        <f t="shared" si="194"/>
        <v>120350</v>
      </c>
    </row>
    <row r="872" spans="1:13" x14ac:dyDescent="0.3">
      <c r="A872" s="1">
        <f t="shared" si="195"/>
        <v>870</v>
      </c>
      <c r="B872" s="1">
        <v>10</v>
      </c>
      <c r="C872" s="1">
        <f t="shared" si="196"/>
        <v>10</v>
      </c>
      <c r="D872" s="4">
        <v>9980</v>
      </c>
      <c r="E872" s="4">
        <f t="shared" si="187"/>
        <v>990</v>
      </c>
      <c r="F872" s="10">
        <f t="shared" si="188"/>
        <v>8.509999999999863</v>
      </c>
      <c r="G872" s="9">
        <f t="shared" si="189"/>
        <v>120500</v>
      </c>
      <c r="I872" s="4">
        <f t="shared" si="190"/>
        <v>10000</v>
      </c>
      <c r="J872" s="17">
        <f t="shared" si="191"/>
        <v>1E-3</v>
      </c>
      <c r="K872" s="17">
        <f t="shared" si="192"/>
        <v>1E-3</v>
      </c>
      <c r="L872" s="17">
        <f t="shared" si="193"/>
        <v>0.998</v>
      </c>
      <c r="M872" s="4">
        <f t="shared" si="194"/>
        <v>120500</v>
      </c>
    </row>
    <row r="873" spans="1:13" x14ac:dyDescent="0.3">
      <c r="A873" s="1">
        <f t="shared" si="195"/>
        <v>871</v>
      </c>
      <c r="B873" s="1">
        <v>10</v>
      </c>
      <c r="C873" s="1">
        <f t="shared" si="196"/>
        <v>10</v>
      </c>
      <c r="D873" s="4">
        <v>9980</v>
      </c>
      <c r="E873" s="4">
        <f t="shared" si="187"/>
        <v>991</v>
      </c>
      <c r="F873" s="10">
        <f t="shared" si="188"/>
        <v>8.5199999999998628</v>
      </c>
      <c r="G873" s="9">
        <f t="shared" si="189"/>
        <v>120650</v>
      </c>
      <c r="I873" s="4">
        <f t="shared" si="190"/>
        <v>10000</v>
      </c>
      <c r="J873" s="17">
        <f t="shared" si="191"/>
        <v>1E-3</v>
      </c>
      <c r="K873" s="17">
        <f t="shared" si="192"/>
        <v>1E-3</v>
      </c>
      <c r="L873" s="17">
        <f t="shared" si="193"/>
        <v>0.998</v>
      </c>
      <c r="M873" s="4">
        <f t="shared" si="194"/>
        <v>120650</v>
      </c>
    </row>
    <row r="874" spans="1:13" x14ac:dyDescent="0.3">
      <c r="A874" s="1">
        <f t="shared" si="195"/>
        <v>872</v>
      </c>
      <c r="B874" s="1">
        <v>10</v>
      </c>
      <c r="C874" s="1">
        <f t="shared" si="196"/>
        <v>10</v>
      </c>
      <c r="D874" s="4">
        <v>9980</v>
      </c>
      <c r="E874" s="4">
        <f t="shared" si="187"/>
        <v>992</v>
      </c>
      <c r="F874" s="10">
        <f t="shared" si="188"/>
        <v>8.5299999999998626</v>
      </c>
      <c r="G874" s="9">
        <f t="shared" si="189"/>
        <v>120800</v>
      </c>
      <c r="I874" s="4">
        <f t="shared" si="190"/>
        <v>10000</v>
      </c>
      <c r="J874" s="17">
        <f t="shared" si="191"/>
        <v>1E-3</v>
      </c>
      <c r="K874" s="17">
        <f t="shared" si="192"/>
        <v>1E-3</v>
      </c>
      <c r="L874" s="17">
        <f t="shared" si="193"/>
        <v>0.998</v>
      </c>
      <c r="M874" s="4">
        <f t="shared" si="194"/>
        <v>120800</v>
      </c>
    </row>
    <row r="875" spans="1:13" x14ac:dyDescent="0.3">
      <c r="A875" s="1">
        <f t="shared" si="195"/>
        <v>873</v>
      </c>
      <c r="B875" s="1">
        <v>10</v>
      </c>
      <c r="C875" s="1">
        <f t="shared" si="196"/>
        <v>10</v>
      </c>
      <c r="D875" s="4">
        <v>9980</v>
      </c>
      <c r="E875" s="4">
        <f t="shared" si="187"/>
        <v>993</v>
      </c>
      <c r="F875" s="10">
        <f t="shared" si="188"/>
        <v>8.5399999999998624</v>
      </c>
      <c r="G875" s="9">
        <f t="shared" si="189"/>
        <v>120950</v>
      </c>
      <c r="I875" s="4">
        <f t="shared" si="190"/>
        <v>10000</v>
      </c>
      <c r="J875" s="17">
        <f t="shared" si="191"/>
        <v>1E-3</v>
      </c>
      <c r="K875" s="17">
        <f t="shared" si="192"/>
        <v>1E-3</v>
      </c>
      <c r="L875" s="17">
        <f t="shared" si="193"/>
        <v>0.998</v>
      </c>
      <c r="M875" s="4">
        <f t="shared" si="194"/>
        <v>120950</v>
      </c>
    </row>
    <row r="876" spans="1:13" x14ac:dyDescent="0.3">
      <c r="A876" s="1">
        <f t="shared" si="195"/>
        <v>874</v>
      </c>
      <c r="B876" s="1">
        <v>10</v>
      </c>
      <c r="C876" s="1">
        <f t="shared" si="196"/>
        <v>10</v>
      </c>
      <c r="D876" s="4">
        <v>9980</v>
      </c>
      <c r="E876" s="4">
        <f t="shared" si="187"/>
        <v>994</v>
      </c>
      <c r="F876" s="10">
        <f t="shared" si="188"/>
        <v>8.5499999999998622</v>
      </c>
      <c r="G876" s="9">
        <f t="shared" si="189"/>
        <v>121100</v>
      </c>
      <c r="I876" s="4">
        <f t="shared" si="190"/>
        <v>10000</v>
      </c>
      <c r="J876" s="17">
        <f t="shared" si="191"/>
        <v>1E-3</v>
      </c>
      <c r="K876" s="17">
        <f t="shared" si="192"/>
        <v>1E-3</v>
      </c>
      <c r="L876" s="17">
        <f t="shared" si="193"/>
        <v>0.998</v>
      </c>
      <c r="M876" s="4">
        <f t="shared" si="194"/>
        <v>121100</v>
      </c>
    </row>
    <row r="877" spans="1:13" x14ac:dyDescent="0.3">
      <c r="A877" s="1">
        <f t="shared" si="195"/>
        <v>875</v>
      </c>
      <c r="B877" s="1">
        <v>10</v>
      </c>
      <c r="C877" s="1">
        <f t="shared" si="196"/>
        <v>10</v>
      </c>
      <c r="D877" s="4">
        <v>9980</v>
      </c>
      <c r="E877" s="4">
        <f t="shared" si="187"/>
        <v>995</v>
      </c>
      <c r="F877" s="10">
        <f t="shared" si="188"/>
        <v>8.5599999999998619</v>
      </c>
      <c r="G877" s="9">
        <f t="shared" si="189"/>
        <v>121250</v>
      </c>
      <c r="I877" s="4">
        <f t="shared" si="190"/>
        <v>10000</v>
      </c>
      <c r="J877" s="17">
        <f t="shared" si="191"/>
        <v>1E-3</v>
      </c>
      <c r="K877" s="17">
        <f t="shared" si="192"/>
        <v>1E-3</v>
      </c>
      <c r="L877" s="17">
        <f t="shared" si="193"/>
        <v>0.998</v>
      </c>
      <c r="M877" s="4">
        <f t="shared" si="194"/>
        <v>121250</v>
      </c>
    </row>
    <row r="878" spans="1:13" x14ac:dyDescent="0.3">
      <c r="A878" s="1">
        <f t="shared" si="195"/>
        <v>876</v>
      </c>
      <c r="B878" s="1">
        <v>10</v>
      </c>
      <c r="C878" s="1">
        <f t="shared" si="196"/>
        <v>10</v>
      </c>
      <c r="D878" s="4">
        <v>9980</v>
      </c>
      <c r="E878" s="4">
        <f t="shared" si="187"/>
        <v>996</v>
      </c>
      <c r="F878" s="10">
        <f t="shared" si="188"/>
        <v>8.5699999999998617</v>
      </c>
      <c r="G878" s="9">
        <f t="shared" si="189"/>
        <v>121400</v>
      </c>
      <c r="I878" s="4">
        <f t="shared" si="190"/>
        <v>10000</v>
      </c>
      <c r="J878" s="17">
        <f t="shared" si="191"/>
        <v>1E-3</v>
      </c>
      <c r="K878" s="17">
        <f t="shared" si="192"/>
        <v>1E-3</v>
      </c>
      <c r="L878" s="17">
        <f t="shared" si="193"/>
        <v>0.998</v>
      </c>
      <c r="M878" s="4">
        <f t="shared" si="194"/>
        <v>121400</v>
      </c>
    </row>
    <row r="879" spans="1:13" x14ac:dyDescent="0.3">
      <c r="A879" s="1">
        <f t="shared" si="195"/>
        <v>877</v>
      </c>
      <c r="B879" s="1">
        <v>10</v>
      </c>
      <c r="C879" s="1">
        <f t="shared" si="196"/>
        <v>10</v>
      </c>
      <c r="D879" s="4">
        <v>9980</v>
      </c>
      <c r="E879" s="4">
        <f t="shared" si="187"/>
        <v>997</v>
      </c>
      <c r="F879" s="10">
        <f t="shared" si="188"/>
        <v>8.5799999999998615</v>
      </c>
      <c r="G879" s="9">
        <f t="shared" si="189"/>
        <v>121550</v>
      </c>
      <c r="I879" s="4">
        <f t="shared" si="190"/>
        <v>10000</v>
      </c>
      <c r="J879" s="17">
        <f t="shared" si="191"/>
        <v>1E-3</v>
      </c>
      <c r="K879" s="17">
        <f t="shared" si="192"/>
        <v>1E-3</v>
      </c>
      <c r="L879" s="17">
        <f t="shared" si="193"/>
        <v>0.998</v>
      </c>
      <c r="M879" s="4">
        <f t="shared" si="194"/>
        <v>121550</v>
      </c>
    </row>
    <row r="880" spans="1:13" x14ac:dyDescent="0.3">
      <c r="A880" s="1">
        <f t="shared" si="195"/>
        <v>878</v>
      </c>
      <c r="B880" s="1">
        <v>10</v>
      </c>
      <c r="C880" s="1">
        <f t="shared" si="196"/>
        <v>10</v>
      </c>
      <c r="D880" s="4">
        <v>9980</v>
      </c>
      <c r="E880" s="4">
        <f t="shared" si="187"/>
        <v>998</v>
      </c>
      <c r="F880" s="10">
        <f t="shared" si="188"/>
        <v>8.5899999999998613</v>
      </c>
      <c r="G880" s="9">
        <f t="shared" si="189"/>
        <v>121700</v>
      </c>
      <c r="I880" s="4">
        <f t="shared" si="190"/>
        <v>10000</v>
      </c>
      <c r="J880" s="17">
        <f t="shared" si="191"/>
        <v>1E-3</v>
      </c>
      <c r="K880" s="17">
        <f t="shared" si="192"/>
        <v>1E-3</v>
      </c>
      <c r="L880" s="17">
        <f t="shared" si="193"/>
        <v>0.998</v>
      </c>
      <c r="M880" s="4">
        <f t="shared" si="194"/>
        <v>121700</v>
      </c>
    </row>
    <row r="881" spans="1:13" x14ac:dyDescent="0.3">
      <c r="A881" s="1">
        <f t="shared" si="195"/>
        <v>879</v>
      </c>
      <c r="B881" s="1">
        <v>10</v>
      </c>
      <c r="C881" s="1">
        <f t="shared" si="196"/>
        <v>10</v>
      </c>
      <c r="D881" s="4">
        <v>9980</v>
      </c>
      <c r="E881" s="4">
        <f t="shared" si="187"/>
        <v>999</v>
      </c>
      <c r="F881" s="10">
        <f t="shared" si="188"/>
        <v>8.5999999999998611</v>
      </c>
      <c r="G881" s="9">
        <f t="shared" si="189"/>
        <v>121850</v>
      </c>
      <c r="I881" s="4">
        <f t="shared" si="190"/>
        <v>10000</v>
      </c>
      <c r="J881" s="17">
        <f t="shared" si="191"/>
        <v>1E-3</v>
      </c>
      <c r="K881" s="17">
        <f t="shared" si="192"/>
        <v>1E-3</v>
      </c>
      <c r="L881" s="17">
        <f t="shared" si="193"/>
        <v>0.998</v>
      </c>
      <c r="M881" s="4">
        <f t="shared" si="194"/>
        <v>121850</v>
      </c>
    </row>
    <row r="882" spans="1:13" x14ac:dyDescent="0.3">
      <c r="A882" s="1">
        <f t="shared" si="195"/>
        <v>880</v>
      </c>
      <c r="B882" s="1">
        <v>10</v>
      </c>
      <c r="C882" s="1">
        <f t="shared" si="196"/>
        <v>10</v>
      </c>
      <c r="D882" s="4">
        <v>9980</v>
      </c>
      <c r="E882" s="4">
        <f t="shared" si="187"/>
        <v>1000</v>
      </c>
      <c r="F882" s="10">
        <f t="shared" si="188"/>
        <v>8.6099999999998609</v>
      </c>
      <c r="G882" s="9">
        <f t="shared" si="189"/>
        <v>122000</v>
      </c>
      <c r="I882" s="4">
        <f t="shared" si="190"/>
        <v>10000</v>
      </c>
      <c r="J882" s="17">
        <f t="shared" si="191"/>
        <v>1E-3</v>
      </c>
      <c r="K882" s="17">
        <f t="shared" si="192"/>
        <v>1E-3</v>
      </c>
      <c r="L882" s="17">
        <f t="shared" si="193"/>
        <v>0.998</v>
      </c>
      <c r="M882" s="4">
        <f t="shared" si="194"/>
        <v>122000</v>
      </c>
    </row>
    <row r="883" spans="1:13" x14ac:dyDescent="0.3">
      <c r="A883" s="1">
        <f t="shared" si="195"/>
        <v>881</v>
      </c>
      <c r="B883" s="1">
        <v>10</v>
      </c>
      <c r="C883" s="1">
        <f t="shared" si="196"/>
        <v>10</v>
      </c>
      <c r="D883" s="4">
        <v>9980</v>
      </c>
      <c r="E883" s="4">
        <f t="shared" si="187"/>
        <v>1001</v>
      </c>
      <c r="F883" s="10">
        <f t="shared" si="188"/>
        <v>8.6199999999998607</v>
      </c>
      <c r="G883" s="9">
        <f t="shared" si="189"/>
        <v>122150</v>
      </c>
      <c r="I883" s="4">
        <f t="shared" si="190"/>
        <v>10000</v>
      </c>
      <c r="J883" s="17">
        <f t="shared" si="191"/>
        <v>1E-3</v>
      </c>
      <c r="K883" s="17">
        <f t="shared" si="192"/>
        <v>1E-3</v>
      </c>
      <c r="L883" s="17">
        <f t="shared" si="193"/>
        <v>0.998</v>
      </c>
      <c r="M883" s="4">
        <f t="shared" si="194"/>
        <v>122150</v>
      </c>
    </row>
    <row r="884" spans="1:13" x14ac:dyDescent="0.3">
      <c r="A884" s="1">
        <f t="shared" si="195"/>
        <v>882</v>
      </c>
      <c r="B884" s="1">
        <v>10</v>
      </c>
      <c r="C884" s="1">
        <f t="shared" si="196"/>
        <v>10</v>
      </c>
      <c r="D884" s="4">
        <v>9980</v>
      </c>
      <c r="E884" s="4">
        <f t="shared" si="187"/>
        <v>1002</v>
      </c>
      <c r="F884" s="10">
        <f t="shared" si="188"/>
        <v>8.6299999999998604</v>
      </c>
      <c r="G884" s="9">
        <f t="shared" si="189"/>
        <v>122300</v>
      </c>
      <c r="I884" s="4">
        <f t="shared" si="190"/>
        <v>10000</v>
      </c>
      <c r="J884" s="17">
        <f t="shared" si="191"/>
        <v>1E-3</v>
      </c>
      <c r="K884" s="17">
        <f t="shared" si="192"/>
        <v>1E-3</v>
      </c>
      <c r="L884" s="17">
        <f t="shared" si="193"/>
        <v>0.998</v>
      </c>
      <c r="M884" s="4">
        <f t="shared" si="194"/>
        <v>122300</v>
      </c>
    </row>
    <row r="885" spans="1:13" x14ac:dyDescent="0.3">
      <c r="A885" s="1">
        <f t="shared" si="195"/>
        <v>883</v>
      </c>
      <c r="B885" s="1">
        <v>10</v>
      </c>
      <c r="C885" s="1">
        <f t="shared" si="196"/>
        <v>10</v>
      </c>
      <c r="D885" s="4">
        <v>9980</v>
      </c>
      <c r="E885" s="4">
        <f t="shared" si="187"/>
        <v>1003</v>
      </c>
      <c r="F885" s="10">
        <f t="shared" si="188"/>
        <v>8.6399999999998602</v>
      </c>
      <c r="G885" s="9">
        <f t="shared" si="189"/>
        <v>122450</v>
      </c>
      <c r="I885" s="4">
        <f t="shared" si="190"/>
        <v>10000</v>
      </c>
      <c r="J885" s="17">
        <f t="shared" si="191"/>
        <v>1E-3</v>
      </c>
      <c r="K885" s="17">
        <f t="shared" si="192"/>
        <v>1E-3</v>
      </c>
      <c r="L885" s="17">
        <f t="shared" si="193"/>
        <v>0.998</v>
      </c>
      <c r="M885" s="4">
        <f t="shared" si="194"/>
        <v>122450</v>
      </c>
    </row>
    <row r="886" spans="1:13" x14ac:dyDescent="0.3">
      <c r="A886" s="1">
        <f t="shared" si="195"/>
        <v>884</v>
      </c>
      <c r="B886" s="1">
        <v>10</v>
      </c>
      <c r="C886" s="1">
        <f t="shared" si="196"/>
        <v>10</v>
      </c>
      <c r="D886" s="4">
        <v>9980</v>
      </c>
      <c r="E886" s="4">
        <f t="shared" si="187"/>
        <v>1004</v>
      </c>
      <c r="F886" s="10">
        <f t="shared" si="188"/>
        <v>8.64999999999986</v>
      </c>
      <c r="G886" s="9">
        <f t="shared" si="189"/>
        <v>122600</v>
      </c>
      <c r="I886" s="4">
        <f t="shared" si="190"/>
        <v>10000</v>
      </c>
      <c r="J886" s="17">
        <f t="shared" si="191"/>
        <v>1E-3</v>
      </c>
      <c r="K886" s="17">
        <f t="shared" si="192"/>
        <v>1E-3</v>
      </c>
      <c r="L886" s="17">
        <f t="shared" si="193"/>
        <v>0.998</v>
      </c>
      <c r="M886" s="4">
        <f t="shared" si="194"/>
        <v>122600</v>
      </c>
    </row>
    <row r="887" spans="1:13" x14ac:dyDescent="0.3">
      <c r="A887" s="1">
        <f t="shared" si="195"/>
        <v>885</v>
      </c>
      <c r="B887" s="1">
        <v>10</v>
      </c>
      <c r="C887" s="1">
        <f t="shared" si="196"/>
        <v>10</v>
      </c>
      <c r="D887" s="4">
        <v>9980</v>
      </c>
      <c r="E887" s="4">
        <f t="shared" si="187"/>
        <v>1005</v>
      </c>
      <c r="F887" s="10">
        <f t="shared" si="188"/>
        <v>8.6599999999998598</v>
      </c>
      <c r="G887" s="9">
        <f t="shared" si="189"/>
        <v>122750</v>
      </c>
      <c r="I887" s="4">
        <f t="shared" si="190"/>
        <v>10000</v>
      </c>
      <c r="J887" s="17">
        <f t="shared" si="191"/>
        <v>1E-3</v>
      </c>
      <c r="K887" s="17">
        <f t="shared" si="192"/>
        <v>1E-3</v>
      </c>
      <c r="L887" s="17">
        <f t="shared" si="193"/>
        <v>0.998</v>
      </c>
      <c r="M887" s="4">
        <f t="shared" si="194"/>
        <v>122750</v>
      </c>
    </row>
    <row r="888" spans="1:13" x14ac:dyDescent="0.3">
      <c r="A888" s="1">
        <f t="shared" si="195"/>
        <v>886</v>
      </c>
      <c r="B888" s="1">
        <v>10</v>
      </c>
      <c r="C888" s="1">
        <f t="shared" si="196"/>
        <v>10</v>
      </c>
      <c r="D888" s="4">
        <v>9980</v>
      </c>
      <c r="E888" s="4">
        <f t="shared" si="187"/>
        <v>1006</v>
      </c>
      <c r="F888" s="10">
        <f t="shared" si="188"/>
        <v>8.6699999999998596</v>
      </c>
      <c r="G888" s="9">
        <f t="shared" si="189"/>
        <v>122900</v>
      </c>
      <c r="I888" s="4">
        <f t="shared" si="190"/>
        <v>10000</v>
      </c>
      <c r="J888" s="17">
        <f t="shared" si="191"/>
        <v>1E-3</v>
      </c>
      <c r="K888" s="17">
        <f t="shared" si="192"/>
        <v>1E-3</v>
      </c>
      <c r="L888" s="17">
        <f t="shared" si="193"/>
        <v>0.998</v>
      </c>
      <c r="M888" s="4">
        <f t="shared" si="194"/>
        <v>122900</v>
      </c>
    </row>
    <row r="889" spans="1:13" x14ac:dyDescent="0.3">
      <c r="A889" s="1">
        <f t="shared" si="195"/>
        <v>887</v>
      </c>
      <c r="B889" s="1">
        <v>10</v>
      </c>
      <c r="C889" s="1">
        <f t="shared" si="196"/>
        <v>10</v>
      </c>
      <c r="D889" s="4">
        <v>9980</v>
      </c>
      <c r="E889" s="4">
        <f t="shared" si="187"/>
        <v>1007</v>
      </c>
      <c r="F889" s="10">
        <f t="shared" si="188"/>
        <v>8.6799999999998594</v>
      </c>
      <c r="G889" s="9">
        <f t="shared" si="189"/>
        <v>123050</v>
      </c>
      <c r="I889" s="4">
        <f t="shared" si="190"/>
        <v>10000</v>
      </c>
      <c r="J889" s="17">
        <f t="shared" si="191"/>
        <v>1E-3</v>
      </c>
      <c r="K889" s="17">
        <f t="shared" si="192"/>
        <v>1E-3</v>
      </c>
      <c r="L889" s="17">
        <f t="shared" si="193"/>
        <v>0.998</v>
      </c>
      <c r="M889" s="4">
        <f t="shared" si="194"/>
        <v>123050</v>
      </c>
    </row>
    <row r="890" spans="1:13" x14ac:dyDescent="0.3">
      <c r="A890" s="1">
        <f t="shared" si="195"/>
        <v>888</v>
      </c>
      <c r="B890" s="1">
        <v>10</v>
      </c>
      <c r="C890" s="1">
        <f t="shared" si="196"/>
        <v>10</v>
      </c>
      <c r="D890" s="4">
        <v>9980</v>
      </c>
      <c r="E890" s="4">
        <f t="shared" si="187"/>
        <v>1008</v>
      </c>
      <c r="F890" s="10">
        <f t="shared" si="188"/>
        <v>8.6899999999998592</v>
      </c>
      <c r="G890" s="9">
        <f t="shared" si="189"/>
        <v>123200</v>
      </c>
      <c r="I890" s="4">
        <f t="shared" si="190"/>
        <v>10000</v>
      </c>
      <c r="J890" s="17">
        <f t="shared" si="191"/>
        <v>1E-3</v>
      </c>
      <c r="K890" s="17">
        <f t="shared" si="192"/>
        <v>1E-3</v>
      </c>
      <c r="L890" s="17">
        <f t="shared" si="193"/>
        <v>0.998</v>
      </c>
      <c r="M890" s="4">
        <f t="shared" si="194"/>
        <v>123200</v>
      </c>
    </row>
    <row r="891" spans="1:13" x14ac:dyDescent="0.3">
      <c r="A891" s="1">
        <f t="shared" si="195"/>
        <v>889</v>
      </c>
      <c r="B891" s="1">
        <v>10</v>
      </c>
      <c r="C891" s="1">
        <f t="shared" si="196"/>
        <v>10</v>
      </c>
      <c r="D891" s="4">
        <v>9980</v>
      </c>
      <c r="E891" s="4">
        <f t="shared" si="187"/>
        <v>1009</v>
      </c>
      <c r="F891" s="10">
        <f t="shared" si="188"/>
        <v>8.699999999999859</v>
      </c>
      <c r="G891" s="9">
        <f t="shared" si="189"/>
        <v>123350</v>
      </c>
      <c r="I891" s="4">
        <f t="shared" si="190"/>
        <v>10000</v>
      </c>
      <c r="J891" s="17">
        <f t="shared" si="191"/>
        <v>1E-3</v>
      </c>
      <c r="K891" s="17">
        <f t="shared" si="192"/>
        <v>1E-3</v>
      </c>
      <c r="L891" s="17">
        <f t="shared" si="193"/>
        <v>0.998</v>
      </c>
      <c r="M891" s="4">
        <f t="shared" si="194"/>
        <v>123350</v>
      </c>
    </row>
    <row r="892" spans="1:13" x14ac:dyDescent="0.3">
      <c r="A892" s="1">
        <f t="shared" si="195"/>
        <v>890</v>
      </c>
      <c r="B892" s="1">
        <v>10</v>
      </c>
      <c r="C892" s="1">
        <f t="shared" si="196"/>
        <v>10</v>
      </c>
      <c r="D892" s="4">
        <v>9980</v>
      </c>
      <c r="E892" s="4">
        <f t="shared" si="187"/>
        <v>1010</v>
      </c>
      <c r="F892" s="10">
        <f t="shared" si="188"/>
        <v>8.7099999999998587</v>
      </c>
      <c r="G892" s="9">
        <f t="shared" si="189"/>
        <v>123500</v>
      </c>
      <c r="I892" s="4">
        <f t="shared" si="190"/>
        <v>10000</v>
      </c>
      <c r="J892" s="17">
        <f t="shared" si="191"/>
        <v>1E-3</v>
      </c>
      <c r="K892" s="17">
        <f t="shared" si="192"/>
        <v>1E-3</v>
      </c>
      <c r="L892" s="17">
        <f t="shared" si="193"/>
        <v>0.998</v>
      </c>
      <c r="M892" s="4">
        <f t="shared" si="194"/>
        <v>123500</v>
      </c>
    </row>
    <row r="893" spans="1:13" x14ac:dyDescent="0.3">
      <c r="A893" s="1">
        <f t="shared" si="195"/>
        <v>891</v>
      </c>
      <c r="B893" s="1">
        <f t="shared" ref="B867:B930" si="197">B903</f>
        <v>9</v>
      </c>
      <c r="C893" s="1">
        <f t="shared" si="186"/>
        <v>10</v>
      </c>
      <c r="D893" s="4">
        <f t="shared" ref="D867:D930" si="198">D903-1</f>
        <v>9981</v>
      </c>
      <c r="E893" s="4">
        <f t="shared" si="187"/>
        <v>1011</v>
      </c>
      <c r="F893" s="10">
        <f t="shared" si="188"/>
        <v>8.7199999999998585</v>
      </c>
      <c r="G893" s="9">
        <f t="shared" si="189"/>
        <v>123650</v>
      </c>
      <c r="I893" s="4">
        <f t="shared" si="190"/>
        <v>10000</v>
      </c>
      <c r="J893" s="17">
        <f t="shared" si="191"/>
        <v>8.9999999999999998E-4</v>
      </c>
      <c r="K893" s="17">
        <f t="shared" si="192"/>
        <v>1E-3</v>
      </c>
      <c r="L893" s="17">
        <f t="shared" si="193"/>
        <v>0.99809999999999999</v>
      </c>
      <c r="M893" s="4">
        <f t="shared" si="194"/>
        <v>123650</v>
      </c>
    </row>
    <row r="894" spans="1:13" x14ac:dyDescent="0.3">
      <c r="A894" s="1">
        <f t="shared" si="195"/>
        <v>892</v>
      </c>
      <c r="B894" s="1">
        <f t="shared" si="197"/>
        <v>8</v>
      </c>
      <c r="C894" s="1">
        <f t="shared" si="186"/>
        <v>10</v>
      </c>
      <c r="D894" s="4">
        <f t="shared" si="198"/>
        <v>9982</v>
      </c>
      <c r="E894" s="4">
        <f t="shared" si="187"/>
        <v>1012</v>
      </c>
      <c r="F894" s="10">
        <f t="shared" si="188"/>
        <v>8.7299999999998583</v>
      </c>
      <c r="G894" s="9">
        <f t="shared" si="189"/>
        <v>123800</v>
      </c>
      <c r="I894" s="4">
        <f t="shared" si="190"/>
        <v>10000</v>
      </c>
      <c r="J894" s="17">
        <f t="shared" si="191"/>
        <v>8.0000000000000004E-4</v>
      </c>
      <c r="K894" s="17">
        <f t="shared" si="192"/>
        <v>1E-3</v>
      </c>
      <c r="L894" s="17">
        <f t="shared" si="193"/>
        <v>0.99819999999999998</v>
      </c>
      <c r="M894" s="4">
        <f t="shared" si="194"/>
        <v>123800</v>
      </c>
    </row>
    <row r="895" spans="1:13" x14ac:dyDescent="0.3">
      <c r="A895" s="1">
        <f t="shared" si="195"/>
        <v>893</v>
      </c>
      <c r="B895" s="1">
        <f t="shared" si="197"/>
        <v>7</v>
      </c>
      <c r="C895" s="1">
        <f t="shared" si="186"/>
        <v>10</v>
      </c>
      <c r="D895" s="4">
        <f t="shared" si="198"/>
        <v>9983</v>
      </c>
      <c r="E895" s="4">
        <f t="shared" si="187"/>
        <v>1013</v>
      </c>
      <c r="F895" s="10">
        <f t="shared" si="188"/>
        <v>8.7399999999998581</v>
      </c>
      <c r="G895" s="9">
        <f t="shared" si="189"/>
        <v>123950</v>
      </c>
      <c r="I895" s="4">
        <f t="shared" si="190"/>
        <v>10000</v>
      </c>
      <c r="J895" s="17">
        <f t="shared" si="191"/>
        <v>6.9999999999999999E-4</v>
      </c>
      <c r="K895" s="17">
        <f t="shared" si="192"/>
        <v>1E-3</v>
      </c>
      <c r="L895" s="17">
        <f t="shared" si="193"/>
        <v>0.99829999999999997</v>
      </c>
      <c r="M895" s="4">
        <f t="shared" si="194"/>
        <v>123950</v>
      </c>
    </row>
    <row r="896" spans="1:13" x14ac:dyDescent="0.3">
      <c r="A896" s="1">
        <f t="shared" si="195"/>
        <v>894</v>
      </c>
      <c r="B896" s="1">
        <f t="shared" si="197"/>
        <v>6</v>
      </c>
      <c r="C896" s="1">
        <f t="shared" si="186"/>
        <v>10</v>
      </c>
      <c r="D896" s="4">
        <f t="shared" si="198"/>
        <v>9984</v>
      </c>
      <c r="E896" s="4">
        <f t="shared" si="187"/>
        <v>1014</v>
      </c>
      <c r="F896" s="10">
        <f t="shared" si="188"/>
        <v>8.7499999999998579</v>
      </c>
      <c r="G896" s="9">
        <f t="shared" si="189"/>
        <v>124100</v>
      </c>
      <c r="I896" s="4">
        <f t="shared" si="190"/>
        <v>10000</v>
      </c>
      <c r="J896" s="17">
        <f t="shared" si="191"/>
        <v>5.9999999999999995E-4</v>
      </c>
      <c r="K896" s="17">
        <f t="shared" si="192"/>
        <v>1E-3</v>
      </c>
      <c r="L896" s="17">
        <f t="shared" si="193"/>
        <v>0.99839999999999995</v>
      </c>
      <c r="M896" s="4">
        <f t="shared" si="194"/>
        <v>124100</v>
      </c>
    </row>
    <row r="897" spans="1:13" x14ac:dyDescent="0.3">
      <c r="A897" s="1">
        <f t="shared" si="195"/>
        <v>895</v>
      </c>
      <c r="B897" s="1">
        <f t="shared" si="197"/>
        <v>5</v>
      </c>
      <c r="C897" s="1">
        <f t="shared" si="186"/>
        <v>10</v>
      </c>
      <c r="D897" s="4">
        <f t="shared" si="198"/>
        <v>9985</v>
      </c>
      <c r="E897" s="4">
        <f t="shared" si="187"/>
        <v>1015</v>
      </c>
      <c r="F897" s="10">
        <f t="shared" si="188"/>
        <v>8.7599999999998577</v>
      </c>
      <c r="G897" s="9">
        <f t="shared" si="189"/>
        <v>124250</v>
      </c>
      <c r="I897" s="4">
        <f t="shared" si="190"/>
        <v>10000</v>
      </c>
      <c r="J897" s="17">
        <f t="shared" si="191"/>
        <v>5.0000000000000001E-4</v>
      </c>
      <c r="K897" s="17">
        <f t="shared" si="192"/>
        <v>1E-3</v>
      </c>
      <c r="L897" s="17">
        <f t="shared" si="193"/>
        <v>0.99850000000000005</v>
      </c>
      <c r="M897" s="4">
        <f t="shared" si="194"/>
        <v>124250</v>
      </c>
    </row>
    <row r="898" spans="1:13" x14ac:dyDescent="0.3">
      <c r="A898" s="1">
        <f t="shared" si="195"/>
        <v>896</v>
      </c>
      <c r="B898" s="1">
        <f t="shared" si="197"/>
        <v>4</v>
      </c>
      <c r="C898" s="1">
        <f t="shared" si="186"/>
        <v>10</v>
      </c>
      <c r="D898" s="4">
        <f t="shared" si="198"/>
        <v>9986</v>
      </c>
      <c r="E898" s="4">
        <f t="shared" si="187"/>
        <v>1016</v>
      </c>
      <c r="F898" s="10">
        <f t="shared" si="188"/>
        <v>8.7699999999998575</v>
      </c>
      <c r="G898" s="9">
        <f t="shared" si="189"/>
        <v>124400</v>
      </c>
      <c r="I898" s="4">
        <f t="shared" si="190"/>
        <v>10000</v>
      </c>
      <c r="J898" s="17">
        <f t="shared" si="191"/>
        <v>4.0000000000000002E-4</v>
      </c>
      <c r="K898" s="17">
        <f t="shared" si="192"/>
        <v>1E-3</v>
      </c>
      <c r="L898" s="17">
        <f t="shared" si="193"/>
        <v>0.99860000000000004</v>
      </c>
      <c r="M898" s="4">
        <f t="shared" si="194"/>
        <v>124400</v>
      </c>
    </row>
    <row r="899" spans="1:13" x14ac:dyDescent="0.3">
      <c r="A899" s="1">
        <f t="shared" si="195"/>
        <v>897</v>
      </c>
      <c r="B899" s="1">
        <f t="shared" si="197"/>
        <v>3</v>
      </c>
      <c r="C899" s="1">
        <f t="shared" ref="C899:C962" si="199">10000-B899-D899</f>
        <v>10</v>
      </c>
      <c r="D899" s="4">
        <f t="shared" si="198"/>
        <v>9987</v>
      </c>
      <c r="E899" s="4">
        <f t="shared" ref="E899:E936" si="200">E898+1</f>
        <v>1017</v>
      </c>
      <c r="F899" s="10">
        <f t="shared" ref="F899:F936" si="201">F898+0.01</f>
        <v>8.7799999999998573</v>
      </c>
      <c r="G899" s="9">
        <f t="shared" ref="G899:G936" si="202">G898+150</f>
        <v>124550</v>
      </c>
      <c r="I899" s="4">
        <f t="shared" ref="I899:I936" si="203">SUM(B899:D899)</f>
        <v>10000</v>
      </c>
      <c r="J899" s="17">
        <f t="shared" ref="J899:J936" si="204">B899/10000</f>
        <v>2.9999999999999997E-4</v>
      </c>
      <c r="K899" s="17">
        <f t="shared" ref="K899:K936" si="205">C899/10000</f>
        <v>1E-3</v>
      </c>
      <c r="L899" s="17">
        <f t="shared" ref="L899:L936" si="206">D899/10000</f>
        <v>0.99870000000000003</v>
      </c>
      <c r="M899" s="4">
        <f t="shared" ref="M899:M936" si="207">G899</f>
        <v>124550</v>
      </c>
    </row>
    <row r="900" spans="1:13" x14ac:dyDescent="0.3">
      <c r="A900" s="1">
        <f t="shared" si="195"/>
        <v>898</v>
      </c>
      <c r="B900" s="1">
        <f t="shared" si="197"/>
        <v>2</v>
      </c>
      <c r="C900" s="1">
        <f t="shared" si="199"/>
        <v>10</v>
      </c>
      <c r="D900" s="4">
        <f t="shared" si="198"/>
        <v>9988</v>
      </c>
      <c r="E900" s="4">
        <f t="shared" si="200"/>
        <v>1018</v>
      </c>
      <c r="F900" s="10">
        <f t="shared" si="201"/>
        <v>8.789999999999857</v>
      </c>
      <c r="G900" s="9">
        <f t="shared" si="202"/>
        <v>124700</v>
      </c>
      <c r="I900" s="4">
        <f t="shared" si="203"/>
        <v>10000</v>
      </c>
      <c r="J900" s="17">
        <f t="shared" si="204"/>
        <v>2.0000000000000001E-4</v>
      </c>
      <c r="K900" s="17">
        <f t="shared" si="205"/>
        <v>1E-3</v>
      </c>
      <c r="L900" s="17">
        <f t="shared" si="206"/>
        <v>0.99880000000000002</v>
      </c>
      <c r="M900" s="4">
        <f t="shared" si="207"/>
        <v>124700</v>
      </c>
    </row>
    <row r="901" spans="1:13" x14ac:dyDescent="0.3">
      <c r="A901" s="1">
        <f t="shared" si="195"/>
        <v>899</v>
      </c>
      <c r="B901" s="1">
        <f t="shared" si="197"/>
        <v>1</v>
      </c>
      <c r="C901" s="1">
        <f t="shared" si="199"/>
        <v>10</v>
      </c>
      <c r="D901" s="4">
        <f t="shared" si="198"/>
        <v>9989</v>
      </c>
      <c r="E901" s="4">
        <f t="shared" si="200"/>
        <v>1019</v>
      </c>
      <c r="F901" s="10">
        <f t="shared" si="201"/>
        <v>8.7999999999998568</v>
      </c>
      <c r="G901" s="9">
        <f t="shared" si="202"/>
        <v>124850</v>
      </c>
      <c r="I901" s="4">
        <f t="shared" si="203"/>
        <v>10000</v>
      </c>
      <c r="J901" s="17">
        <f t="shared" si="204"/>
        <v>1E-4</v>
      </c>
      <c r="K901" s="17">
        <f t="shared" si="205"/>
        <v>1E-3</v>
      </c>
      <c r="L901" s="17">
        <f t="shared" si="206"/>
        <v>0.99890000000000001</v>
      </c>
      <c r="M901" s="4">
        <f t="shared" si="207"/>
        <v>124850</v>
      </c>
    </row>
    <row r="902" spans="1:13" x14ac:dyDescent="0.3">
      <c r="A902" s="1">
        <f t="shared" si="195"/>
        <v>900</v>
      </c>
      <c r="B902" s="1">
        <f t="shared" si="197"/>
        <v>10</v>
      </c>
      <c r="C902" s="1">
        <f t="shared" si="199"/>
        <v>9</v>
      </c>
      <c r="D902" s="4">
        <f t="shared" si="198"/>
        <v>9981</v>
      </c>
      <c r="E902" s="4">
        <f t="shared" si="200"/>
        <v>1020</v>
      </c>
      <c r="F902" s="10">
        <f t="shared" si="201"/>
        <v>8.8099999999998566</v>
      </c>
      <c r="G902" s="9">
        <f t="shared" si="202"/>
        <v>125000</v>
      </c>
      <c r="I902" s="4">
        <f t="shared" si="203"/>
        <v>10000</v>
      </c>
      <c r="J902" s="17">
        <f t="shared" si="204"/>
        <v>1E-3</v>
      </c>
      <c r="K902" s="17">
        <f t="shared" si="205"/>
        <v>8.9999999999999998E-4</v>
      </c>
      <c r="L902" s="17">
        <f t="shared" si="206"/>
        <v>0.99809999999999999</v>
      </c>
      <c r="M902" s="4">
        <f t="shared" si="207"/>
        <v>125000</v>
      </c>
    </row>
    <row r="903" spans="1:13" x14ac:dyDescent="0.3">
      <c r="A903" s="1">
        <f t="shared" si="195"/>
        <v>901</v>
      </c>
      <c r="B903" s="1">
        <f t="shared" si="197"/>
        <v>9</v>
      </c>
      <c r="C903" s="1">
        <f t="shared" si="199"/>
        <v>9</v>
      </c>
      <c r="D903" s="4">
        <f t="shared" si="198"/>
        <v>9982</v>
      </c>
      <c r="E903" s="4">
        <f t="shared" si="200"/>
        <v>1021</v>
      </c>
      <c r="F903" s="10">
        <f t="shared" si="201"/>
        <v>8.8199999999998564</v>
      </c>
      <c r="G903" s="9">
        <f t="shared" si="202"/>
        <v>125150</v>
      </c>
      <c r="I903" s="4">
        <f t="shared" si="203"/>
        <v>10000</v>
      </c>
      <c r="J903" s="17">
        <f t="shared" si="204"/>
        <v>8.9999999999999998E-4</v>
      </c>
      <c r="K903" s="17">
        <f t="shared" si="205"/>
        <v>8.9999999999999998E-4</v>
      </c>
      <c r="L903" s="17">
        <f t="shared" si="206"/>
        <v>0.99819999999999998</v>
      </c>
      <c r="M903" s="4">
        <f t="shared" si="207"/>
        <v>125150</v>
      </c>
    </row>
    <row r="904" spans="1:13" x14ac:dyDescent="0.3">
      <c r="A904" s="1">
        <f t="shared" si="195"/>
        <v>902</v>
      </c>
      <c r="B904" s="1">
        <f t="shared" si="197"/>
        <v>8</v>
      </c>
      <c r="C904" s="1">
        <f t="shared" si="199"/>
        <v>9</v>
      </c>
      <c r="D904" s="4">
        <f t="shared" si="198"/>
        <v>9983</v>
      </c>
      <c r="E904" s="4">
        <f t="shared" si="200"/>
        <v>1022</v>
      </c>
      <c r="F904" s="10">
        <f t="shared" si="201"/>
        <v>8.8299999999998562</v>
      </c>
      <c r="G904" s="9">
        <f t="shared" si="202"/>
        <v>125300</v>
      </c>
      <c r="I904" s="4">
        <f t="shared" si="203"/>
        <v>10000</v>
      </c>
      <c r="J904" s="17">
        <f t="shared" si="204"/>
        <v>8.0000000000000004E-4</v>
      </c>
      <c r="K904" s="17">
        <f t="shared" si="205"/>
        <v>8.9999999999999998E-4</v>
      </c>
      <c r="L904" s="17">
        <f t="shared" si="206"/>
        <v>0.99829999999999997</v>
      </c>
      <c r="M904" s="4">
        <f t="shared" si="207"/>
        <v>125300</v>
      </c>
    </row>
    <row r="905" spans="1:13" x14ac:dyDescent="0.3">
      <c r="A905" s="1">
        <f t="shared" si="195"/>
        <v>903</v>
      </c>
      <c r="B905" s="1">
        <f t="shared" si="197"/>
        <v>7</v>
      </c>
      <c r="C905" s="1">
        <f t="shared" si="199"/>
        <v>9</v>
      </c>
      <c r="D905" s="4">
        <f t="shared" si="198"/>
        <v>9984</v>
      </c>
      <c r="E905" s="4">
        <f t="shared" si="200"/>
        <v>1023</v>
      </c>
      <c r="F905" s="10">
        <f t="shared" si="201"/>
        <v>8.839999999999856</v>
      </c>
      <c r="G905" s="9">
        <f t="shared" si="202"/>
        <v>125450</v>
      </c>
      <c r="I905" s="4">
        <f t="shared" si="203"/>
        <v>10000</v>
      </c>
      <c r="J905" s="17">
        <f t="shared" si="204"/>
        <v>6.9999999999999999E-4</v>
      </c>
      <c r="K905" s="17">
        <f t="shared" si="205"/>
        <v>8.9999999999999998E-4</v>
      </c>
      <c r="L905" s="17">
        <f t="shared" si="206"/>
        <v>0.99839999999999995</v>
      </c>
      <c r="M905" s="4">
        <f t="shared" si="207"/>
        <v>125450</v>
      </c>
    </row>
    <row r="906" spans="1:13" x14ac:dyDescent="0.3">
      <c r="A906" s="1">
        <f t="shared" si="195"/>
        <v>904</v>
      </c>
      <c r="B906" s="1">
        <f t="shared" si="197"/>
        <v>6</v>
      </c>
      <c r="C906" s="1">
        <f t="shared" si="199"/>
        <v>9</v>
      </c>
      <c r="D906" s="4">
        <f t="shared" si="198"/>
        <v>9985</v>
      </c>
      <c r="E906" s="4">
        <f t="shared" si="200"/>
        <v>1024</v>
      </c>
      <c r="F906" s="10">
        <f t="shared" si="201"/>
        <v>8.8499999999998558</v>
      </c>
      <c r="G906" s="9">
        <f t="shared" si="202"/>
        <v>125600</v>
      </c>
      <c r="I906" s="4">
        <f t="shared" si="203"/>
        <v>10000</v>
      </c>
      <c r="J906" s="17">
        <f t="shared" si="204"/>
        <v>5.9999999999999995E-4</v>
      </c>
      <c r="K906" s="17">
        <f t="shared" si="205"/>
        <v>8.9999999999999998E-4</v>
      </c>
      <c r="L906" s="17">
        <f t="shared" si="206"/>
        <v>0.99850000000000005</v>
      </c>
      <c r="M906" s="4">
        <f t="shared" si="207"/>
        <v>125600</v>
      </c>
    </row>
    <row r="907" spans="1:13" x14ac:dyDescent="0.3">
      <c r="A907" s="1">
        <f t="shared" si="195"/>
        <v>905</v>
      </c>
      <c r="B907" s="1">
        <f t="shared" si="197"/>
        <v>5</v>
      </c>
      <c r="C907" s="1">
        <f t="shared" si="199"/>
        <v>9</v>
      </c>
      <c r="D907" s="4">
        <f t="shared" si="198"/>
        <v>9986</v>
      </c>
      <c r="E907" s="4">
        <f t="shared" si="200"/>
        <v>1025</v>
      </c>
      <c r="F907" s="10">
        <f t="shared" si="201"/>
        <v>8.8599999999998555</v>
      </c>
      <c r="G907" s="9">
        <f t="shared" si="202"/>
        <v>125750</v>
      </c>
      <c r="I907" s="4">
        <f t="shared" si="203"/>
        <v>10000</v>
      </c>
      <c r="J907" s="17">
        <f t="shared" si="204"/>
        <v>5.0000000000000001E-4</v>
      </c>
      <c r="K907" s="17">
        <f t="shared" si="205"/>
        <v>8.9999999999999998E-4</v>
      </c>
      <c r="L907" s="17">
        <f t="shared" si="206"/>
        <v>0.99860000000000004</v>
      </c>
      <c r="M907" s="4">
        <f t="shared" si="207"/>
        <v>125750</v>
      </c>
    </row>
    <row r="908" spans="1:13" x14ac:dyDescent="0.3">
      <c r="A908" s="1">
        <f t="shared" si="195"/>
        <v>906</v>
      </c>
      <c r="B908" s="1">
        <f t="shared" si="197"/>
        <v>4</v>
      </c>
      <c r="C908" s="1">
        <f t="shared" si="199"/>
        <v>9</v>
      </c>
      <c r="D908" s="4">
        <f t="shared" si="198"/>
        <v>9987</v>
      </c>
      <c r="E908" s="4">
        <f t="shared" si="200"/>
        <v>1026</v>
      </c>
      <c r="F908" s="10">
        <f t="shared" si="201"/>
        <v>8.8699999999998553</v>
      </c>
      <c r="G908" s="9">
        <f t="shared" si="202"/>
        <v>125900</v>
      </c>
      <c r="I908" s="4">
        <f t="shared" si="203"/>
        <v>10000</v>
      </c>
      <c r="J908" s="17">
        <f t="shared" si="204"/>
        <v>4.0000000000000002E-4</v>
      </c>
      <c r="K908" s="17">
        <f t="shared" si="205"/>
        <v>8.9999999999999998E-4</v>
      </c>
      <c r="L908" s="17">
        <f t="shared" si="206"/>
        <v>0.99870000000000003</v>
      </c>
      <c r="M908" s="4">
        <f t="shared" si="207"/>
        <v>125900</v>
      </c>
    </row>
    <row r="909" spans="1:13" x14ac:dyDescent="0.3">
      <c r="A909" s="1">
        <f t="shared" si="195"/>
        <v>907</v>
      </c>
      <c r="B909" s="1">
        <f t="shared" si="197"/>
        <v>3</v>
      </c>
      <c r="C909" s="1">
        <f t="shared" si="199"/>
        <v>9</v>
      </c>
      <c r="D909" s="4">
        <f t="shared" si="198"/>
        <v>9988</v>
      </c>
      <c r="E909" s="4">
        <f t="shared" si="200"/>
        <v>1027</v>
      </c>
      <c r="F909" s="10">
        <f t="shared" si="201"/>
        <v>8.8799999999998551</v>
      </c>
      <c r="G909" s="9">
        <f t="shared" si="202"/>
        <v>126050</v>
      </c>
      <c r="I909" s="4">
        <f t="shared" si="203"/>
        <v>10000</v>
      </c>
      <c r="J909" s="17">
        <f t="shared" si="204"/>
        <v>2.9999999999999997E-4</v>
      </c>
      <c r="K909" s="17">
        <f t="shared" si="205"/>
        <v>8.9999999999999998E-4</v>
      </c>
      <c r="L909" s="17">
        <f t="shared" si="206"/>
        <v>0.99880000000000002</v>
      </c>
      <c r="M909" s="4">
        <f t="shared" si="207"/>
        <v>126050</v>
      </c>
    </row>
    <row r="910" spans="1:13" x14ac:dyDescent="0.3">
      <c r="A910" s="1">
        <f t="shared" si="195"/>
        <v>908</v>
      </c>
      <c r="B910" s="1">
        <f t="shared" si="197"/>
        <v>2</v>
      </c>
      <c r="C910" s="1">
        <f t="shared" si="199"/>
        <v>9</v>
      </c>
      <c r="D910" s="4">
        <f t="shared" si="198"/>
        <v>9989</v>
      </c>
      <c r="E910" s="4">
        <f t="shared" si="200"/>
        <v>1028</v>
      </c>
      <c r="F910" s="10">
        <f t="shared" si="201"/>
        <v>8.8899999999998549</v>
      </c>
      <c r="G910" s="9">
        <f t="shared" si="202"/>
        <v>126200</v>
      </c>
      <c r="I910" s="4">
        <f t="shared" si="203"/>
        <v>10000</v>
      </c>
      <c r="J910" s="17">
        <f t="shared" si="204"/>
        <v>2.0000000000000001E-4</v>
      </c>
      <c r="K910" s="17">
        <f t="shared" si="205"/>
        <v>8.9999999999999998E-4</v>
      </c>
      <c r="L910" s="17">
        <f t="shared" si="206"/>
        <v>0.99890000000000001</v>
      </c>
      <c r="M910" s="4">
        <f t="shared" si="207"/>
        <v>126200</v>
      </c>
    </row>
    <row r="911" spans="1:13" x14ac:dyDescent="0.3">
      <c r="A911" s="1">
        <f t="shared" si="195"/>
        <v>909</v>
      </c>
      <c r="B911" s="1">
        <f t="shared" si="197"/>
        <v>1</v>
      </c>
      <c r="C911" s="1">
        <f t="shared" si="199"/>
        <v>9</v>
      </c>
      <c r="D911" s="4">
        <f t="shared" si="198"/>
        <v>9990</v>
      </c>
      <c r="E911" s="4">
        <f t="shared" si="200"/>
        <v>1029</v>
      </c>
      <c r="F911" s="10">
        <f t="shared" si="201"/>
        <v>8.8999999999998547</v>
      </c>
      <c r="G911" s="9">
        <f t="shared" si="202"/>
        <v>126350</v>
      </c>
      <c r="I911" s="4">
        <f t="shared" si="203"/>
        <v>10000</v>
      </c>
      <c r="J911" s="17">
        <f t="shared" si="204"/>
        <v>1E-4</v>
      </c>
      <c r="K911" s="17">
        <f t="shared" si="205"/>
        <v>8.9999999999999998E-4</v>
      </c>
      <c r="L911" s="17">
        <f t="shared" si="206"/>
        <v>0.999</v>
      </c>
      <c r="M911" s="4">
        <f t="shared" si="207"/>
        <v>126350</v>
      </c>
    </row>
    <row r="912" spans="1:13" x14ac:dyDescent="0.3">
      <c r="A912" s="1">
        <f t="shared" si="195"/>
        <v>910</v>
      </c>
      <c r="B912" s="1">
        <f t="shared" si="197"/>
        <v>10</v>
      </c>
      <c r="C912" s="1">
        <f t="shared" si="199"/>
        <v>8</v>
      </c>
      <c r="D912" s="4">
        <f t="shared" si="198"/>
        <v>9982</v>
      </c>
      <c r="E912" s="4">
        <f t="shared" si="200"/>
        <v>1030</v>
      </c>
      <c r="F912" s="10">
        <f t="shared" si="201"/>
        <v>8.9099999999998545</v>
      </c>
      <c r="G912" s="9">
        <f t="shared" si="202"/>
        <v>126500</v>
      </c>
      <c r="I912" s="4">
        <f t="shared" si="203"/>
        <v>10000</v>
      </c>
      <c r="J912" s="17">
        <f t="shared" si="204"/>
        <v>1E-3</v>
      </c>
      <c r="K912" s="17">
        <f t="shared" si="205"/>
        <v>8.0000000000000004E-4</v>
      </c>
      <c r="L912" s="17">
        <f t="shared" si="206"/>
        <v>0.99819999999999998</v>
      </c>
      <c r="M912" s="4">
        <f t="shared" si="207"/>
        <v>126500</v>
      </c>
    </row>
    <row r="913" spans="1:13" x14ac:dyDescent="0.3">
      <c r="A913" s="1">
        <f t="shared" si="195"/>
        <v>911</v>
      </c>
      <c r="B913" s="1">
        <f t="shared" si="197"/>
        <v>9</v>
      </c>
      <c r="C913" s="1">
        <f t="shared" si="199"/>
        <v>8</v>
      </c>
      <c r="D913" s="4">
        <f t="shared" si="198"/>
        <v>9983</v>
      </c>
      <c r="E913" s="4">
        <f t="shared" si="200"/>
        <v>1031</v>
      </c>
      <c r="F913" s="10">
        <f t="shared" si="201"/>
        <v>8.9199999999998543</v>
      </c>
      <c r="G913" s="9">
        <f t="shared" si="202"/>
        <v>126650</v>
      </c>
      <c r="I913" s="4">
        <f t="shared" si="203"/>
        <v>10000</v>
      </c>
      <c r="J913" s="17">
        <f t="shared" si="204"/>
        <v>8.9999999999999998E-4</v>
      </c>
      <c r="K913" s="17">
        <f t="shared" si="205"/>
        <v>8.0000000000000004E-4</v>
      </c>
      <c r="L913" s="17">
        <f t="shared" si="206"/>
        <v>0.99829999999999997</v>
      </c>
      <c r="M913" s="4">
        <f t="shared" si="207"/>
        <v>126650</v>
      </c>
    </row>
    <row r="914" spans="1:13" x14ac:dyDescent="0.3">
      <c r="A914" s="1">
        <f t="shared" si="195"/>
        <v>912</v>
      </c>
      <c r="B914" s="1">
        <f t="shared" si="197"/>
        <v>8</v>
      </c>
      <c r="C914" s="1">
        <f t="shared" si="199"/>
        <v>8</v>
      </c>
      <c r="D914" s="4">
        <f t="shared" si="198"/>
        <v>9984</v>
      </c>
      <c r="E914" s="4">
        <f t="shared" si="200"/>
        <v>1032</v>
      </c>
      <c r="F914" s="10">
        <f t="shared" si="201"/>
        <v>8.9299999999998541</v>
      </c>
      <c r="G914" s="9">
        <f t="shared" si="202"/>
        <v>126800</v>
      </c>
      <c r="I914" s="4">
        <f t="shared" si="203"/>
        <v>10000</v>
      </c>
      <c r="J914" s="17">
        <f t="shared" si="204"/>
        <v>8.0000000000000004E-4</v>
      </c>
      <c r="K914" s="17">
        <f t="shared" si="205"/>
        <v>8.0000000000000004E-4</v>
      </c>
      <c r="L914" s="17">
        <f t="shared" si="206"/>
        <v>0.99839999999999995</v>
      </c>
      <c r="M914" s="4">
        <f t="shared" si="207"/>
        <v>126800</v>
      </c>
    </row>
    <row r="915" spans="1:13" x14ac:dyDescent="0.3">
      <c r="A915" s="1">
        <f t="shared" si="195"/>
        <v>913</v>
      </c>
      <c r="B915" s="1">
        <f t="shared" si="197"/>
        <v>7</v>
      </c>
      <c r="C915" s="1">
        <f t="shared" si="199"/>
        <v>8</v>
      </c>
      <c r="D915" s="4">
        <f t="shared" si="198"/>
        <v>9985</v>
      </c>
      <c r="E915" s="4">
        <f t="shared" si="200"/>
        <v>1033</v>
      </c>
      <c r="F915" s="10">
        <f t="shared" si="201"/>
        <v>8.9399999999998538</v>
      </c>
      <c r="G915" s="9">
        <f t="shared" si="202"/>
        <v>126950</v>
      </c>
      <c r="I915" s="4">
        <f t="shared" si="203"/>
        <v>10000</v>
      </c>
      <c r="J915" s="17">
        <f t="shared" si="204"/>
        <v>6.9999999999999999E-4</v>
      </c>
      <c r="K915" s="17">
        <f t="shared" si="205"/>
        <v>8.0000000000000004E-4</v>
      </c>
      <c r="L915" s="17">
        <f t="shared" si="206"/>
        <v>0.99850000000000005</v>
      </c>
      <c r="M915" s="4">
        <f t="shared" si="207"/>
        <v>126950</v>
      </c>
    </row>
    <row r="916" spans="1:13" x14ac:dyDescent="0.3">
      <c r="A916" s="1">
        <f t="shared" si="195"/>
        <v>914</v>
      </c>
      <c r="B916" s="1">
        <f t="shared" si="197"/>
        <v>6</v>
      </c>
      <c r="C916" s="1">
        <f t="shared" si="199"/>
        <v>8</v>
      </c>
      <c r="D916" s="4">
        <f t="shared" si="198"/>
        <v>9986</v>
      </c>
      <c r="E916" s="4">
        <f t="shared" si="200"/>
        <v>1034</v>
      </c>
      <c r="F916" s="10">
        <f t="shared" si="201"/>
        <v>8.9499999999998536</v>
      </c>
      <c r="G916" s="9">
        <f t="shared" si="202"/>
        <v>127100</v>
      </c>
      <c r="I916" s="4">
        <f t="shared" si="203"/>
        <v>10000</v>
      </c>
      <c r="J916" s="17">
        <f t="shared" si="204"/>
        <v>5.9999999999999995E-4</v>
      </c>
      <c r="K916" s="17">
        <f t="shared" si="205"/>
        <v>8.0000000000000004E-4</v>
      </c>
      <c r="L916" s="17">
        <f t="shared" si="206"/>
        <v>0.99860000000000004</v>
      </c>
      <c r="M916" s="4">
        <f t="shared" si="207"/>
        <v>127100</v>
      </c>
    </row>
    <row r="917" spans="1:13" x14ac:dyDescent="0.3">
      <c r="A917" s="1">
        <f t="shared" si="195"/>
        <v>915</v>
      </c>
      <c r="B917" s="1">
        <f t="shared" si="197"/>
        <v>5</v>
      </c>
      <c r="C917" s="1">
        <f t="shared" si="199"/>
        <v>8</v>
      </c>
      <c r="D917" s="4">
        <f t="shared" si="198"/>
        <v>9987</v>
      </c>
      <c r="E917" s="4">
        <f t="shared" si="200"/>
        <v>1035</v>
      </c>
      <c r="F917" s="10">
        <f t="shared" si="201"/>
        <v>8.9599999999998534</v>
      </c>
      <c r="G917" s="9">
        <f t="shared" si="202"/>
        <v>127250</v>
      </c>
      <c r="I917" s="4">
        <f t="shared" si="203"/>
        <v>10000</v>
      </c>
      <c r="J917" s="17">
        <f t="shared" si="204"/>
        <v>5.0000000000000001E-4</v>
      </c>
      <c r="K917" s="17">
        <f t="shared" si="205"/>
        <v>8.0000000000000004E-4</v>
      </c>
      <c r="L917" s="17">
        <f t="shared" si="206"/>
        <v>0.99870000000000003</v>
      </c>
      <c r="M917" s="4">
        <f t="shared" si="207"/>
        <v>127250</v>
      </c>
    </row>
    <row r="918" spans="1:13" x14ac:dyDescent="0.3">
      <c r="A918" s="1">
        <f t="shared" si="195"/>
        <v>916</v>
      </c>
      <c r="B918" s="1">
        <f t="shared" si="197"/>
        <v>4</v>
      </c>
      <c r="C918" s="1">
        <f t="shared" si="199"/>
        <v>8</v>
      </c>
      <c r="D918" s="4">
        <f t="shared" si="198"/>
        <v>9988</v>
      </c>
      <c r="E918" s="4">
        <f t="shared" si="200"/>
        <v>1036</v>
      </c>
      <c r="F918" s="10">
        <f t="shared" si="201"/>
        <v>8.9699999999998532</v>
      </c>
      <c r="G918" s="9">
        <f t="shared" si="202"/>
        <v>127400</v>
      </c>
      <c r="I918" s="4">
        <f t="shared" si="203"/>
        <v>10000</v>
      </c>
      <c r="J918" s="17">
        <f t="shared" si="204"/>
        <v>4.0000000000000002E-4</v>
      </c>
      <c r="K918" s="17">
        <f t="shared" si="205"/>
        <v>8.0000000000000004E-4</v>
      </c>
      <c r="L918" s="17">
        <f t="shared" si="206"/>
        <v>0.99880000000000002</v>
      </c>
      <c r="M918" s="4">
        <f t="shared" si="207"/>
        <v>127400</v>
      </c>
    </row>
    <row r="919" spans="1:13" x14ac:dyDescent="0.3">
      <c r="A919" s="1">
        <f t="shared" si="195"/>
        <v>917</v>
      </c>
      <c r="B919" s="1">
        <f t="shared" si="197"/>
        <v>3</v>
      </c>
      <c r="C919" s="1">
        <f t="shared" si="199"/>
        <v>8</v>
      </c>
      <c r="D919" s="4">
        <f t="shared" si="198"/>
        <v>9989</v>
      </c>
      <c r="E919" s="4">
        <f t="shared" si="200"/>
        <v>1037</v>
      </c>
      <c r="F919" s="10">
        <f t="shared" si="201"/>
        <v>8.979999999999853</v>
      </c>
      <c r="G919" s="9">
        <f t="shared" si="202"/>
        <v>127550</v>
      </c>
      <c r="I919" s="4">
        <f t="shared" si="203"/>
        <v>10000</v>
      </c>
      <c r="J919" s="17">
        <f t="shared" si="204"/>
        <v>2.9999999999999997E-4</v>
      </c>
      <c r="K919" s="17">
        <f t="shared" si="205"/>
        <v>8.0000000000000004E-4</v>
      </c>
      <c r="L919" s="17">
        <f t="shared" si="206"/>
        <v>0.99890000000000001</v>
      </c>
      <c r="M919" s="4">
        <f t="shared" si="207"/>
        <v>127550</v>
      </c>
    </row>
    <row r="920" spans="1:13" x14ac:dyDescent="0.3">
      <c r="A920" s="1">
        <f t="shared" si="195"/>
        <v>918</v>
      </c>
      <c r="B920" s="1">
        <f t="shared" si="197"/>
        <v>2</v>
      </c>
      <c r="C920" s="1">
        <f t="shared" si="199"/>
        <v>8</v>
      </c>
      <c r="D920" s="4">
        <f t="shared" si="198"/>
        <v>9990</v>
      </c>
      <c r="E920" s="4">
        <f t="shared" si="200"/>
        <v>1038</v>
      </c>
      <c r="F920" s="10">
        <f t="shared" si="201"/>
        <v>8.9899999999998528</v>
      </c>
      <c r="G920" s="9">
        <f t="shared" si="202"/>
        <v>127700</v>
      </c>
      <c r="I920" s="4">
        <f t="shared" si="203"/>
        <v>10000</v>
      </c>
      <c r="J920" s="17">
        <f t="shared" si="204"/>
        <v>2.0000000000000001E-4</v>
      </c>
      <c r="K920" s="17">
        <f t="shared" si="205"/>
        <v>8.0000000000000004E-4</v>
      </c>
      <c r="L920" s="17">
        <f t="shared" si="206"/>
        <v>0.999</v>
      </c>
      <c r="M920" s="4">
        <f t="shared" si="207"/>
        <v>127700</v>
      </c>
    </row>
    <row r="921" spans="1:13" x14ac:dyDescent="0.3">
      <c r="A921" s="1">
        <f t="shared" si="195"/>
        <v>919</v>
      </c>
      <c r="B921" s="1">
        <f t="shared" si="197"/>
        <v>1</v>
      </c>
      <c r="C921" s="1">
        <f t="shared" si="199"/>
        <v>8</v>
      </c>
      <c r="D921" s="4">
        <f t="shared" si="198"/>
        <v>9991</v>
      </c>
      <c r="E921" s="4">
        <f t="shared" si="200"/>
        <v>1039</v>
      </c>
      <c r="F921" s="10">
        <f t="shared" si="201"/>
        <v>8.9999999999998526</v>
      </c>
      <c r="G921" s="9">
        <f t="shared" si="202"/>
        <v>127850</v>
      </c>
      <c r="I921" s="4">
        <f t="shared" si="203"/>
        <v>10000</v>
      </c>
      <c r="J921" s="17">
        <f t="shared" si="204"/>
        <v>1E-4</v>
      </c>
      <c r="K921" s="17">
        <f t="shared" si="205"/>
        <v>8.0000000000000004E-4</v>
      </c>
      <c r="L921" s="17">
        <f t="shared" si="206"/>
        <v>0.99909999999999999</v>
      </c>
      <c r="M921" s="4">
        <f t="shared" si="207"/>
        <v>127850</v>
      </c>
    </row>
    <row r="922" spans="1:13" x14ac:dyDescent="0.3">
      <c r="A922" s="1">
        <f t="shared" si="195"/>
        <v>920</v>
      </c>
      <c r="B922" s="1">
        <f t="shared" si="197"/>
        <v>10</v>
      </c>
      <c r="C922" s="1">
        <f t="shared" si="199"/>
        <v>7</v>
      </c>
      <c r="D922" s="4">
        <f t="shared" si="198"/>
        <v>9983</v>
      </c>
      <c r="E922" s="4">
        <f t="shared" si="200"/>
        <v>1040</v>
      </c>
      <c r="F922" s="10">
        <f t="shared" si="201"/>
        <v>9.0099999999998523</v>
      </c>
      <c r="G922" s="9">
        <f t="shared" si="202"/>
        <v>128000</v>
      </c>
      <c r="I922" s="4">
        <f t="shared" si="203"/>
        <v>10000</v>
      </c>
      <c r="J922" s="17">
        <f t="shared" si="204"/>
        <v>1E-3</v>
      </c>
      <c r="K922" s="17">
        <f t="shared" si="205"/>
        <v>6.9999999999999999E-4</v>
      </c>
      <c r="L922" s="17">
        <f t="shared" si="206"/>
        <v>0.99829999999999997</v>
      </c>
      <c r="M922" s="4">
        <f t="shared" si="207"/>
        <v>128000</v>
      </c>
    </row>
    <row r="923" spans="1:13" x14ac:dyDescent="0.3">
      <c r="A923" s="1">
        <f t="shared" si="195"/>
        <v>921</v>
      </c>
      <c r="B923" s="1">
        <f t="shared" si="197"/>
        <v>9</v>
      </c>
      <c r="C923" s="1">
        <f t="shared" si="199"/>
        <v>7</v>
      </c>
      <c r="D923" s="4">
        <f t="shared" si="198"/>
        <v>9984</v>
      </c>
      <c r="E923" s="4">
        <f t="shared" si="200"/>
        <v>1041</v>
      </c>
      <c r="F923" s="10">
        <f t="shared" si="201"/>
        <v>9.0199999999998521</v>
      </c>
      <c r="G923" s="9">
        <f t="shared" si="202"/>
        <v>128150</v>
      </c>
      <c r="I923" s="4">
        <f t="shared" si="203"/>
        <v>10000</v>
      </c>
      <c r="J923" s="17">
        <f t="shared" si="204"/>
        <v>8.9999999999999998E-4</v>
      </c>
      <c r="K923" s="17">
        <f t="shared" si="205"/>
        <v>6.9999999999999999E-4</v>
      </c>
      <c r="L923" s="17">
        <f t="shared" si="206"/>
        <v>0.99839999999999995</v>
      </c>
      <c r="M923" s="4">
        <f t="shared" si="207"/>
        <v>128150</v>
      </c>
    </row>
    <row r="924" spans="1:13" x14ac:dyDescent="0.3">
      <c r="A924" s="1">
        <f t="shared" si="195"/>
        <v>922</v>
      </c>
      <c r="B924" s="1">
        <f t="shared" si="197"/>
        <v>8</v>
      </c>
      <c r="C924" s="1">
        <f t="shared" si="199"/>
        <v>7</v>
      </c>
      <c r="D924" s="4">
        <f t="shared" si="198"/>
        <v>9985</v>
      </c>
      <c r="E924" s="4">
        <f t="shared" si="200"/>
        <v>1042</v>
      </c>
      <c r="F924" s="10">
        <f t="shared" si="201"/>
        <v>9.0299999999998519</v>
      </c>
      <c r="G924" s="9">
        <f t="shared" si="202"/>
        <v>128300</v>
      </c>
      <c r="I924" s="4">
        <f t="shared" si="203"/>
        <v>10000</v>
      </c>
      <c r="J924" s="17">
        <f t="shared" si="204"/>
        <v>8.0000000000000004E-4</v>
      </c>
      <c r="K924" s="17">
        <f t="shared" si="205"/>
        <v>6.9999999999999999E-4</v>
      </c>
      <c r="L924" s="17">
        <f t="shared" si="206"/>
        <v>0.99850000000000005</v>
      </c>
      <c r="M924" s="4">
        <f t="shared" si="207"/>
        <v>128300</v>
      </c>
    </row>
    <row r="925" spans="1:13" x14ac:dyDescent="0.3">
      <c r="A925" s="1">
        <f t="shared" si="195"/>
        <v>923</v>
      </c>
      <c r="B925" s="1">
        <f t="shared" si="197"/>
        <v>7</v>
      </c>
      <c r="C925" s="1">
        <f t="shared" si="199"/>
        <v>7</v>
      </c>
      <c r="D925" s="4">
        <f t="shared" si="198"/>
        <v>9986</v>
      </c>
      <c r="E925" s="4">
        <f t="shared" si="200"/>
        <v>1043</v>
      </c>
      <c r="F925" s="10">
        <f t="shared" si="201"/>
        <v>9.0399999999998517</v>
      </c>
      <c r="G925" s="9">
        <f t="shared" si="202"/>
        <v>128450</v>
      </c>
      <c r="I925" s="4">
        <f t="shared" si="203"/>
        <v>10000</v>
      </c>
      <c r="J925" s="17">
        <f t="shared" si="204"/>
        <v>6.9999999999999999E-4</v>
      </c>
      <c r="K925" s="17">
        <f t="shared" si="205"/>
        <v>6.9999999999999999E-4</v>
      </c>
      <c r="L925" s="17">
        <f t="shared" si="206"/>
        <v>0.99860000000000004</v>
      </c>
      <c r="M925" s="4">
        <f t="shared" si="207"/>
        <v>128450</v>
      </c>
    </row>
    <row r="926" spans="1:13" x14ac:dyDescent="0.3">
      <c r="A926" s="1">
        <f t="shared" si="195"/>
        <v>924</v>
      </c>
      <c r="B926" s="1">
        <f t="shared" si="197"/>
        <v>6</v>
      </c>
      <c r="C926" s="1">
        <f t="shared" si="199"/>
        <v>7</v>
      </c>
      <c r="D926" s="4">
        <f t="shared" si="198"/>
        <v>9987</v>
      </c>
      <c r="E926" s="4">
        <f t="shared" si="200"/>
        <v>1044</v>
      </c>
      <c r="F926" s="10">
        <f t="shared" si="201"/>
        <v>9.0499999999998515</v>
      </c>
      <c r="G926" s="9">
        <f t="shared" si="202"/>
        <v>128600</v>
      </c>
      <c r="I926" s="4">
        <f t="shared" si="203"/>
        <v>10000</v>
      </c>
      <c r="J926" s="17">
        <f t="shared" si="204"/>
        <v>5.9999999999999995E-4</v>
      </c>
      <c r="K926" s="17">
        <f t="shared" si="205"/>
        <v>6.9999999999999999E-4</v>
      </c>
      <c r="L926" s="17">
        <f t="shared" si="206"/>
        <v>0.99870000000000003</v>
      </c>
      <c r="M926" s="4">
        <f t="shared" si="207"/>
        <v>128600</v>
      </c>
    </row>
    <row r="927" spans="1:13" x14ac:dyDescent="0.3">
      <c r="A927" s="1">
        <f t="shared" ref="A927:A992" si="208">A926+1</f>
        <v>925</v>
      </c>
      <c r="B927" s="1">
        <f t="shared" si="197"/>
        <v>5</v>
      </c>
      <c r="C927" s="1">
        <f t="shared" si="199"/>
        <v>7</v>
      </c>
      <c r="D927" s="4">
        <f t="shared" si="198"/>
        <v>9988</v>
      </c>
      <c r="E927" s="4">
        <f t="shared" si="200"/>
        <v>1045</v>
      </c>
      <c r="F927" s="10">
        <f t="shared" si="201"/>
        <v>9.0599999999998513</v>
      </c>
      <c r="G927" s="9">
        <f t="shared" si="202"/>
        <v>128750</v>
      </c>
      <c r="I927" s="4">
        <f t="shared" si="203"/>
        <v>10000</v>
      </c>
      <c r="J927" s="17">
        <f t="shared" si="204"/>
        <v>5.0000000000000001E-4</v>
      </c>
      <c r="K927" s="17">
        <f t="shared" si="205"/>
        <v>6.9999999999999999E-4</v>
      </c>
      <c r="L927" s="17">
        <f t="shared" si="206"/>
        <v>0.99880000000000002</v>
      </c>
      <c r="M927" s="4">
        <f t="shared" si="207"/>
        <v>128750</v>
      </c>
    </row>
    <row r="928" spans="1:13" x14ac:dyDescent="0.3">
      <c r="A928" s="1">
        <f t="shared" si="208"/>
        <v>926</v>
      </c>
      <c r="B928" s="1">
        <f t="shared" si="197"/>
        <v>4</v>
      </c>
      <c r="C928" s="1">
        <f t="shared" si="199"/>
        <v>7</v>
      </c>
      <c r="D928" s="4">
        <f t="shared" si="198"/>
        <v>9989</v>
      </c>
      <c r="E928" s="4">
        <f t="shared" si="200"/>
        <v>1046</v>
      </c>
      <c r="F928" s="10">
        <f t="shared" si="201"/>
        <v>9.0699999999998511</v>
      </c>
      <c r="G928" s="9">
        <f t="shared" si="202"/>
        <v>128900</v>
      </c>
      <c r="I928" s="4">
        <f t="shared" si="203"/>
        <v>10000</v>
      </c>
      <c r="J928" s="17">
        <f t="shared" si="204"/>
        <v>4.0000000000000002E-4</v>
      </c>
      <c r="K928" s="17">
        <f t="shared" si="205"/>
        <v>6.9999999999999999E-4</v>
      </c>
      <c r="L928" s="17">
        <f t="shared" si="206"/>
        <v>0.99890000000000001</v>
      </c>
      <c r="M928" s="4">
        <f t="shared" si="207"/>
        <v>128900</v>
      </c>
    </row>
    <row r="929" spans="1:13" x14ac:dyDescent="0.3">
      <c r="A929" s="1">
        <f t="shared" si="208"/>
        <v>927</v>
      </c>
      <c r="B929" s="1">
        <f t="shared" si="197"/>
        <v>3</v>
      </c>
      <c r="C929" s="1">
        <f t="shared" si="199"/>
        <v>7</v>
      </c>
      <c r="D929" s="4">
        <f t="shared" si="198"/>
        <v>9990</v>
      </c>
      <c r="E929" s="4">
        <f t="shared" si="200"/>
        <v>1047</v>
      </c>
      <c r="F929" s="10">
        <f t="shared" si="201"/>
        <v>9.0799999999998509</v>
      </c>
      <c r="G929" s="9">
        <f t="shared" si="202"/>
        <v>129050</v>
      </c>
      <c r="I929" s="4">
        <f t="shared" si="203"/>
        <v>10000</v>
      </c>
      <c r="J929" s="17">
        <f t="shared" si="204"/>
        <v>2.9999999999999997E-4</v>
      </c>
      <c r="K929" s="17">
        <f t="shared" si="205"/>
        <v>6.9999999999999999E-4</v>
      </c>
      <c r="L929" s="17">
        <f t="shared" si="206"/>
        <v>0.999</v>
      </c>
      <c r="M929" s="4">
        <f t="shared" si="207"/>
        <v>129050</v>
      </c>
    </row>
    <row r="930" spans="1:13" x14ac:dyDescent="0.3">
      <c r="A930" s="1">
        <f t="shared" si="208"/>
        <v>928</v>
      </c>
      <c r="B930" s="1">
        <f t="shared" si="197"/>
        <v>2</v>
      </c>
      <c r="C930" s="1">
        <f t="shared" si="199"/>
        <v>7</v>
      </c>
      <c r="D930" s="4">
        <f t="shared" si="198"/>
        <v>9991</v>
      </c>
      <c r="E930" s="4">
        <f t="shared" si="200"/>
        <v>1048</v>
      </c>
      <c r="F930" s="10">
        <f t="shared" si="201"/>
        <v>9.0899999999998506</v>
      </c>
      <c r="G930" s="9">
        <f t="shared" si="202"/>
        <v>129200</v>
      </c>
      <c r="I930" s="4">
        <f t="shared" si="203"/>
        <v>10000</v>
      </c>
      <c r="J930" s="17">
        <f t="shared" si="204"/>
        <v>2.0000000000000001E-4</v>
      </c>
      <c r="K930" s="17">
        <f t="shared" si="205"/>
        <v>6.9999999999999999E-4</v>
      </c>
      <c r="L930" s="17">
        <f t="shared" si="206"/>
        <v>0.99909999999999999</v>
      </c>
      <c r="M930" s="4">
        <f t="shared" si="207"/>
        <v>129200</v>
      </c>
    </row>
    <row r="931" spans="1:13" x14ac:dyDescent="0.3">
      <c r="A931" s="1">
        <f t="shared" si="208"/>
        <v>929</v>
      </c>
      <c r="B931" s="1">
        <f t="shared" ref="B931:B990" si="209">B941</f>
        <v>1</v>
      </c>
      <c r="C931" s="1">
        <f t="shared" si="199"/>
        <v>7</v>
      </c>
      <c r="D931" s="4">
        <f t="shared" ref="D931:D990" si="210">D941-1</f>
        <v>9992</v>
      </c>
      <c r="E931" s="4">
        <f t="shared" si="200"/>
        <v>1049</v>
      </c>
      <c r="F931" s="10">
        <f t="shared" si="201"/>
        <v>9.0999999999998504</v>
      </c>
      <c r="G931" s="9">
        <f t="shared" si="202"/>
        <v>129350</v>
      </c>
      <c r="I931" s="4">
        <f t="shared" si="203"/>
        <v>10000</v>
      </c>
      <c r="J931" s="17">
        <f t="shared" si="204"/>
        <v>1E-4</v>
      </c>
      <c r="K931" s="17">
        <f t="shared" si="205"/>
        <v>6.9999999999999999E-4</v>
      </c>
      <c r="L931" s="17">
        <f t="shared" si="206"/>
        <v>0.99919999999999998</v>
      </c>
      <c r="M931" s="4">
        <f t="shared" si="207"/>
        <v>129350</v>
      </c>
    </row>
    <row r="932" spans="1:13" x14ac:dyDescent="0.3">
      <c r="A932" s="1">
        <f t="shared" si="208"/>
        <v>930</v>
      </c>
      <c r="B932" s="1">
        <f t="shared" si="209"/>
        <v>10</v>
      </c>
      <c r="C932" s="1">
        <f t="shared" si="199"/>
        <v>6</v>
      </c>
      <c r="D932" s="4">
        <f t="shared" si="210"/>
        <v>9984</v>
      </c>
      <c r="E932" s="4">
        <f t="shared" si="200"/>
        <v>1050</v>
      </c>
      <c r="F932" s="10">
        <f t="shared" si="201"/>
        <v>9.1099999999998502</v>
      </c>
      <c r="G932" s="9">
        <f t="shared" si="202"/>
        <v>129500</v>
      </c>
      <c r="I932" s="4">
        <f t="shared" si="203"/>
        <v>10000</v>
      </c>
      <c r="J932" s="17">
        <f t="shared" si="204"/>
        <v>1E-3</v>
      </c>
      <c r="K932" s="17">
        <f t="shared" si="205"/>
        <v>5.9999999999999995E-4</v>
      </c>
      <c r="L932" s="17">
        <f t="shared" si="206"/>
        <v>0.99839999999999995</v>
      </c>
      <c r="M932" s="4">
        <f t="shared" si="207"/>
        <v>129500</v>
      </c>
    </row>
    <row r="933" spans="1:13" x14ac:dyDescent="0.3">
      <c r="A933" s="1">
        <f t="shared" si="208"/>
        <v>931</v>
      </c>
      <c r="B933" s="1">
        <f t="shared" si="209"/>
        <v>9</v>
      </c>
      <c r="C933" s="1">
        <f t="shared" si="199"/>
        <v>6</v>
      </c>
      <c r="D933" s="4">
        <f t="shared" si="210"/>
        <v>9985</v>
      </c>
      <c r="E933" s="4">
        <f t="shared" si="200"/>
        <v>1051</v>
      </c>
      <c r="F933" s="10">
        <f t="shared" si="201"/>
        <v>9.11999999999985</v>
      </c>
      <c r="G933" s="9">
        <f t="shared" si="202"/>
        <v>129650</v>
      </c>
      <c r="I933" s="4">
        <f t="shared" si="203"/>
        <v>10000</v>
      </c>
      <c r="J933" s="17">
        <f t="shared" si="204"/>
        <v>8.9999999999999998E-4</v>
      </c>
      <c r="K933" s="17">
        <f t="shared" si="205"/>
        <v>5.9999999999999995E-4</v>
      </c>
      <c r="L933" s="17">
        <f t="shared" si="206"/>
        <v>0.99850000000000005</v>
      </c>
      <c r="M933" s="4">
        <f t="shared" si="207"/>
        <v>129650</v>
      </c>
    </row>
    <row r="934" spans="1:13" x14ac:dyDescent="0.3">
      <c r="A934" s="1">
        <f t="shared" si="208"/>
        <v>932</v>
      </c>
      <c r="B934" s="1">
        <f t="shared" si="209"/>
        <v>8</v>
      </c>
      <c r="C934" s="1">
        <f t="shared" si="199"/>
        <v>6</v>
      </c>
      <c r="D934" s="4">
        <f t="shared" si="210"/>
        <v>9986</v>
      </c>
      <c r="E934" s="4">
        <f t="shared" si="200"/>
        <v>1052</v>
      </c>
      <c r="F934" s="10">
        <f t="shared" si="201"/>
        <v>9.1299999999998498</v>
      </c>
      <c r="G934" s="9">
        <f t="shared" si="202"/>
        <v>129800</v>
      </c>
      <c r="I934" s="4">
        <f t="shared" si="203"/>
        <v>10000</v>
      </c>
      <c r="J934" s="17">
        <f t="shared" si="204"/>
        <v>8.0000000000000004E-4</v>
      </c>
      <c r="K934" s="17">
        <f t="shared" si="205"/>
        <v>5.9999999999999995E-4</v>
      </c>
      <c r="L934" s="17">
        <f t="shared" si="206"/>
        <v>0.99860000000000004</v>
      </c>
      <c r="M934" s="4">
        <f t="shared" si="207"/>
        <v>129800</v>
      </c>
    </row>
    <row r="935" spans="1:13" x14ac:dyDescent="0.3">
      <c r="A935" s="1">
        <f t="shared" si="208"/>
        <v>933</v>
      </c>
      <c r="B935" s="1">
        <f t="shared" si="209"/>
        <v>7</v>
      </c>
      <c r="C935" s="1">
        <f t="shared" si="199"/>
        <v>6</v>
      </c>
      <c r="D935" s="4">
        <f t="shared" si="210"/>
        <v>9987</v>
      </c>
      <c r="E935" s="4">
        <f t="shared" si="200"/>
        <v>1053</v>
      </c>
      <c r="F935" s="10">
        <f t="shared" si="201"/>
        <v>9.1399999999998496</v>
      </c>
      <c r="G935" s="9">
        <f t="shared" si="202"/>
        <v>129950</v>
      </c>
      <c r="I935" s="4">
        <f t="shared" si="203"/>
        <v>10000</v>
      </c>
      <c r="J935" s="17">
        <f t="shared" si="204"/>
        <v>6.9999999999999999E-4</v>
      </c>
      <c r="K935" s="17">
        <f t="shared" si="205"/>
        <v>5.9999999999999995E-4</v>
      </c>
      <c r="L935" s="17">
        <f t="shared" si="206"/>
        <v>0.99870000000000003</v>
      </c>
      <c r="M935" s="4">
        <f t="shared" si="207"/>
        <v>129950</v>
      </c>
    </row>
    <row r="936" spans="1:13" x14ac:dyDescent="0.3">
      <c r="A936" s="1">
        <f t="shared" si="208"/>
        <v>934</v>
      </c>
      <c r="B936" s="1">
        <f t="shared" si="209"/>
        <v>6</v>
      </c>
      <c r="C936" s="1">
        <f t="shared" si="199"/>
        <v>6</v>
      </c>
      <c r="D936" s="4">
        <f t="shared" si="210"/>
        <v>9988</v>
      </c>
      <c r="E936" s="4">
        <f t="shared" si="200"/>
        <v>1054</v>
      </c>
      <c r="F936" s="10">
        <f t="shared" si="201"/>
        <v>9.1499999999998494</v>
      </c>
      <c r="G936" s="9">
        <f t="shared" si="202"/>
        <v>130100</v>
      </c>
      <c r="I936" s="4">
        <f t="shared" si="203"/>
        <v>10000</v>
      </c>
      <c r="J936" s="17">
        <f t="shared" si="204"/>
        <v>5.9999999999999995E-4</v>
      </c>
      <c r="K936" s="17">
        <f t="shared" si="205"/>
        <v>5.9999999999999995E-4</v>
      </c>
      <c r="L936" s="17">
        <f t="shared" si="206"/>
        <v>0.99880000000000002</v>
      </c>
      <c r="M936" s="4">
        <f t="shared" si="207"/>
        <v>130100</v>
      </c>
    </row>
    <row r="937" spans="1:13" x14ac:dyDescent="0.3">
      <c r="A937" s="1">
        <f t="shared" si="208"/>
        <v>935</v>
      </c>
      <c r="B937" s="1">
        <f t="shared" si="209"/>
        <v>5</v>
      </c>
      <c r="C937" s="1">
        <f t="shared" si="199"/>
        <v>6</v>
      </c>
      <c r="D937" s="4">
        <f t="shared" si="210"/>
        <v>9989</v>
      </c>
      <c r="E937" s="4">
        <f t="shared" ref="E937:E991" si="211">E936+1</f>
        <v>1055</v>
      </c>
      <c r="F937" s="10">
        <f t="shared" ref="F937:F991" si="212">F936+0.01</f>
        <v>9.1599999999998492</v>
      </c>
      <c r="G937" s="9">
        <f t="shared" ref="G937:G991" si="213">G936+150</f>
        <v>130250</v>
      </c>
      <c r="I937" s="4">
        <f t="shared" ref="I937:I991" si="214">SUM(B937:D937)</f>
        <v>10000</v>
      </c>
      <c r="J937" s="17">
        <f t="shared" ref="J937:J991" si="215">B937/10000</f>
        <v>5.0000000000000001E-4</v>
      </c>
      <c r="K937" s="17">
        <f t="shared" ref="K937:K991" si="216">C937/10000</f>
        <v>5.9999999999999995E-4</v>
      </c>
      <c r="L937" s="17">
        <f t="shared" ref="L937:L991" si="217">D937/10000</f>
        <v>0.99890000000000001</v>
      </c>
      <c r="M937" s="4">
        <f t="shared" ref="M937:M991" si="218">G937</f>
        <v>130250</v>
      </c>
    </row>
    <row r="938" spans="1:13" x14ac:dyDescent="0.3">
      <c r="A938" s="1">
        <f t="shared" si="208"/>
        <v>936</v>
      </c>
      <c r="B938" s="1">
        <f t="shared" si="209"/>
        <v>4</v>
      </c>
      <c r="C938" s="1">
        <f t="shared" si="199"/>
        <v>6</v>
      </c>
      <c r="D938" s="4">
        <f t="shared" si="210"/>
        <v>9990</v>
      </c>
      <c r="E938" s="4">
        <f t="shared" si="211"/>
        <v>1056</v>
      </c>
      <c r="F938" s="10">
        <f t="shared" si="212"/>
        <v>9.1699999999998489</v>
      </c>
      <c r="G938" s="9">
        <f t="shared" si="213"/>
        <v>130400</v>
      </c>
      <c r="I938" s="4">
        <f t="shared" si="214"/>
        <v>10000</v>
      </c>
      <c r="J938" s="17">
        <f t="shared" si="215"/>
        <v>4.0000000000000002E-4</v>
      </c>
      <c r="K938" s="17">
        <f t="shared" si="216"/>
        <v>5.9999999999999995E-4</v>
      </c>
      <c r="L938" s="17">
        <f t="shared" si="217"/>
        <v>0.999</v>
      </c>
      <c r="M938" s="4">
        <f t="shared" si="218"/>
        <v>130400</v>
      </c>
    </row>
    <row r="939" spans="1:13" x14ac:dyDescent="0.3">
      <c r="A939" s="1">
        <f t="shared" si="208"/>
        <v>937</v>
      </c>
      <c r="B939" s="1">
        <f t="shared" si="209"/>
        <v>3</v>
      </c>
      <c r="C939" s="1">
        <f t="shared" si="199"/>
        <v>6</v>
      </c>
      <c r="D939" s="4">
        <f t="shared" si="210"/>
        <v>9991</v>
      </c>
      <c r="E939" s="4">
        <f t="shared" si="211"/>
        <v>1057</v>
      </c>
      <c r="F939" s="10">
        <f t="shared" si="212"/>
        <v>9.1799999999998487</v>
      </c>
      <c r="G939" s="9">
        <f t="shared" si="213"/>
        <v>130550</v>
      </c>
      <c r="I939" s="4">
        <f t="shared" si="214"/>
        <v>10000</v>
      </c>
      <c r="J939" s="17">
        <f t="shared" si="215"/>
        <v>2.9999999999999997E-4</v>
      </c>
      <c r="K939" s="17">
        <f t="shared" si="216"/>
        <v>5.9999999999999995E-4</v>
      </c>
      <c r="L939" s="17">
        <f t="shared" si="217"/>
        <v>0.99909999999999999</v>
      </c>
      <c r="M939" s="4">
        <f t="shared" si="218"/>
        <v>130550</v>
      </c>
    </row>
    <row r="940" spans="1:13" x14ac:dyDescent="0.3">
      <c r="A940" s="1">
        <f t="shared" si="208"/>
        <v>938</v>
      </c>
      <c r="B940" s="1">
        <f t="shared" si="209"/>
        <v>2</v>
      </c>
      <c r="C940" s="1">
        <f t="shared" si="199"/>
        <v>6</v>
      </c>
      <c r="D940" s="4">
        <f t="shared" si="210"/>
        <v>9992</v>
      </c>
      <c r="E940" s="4">
        <f t="shared" si="211"/>
        <v>1058</v>
      </c>
      <c r="F940" s="10">
        <f t="shared" si="212"/>
        <v>9.1899999999998485</v>
      </c>
      <c r="G940" s="9">
        <f t="shared" si="213"/>
        <v>130700</v>
      </c>
      <c r="I940" s="4">
        <f t="shared" si="214"/>
        <v>10000</v>
      </c>
      <c r="J940" s="17">
        <f t="shared" si="215"/>
        <v>2.0000000000000001E-4</v>
      </c>
      <c r="K940" s="17">
        <f t="shared" si="216"/>
        <v>5.9999999999999995E-4</v>
      </c>
      <c r="L940" s="17">
        <f t="shared" si="217"/>
        <v>0.99919999999999998</v>
      </c>
      <c r="M940" s="4">
        <f t="shared" si="218"/>
        <v>130700</v>
      </c>
    </row>
    <row r="941" spans="1:13" x14ac:dyDescent="0.3">
      <c r="A941" s="1">
        <f t="shared" si="208"/>
        <v>939</v>
      </c>
      <c r="B941" s="1">
        <f t="shared" si="209"/>
        <v>1</v>
      </c>
      <c r="C941" s="1">
        <f t="shared" si="199"/>
        <v>6</v>
      </c>
      <c r="D941" s="4">
        <f t="shared" si="210"/>
        <v>9993</v>
      </c>
      <c r="E941" s="4">
        <f t="shared" si="211"/>
        <v>1059</v>
      </c>
      <c r="F941" s="10">
        <f t="shared" si="212"/>
        <v>9.1999999999998483</v>
      </c>
      <c r="G941" s="9">
        <f t="shared" si="213"/>
        <v>130850</v>
      </c>
      <c r="I941" s="4">
        <f t="shared" si="214"/>
        <v>10000</v>
      </c>
      <c r="J941" s="17">
        <f t="shared" si="215"/>
        <v>1E-4</v>
      </c>
      <c r="K941" s="17">
        <f t="shared" si="216"/>
        <v>5.9999999999999995E-4</v>
      </c>
      <c r="L941" s="17">
        <f t="shared" si="217"/>
        <v>0.99929999999999997</v>
      </c>
      <c r="M941" s="4">
        <f t="shared" si="218"/>
        <v>130850</v>
      </c>
    </row>
    <row r="942" spans="1:13" x14ac:dyDescent="0.3">
      <c r="A942" s="1">
        <f t="shared" si="208"/>
        <v>940</v>
      </c>
      <c r="B942" s="1">
        <f t="shared" si="209"/>
        <v>10</v>
      </c>
      <c r="C942" s="1">
        <f t="shared" si="199"/>
        <v>5</v>
      </c>
      <c r="D942" s="4">
        <f t="shared" si="210"/>
        <v>9985</v>
      </c>
      <c r="E942" s="4">
        <f t="shared" si="211"/>
        <v>1060</v>
      </c>
      <c r="F942" s="10">
        <f t="shared" si="212"/>
        <v>9.2099999999998481</v>
      </c>
      <c r="G942" s="9">
        <f t="shared" si="213"/>
        <v>131000</v>
      </c>
      <c r="I942" s="4">
        <f t="shared" si="214"/>
        <v>10000</v>
      </c>
      <c r="J942" s="17">
        <f t="shared" si="215"/>
        <v>1E-3</v>
      </c>
      <c r="K942" s="17">
        <f t="shared" si="216"/>
        <v>5.0000000000000001E-4</v>
      </c>
      <c r="L942" s="17">
        <f t="shared" si="217"/>
        <v>0.99850000000000005</v>
      </c>
      <c r="M942" s="4">
        <f t="shared" si="218"/>
        <v>131000</v>
      </c>
    </row>
    <row r="943" spans="1:13" x14ac:dyDescent="0.3">
      <c r="A943" s="1">
        <f t="shared" si="208"/>
        <v>941</v>
      </c>
      <c r="B943" s="1">
        <f t="shared" si="209"/>
        <v>9</v>
      </c>
      <c r="C943" s="1">
        <f t="shared" si="199"/>
        <v>5</v>
      </c>
      <c r="D943" s="4">
        <f t="shared" si="210"/>
        <v>9986</v>
      </c>
      <c r="E943" s="4">
        <f t="shared" si="211"/>
        <v>1061</v>
      </c>
      <c r="F943" s="10">
        <f t="shared" si="212"/>
        <v>9.2199999999998479</v>
      </c>
      <c r="G943" s="9">
        <f t="shared" si="213"/>
        <v>131150</v>
      </c>
      <c r="I943" s="4">
        <f t="shared" si="214"/>
        <v>10000</v>
      </c>
      <c r="J943" s="17">
        <f t="shared" si="215"/>
        <v>8.9999999999999998E-4</v>
      </c>
      <c r="K943" s="17">
        <f t="shared" si="216"/>
        <v>5.0000000000000001E-4</v>
      </c>
      <c r="L943" s="17">
        <f t="shared" si="217"/>
        <v>0.99860000000000004</v>
      </c>
      <c r="M943" s="4">
        <f t="shared" si="218"/>
        <v>131150</v>
      </c>
    </row>
    <row r="944" spans="1:13" x14ac:dyDescent="0.3">
      <c r="A944" s="1">
        <f t="shared" si="208"/>
        <v>942</v>
      </c>
      <c r="B944" s="1">
        <f t="shared" si="209"/>
        <v>8</v>
      </c>
      <c r="C944" s="1">
        <f t="shared" si="199"/>
        <v>5</v>
      </c>
      <c r="D944" s="4">
        <f t="shared" si="210"/>
        <v>9987</v>
      </c>
      <c r="E944" s="4">
        <f t="shared" si="211"/>
        <v>1062</v>
      </c>
      <c r="F944" s="10">
        <f t="shared" si="212"/>
        <v>9.2299999999998477</v>
      </c>
      <c r="G944" s="9">
        <f t="shared" si="213"/>
        <v>131300</v>
      </c>
      <c r="I944" s="4">
        <f t="shared" si="214"/>
        <v>10000</v>
      </c>
      <c r="J944" s="17">
        <f t="shared" si="215"/>
        <v>8.0000000000000004E-4</v>
      </c>
      <c r="K944" s="17">
        <f t="shared" si="216"/>
        <v>5.0000000000000001E-4</v>
      </c>
      <c r="L944" s="17">
        <f t="shared" si="217"/>
        <v>0.99870000000000003</v>
      </c>
      <c r="M944" s="4">
        <f t="shared" si="218"/>
        <v>131300</v>
      </c>
    </row>
    <row r="945" spans="1:13" x14ac:dyDescent="0.3">
      <c r="A945" s="1">
        <f t="shared" si="208"/>
        <v>943</v>
      </c>
      <c r="B945" s="1">
        <f t="shared" si="209"/>
        <v>7</v>
      </c>
      <c r="C945" s="1">
        <f t="shared" si="199"/>
        <v>5</v>
      </c>
      <c r="D945" s="4">
        <f t="shared" si="210"/>
        <v>9988</v>
      </c>
      <c r="E945" s="4">
        <f t="shared" si="211"/>
        <v>1063</v>
      </c>
      <c r="F945" s="10">
        <f t="shared" si="212"/>
        <v>9.2399999999998474</v>
      </c>
      <c r="G945" s="9">
        <f t="shared" si="213"/>
        <v>131450</v>
      </c>
      <c r="I945" s="4">
        <f t="shared" si="214"/>
        <v>10000</v>
      </c>
      <c r="J945" s="17">
        <f t="shared" si="215"/>
        <v>6.9999999999999999E-4</v>
      </c>
      <c r="K945" s="17">
        <f t="shared" si="216"/>
        <v>5.0000000000000001E-4</v>
      </c>
      <c r="L945" s="17">
        <f t="shared" si="217"/>
        <v>0.99880000000000002</v>
      </c>
      <c r="M945" s="4">
        <f t="shared" si="218"/>
        <v>131450</v>
      </c>
    </row>
    <row r="946" spans="1:13" x14ac:dyDescent="0.3">
      <c r="A946" s="1">
        <f t="shared" si="208"/>
        <v>944</v>
      </c>
      <c r="B946" s="1">
        <f t="shared" si="209"/>
        <v>6</v>
      </c>
      <c r="C946" s="1">
        <f t="shared" si="199"/>
        <v>5</v>
      </c>
      <c r="D946" s="4">
        <f t="shared" si="210"/>
        <v>9989</v>
      </c>
      <c r="E946" s="4">
        <f t="shared" si="211"/>
        <v>1064</v>
      </c>
      <c r="F946" s="10">
        <f t="shared" si="212"/>
        <v>9.2499999999998472</v>
      </c>
      <c r="G946" s="9">
        <f t="shared" si="213"/>
        <v>131600</v>
      </c>
      <c r="I946" s="4">
        <f t="shared" si="214"/>
        <v>10000</v>
      </c>
      <c r="J946" s="17">
        <f t="shared" si="215"/>
        <v>5.9999999999999995E-4</v>
      </c>
      <c r="K946" s="17">
        <f t="shared" si="216"/>
        <v>5.0000000000000001E-4</v>
      </c>
      <c r="L946" s="17">
        <f t="shared" si="217"/>
        <v>0.99890000000000001</v>
      </c>
      <c r="M946" s="4">
        <f t="shared" si="218"/>
        <v>131600</v>
      </c>
    </row>
    <row r="947" spans="1:13" x14ac:dyDescent="0.3">
      <c r="A947" s="1">
        <f t="shared" si="208"/>
        <v>945</v>
      </c>
      <c r="B947" s="1">
        <f t="shared" si="209"/>
        <v>5</v>
      </c>
      <c r="C947" s="1">
        <f t="shared" si="199"/>
        <v>5</v>
      </c>
      <c r="D947" s="4">
        <f t="shared" si="210"/>
        <v>9990</v>
      </c>
      <c r="E947" s="4">
        <f t="shared" si="211"/>
        <v>1065</v>
      </c>
      <c r="F947" s="10">
        <f t="shared" si="212"/>
        <v>9.259999999999847</v>
      </c>
      <c r="G947" s="9">
        <f t="shared" si="213"/>
        <v>131750</v>
      </c>
      <c r="I947" s="4">
        <f t="shared" si="214"/>
        <v>10000</v>
      </c>
      <c r="J947" s="17">
        <f t="shared" si="215"/>
        <v>5.0000000000000001E-4</v>
      </c>
      <c r="K947" s="17">
        <f t="shared" si="216"/>
        <v>5.0000000000000001E-4</v>
      </c>
      <c r="L947" s="17">
        <f t="shared" si="217"/>
        <v>0.999</v>
      </c>
      <c r="M947" s="4">
        <f t="shared" si="218"/>
        <v>131750</v>
      </c>
    </row>
    <row r="948" spans="1:13" x14ac:dyDescent="0.3">
      <c r="A948" s="1">
        <f t="shared" si="208"/>
        <v>946</v>
      </c>
      <c r="B948" s="1">
        <f t="shared" si="209"/>
        <v>4</v>
      </c>
      <c r="C948" s="1">
        <f t="shared" si="199"/>
        <v>5</v>
      </c>
      <c r="D948" s="4">
        <f t="shared" si="210"/>
        <v>9991</v>
      </c>
      <c r="E948" s="4">
        <f t="shared" si="211"/>
        <v>1066</v>
      </c>
      <c r="F948" s="10">
        <f t="shared" si="212"/>
        <v>9.2699999999998468</v>
      </c>
      <c r="G948" s="9">
        <f t="shared" si="213"/>
        <v>131900</v>
      </c>
      <c r="I948" s="4">
        <f t="shared" si="214"/>
        <v>10000</v>
      </c>
      <c r="J948" s="17">
        <f t="shared" si="215"/>
        <v>4.0000000000000002E-4</v>
      </c>
      <c r="K948" s="17">
        <f t="shared" si="216"/>
        <v>5.0000000000000001E-4</v>
      </c>
      <c r="L948" s="17">
        <f t="shared" si="217"/>
        <v>0.99909999999999999</v>
      </c>
      <c r="M948" s="4">
        <f t="shared" si="218"/>
        <v>131900</v>
      </c>
    </row>
    <row r="949" spans="1:13" x14ac:dyDescent="0.3">
      <c r="A949" s="1">
        <f t="shared" si="208"/>
        <v>947</v>
      </c>
      <c r="B949" s="1">
        <f t="shared" si="209"/>
        <v>3</v>
      </c>
      <c r="C949" s="1">
        <f t="shared" si="199"/>
        <v>5</v>
      </c>
      <c r="D949" s="4">
        <f t="shared" si="210"/>
        <v>9992</v>
      </c>
      <c r="E949" s="4">
        <f t="shared" si="211"/>
        <v>1067</v>
      </c>
      <c r="F949" s="10">
        <f t="shared" si="212"/>
        <v>9.2799999999998466</v>
      </c>
      <c r="G949" s="9">
        <f t="shared" si="213"/>
        <v>132050</v>
      </c>
      <c r="I949" s="4">
        <f t="shared" si="214"/>
        <v>10000</v>
      </c>
      <c r="J949" s="17">
        <f t="shared" si="215"/>
        <v>2.9999999999999997E-4</v>
      </c>
      <c r="K949" s="17">
        <f t="shared" si="216"/>
        <v>5.0000000000000001E-4</v>
      </c>
      <c r="L949" s="17">
        <f t="shared" si="217"/>
        <v>0.99919999999999998</v>
      </c>
      <c r="M949" s="4">
        <f t="shared" si="218"/>
        <v>132050</v>
      </c>
    </row>
    <row r="950" spans="1:13" x14ac:dyDescent="0.3">
      <c r="A950" s="1">
        <f t="shared" si="208"/>
        <v>948</v>
      </c>
      <c r="B950" s="1">
        <f t="shared" si="209"/>
        <v>2</v>
      </c>
      <c r="C950" s="1">
        <f t="shared" si="199"/>
        <v>5</v>
      </c>
      <c r="D950" s="4">
        <f t="shared" si="210"/>
        <v>9993</v>
      </c>
      <c r="E950" s="4">
        <f t="shared" si="211"/>
        <v>1068</v>
      </c>
      <c r="F950" s="10">
        <f t="shared" si="212"/>
        <v>9.2899999999998464</v>
      </c>
      <c r="G950" s="9">
        <f t="shared" si="213"/>
        <v>132200</v>
      </c>
      <c r="I950" s="4">
        <f t="shared" si="214"/>
        <v>10000</v>
      </c>
      <c r="J950" s="17">
        <f t="shared" si="215"/>
        <v>2.0000000000000001E-4</v>
      </c>
      <c r="K950" s="17">
        <f t="shared" si="216"/>
        <v>5.0000000000000001E-4</v>
      </c>
      <c r="L950" s="17">
        <f t="shared" si="217"/>
        <v>0.99929999999999997</v>
      </c>
      <c r="M950" s="4">
        <f t="shared" si="218"/>
        <v>132200</v>
      </c>
    </row>
    <row r="951" spans="1:13" x14ac:dyDescent="0.3">
      <c r="A951" s="1">
        <f t="shared" si="208"/>
        <v>949</v>
      </c>
      <c r="B951" s="1">
        <f t="shared" si="209"/>
        <v>1</v>
      </c>
      <c r="C951" s="1">
        <f t="shared" si="199"/>
        <v>5</v>
      </c>
      <c r="D951" s="4">
        <f t="shared" si="210"/>
        <v>9994</v>
      </c>
      <c r="E951" s="4">
        <f t="shared" si="211"/>
        <v>1069</v>
      </c>
      <c r="F951" s="10">
        <f t="shared" si="212"/>
        <v>9.2999999999998462</v>
      </c>
      <c r="G951" s="9">
        <f t="shared" si="213"/>
        <v>132350</v>
      </c>
      <c r="I951" s="4">
        <f t="shared" si="214"/>
        <v>10000</v>
      </c>
      <c r="J951" s="17">
        <f t="shared" si="215"/>
        <v>1E-4</v>
      </c>
      <c r="K951" s="17">
        <f t="shared" si="216"/>
        <v>5.0000000000000001E-4</v>
      </c>
      <c r="L951" s="17">
        <f t="shared" si="217"/>
        <v>0.99939999999999996</v>
      </c>
      <c r="M951" s="4">
        <f t="shared" si="218"/>
        <v>132350</v>
      </c>
    </row>
    <row r="952" spans="1:13" x14ac:dyDescent="0.3">
      <c r="A952" s="1">
        <f t="shared" si="208"/>
        <v>950</v>
      </c>
      <c r="B952" s="1">
        <f t="shared" si="209"/>
        <v>10</v>
      </c>
      <c r="C952" s="1">
        <f t="shared" si="199"/>
        <v>4</v>
      </c>
      <c r="D952" s="4">
        <f t="shared" si="210"/>
        <v>9986</v>
      </c>
      <c r="E952" s="4">
        <f t="shared" si="211"/>
        <v>1070</v>
      </c>
      <c r="F952" s="10">
        <f t="shared" si="212"/>
        <v>9.309999999999846</v>
      </c>
      <c r="G952" s="9">
        <f t="shared" si="213"/>
        <v>132500</v>
      </c>
      <c r="I952" s="4">
        <f t="shared" si="214"/>
        <v>10000</v>
      </c>
      <c r="J952" s="17">
        <f t="shared" si="215"/>
        <v>1E-3</v>
      </c>
      <c r="K952" s="17">
        <f t="shared" si="216"/>
        <v>4.0000000000000002E-4</v>
      </c>
      <c r="L952" s="17">
        <f t="shared" si="217"/>
        <v>0.99860000000000004</v>
      </c>
      <c r="M952" s="4">
        <f t="shared" si="218"/>
        <v>132500</v>
      </c>
    </row>
    <row r="953" spans="1:13" x14ac:dyDescent="0.3">
      <c r="A953" s="1">
        <f t="shared" si="208"/>
        <v>951</v>
      </c>
      <c r="B953" s="1">
        <f t="shared" si="209"/>
        <v>9</v>
      </c>
      <c r="C953" s="1">
        <f t="shared" si="199"/>
        <v>4</v>
      </c>
      <c r="D953" s="4">
        <f t="shared" si="210"/>
        <v>9987</v>
      </c>
      <c r="E953" s="4">
        <f t="shared" si="211"/>
        <v>1071</v>
      </c>
      <c r="F953" s="10">
        <f t="shared" si="212"/>
        <v>9.3199999999998457</v>
      </c>
      <c r="G953" s="9">
        <f t="shared" si="213"/>
        <v>132650</v>
      </c>
      <c r="I953" s="4">
        <f t="shared" si="214"/>
        <v>10000</v>
      </c>
      <c r="J953" s="17">
        <f t="shared" si="215"/>
        <v>8.9999999999999998E-4</v>
      </c>
      <c r="K953" s="17">
        <f t="shared" si="216"/>
        <v>4.0000000000000002E-4</v>
      </c>
      <c r="L953" s="17">
        <f t="shared" si="217"/>
        <v>0.99870000000000003</v>
      </c>
      <c r="M953" s="4">
        <f t="shared" si="218"/>
        <v>132650</v>
      </c>
    </row>
    <row r="954" spans="1:13" x14ac:dyDescent="0.3">
      <c r="A954" s="1">
        <f t="shared" si="208"/>
        <v>952</v>
      </c>
      <c r="B954" s="1">
        <f t="shared" si="209"/>
        <v>8</v>
      </c>
      <c r="C954" s="1">
        <f t="shared" si="199"/>
        <v>4</v>
      </c>
      <c r="D954" s="4">
        <f t="shared" si="210"/>
        <v>9988</v>
      </c>
      <c r="E954" s="4">
        <f t="shared" si="211"/>
        <v>1072</v>
      </c>
      <c r="F954" s="10">
        <f t="shared" si="212"/>
        <v>9.3299999999998455</v>
      </c>
      <c r="G954" s="9">
        <f t="shared" si="213"/>
        <v>132800</v>
      </c>
      <c r="I954" s="4">
        <f t="shared" si="214"/>
        <v>10000</v>
      </c>
      <c r="J954" s="17">
        <f t="shared" si="215"/>
        <v>8.0000000000000004E-4</v>
      </c>
      <c r="K954" s="17">
        <f t="shared" si="216"/>
        <v>4.0000000000000002E-4</v>
      </c>
      <c r="L954" s="17">
        <f t="shared" si="217"/>
        <v>0.99880000000000002</v>
      </c>
      <c r="M954" s="4">
        <f t="shared" si="218"/>
        <v>132800</v>
      </c>
    </row>
    <row r="955" spans="1:13" x14ac:dyDescent="0.3">
      <c r="A955" s="1">
        <f t="shared" si="208"/>
        <v>953</v>
      </c>
      <c r="B955" s="1">
        <f t="shared" si="209"/>
        <v>7</v>
      </c>
      <c r="C955" s="1">
        <f t="shared" si="199"/>
        <v>4</v>
      </c>
      <c r="D955" s="4">
        <f t="shared" si="210"/>
        <v>9989</v>
      </c>
      <c r="E955" s="4">
        <f t="shared" si="211"/>
        <v>1073</v>
      </c>
      <c r="F955" s="10">
        <f t="shared" si="212"/>
        <v>9.3399999999998453</v>
      </c>
      <c r="G955" s="9">
        <f t="shared" si="213"/>
        <v>132950</v>
      </c>
      <c r="I955" s="4">
        <f t="shared" si="214"/>
        <v>10000</v>
      </c>
      <c r="J955" s="17">
        <f t="shared" si="215"/>
        <v>6.9999999999999999E-4</v>
      </c>
      <c r="K955" s="17">
        <f t="shared" si="216"/>
        <v>4.0000000000000002E-4</v>
      </c>
      <c r="L955" s="17">
        <f t="shared" si="217"/>
        <v>0.99890000000000001</v>
      </c>
      <c r="M955" s="4">
        <f t="shared" si="218"/>
        <v>132950</v>
      </c>
    </row>
    <row r="956" spans="1:13" x14ac:dyDescent="0.3">
      <c r="A956" s="1">
        <f t="shared" si="208"/>
        <v>954</v>
      </c>
      <c r="B956" s="1">
        <f t="shared" si="209"/>
        <v>6</v>
      </c>
      <c r="C956" s="1">
        <f t="shared" si="199"/>
        <v>4</v>
      </c>
      <c r="D956" s="4">
        <f t="shared" si="210"/>
        <v>9990</v>
      </c>
      <c r="E956" s="4">
        <f t="shared" si="211"/>
        <v>1074</v>
      </c>
      <c r="F956" s="10">
        <f t="shared" si="212"/>
        <v>9.3499999999998451</v>
      </c>
      <c r="G956" s="9">
        <f t="shared" si="213"/>
        <v>133100</v>
      </c>
      <c r="I956" s="4">
        <f t="shared" si="214"/>
        <v>10000</v>
      </c>
      <c r="J956" s="17">
        <f t="shared" si="215"/>
        <v>5.9999999999999995E-4</v>
      </c>
      <c r="K956" s="17">
        <f t="shared" si="216"/>
        <v>4.0000000000000002E-4</v>
      </c>
      <c r="L956" s="17">
        <f t="shared" si="217"/>
        <v>0.999</v>
      </c>
      <c r="M956" s="4">
        <f t="shared" si="218"/>
        <v>133100</v>
      </c>
    </row>
    <row r="957" spans="1:13" x14ac:dyDescent="0.3">
      <c r="A957" s="1">
        <f t="shared" si="208"/>
        <v>955</v>
      </c>
      <c r="B957" s="1">
        <f t="shared" si="209"/>
        <v>5</v>
      </c>
      <c r="C957" s="1">
        <f t="shared" si="199"/>
        <v>4</v>
      </c>
      <c r="D957" s="4">
        <f t="shared" si="210"/>
        <v>9991</v>
      </c>
      <c r="E957" s="4">
        <f t="shared" si="211"/>
        <v>1075</v>
      </c>
      <c r="F957" s="10">
        <f t="shared" si="212"/>
        <v>9.3599999999998449</v>
      </c>
      <c r="G957" s="9">
        <f t="shared" si="213"/>
        <v>133250</v>
      </c>
      <c r="I957" s="4">
        <f t="shared" si="214"/>
        <v>10000</v>
      </c>
      <c r="J957" s="17">
        <f t="shared" si="215"/>
        <v>5.0000000000000001E-4</v>
      </c>
      <c r="K957" s="17">
        <f t="shared" si="216"/>
        <v>4.0000000000000002E-4</v>
      </c>
      <c r="L957" s="17">
        <f t="shared" si="217"/>
        <v>0.99909999999999999</v>
      </c>
      <c r="M957" s="4">
        <f t="shared" si="218"/>
        <v>133250</v>
      </c>
    </row>
    <row r="958" spans="1:13" x14ac:dyDescent="0.3">
      <c r="A958" s="1">
        <f t="shared" si="208"/>
        <v>956</v>
      </c>
      <c r="B958" s="1">
        <f t="shared" si="209"/>
        <v>4</v>
      </c>
      <c r="C958" s="1">
        <f t="shared" si="199"/>
        <v>4</v>
      </c>
      <c r="D958" s="4">
        <f t="shared" si="210"/>
        <v>9992</v>
      </c>
      <c r="E958" s="4">
        <f t="shared" si="211"/>
        <v>1076</v>
      </c>
      <c r="F958" s="10">
        <f t="shared" si="212"/>
        <v>9.3699999999998447</v>
      </c>
      <c r="G958" s="9">
        <f t="shared" si="213"/>
        <v>133400</v>
      </c>
      <c r="I958" s="4">
        <f t="shared" si="214"/>
        <v>10000</v>
      </c>
      <c r="J958" s="17">
        <f t="shared" si="215"/>
        <v>4.0000000000000002E-4</v>
      </c>
      <c r="K958" s="17">
        <f t="shared" si="216"/>
        <v>4.0000000000000002E-4</v>
      </c>
      <c r="L958" s="17">
        <f t="shared" si="217"/>
        <v>0.99919999999999998</v>
      </c>
      <c r="M958" s="4">
        <f t="shared" si="218"/>
        <v>133400</v>
      </c>
    </row>
    <row r="959" spans="1:13" x14ac:dyDescent="0.3">
      <c r="A959" s="1">
        <f t="shared" si="208"/>
        <v>957</v>
      </c>
      <c r="B959" s="1">
        <f t="shared" si="209"/>
        <v>3</v>
      </c>
      <c r="C959" s="1">
        <f t="shared" si="199"/>
        <v>4</v>
      </c>
      <c r="D959" s="4">
        <f t="shared" si="210"/>
        <v>9993</v>
      </c>
      <c r="E959" s="4">
        <f t="shared" si="211"/>
        <v>1077</v>
      </c>
      <c r="F959" s="10">
        <f t="shared" si="212"/>
        <v>9.3799999999998445</v>
      </c>
      <c r="G959" s="9">
        <f t="shared" si="213"/>
        <v>133550</v>
      </c>
      <c r="I959" s="4">
        <f t="shared" si="214"/>
        <v>10000</v>
      </c>
      <c r="J959" s="17">
        <f t="shared" si="215"/>
        <v>2.9999999999999997E-4</v>
      </c>
      <c r="K959" s="17">
        <f t="shared" si="216"/>
        <v>4.0000000000000002E-4</v>
      </c>
      <c r="L959" s="17">
        <f t="shared" si="217"/>
        <v>0.99929999999999997</v>
      </c>
      <c r="M959" s="4">
        <f t="shared" si="218"/>
        <v>133550</v>
      </c>
    </row>
    <row r="960" spans="1:13" x14ac:dyDescent="0.3">
      <c r="A960" s="1">
        <f t="shared" si="208"/>
        <v>958</v>
      </c>
      <c r="B960" s="1">
        <f t="shared" si="209"/>
        <v>2</v>
      </c>
      <c r="C960" s="1">
        <f t="shared" si="199"/>
        <v>4</v>
      </c>
      <c r="D960" s="4">
        <f t="shared" si="210"/>
        <v>9994</v>
      </c>
      <c r="E960" s="4">
        <f t="shared" si="211"/>
        <v>1078</v>
      </c>
      <c r="F960" s="10">
        <f t="shared" si="212"/>
        <v>9.3899999999998442</v>
      </c>
      <c r="G960" s="9">
        <f t="shared" si="213"/>
        <v>133700</v>
      </c>
      <c r="I960" s="4">
        <f t="shared" si="214"/>
        <v>10000</v>
      </c>
      <c r="J960" s="17">
        <f t="shared" si="215"/>
        <v>2.0000000000000001E-4</v>
      </c>
      <c r="K960" s="17">
        <f t="shared" si="216"/>
        <v>4.0000000000000002E-4</v>
      </c>
      <c r="L960" s="17">
        <f t="shared" si="217"/>
        <v>0.99939999999999996</v>
      </c>
      <c r="M960" s="4">
        <f t="shared" si="218"/>
        <v>133700</v>
      </c>
    </row>
    <row r="961" spans="1:13" x14ac:dyDescent="0.3">
      <c r="A961" s="1">
        <f t="shared" si="208"/>
        <v>959</v>
      </c>
      <c r="B961" s="1">
        <f t="shared" si="209"/>
        <v>1</v>
      </c>
      <c r="C961" s="1">
        <f t="shared" si="199"/>
        <v>4</v>
      </c>
      <c r="D961" s="4">
        <f t="shared" si="210"/>
        <v>9995</v>
      </c>
      <c r="E961" s="4">
        <f t="shared" si="211"/>
        <v>1079</v>
      </c>
      <c r="F961" s="10">
        <f t="shared" si="212"/>
        <v>9.399999999999844</v>
      </c>
      <c r="G961" s="9">
        <f t="shared" si="213"/>
        <v>133850</v>
      </c>
      <c r="I961" s="4">
        <f t="shared" si="214"/>
        <v>10000</v>
      </c>
      <c r="J961" s="17">
        <f t="shared" si="215"/>
        <v>1E-4</v>
      </c>
      <c r="K961" s="17">
        <f t="shared" si="216"/>
        <v>4.0000000000000002E-4</v>
      </c>
      <c r="L961" s="17">
        <f t="shared" si="217"/>
        <v>0.99950000000000006</v>
      </c>
      <c r="M961" s="4">
        <f t="shared" si="218"/>
        <v>133850</v>
      </c>
    </row>
    <row r="962" spans="1:13" x14ac:dyDescent="0.3">
      <c r="A962" s="1">
        <f t="shared" si="208"/>
        <v>960</v>
      </c>
      <c r="B962" s="1">
        <f t="shared" si="209"/>
        <v>10</v>
      </c>
      <c r="C962" s="1">
        <f t="shared" si="199"/>
        <v>3</v>
      </c>
      <c r="D962" s="4">
        <f t="shared" si="210"/>
        <v>9987</v>
      </c>
      <c r="E962" s="4">
        <f t="shared" si="211"/>
        <v>1080</v>
      </c>
      <c r="F962" s="10">
        <f t="shared" si="212"/>
        <v>9.4099999999998438</v>
      </c>
      <c r="G962" s="9">
        <f t="shared" si="213"/>
        <v>134000</v>
      </c>
      <c r="I962" s="4">
        <f t="shared" si="214"/>
        <v>10000</v>
      </c>
      <c r="J962" s="17">
        <f t="shared" si="215"/>
        <v>1E-3</v>
      </c>
      <c r="K962" s="17">
        <f t="shared" si="216"/>
        <v>2.9999999999999997E-4</v>
      </c>
      <c r="L962" s="17">
        <f t="shared" si="217"/>
        <v>0.99870000000000003</v>
      </c>
      <c r="M962" s="4">
        <f t="shared" si="218"/>
        <v>134000</v>
      </c>
    </row>
    <row r="963" spans="1:13" x14ac:dyDescent="0.3">
      <c r="A963" s="1">
        <f t="shared" si="208"/>
        <v>961</v>
      </c>
      <c r="B963" s="1">
        <f t="shared" si="209"/>
        <v>9</v>
      </c>
      <c r="C963" s="1">
        <f t="shared" ref="C963:C990" si="219">10000-B963-D963</f>
        <v>3</v>
      </c>
      <c r="D963" s="4">
        <f t="shared" si="210"/>
        <v>9988</v>
      </c>
      <c r="E963" s="4">
        <f t="shared" si="211"/>
        <v>1081</v>
      </c>
      <c r="F963" s="10">
        <f t="shared" si="212"/>
        <v>9.4199999999998436</v>
      </c>
      <c r="G963" s="9">
        <f t="shared" si="213"/>
        <v>134150</v>
      </c>
      <c r="I963" s="4">
        <f t="shared" si="214"/>
        <v>10000</v>
      </c>
      <c r="J963" s="17">
        <f t="shared" si="215"/>
        <v>8.9999999999999998E-4</v>
      </c>
      <c r="K963" s="17">
        <f t="shared" si="216"/>
        <v>2.9999999999999997E-4</v>
      </c>
      <c r="L963" s="17">
        <f t="shared" si="217"/>
        <v>0.99880000000000002</v>
      </c>
      <c r="M963" s="4">
        <f t="shared" si="218"/>
        <v>134150</v>
      </c>
    </row>
    <row r="964" spans="1:13" x14ac:dyDescent="0.3">
      <c r="A964" s="1">
        <f t="shared" si="208"/>
        <v>962</v>
      </c>
      <c r="B964" s="1">
        <f t="shared" si="209"/>
        <v>8</v>
      </c>
      <c r="C964" s="1">
        <f t="shared" si="219"/>
        <v>3</v>
      </c>
      <c r="D964" s="4">
        <f t="shared" si="210"/>
        <v>9989</v>
      </c>
      <c r="E964" s="4">
        <f t="shared" si="211"/>
        <v>1082</v>
      </c>
      <c r="F964" s="10">
        <f t="shared" si="212"/>
        <v>9.4299999999998434</v>
      </c>
      <c r="G964" s="9">
        <f t="shared" si="213"/>
        <v>134300</v>
      </c>
      <c r="I964" s="4">
        <f t="shared" si="214"/>
        <v>10000</v>
      </c>
      <c r="J964" s="17">
        <f t="shared" si="215"/>
        <v>8.0000000000000004E-4</v>
      </c>
      <c r="K964" s="17">
        <f t="shared" si="216"/>
        <v>2.9999999999999997E-4</v>
      </c>
      <c r="L964" s="17">
        <f t="shared" si="217"/>
        <v>0.99890000000000001</v>
      </c>
      <c r="M964" s="4">
        <f t="shared" si="218"/>
        <v>134300</v>
      </c>
    </row>
    <row r="965" spans="1:13" x14ac:dyDescent="0.3">
      <c r="A965" s="1">
        <f t="shared" si="208"/>
        <v>963</v>
      </c>
      <c r="B965" s="1">
        <f t="shared" si="209"/>
        <v>7</v>
      </c>
      <c r="C965" s="1">
        <f t="shared" si="219"/>
        <v>3</v>
      </c>
      <c r="D965" s="4">
        <f t="shared" si="210"/>
        <v>9990</v>
      </c>
      <c r="E965" s="4">
        <f t="shared" si="211"/>
        <v>1083</v>
      </c>
      <c r="F965" s="10">
        <f t="shared" si="212"/>
        <v>9.4399999999998432</v>
      </c>
      <c r="G965" s="9">
        <f t="shared" si="213"/>
        <v>134450</v>
      </c>
      <c r="I965" s="4">
        <f t="shared" si="214"/>
        <v>10000</v>
      </c>
      <c r="J965" s="17">
        <f t="shared" si="215"/>
        <v>6.9999999999999999E-4</v>
      </c>
      <c r="K965" s="17">
        <f t="shared" si="216"/>
        <v>2.9999999999999997E-4</v>
      </c>
      <c r="L965" s="17">
        <f t="shared" si="217"/>
        <v>0.999</v>
      </c>
      <c r="M965" s="4">
        <f t="shared" si="218"/>
        <v>134450</v>
      </c>
    </row>
    <row r="966" spans="1:13" x14ac:dyDescent="0.3">
      <c r="A966" s="1">
        <f t="shared" si="208"/>
        <v>964</v>
      </c>
      <c r="B966" s="1">
        <f t="shared" si="209"/>
        <v>6</v>
      </c>
      <c r="C966" s="1">
        <f t="shared" si="219"/>
        <v>3</v>
      </c>
      <c r="D966" s="4">
        <f t="shared" si="210"/>
        <v>9991</v>
      </c>
      <c r="E966" s="4">
        <f t="shared" si="211"/>
        <v>1084</v>
      </c>
      <c r="F966" s="10">
        <f t="shared" si="212"/>
        <v>9.449999999999843</v>
      </c>
      <c r="G966" s="9">
        <f t="shared" si="213"/>
        <v>134600</v>
      </c>
      <c r="I966" s="4">
        <f t="shared" si="214"/>
        <v>10000</v>
      </c>
      <c r="J966" s="17">
        <f t="shared" si="215"/>
        <v>5.9999999999999995E-4</v>
      </c>
      <c r="K966" s="17">
        <f t="shared" si="216"/>
        <v>2.9999999999999997E-4</v>
      </c>
      <c r="L966" s="17">
        <f t="shared" si="217"/>
        <v>0.99909999999999999</v>
      </c>
      <c r="M966" s="4">
        <f t="shared" si="218"/>
        <v>134600</v>
      </c>
    </row>
    <row r="967" spans="1:13" x14ac:dyDescent="0.3">
      <c r="A967" s="1">
        <f t="shared" si="208"/>
        <v>965</v>
      </c>
      <c r="B967" s="1">
        <f t="shared" si="209"/>
        <v>5</v>
      </c>
      <c r="C967" s="1">
        <f t="shared" si="219"/>
        <v>3</v>
      </c>
      <c r="D967" s="4">
        <f t="shared" si="210"/>
        <v>9992</v>
      </c>
      <c r="E967" s="4">
        <f t="shared" si="211"/>
        <v>1085</v>
      </c>
      <c r="F967" s="10">
        <f t="shared" si="212"/>
        <v>9.4599999999998428</v>
      </c>
      <c r="G967" s="9">
        <f t="shared" si="213"/>
        <v>134750</v>
      </c>
      <c r="I967" s="4">
        <f t="shared" si="214"/>
        <v>10000</v>
      </c>
      <c r="J967" s="17">
        <f t="shared" si="215"/>
        <v>5.0000000000000001E-4</v>
      </c>
      <c r="K967" s="17">
        <f t="shared" si="216"/>
        <v>2.9999999999999997E-4</v>
      </c>
      <c r="L967" s="17">
        <f t="shared" si="217"/>
        <v>0.99919999999999998</v>
      </c>
      <c r="M967" s="4">
        <f t="shared" si="218"/>
        <v>134750</v>
      </c>
    </row>
    <row r="968" spans="1:13" x14ac:dyDescent="0.3">
      <c r="A968" s="1">
        <f t="shared" si="208"/>
        <v>966</v>
      </c>
      <c r="B968" s="1">
        <f t="shared" si="209"/>
        <v>4</v>
      </c>
      <c r="C968" s="1">
        <f t="shared" si="219"/>
        <v>3</v>
      </c>
      <c r="D968" s="4">
        <f t="shared" si="210"/>
        <v>9993</v>
      </c>
      <c r="E968" s="4">
        <f t="shared" si="211"/>
        <v>1086</v>
      </c>
      <c r="F968" s="10">
        <f t="shared" si="212"/>
        <v>9.4699999999998425</v>
      </c>
      <c r="G968" s="9">
        <f t="shared" si="213"/>
        <v>134900</v>
      </c>
      <c r="I968" s="4">
        <f t="shared" si="214"/>
        <v>10000</v>
      </c>
      <c r="J968" s="17">
        <f t="shared" si="215"/>
        <v>4.0000000000000002E-4</v>
      </c>
      <c r="K968" s="17">
        <f t="shared" si="216"/>
        <v>2.9999999999999997E-4</v>
      </c>
      <c r="L968" s="17">
        <f t="shared" si="217"/>
        <v>0.99929999999999997</v>
      </c>
      <c r="M968" s="4">
        <f t="shared" si="218"/>
        <v>134900</v>
      </c>
    </row>
    <row r="969" spans="1:13" x14ac:dyDescent="0.3">
      <c r="A969" s="1">
        <f t="shared" si="208"/>
        <v>967</v>
      </c>
      <c r="B969" s="1">
        <f t="shared" si="209"/>
        <v>3</v>
      </c>
      <c r="C969" s="1">
        <f t="shared" si="219"/>
        <v>3</v>
      </c>
      <c r="D969" s="4">
        <f t="shared" si="210"/>
        <v>9994</v>
      </c>
      <c r="E969" s="4">
        <f t="shared" si="211"/>
        <v>1087</v>
      </c>
      <c r="F969" s="10">
        <f t="shared" si="212"/>
        <v>9.4799999999998423</v>
      </c>
      <c r="G969" s="9">
        <f t="shared" si="213"/>
        <v>135050</v>
      </c>
      <c r="I969" s="4">
        <f t="shared" si="214"/>
        <v>10000</v>
      </c>
      <c r="J969" s="17">
        <f t="shared" si="215"/>
        <v>2.9999999999999997E-4</v>
      </c>
      <c r="K969" s="17">
        <f t="shared" si="216"/>
        <v>2.9999999999999997E-4</v>
      </c>
      <c r="L969" s="17">
        <f t="shared" si="217"/>
        <v>0.99939999999999996</v>
      </c>
      <c r="M969" s="4">
        <f t="shared" si="218"/>
        <v>135050</v>
      </c>
    </row>
    <row r="970" spans="1:13" x14ac:dyDescent="0.3">
      <c r="A970" s="1">
        <f t="shared" si="208"/>
        <v>968</v>
      </c>
      <c r="B970" s="1">
        <f t="shared" si="209"/>
        <v>2</v>
      </c>
      <c r="C970" s="1">
        <f t="shared" si="219"/>
        <v>3</v>
      </c>
      <c r="D970" s="4">
        <f t="shared" si="210"/>
        <v>9995</v>
      </c>
      <c r="E970" s="4">
        <f t="shared" si="211"/>
        <v>1088</v>
      </c>
      <c r="F970" s="10">
        <f t="shared" si="212"/>
        <v>9.4899999999998421</v>
      </c>
      <c r="G970" s="9">
        <f t="shared" si="213"/>
        <v>135200</v>
      </c>
      <c r="I970" s="4">
        <f t="shared" si="214"/>
        <v>10000</v>
      </c>
      <c r="J970" s="17">
        <f t="shared" si="215"/>
        <v>2.0000000000000001E-4</v>
      </c>
      <c r="K970" s="17">
        <f t="shared" si="216"/>
        <v>2.9999999999999997E-4</v>
      </c>
      <c r="L970" s="17">
        <f t="shared" si="217"/>
        <v>0.99950000000000006</v>
      </c>
      <c r="M970" s="4">
        <f t="shared" si="218"/>
        <v>135200</v>
      </c>
    </row>
    <row r="971" spans="1:13" x14ac:dyDescent="0.3">
      <c r="A971" s="1">
        <f t="shared" si="208"/>
        <v>969</v>
      </c>
      <c r="B971" s="1">
        <f t="shared" si="209"/>
        <v>1</v>
      </c>
      <c r="C971" s="1">
        <f t="shared" si="219"/>
        <v>3</v>
      </c>
      <c r="D971" s="4">
        <f t="shared" si="210"/>
        <v>9996</v>
      </c>
      <c r="E971" s="4">
        <f t="shared" si="211"/>
        <v>1089</v>
      </c>
      <c r="F971" s="10">
        <f t="shared" si="212"/>
        <v>9.4999999999998419</v>
      </c>
      <c r="G971" s="9">
        <f t="shared" si="213"/>
        <v>135350</v>
      </c>
      <c r="I971" s="4">
        <f t="shared" si="214"/>
        <v>10000</v>
      </c>
      <c r="J971" s="17">
        <f t="shared" si="215"/>
        <v>1E-4</v>
      </c>
      <c r="K971" s="17">
        <f t="shared" si="216"/>
        <v>2.9999999999999997E-4</v>
      </c>
      <c r="L971" s="17">
        <f t="shared" si="217"/>
        <v>0.99960000000000004</v>
      </c>
      <c r="M971" s="4">
        <f t="shared" si="218"/>
        <v>135350</v>
      </c>
    </row>
    <row r="972" spans="1:13" x14ac:dyDescent="0.3">
      <c r="A972" s="1">
        <f t="shared" si="208"/>
        <v>970</v>
      </c>
      <c r="B972" s="1">
        <f t="shared" si="209"/>
        <v>10</v>
      </c>
      <c r="C972" s="1">
        <f t="shared" si="219"/>
        <v>2</v>
      </c>
      <c r="D972" s="4">
        <f t="shared" si="210"/>
        <v>9988</v>
      </c>
      <c r="E972" s="4">
        <f t="shared" si="211"/>
        <v>1090</v>
      </c>
      <c r="F972" s="10">
        <f t="shared" si="212"/>
        <v>9.5099999999998417</v>
      </c>
      <c r="G972" s="9">
        <f t="shared" si="213"/>
        <v>135500</v>
      </c>
      <c r="I972" s="4">
        <f t="shared" si="214"/>
        <v>10000</v>
      </c>
      <c r="J972" s="17">
        <f t="shared" si="215"/>
        <v>1E-3</v>
      </c>
      <c r="K972" s="17">
        <f t="shared" si="216"/>
        <v>2.0000000000000001E-4</v>
      </c>
      <c r="L972" s="17">
        <f t="shared" si="217"/>
        <v>0.99880000000000002</v>
      </c>
      <c r="M972" s="4">
        <f t="shared" si="218"/>
        <v>135500</v>
      </c>
    </row>
    <row r="973" spans="1:13" x14ac:dyDescent="0.3">
      <c r="A973" s="1">
        <f t="shared" si="208"/>
        <v>971</v>
      </c>
      <c r="B973" s="1">
        <f t="shared" si="209"/>
        <v>9</v>
      </c>
      <c r="C973" s="1">
        <f t="shared" si="219"/>
        <v>2</v>
      </c>
      <c r="D973" s="4">
        <f t="shared" si="210"/>
        <v>9989</v>
      </c>
      <c r="E973" s="4">
        <f t="shared" si="211"/>
        <v>1091</v>
      </c>
      <c r="F973" s="10">
        <f t="shared" si="212"/>
        <v>9.5199999999998415</v>
      </c>
      <c r="G973" s="9">
        <f t="shared" si="213"/>
        <v>135650</v>
      </c>
      <c r="I973" s="4">
        <f t="shared" si="214"/>
        <v>10000</v>
      </c>
      <c r="J973" s="17">
        <f t="shared" si="215"/>
        <v>8.9999999999999998E-4</v>
      </c>
      <c r="K973" s="17">
        <f t="shared" si="216"/>
        <v>2.0000000000000001E-4</v>
      </c>
      <c r="L973" s="17">
        <f t="shared" si="217"/>
        <v>0.99890000000000001</v>
      </c>
      <c r="M973" s="4">
        <f t="shared" si="218"/>
        <v>135650</v>
      </c>
    </row>
    <row r="974" spans="1:13" x14ac:dyDescent="0.3">
      <c r="A974" s="1">
        <f t="shared" si="208"/>
        <v>972</v>
      </c>
      <c r="B974" s="1">
        <f t="shared" si="209"/>
        <v>8</v>
      </c>
      <c r="C974" s="1">
        <f t="shared" si="219"/>
        <v>2</v>
      </c>
      <c r="D974" s="4">
        <f t="shared" si="210"/>
        <v>9990</v>
      </c>
      <c r="E974" s="4">
        <f t="shared" si="211"/>
        <v>1092</v>
      </c>
      <c r="F974" s="10">
        <f t="shared" si="212"/>
        <v>9.5299999999998413</v>
      </c>
      <c r="G974" s="9">
        <f t="shared" si="213"/>
        <v>135800</v>
      </c>
      <c r="I974" s="4">
        <f t="shared" si="214"/>
        <v>10000</v>
      </c>
      <c r="J974" s="17">
        <f t="shared" si="215"/>
        <v>8.0000000000000004E-4</v>
      </c>
      <c r="K974" s="17">
        <f t="shared" si="216"/>
        <v>2.0000000000000001E-4</v>
      </c>
      <c r="L974" s="17">
        <f t="shared" si="217"/>
        <v>0.999</v>
      </c>
      <c r="M974" s="4">
        <f t="shared" si="218"/>
        <v>135800</v>
      </c>
    </row>
    <row r="975" spans="1:13" x14ac:dyDescent="0.3">
      <c r="A975" s="1">
        <f t="shared" si="208"/>
        <v>973</v>
      </c>
      <c r="B975" s="1">
        <f t="shared" si="209"/>
        <v>7</v>
      </c>
      <c r="C975" s="1">
        <f t="shared" si="219"/>
        <v>2</v>
      </c>
      <c r="D975" s="4">
        <f t="shared" si="210"/>
        <v>9991</v>
      </c>
      <c r="E975" s="4">
        <f t="shared" si="211"/>
        <v>1093</v>
      </c>
      <c r="F975" s="10">
        <f t="shared" si="212"/>
        <v>9.5399999999998411</v>
      </c>
      <c r="G975" s="9">
        <f t="shared" si="213"/>
        <v>135950</v>
      </c>
      <c r="I975" s="4">
        <f t="shared" si="214"/>
        <v>10000</v>
      </c>
      <c r="J975" s="17">
        <f t="shared" si="215"/>
        <v>6.9999999999999999E-4</v>
      </c>
      <c r="K975" s="17">
        <f t="shared" si="216"/>
        <v>2.0000000000000001E-4</v>
      </c>
      <c r="L975" s="17">
        <f t="shared" si="217"/>
        <v>0.99909999999999999</v>
      </c>
      <c r="M975" s="4">
        <f t="shared" si="218"/>
        <v>135950</v>
      </c>
    </row>
    <row r="976" spans="1:13" x14ac:dyDescent="0.3">
      <c r="A976" s="1">
        <f t="shared" si="208"/>
        <v>974</v>
      </c>
      <c r="B976" s="1">
        <f t="shared" si="209"/>
        <v>6</v>
      </c>
      <c r="C976" s="1">
        <f t="shared" si="219"/>
        <v>2</v>
      </c>
      <c r="D976" s="4">
        <f t="shared" si="210"/>
        <v>9992</v>
      </c>
      <c r="E976" s="4">
        <f t="shared" si="211"/>
        <v>1094</v>
      </c>
      <c r="F976" s="10">
        <f t="shared" si="212"/>
        <v>9.5499999999998408</v>
      </c>
      <c r="G976" s="9">
        <f t="shared" si="213"/>
        <v>136100</v>
      </c>
      <c r="I976" s="4">
        <f t="shared" si="214"/>
        <v>10000</v>
      </c>
      <c r="J976" s="17">
        <f t="shared" si="215"/>
        <v>5.9999999999999995E-4</v>
      </c>
      <c r="K976" s="17">
        <f t="shared" si="216"/>
        <v>2.0000000000000001E-4</v>
      </c>
      <c r="L976" s="17">
        <f t="shared" si="217"/>
        <v>0.99919999999999998</v>
      </c>
      <c r="M976" s="4">
        <f t="shared" si="218"/>
        <v>136100</v>
      </c>
    </row>
    <row r="977" spans="1:13" x14ac:dyDescent="0.3">
      <c r="A977" s="1">
        <f t="shared" si="208"/>
        <v>975</v>
      </c>
      <c r="B977" s="1">
        <f t="shared" si="209"/>
        <v>5</v>
      </c>
      <c r="C977" s="1">
        <f t="shared" si="219"/>
        <v>2</v>
      </c>
      <c r="D977" s="4">
        <f t="shared" si="210"/>
        <v>9993</v>
      </c>
      <c r="E977" s="4">
        <f t="shared" si="211"/>
        <v>1095</v>
      </c>
      <c r="F977" s="10">
        <f t="shared" si="212"/>
        <v>9.5599999999998406</v>
      </c>
      <c r="G977" s="9">
        <f t="shared" si="213"/>
        <v>136250</v>
      </c>
      <c r="I977" s="4">
        <f t="shared" si="214"/>
        <v>10000</v>
      </c>
      <c r="J977" s="17">
        <f t="shared" si="215"/>
        <v>5.0000000000000001E-4</v>
      </c>
      <c r="K977" s="17">
        <f t="shared" si="216"/>
        <v>2.0000000000000001E-4</v>
      </c>
      <c r="L977" s="17">
        <f t="shared" si="217"/>
        <v>0.99929999999999997</v>
      </c>
      <c r="M977" s="4">
        <f t="shared" si="218"/>
        <v>136250</v>
      </c>
    </row>
    <row r="978" spans="1:13" x14ac:dyDescent="0.3">
      <c r="A978" s="1">
        <f t="shared" si="208"/>
        <v>976</v>
      </c>
      <c r="B978" s="1">
        <f t="shared" si="209"/>
        <v>4</v>
      </c>
      <c r="C978" s="1">
        <f t="shared" si="219"/>
        <v>2</v>
      </c>
      <c r="D978" s="4">
        <f t="shared" si="210"/>
        <v>9994</v>
      </c>
      <c r="E978" s="4">
        <f t="shared" si="211"/>
        <v>1096</v>
      </c>
      <c r="F978" s="10">
        <f t="shared" si="212"/>
        <v>9.5699999999998404</v>
      </c>
      <c r="G978" s="9">
        <f t="shared" si="213"/>
        <v>136400</v>
      </c>
      <c r="I978" s="4">
        <f t="shared" si="214"/>
        <v>10000</v>
      </c>
      <c r="J978" s="17">
        <f t="shared" si="215"/>
        <v>4.0000000000000002E-4</v>
      </c>
      <c r="K978" s="17">
        <f t="shared" si="216"/>
        <v>2.0000000000000001E-4</v>
      </c>
      <c r="L978" s="17">
        <f t="shared" si="217"/>
        <v>0.99939999999999996</v>
      </c>
      <c r="M978" s="4">
        <f t="shared" si="218"/>
        <v>136400</v>
      </c>
    </row>
    <row r="979" spans="1:13" x14ac:dyDescent="0.3">
      <c r="A979" s="1">
        <f t="shared" si="208"/>
        <v>977</v>
      </c>
      <c r="B979" s="1">
        <f t="shared" si="209"/>
        <v>3</v>
      </c>
      <c r="C979" s="1">
        <f t="shared" si="219"/>
        <v>2</v>
      </c>
      <c r="D979" s="4">
        <f t="shared" si="210"/>
        <v>9995</v>
      </c>
      <c r="E979" s="4">
        <f t="shared" si="211"/>
        <v>1097</v>
      </c>
      <c r="F979" s="10">
        <f t="shared" si="212"/>
        <v>9.5799999999998402</v>
      </c>
      <c r="G979" s="9">
        <f t="shared" si="213"/>
        <v>136550</v>
      </c>
      <c r="I979" s="4">
        <f t="shared" si="214"/>
        <v>10000</v>
      </c>
      <c r="J979" s="17">
        <f t="shared" si="215"/>
        <v>2.9999999999999997E-4</v>
      </c>
      <c r="K979" s="17">
        <f t="shared" si="216"/>
        <v>2.0000000000000001E-4</v>
      </c>
      <c r="L979" s="17">
        <f t="shared" si="217"/>
        <v>0.99950000000000006</v>
      </c>
      <c r="M979" s="4">
        <f t="shared" si="218"/>
        <v>136550</v>
      </c>
    </row>
    <row r="980" spans="1:13" x14ac:dyDescent="0.3">
      <c r="A980" s="1">
        <f t="shared" si="208"/>
        <v>978</v>
      </c>
      <c r="B980" s="1">
        <f t="shared" si="209"/>
        <v>2</v>
      </c>
      <c r="C980" s="1">
        <f t="shared" si="219"/>
        <v>2</v>
      </c>
      <c r="D980" s="4">
        <f t="shared" si="210"/>
        <v>9996</v>
      </c>
      <c r="E980" s="4">
        <f t="shared" si="211"/>
        <v>1098</v>
      </c>
      <c r="F980" s="10">
        <f t="shared" si="212"/>
        <v>9.58999999999984</v>
      </c>
      <c r="G980" s="9">
        <f t="shared" si="213"/>
        <v>136700</v>
      </c>
      <c r="I980" s="4">
        <f t="shared" si="214"/>
        <v>10000</v>
      </c>
      <c r="J980" s="17">
        <f t="shared" si="215"/>
        <v>2.0000000000000001E-4</v>
      </c>
      <c r="K980" s="17">
        <f t="shared" si="216"/>
        <v>2.0000000000000001E-4</v>
      </c>
      <c r="L980" s="17">
        <f t="shared" si="217"/>
        <v>0.99960000000000004</v>
      </c>
      <c r="M980" s="4">
        <f t="shared" si="218"/>
        <v>136700</v>
      </c>
    </row>
    <row r="981" spans="1:13" x14ac:dyDescent="0.3">
      <c r="A981" s="1">
        <f t="shared" si="208"/>
        <v>979</v>
      </c>
      <c r="B981" s="1">
        <f t="shared" si="209"/>
        <v>1</v>
      </c>
      <c r="C981" s="1">
        <f t="shared" si="219"/>
        <v>2</v>
      </c>
      <c r="D981" s="4">
        <f t="shared" si="210"/>
        <v>9997</v>
      </c>
      <c r="E981" s="4">
        <f t="shared" si="211"/>
        <v>1099</v>
      </c>
      <c r="F981" s="10">
        <f t="shared" si="212"/>
        <v>9.5999999999998398</v>
      </c>
      <c r="G981" s="9">
        <f t="shared" si="213"/>
        <v>136850</v>
      </c>
      <c r="I981" s="4">
        <f t="shared" si="214"/>
        <v>10000</v>
      </c>
      <c r="J981" s="17">
        <f t="shared" si="215"/>
        <v>1E-4</v>
      </c>
      <c r="K981" s="17">
        <f t="shared" si="216"/>
        <v>2.0000000000000001E-4</v>
      </c>
      <c r="L981" s="17">
        <f t="shared" si="217"/>
        <v>0.99970000000000003</v>
      </c>
      <c r="M981" s="4">
        <f t="shared" si="218"/>
        <v>136850</v>
      </c>
    </row>
    <row r="982" spans="1:13" x14ac:dyDescent="0.3">
      <c r="A982" s="1">
        <f t="shared" si="208"/>
        <v>980</v>
      </c>
      <c r="B982" s="1">
        <f t="shared" si="209"/>
        <v>10</v>
      </c>
      <c r="C982" s="1">
        <f t="shared" si="219"/>
        <v>1</v>
      </c>
      <c r="D982" s="4">
        <f t="shared" si="210"/>
        <v>9989</v>
      </c>
      <c r="E982" s="4">
        <f t="shared" si="211"/>
        <v>1100</v>
      </c>
      <c r="F982" s="10">
        <f t="shared" si="212"/>
        <v>9.6099999999998396</v>
      </c>
      <c r="G982" s="9">
        <f t="shared" si="213"/>
        <v>137000</v>
      </c>
      <c r="I982" s="4">
        <f t="shared" si="214"/>
        <v>10000</v>
      </c>
      <c r="J982" s="17">
        <f t="shared" si="215"/>
        <v>1E-3</v>
      </c>
      <c r="K982" s="17">
        <f t="shared" si="216"/>
        <v>1E-4</v>
      </c>
      <c r="L982" s="17">
        <f t="shared" si="217"/>
        <v>0.99890000000000001</v>
      </c>
      <c r="M982" s="4">
        <f t="shared" si="218"/>
        <v>137000</v>
      </c>
    </row>
    <row r="983" spans="1:13" x14ac:dyDescent="0.3">
      <c r="A983" s="1">
        <f t="shared" si="208"/>
        <v>981</v>
      </c>
      <c r="B983" s="1">
        <f t="shared" si="209"/>
        <v>9</v>
      </c>
      <c r="C983" s="1">
        <f t="shared" si="219"/>
        <v>1</v>
      </c>
      <c r="D983" s="4">
        <f t="shared" si="210"/>
        <v>9990</v>
      </c>
      <c r="E983" s="4">
        <f t="shared" si="211"/>
        <v>1101</v>
      </c>
      <c r="F983" s="10">
        <f t="shared" si="212"/>
        <v>9.6199999999998393</v>
      </c>
      <c r="G983" s="9">
        <f t="shared" si="213"/>
        <v>137150</v>
      </c>
      <c r="I983" s="4">
        <f t="shared" si="214"/>
        <v>10000</v>
      </c>
      <c r="J983" s="17">
        <f t="shared" si="215"/>
        <v>8.9999999999999998E-4</v>
      </c>
      <c r="K983" s="17">
        <f t="shared" si="216"/>
        <v>1E-4</v>
      </c>
      <c r="L983" s="17">
        <f t="shared" si="217"/>
        <v>0.999</v>
      </c>
      <c r="M983" s="4">
        <f t="shared" si="218"/>
        <v>137150</v>
      </c>
    </row>
    <row r="984" spans="1:13" x14ac:dyDescent="0.3">
      <c r="A984" s="1">
        <f t="shared" si="208"/>
        <v>982</v>
      </c>
      <c r="B984" s="1">
        <f t="shared" si="209"/>
        <v>8</v>
      </c>
      <c r="C984" s="1">
        <f t="shared" si="219"/>
        <v>1</v>
      </c>
      <c r="D984" s="4">
        <f t="shared" si="210"/>
        <v>9991</v>
      </c>
      <c r="E984" s="4">
        <f t="shared" si="211"/>
        <v>1102</v>
      </c>
      <c r="F984" s="10">
        <f t="shared" si="212"/>
        <v>9.6299999999998391</v>
      </c>
      <c r="G984" s="9">
        <f t="shared" si="213"/>
        <v>137300</v>
      </c>
      <c r="I984" s="4">
        <f t="shared" si="214"/>
        <v>10000</v>
      </c>
      <c r="J984" s="17">
        <f t="shared" si="215"/>
        <v>8.0000000000000004E-4</v>
      </c>
      <c r="K984" s="17">
        <f t="shared" si="216"/>
        <v>1E-4</v>
      </c>
      <c r="L984" s="17">
        <f t="shared" si="217"/>
        <v>0.99909999999999999</v>
      </c>
      <c r="M984" s="4">
        <f t="shared" si="218"/>
        <v>137300</v>
      </c>
    </row>
    <row r="985" spans="1:13" x14ac:dyDescent="0.3">
      <c r="A985" s="1">
        <f t="shared" si="208"/>
        <v>983</v>
      </c>
      <c r="B985" s="1">
        <f t="shared" si="209"/>
        <v>7</v>
      </c>
      <c r="C985" s="1">
        <f t="shared" si="219"/>
        <v>1</v>
      </c>
      <c r="D985" s="4">
        <f t="shared" si="210"/>
        <v>9992</v>
      </c>
      <c r="E985" s="4">
        <f t="shared" si="211"/>
        <v>1103</v>
      </c>
      <c r="F985" s="10">
        <f t="shared" si="212"/>
        <v>9.6399999999998389</v>
      </c>
      <c r="G985" s="9">
        <f t="shared" si="213"/>
        <v>137450</v>
      </c>
      <c r="I985" s="4">
        <f t="shared" si="214"/>
        <v>10000</v>
      </c>
      <c r="J985" s="17">
        <f t="shared" si="215"/>
        <v>6.9999999999999999E-4</v>
      </c>
      <c r="K985" s="17">
        <f t="shared" si="216"/>
        <v>1E-4</v>
      </c>
      <c r="L985" s="17">
        <f t="shared" si="217"/>
        <v>0.99919999999999998</v>
      </c>
      <c r="M985" s="4">
        <f t="shared" si="218"/>
        <v>137450</v>
      </c>
    </row>
    <row r="986" spans="1:13" x14ac:dyDescent="0.3">
      <c r="A986" s="1">
        <f t="shared" si="208"/>
        <v>984</v>
      </c>
      <c r="B986" s="1">
        <f t="shared" si="209"/>
        <v>6</v>
      </c>
      <c r="C986" s="1">
        <f t="shared" si="219"/>
        <v>1</v>
      </c>
      <c r="D986" s="4">
        <f t="shared" si="210"/>
        <v>9993</v>
      </c>
      <c r="E986" s="4">
        <f t="shared" si="211"/>
        <v>1104</v>
      </c>
      <c r="F986" s="10">
        <f t="shared" si="212"/>
        <v>9.6499999999998387</v>
      </c>
      <c r="G986" s="9">
        <f t="shared" si="213"/>
        <v>137600</v>
      </c>
      <c r="I986" s="4">
        <f t="shared" si="214"/>
        <v>10000</v>
      </c>
      <c r="J986" s="17">
        <f t="shared" si="215"/>
        <v>5.9999999999999995E-4</v>
      </c>
      <c r="K986" s="17">
        <f t="shared" si="216"/>
        <v>1E-4</v>
      </c>
      <c r="L986" s="17">
        <f t="shared" si="217"/>
        <v>0.99929999999999997</v>
      </c>
      <c r="M986" s="4">
        <f t="shared" si="218"/>
        <v>137600</v>
      </c>
    </row>
    <row r="987" spans="1:13" x14ac:dyDescent="0.3">
      <c r="A987" s="1">
        <f t="shared" si="208"/>
        <v>985</v>
      </c>
      <c r="B987" s="1">
        <f t="shared" si="209"/>
        <v>5</v>
      </c>
      <c r="C987" s="1">
        <f t="shared" si="219"/>
        <v>1</v>
      </c>
      <c r="D987" s="4">
        <f t="shared" si="210"/>
        <v>9994</v>
      </c>
      <c r="E987" s="4">
        <f t="shared" si="211"/>
        <v>1105</v>
      </c>
      <c r="F987" s="10">
        <f t="shared" si="212"/>
        <v>9.6599999999998385</v>
      </c>
      <c r="G987" s="9">
        <f t="shared" si="213"/>
        <v>137750</v>
      </c>
      <c r="I987" s="4">
        <f t="shared" si="214"/>
        <v>10000</v>
      </c>
      <c r="J987" s="17">
        <f t="shared" si="215"/>
        <v>5.0000000000000001E-4</v>
      </c>
      <c r="K987" s="17">
        <f t="shared" si="216"/>
        <v>1E-4</v>
      </c>
      <c r="L987" s="17">
        <f t="shared" si="217"/>
        <v>0.99939999999999996</v>
      </c>
      <c r="M987" s="4">
        <f t="shared" si="218"/>
        <v>137750</v>
      </c>
    </row>
    <row r="988" spans="1:13" x14ac:dyDescent="0.3">
      <c r="A988" s="1">
        <f t="shared" si="208"/>
        <v>986</v>
      </c>
      <c r="B988" s="1">
        <f t="shared" si="209"/>
        <v>4</v>
      </c>
      <c r="C988" s="1">
        <f t="shared" si="219"/>
        <v>1</v>
      </c>
      <c r="D988" s="4">
        <f t="shared" si="210"/>
        <v>9995</v>
      </c>
      <c r="E988" s="4">
        <f t="shared" si="211"/>
        <v>1106</v>
      </c>
      <c r="F988" s="10">
        <f t="shared" si="212"/>
        <v>9.6699999999998383</v>
      </c>
      <c r="G988" s="9">
        <f t="shared" si="213"/>
        <v>137900</v>
      </c>
      <c r="I988" s="4">
        <f t="shared" si="214"/>
        <v>10000</v>
      </c>
      <c r="J988" s="17">
        <f t="shared" si="215"/>
        <v>4.0000000000000002E-4</v>
      </c>
      <c r="K988" s="17">
        <f t="shared" si="216"/>
        <v>1E-4</v>
      </c>
      <c r="L988" s="17">
        <f t="shared" si="217"/>
        <v>0.99950000000000006</v>
      </c>
      <c r="M988" s="4">
        <f t="shared" si="218"/>
        <v>137900</v>
      </c>
    </row>
    <row r="989" spans="1:13" x14ac:dyDescent="0.3">
      <c r="A989" s="1">
        <f t="shared" si="208"/>
        <v>987</v>
      </c>
      <c r="B989" s="1">
        <f t="shared" si="209"/>
        <v>3</v>
      </c>
      <c r="C989" s="1">
        <f t="shared" si="219"/>
        <v>1</v>
      </c>
      <c r="D989" s="4">
        <f t="shared" si="210"/>
        <v>9996</v>
      </c>
      <c r="E989" s="4">
        <f t="shared" si="211"/>
        <v>1107</v>
      </c>
      <c r="F989" s="10">
        <f t="shared" si="212"/>
        <v>9.6799999999998381</v>
      </c>
      <c r="G989" s="9">
        <f t="shared" si="213"/>
        <v>138050</v>
      </c>
      <c r="I989" s="4">
        <f t="shared" si="214"/>
        <v>10000</v>
      </c>
      <c r="J989" s="17">
        <f t="shared" si="215"/>
        <v>2.9999999999999997E-4</v>
      </c>
      <c r="K989" s="17">
        <f t="shared" si="216"/>
        <v>1E-4</v>
      </c>
      <c r="L989" s="17">
        <f t="shared" si="217"/>
        <v>0.99960000000000004</v>
      </c>
      <c r="M989" s="4">
        <f t="shared" si="218"/>
        <v>138050</v>
      </c>
    </row>
    <row r="990" spans="1:13" x14ac:dyDescent="0.3">
      <c r="A990" s="1">
        <f t="shared" si="208"/>
        <v>988</v>
      </c>
      <c r="B990" s="1">
        <f t="shared" si="209"/>
        <v>2</v>
      </c>
      <c r="C990" s="1">
        <f t="shared" si="219"/>
        <v>1</v>
      </c>
      <c r="D990" s="4">
        <f t="shared" si="210"/>
        <v>9997</v>
      </c>
      <c r="E990" s="4">
        <f t="shared" si="211"/>
        <v>1108</v>
      </c>
      <c r="F990" s="10">
        <f t="shared" si="212"/>
        <v>9.6899999999998379</v>
      </c>
      <c r="G990" s="9">
        <f t="shared" si="213"/>
        <v>138200</v>
      </c>
      <c r="I990" s="4">
        <f t="shared" si="214"/>
        <v>10000</v>
      </c>
      <c r="J990" s="17">
        <f t="shared" si="215"/>
        <v>2.0000000000000001E-4</v>
      </c>
      <c r="K990" s="17">
        <f t="shared" si="216"/>
        <v>1E-4</v>
      </c>
      <c r="L990" s="17">
        <f t="shared" si="217"/>
        <v>0.99970000000000003</v>
      </c>
      <c r="M990" s="4">
        <f t="shared" si="218"/>
        <v>138200</v>
      </c>
    </row>
    <row r="991" spans="1:13" x14ac:dyDescent="0.3">
      <c r="A991" s="1">
        <f t="shared" ref="A991:A1002" si="220">A990+1</f>
        <v>989</v>
      </c>
      <c r="B991" s="1">
        <f>B1001</f>
        <v>1</v>
      </c>
      <c r="C991" s="1">
        <f t="shared" ref="C937:C991" si="221">10000-B991-D991</f>
        <v>1</v>
      </c>
      <c r="D991" s="4">
        <f>D1001-1</f>
        <v>9998</v>
      </c>
      <c r="E991" s="4">
        <f t="shared" si="211"/>
        <v>1109</v>
      </c>
      <c r="F991" s="10">
        <f t="shared" si="212"/>
        <v>9.6999999999998376</v>
      </c>
      <c r="G991" s="9">
        <f t="shared" si="213"/>
        <v>138350</v>
      </c>
      <c r="I991" s="4">
        <f t="shared" si="214"/>
        <v>10000</v>
      </c>
      <c r="J991" s="17">
        <f t="shared" si="215"/>
        <v>1E-4</v>
      </c>
      <c r="K991" s="17">
        <f t="shared" si="216"/>
        <v>1E-4</v>
      </c>
      <c r="L991" s="17">
        <f t="shared" si="217"/>
        <v>0.99980000000000002</v>
      </c>
      <c r="M991" s="4">
        <f t="shared" si="218"/>
        <v>138350</v>
      </c>
    </row>
    <row r="992" spans="1:13" x14ac:dyDescent="0.3">
      <c r="A992" s="1">
        <f t="shared" si="208"/>
        <v>990</v>
      </c>
      <c r="B992" s="1">
        <v>10</v>
      </c>
      <c r="C992" s="1">
        <f t="shared" ref="C992:C1001" si="222">10000-B992-D992</f>
        <v>0</v>
      </c>
      <c r="D992" s="4">
        <f t="shared" ref="D992:D999" si="223">D993-1</f>
        <v>9990</v>
      </c>
      <c r="E992" s="4">
        <f t="shared" ref="E992:E1002" si="224">E991+1</f>
        <v>1110</v>
      </c>
      <c r="F992" s="10">
        <f t="shared" ref="F992:F1002" si="225">F991+0.01</f>
        <v>9.7099999999998374</v>
      </c>
      <c r="G992" s="9">
        <f t="shared" ref="G992:G1001" si="226">G991+150</f>
        <v>138500</v>
      </c>
      <c r="I992" s="4">
        <f t="shared" ref="I992:I1001" si="227">SUM(B992:D992)</f>
        <v>10000</v>
      </c>
      <c r="J992" s="17">
        <f t="shared" ref="J992:J1001" si="228">B992/10000</f>
        <v>1E-3</v>
      </c>
      <c r="K992" s="17">
        <f t="shared" ref="K992:K1001" si="229">C992/10000</f>
        <v>0</v>
      </c>
      <c r="L992" s="17">
        <f t="shared" ref="L992:L1001" si="230">D992/10000</f>
        <v>0.999</v>
      </c>
      <c r="M992" s="4">
        <f t="shared" ref="M992:M1001" si="231">G992</f>
        <v>138500</v>
      </c>
    </row>
    <row r="993" spans="1:13" x14ac:dyDescent="0.3">
      <c r="A993" s="1">
        <f t="shared" si="220"/>
        <v>991</v>
      </c>
      <c r="B993" s="1">
        <v>9</v>
      </c>
      <c r="C993" s="1">
        <f t="shared" si="222"/>
        <v>0</v>
      </c>
      <c r="D993" s="4">
        <f t="shared" si="223"/>
        <v>9991</v>
      </c>
      <c r="E993" s="4">
        <f t="shared" si="224"/>
        <v>1111</v>
      </c>
      <c r="F993" s="10">
        <f t="shared" si="225"/>
        <v>9.7199999999998372</v>
      </c>
      <c r="G993" s="9">
        <f t="shared" si="226"/>
        <v>138650</v>
      </c>
      <c r="I993" s="4">
        <f t="shared" si="227"/>
        <v>10000</v>
      </c>
      <c r="J993" s="17">
        <f t="shared" si="228"/>
        <v>8.9999999999999998E-4</v>
      </c>
      <c r="K993" s="17">
        <f t="shared" si="229"/>
        <v>0</v>
      </c>
      <c r="L993" s="17">
        <f t="shared" si="230"/>
        <v>0.99909999999999999</v>
      </c>
      <c r="M993" s="4">
        <f t="shared" si="231"/>
        <v>138650</v>
      </c>
    </row>
    <row r="994" spans="1:13" x14ac:dyDescent="0.3">
      <c r="A994" s="1">
        <f t="shared" si="220"/>
        <v>992</v>
      </c>
      <c r="B994" s="1">
        <v>8</v>
      </c>
      <c r="C994" s="1">
        <f t="shared" si="222"/>
        <v>0</v>
      </c>
      <c r="D994" s="4">
        <f t="shared" si="223"/>
        <v>9992</v>
      </c>
      <c r="E994" s="4">
        <f t="shared" si="224"/>
        <v>1112</v>
      </c>
      <c r="F994" s="10">
        <f t="shared" si="225"/>
        <v>9.729999999999837</v>
      </c>
      <c r="G994" s="9">
        <f t="shared" si="226"/>
        <v>138800</v>
      </c>
      <c r="I994" s="4">
        <f t="shared" si="227"/>
        <v>10000</v>
      </c>
      <c r="J994" s="17">
        <f t="shared" si="228"/>
        <v>8.0000000000000004E-4</v>
      </c>
      <c r="K994" s="17">
        <f t="shared" si="229"/>
        <v>0</v>
      </c>
      <c r="L994" s="17">
        <f t="shared" si="230"/>
        <v>0.99919999999999998</v>
      </c>
      <c r="M994" s="4">
        <f t="shared" si="231"/>
        <v>138800</v>
      </c>
    </row>
    <row r="995" spans="1:13" x14ac:dyDescent="0.3">
      <c r="A995" s="1">
        <f t="shared" si="220"/>
        <v>993</v>
      </c>
      <c r="B995" s="1">
        <v>7</v>
      </c>
      <c r="C995" s="1">
        <f t="shared" si="222"/>
        <v>0</v>
      </c>
      <c r="D995" s="4">
        <f t="shared" si="223"/>
        <v>9993</v>
      </c>
      <c r="E995" s="4">
        <f t="shared" si="224"/>
        <v>1113</v>
      </c>
      <c r="F995" s="10">
        <f t="shared" si="225"/>
        <v>9.7399999999998368</v>
      </c>
      <c r="G995" s="9">
        <f t="shared" si="226"/>
        <v>138950</v>
      </c>
      <c r="I995" s="4">
        <f t="shared" si="227"/>
        <v>10000</v>
      </c>
      <c r="J995" s="17">
        <f t="shared" si="228"/>
        <v>6.9999999999999999E-4</v>
      </c>
      <c r="K995" s="17">
        <f t="shared" si="229"/>
        <v>0</v>
      </c>
      <c r="L995" s="17">
        <f t="shared" si="230"/>
        <v>0.99929999999999997</v>
      </c>
      <c r="M995" s="4">
        <f t="shared" si="231"/>
        <v>138950</v>
      </c>
    </row>
    <row r="996" spans="1:13" x14ac:dyDescent="0.3">
      <c r="A996" s="1">
        <f t="shared" si="220"/>
        <v>994</v>
      </c>
      <c r="B996" s="1">
        <v>6</v>
      </c>
      <c r="C996" s="1">
        <f t="shared" si="222"/>
        <v>0</v>
      </c>
      <c r="D996" s="4">
        <f t="shared" si="223"/>
        <v>9994</v>
      </c>
      <c r="E996" s="4">
        <f t="shared" si="224"/>
        <v>1114</v>
      </c>
      <c r="F996" s="10">
        <f t="shared" si="225"/>
        <v>9.7499999999998366</v>
      </c>
      <c r="G996" s="9">
        <f t="shared" si="226"/>
        <v>139100</v>
      </c>
      <c r="I996" s="4">
        <f t="shared" si="227"/>
        <v>10000</v>
      </c>
      <c r="J996" s="17">
        <f t="shared" si="228"/>
        <v>5.9999999999999995E-4</v>
      </c>
      <c r="K996" s="17">
        <f t="shared" si="229"/>
        <v>0</v>
      </c>
      <c r="L996" s="17">
        <f t="shared" si="230"/>
        <v>0.99939999999999996</v>
      </c>
      <c r="M996" s="4">
        <f t="shared" si="231"/>
        <v>139100</v>
      </c>
    </row>
    <row r="997" spans="1:13" x14ac:dyDescent="0.3">
      <c r="A997" s="1">
        <f t="shared" si="220"/>
        <v>995</v>
      </c>
      <c r="B997" s="1">
        <v>5</v>
      </c>
      <c r="C997" s="1">
        <f t="shared" si="222"/>
        <v>0</v>
      </c>
      <c r="D997" s="4">
        <f t="shared" si="223"/>
        <v>9995</v>
      </c>
      <c r="E997" s="4">
        <f t="shared" si="224"/>
        <v>1115</v>
      </c>
      <c r="F997" s="10">
        <f t="shared" si="225"/>
        <v>9.7599999999998364</v>
      </c>
      <c r="G997" s="9">
        <f t="shared" si="226"/>
        <v>139250</v>
      </c>
      <c r="I997" s="4">
        <f t="shared" si="227"/>
        <v>10000</v>
      </c>
      <c r="J997" s="17">
        <f t="shared" si="228"/>
        <v>5.0000000000000001E-4</v>
      </c>
      <c r="K997" s="17">
        <f t="shared" si="229"/>
        <v>0</v>
      </c>
      <c r="L997" s="17">
        <f t="shared" si="230"/>
        <v>0.99950000000000006</v>
      </c>
      <c r="M997" s="4">
        <f t="shared" si="231"/>
        <v>139250</v>
      </c>
    </row>
    <row r="998" spans="1:13" x14ac:dyDescent="0.3">
      <c r="A998" s="1">
        <f t="shared" si="220"/>
        <v>996</v>
      </c>
      <c r="B998" s="1">
        <v>4</v>
      </c>
      <c r="C998" s="1">
        <f t="shared" si="222"/>
        <v>0</v>
      </c>
      <c r="D998" s="4">
        <f t="shared" si="223"/>
        <v>9996</v>
      </c>
      <c r="E998" s="4">
        <f t="shared" si="224"/>
        <v>1116</v>
      </c>
      <c r="F998" s="10">
        <f t="shared" si="225"/>
        <v>9.7699999999998361</v>
      </c>
      <c r="G998" s="9">
        <f t="shared" si="226"/>
        <v>139400</v>
      </c>
      <c r="I998" s="4">
        <f t="shared" si="227"/>
        <v>10000</v>
      </c>
      <c r="J998" s="17">
        <f t="shared" si="228"/>
        <v>4.0000000000000002E-4</v>
      </c>
      <c r="K998" s="17">
        <f t="shared" si="229"/>
        <v>0</v>
      </c>
      <c r="L998" s="17">
        <f t="shared" si="230"/>
        <v>0.99960000000000004</v>
      </c>
      <c r="M998" s="4">
        <f t="shared" si="231"/>
        <v>139400</v>
      </c>
    </row>
    <row r="999" spans="1:13" x14ac:dyDescent="0.3">
      <c r="A999" s="1">
        <f t="shared" si="220"/>
        <v>997</v>
      </c>
      <c r="B999" s="1">
        <v>3</v>
      </c>
      <c r="C999" s="1">
        <f t="shared" si="222"/>
        <v>0</v>
      </c>
      <c r="D999" s="4">
        <f t="shared" si="223"/>
        <v>9997</v>
      </c>
      <c r="E999" s="4">
        <f t="shared" si="224"/>
        <v>1117</v>
      </c>
      <c r="F999" s="10">
        <f t="shared" si="225"/>
        <v>9.7799999999998359</v>
      </c>
      <c r="G999" s="9">
        <f t="shared" si="226"/>
        <v>139550</v>
      </c>
      <c r="I999" s="4">
        <f t="shared" si="227"/>
        <v>10000</v>
      </c>
      <c r="J999" s="17">
        <f t="shared" si="228"/>
        <v>2.9999999999999997E-4</v>
      </c>
      <c r="K999" s="17">
        <f t="shared" si="229"/>
        <v>0</v>
      </c>
      <c r="L999" s="17">
        <f t="shared" si="230"/>
        <v>0.99970000000000003</v>
      </c>
      <c r="M999" s="4">
        <f t="shared" si="231"/>
        <v>139550</v>
      </c>
    </row>
    <row r="1000" spans="1:13" x14ac:dyDescent="0.3">
      <c r="A1000" s="1">
        <f t="shared" si="220"/>
        <v>998</v>
      </c>
      <c r="B1000" s="1">
        <v>2</v>
      </c>
      <c r="C1000" s="1">
        <f t="shared" si="222"/>
        <v>0</v>
      </c>
      <c r="D1000" s="4">
        <f>D1001-1</f>
        <v>9998</v>
      </c>
      <c r="E1000" s="4">
        <f t="shared" si="224"/>
        <v>1118</v>
      </c>
      <c r="F1000" s="10">
        <f t="shared" si="225"/>
        <v>9.7899999999998357</v>
      </c>
      <c r="G1000" s="9">
        <f t="shared" si="226"/>
        <v>139700</v>
      </c>
      <c r="I1000" s="4">
        <f t="shared" si="227"/>
        <v>10000</v>
      </c>
      <c r="J1000" s="17">
        <f t="shared" si="228"/>
        <v>2.0000000000000001E-4</v>
      </c>
      <c r="K1000" s="17">
        <f t="shared" si="229"/>
        <v>0</v>
      </c>
      <c r="L1000" s="17">
        <f t="shared" si="230"/>
        <v>0.99980000000000002</v>
      </c>
      <c r="M1000" s="4">
        <f t="shared" si="231"/>
        <v>139700</v>
      </c>
    </row>
    <row r="1001" spans="1:13" x14ac:dyDescent="0.3">
      <c r="A1001" s="1">
        <f t="shared" si="220"/>
        <v>999</v>
      </c>
      <c r="B1001" s="1">
        <v>1</v>
      </c>
      <c r="C1001" s="1">
        <f t="shared" si="222"/>
        <v>0</v>
      </c>
      <c r="D1001" s="4">
        <v>9999</v>
      </c>
      <c r="E1001" s="4">
        <f t="shared" si="224"/>
        <v>1119</v>
      </c>
      <c r="F1001" s="10">
        <f t="shared" si="225"/>
        <v>9.7999999999998355</v>
      </c>
      <c r="G1001" s="9">
        <f t="shared" si="226"/>
        <v>139850</v>
      </c>
      <c r="I1001" s="4">
        <f t="shared" si="227"/>
        <v>10000</v>
      </c>
      <c r="J1001" s="17">
        <f t="shared" si="228"/>
        <v>1E-4</v>
      </c>
      <c r="K1001" s="17">
        <f t="shared" si="229"/>
        <v>0</v>
      </c>
      <c r="L1001" s="17">
        <f t="shared" si="230"/>
        <v>0.99990000000000001</v>
      </c>
      <c r="M1001" s="4">
        <f t="shared" si="231"/>
        <v>139850</v>
      </c>
    </row>
    <row r="1002" spans="1:13" x14ac:dyDescent="0.3">
      <c r="A1002" s="1">
        <f t="shared" si="220"/>
        <v>1000</v>
      </c>
      <c r="B1002" s="1">
        <v>-1</v>
      </c>
      <c r="C1002" s="1">
        <v>-1</v>
      </c>
      <c r="D1002" s="4">
        <v>-1</v>
      </c>
      <c r="E1002" s="4">
        <f t="shared" si="224"/>
        <v>1120</v>
      </c>
      <c r="F1002" s="10">
        <f t="shared" si="225"/>
        <v>9.8099999999998353</v>
      </c>
      <c r="G1002" s="9">
        <v>-1</v>
      </c>
      <c r="I1002" s="4"/>
      <c r="J1002" s="17"/>
      <c r="K1002" s="17"/>
      <c r="L1002" s="17"/>
    </row>
    <row r="1003" spans="1:13" x14ac:dyDescent="0.3">
      <c r="A1003" s="1"/>
      <c r="B1003" s="1"/>
      <c r="C1003" s="1"/>
      <c r="D1003" s="4"/>
      <c r="E1003" s="4"/>
      <c r="F1003" s="10"/>
      <c r="G1003" s="9"/>
      <c r="I1003" s="4"/>
      <c r="J1003" s="17"/>
      <c r="K1003" s="17"/>
      <c r="L1003" s="17"/>
    </row>
    <row r="1004" spans="1:13" x14ac:dyDescent="0.3">
      <c r="A1004" s="1"/>
      <c r="B1004" s="1"/>
      <c r="C1004" s="1"/>
      <c r="D1004" s="4"/>
      <c r="E1004" s="4"/>
      <c r="F1004" s="10"/>
      <c r="G1004" s="9"/>
      <c r="I1004" s="4"/>
      <c r="J1004" s="17"/>
      <c r="K1004" s="17"/>
      <c r="L1004" s="17"/>
    </row>
    <row r="1005" spans="1:13" x14ac:dyDescent="0.3">
      <c r="A1005" s="1"/>
      <c r="B1005" s="1"/>
      <c r="C1005" s="1"/>
      <c r="D1005" s="4"/>
      <c r="E1005" s="4"/>
      <c r="F1005" s="10"/>
      <c r="G1005" s="9"/>
      <c r="I1005" s="4"/>
      <c r="J1005" s="17"/>
      <c r="K1005" s="17"/>
      <c r="L1005" s="17"/>
    </row>
    <row r="1006" spans="1:13" x14ac:dyDescent="0.3">
      <c r="A1006" s="1"/>
      <c r="B1006" s="1"/>
      <c r="C1006" s="1"/>
      <c r="D1006" s="4"/>
      <c r="E1006" s="4"/>
      <c r="F1006" s="10"/>
      <c r="G1006" s="9"/>
      <c r="I1006" s="4"/>
      <c r="J1006" s="17"/>
      <c r="K1006" s="17"/>
      <c r="L1006" s="17"/>
    </row>
    <row r="1007" spans="1:13" x14ac:dyDescent="0.3">
      <c r="A1007" s="1"/>
      <c r="B1007" s="1"/>
      <c r="C1007" s="1"/>
      <c r="D1007" s="4"/>
      <c r="E1007" s="4"/>
      <c r="F1007" s="10"/>
      <c r="G1007" s="9"/>
      <c r="I1007" s="4"/>
      <c r="J1007" s="17"/>
      <c r="K1007" s="17"/>
      <c r="L1007" s="17"/>
    </row>
    <row r="1008" spans="1:13" x14ac:dyDescent="0.3">
      <c r="A1008" s="1"/>
      <c r="B1008" s="1"/>
      <c r="C1008" s="1"/>
      <c r="D1008" s="4"/>
      <c r="E1008" s="4"/>
      <c r="F1008" s="10"/>
      <c r="G1008" s="9"/>
      <c r="I1008" s="4"/>
      <c r="J1008" s="17"/>
      <c r="K1008" s="17"/>
      <c r="L1008" s="17"/>
    </row>
    <row r="1009" spans="1:12" x14ac:dyDescent="0.3">
      <c r="A1009" s="1"/>
      <c r="B1009" s="1"/>
      <c r="C1009" s="1"/>
      <c r="D1009" s="4"/>
      <c r="E1009" s="4"/>
      <c r="F1009" s="10"/>
      <c r="G1009" s="9"/>
      <c r="I1009" s="4"/>
      <c r="J1009" s="17"/>
      <c r="K1009" s="17"/>
      <c r="L1009" s="17"/>
    </row>
    <row r="1010" spans="1:12" x14ac:dyDescent="0.3">
      <c r="A1010" s="1"/>
      <c r="B1010" s="1"/>
      <c r="C1010" s="1"/>
      <c r="D1010" s="4"/>
      <c r="E1010" s="4"/>
      <c r="F1010" s="10"/>
      <c r="G1010" s="9"/>
      <c r="I1010" s="4"/>
      <c r="J1010" s="17"/>
      <c r="K1010" s="17"/>
      <c r="L1010" s="17"/>
    </row>
    <row r="1011" spans="1:12" x14ac:dyDescent="0.3">
      <c r="A1011" s="1"/>
      <c r="B1011" s="1"/>
      <c r="C1011" s="1"/>
      <c r="D1011" s="4"/>
      <c r="E1011" s="4"/>
      <c r="F1011" s="10"/>
      <c r="G1011" s="9"/>
      <c r="I1011" s="4"/>
      <c r="J1011" s="17"/>
      <c r="K1011" s="17"/>
      <c r="L1011" s="17"/>
    </row>
    <row r="1012" spans="1:12" x14ac:dyDescent="0.3">
      <c r="A1012" s="1"/>
      <c r="B1012" s="1"/>
      <c r="C1012" s="1"/>
      <c r="D1012" s="4"/>
      <c r="E1012" s="4"/>
      <c r="F1012" s="10"/>
      <c r="G1012" s="9"/>
      <c r="I1012" s="4"/>
      <c r="J1012" s="17"/>
      <c r="K1012" s="17"/>
      <c r="L1012" s="17"/>
    </row>
    <row r="1013" spans="1:12" x14ac:dyDescent="0.3">
      <c r="A1013" s="1"/>
      <c r="B1013" s="1"/>
      <c r="C1013" s="1"/>
      <c r="D1013" s="4"/>
      <c r="E1013" s="4"/>
      <c r="F1013" s="10"/>
      <c r="G1013" s="9"/>
      <c r="I1013" s="4"/>
      <c r="J1013" s="17"/>
      <c r="K1013" s="17"/>
      <c r="L1013" s="17"/>
    </row>
    <row r="1014" spans="1:12" x14ac:dyDescent="0.3">
      <c r="A1014" s="1"/>
      <c r="B1014" s="1"/>
      <c r="C1014" s="1"/>
      <c r="D1014" s="4"/>
      <c r="E1014" s="4"/>
      <c r="F1014" s="10"/>
      <c r="G1014" s="9"/>
      <c r="I1014" s="4"/>
      <c r="J1014" s="17"/>
      <c r="K1014" s="17"/>
      <c r="L1014" s="17"/>
    </row>
    <row r="1015" spans="1:12" x14ac:dyDescent="0.3">
      <c r="A1015" s="1"/>
      <c r="B1015" s="1"/>
      <c r="C1015" s="1"/>
      <c r="D1015" s="4"/>
      <c r="E1015" s="4"/>
      <c r="F1015" s="10"/>
      <c r="G1015" s="9"/>
      <c r="I1015" s="4"/>
      <c r="J1015" s="17"/>
      <c r="K1015" s="17"/>
      <c r="L1015" s="17"/>
    </row>
    <row r="1016" spans="1:12" x14ac:dyDescent="0.3">
      <c r="A1016" s="1"/>
      <c r="B1016" s="1"/>
      <c r="C1016" s="1"/>
      <c r="D1016" s="4"/>
      <c r="E1016" s="4"/>
      <c r="F1016" s="10"/>
      <c r="G1016" s="9"/>
      <c r="I1016" s="4"/>
      <c r="J1016" s="17"/>
      <c r="K1016" s="17"/>
      <c r="L1016" s="17"/>
    </row>
    <row r="1017" spans="1:12" x14ac:dyDescent="0.3">
      <c r="A1017" s="1"/>
      <c r="B1017" s="1"/>
      <c r="C1017" s="1"/>
      <c r="D1017" s="4"/>
      <c r="E1017" s="4"/>
      <c r="F1017" s="10"/>
      <c r="G1017" s="9"/>
      <c r="I1017" s="4"/>
      <c r="J1017" s="17"/>
      <c r="K1017" s="17"/>
      <c r="L1017" s="17"/>
    </row>
    <row r="1018" spans="1:12" x14ac:dyDescent="0.3">
      <c r="A1018" s="1"/>
      <c r="B1018" s="1"/>
      <c r="C1018" s="1"/>
      <c r="D1018" s="4"/>
      <c r="E1018" s="4"/>
      <c r="F1018" s="10"/>
      <c r="G1018" s="9"/>
      <c r="I1018" s="4"/>
      <c r="J1018" s="17"/>
      <c r="K1018" s="17"/>
      <c r="L1018" s="17"/>
    </row>
    <row r="1019" spans="1:12" x14ac:dyDescent="0.3">
      <c r="A1019" s="1"/>
      <c r="B1019" s="1"/>
      <c r="C1019" s="1"/>
      <c r="D1019" s="4"/>
      <c r="E1019" s="4"/>
      <c r="F1019" s="10"/>
      <c r="G1019" s="9"/>
      <c r="I1019" s="4"/>
      <c r="J1019" s="17"/>
      <c r="K1019" s="17"/>
      <c r="L1019" s="17"/>
    </row>
    <row r="1020" spans="1:12" x14ac:dyDescent="0.3">
      <c r="A1020" s="1"/>
      <c r="B1020" s="1"/>
      <c r="C1020" s="1"/>
      <c r="D1020" s="4"/>
      <c r="E1020" s="4"/>
      <c r="F1020" s="10"/>
      <c r="G1020" s="9"/>
      <c r="I1020" s="4"/>
      <c r="J1020" s="17"/>
      <c r="K1020" s="17"/>
      <c r="L1020" s="17"/>
    </row>
    <row r="1021" spans="1:12" x14ac:dyDescent="0.3">
      <c r="A1021" s="1"/>
      <c r="B1021" s="1"/>
      <c r="C1021" s="1"/>
      <c r="D1021" s="4"/>
      <c r="E1021" s="4"/>
      <c r="F1021" s="10"/>
      <c r="G1021" s="9"/>
      <c r="I1021" s="4"/>
      <c r="J1021" s="17"/>
      <c r="K1021" s="17"/>
      <c r="L1021" s="17"/>
    </row>
    <row r="1022" spans="1:12" x14ac:dyDescent="0.3">
      <c r="A1022" s="1"/>
      <c r="B1022" s="1"/>
      <c r="C1022" s="1"/>
      <c r="D1022" s="4"/>
      <c r="E1022" s="4"/>
      <c r="F1022" s="10"/>
      <c r="G1022" s="9"/>
      <c r="I1022" s="4"/>
      <c r="J1022" s="17"/>
      <c r="K1022" s="17"/>
      <c r="L1022" s="17"/>
    </row>
    <row r="1023" spans="1:12" x14ac:dyDescent="0.3">
      <c r="A1023" s="1"/>
      <c r="B1023" s="1"/>
      <c r="C1023" s="1"/>
      <c r="D1023" s="4"/>
      <c r="E1023" s="4"/>
      <c r="F1023" s="10"/>
      <c r="G1023" s="9"/>
      <c r="I1023" s="4"/>
      <c r="J1023" s="17"/>
      <c r="K1023" s="17"/>
      <c r="L1023" s="17"/>
    </row>
    <row r="1024" spans="1:12" x14ac:dyDescent="0.3">
      <c r="A1024" s="1"/>
      <c r="B1024" s="1"/>
      <c r="C1024" s="1"/>
      <c r="D1024" s="4"/>
      <c r="E1024" s="4"/>
      <c r="F1024" s="10"/>
      <c r="G1024" s="9"/>
      <c r="I1024" s="4"/>
      <c r="J1024" s="17"/>
      <c r="K1024" s="17"/>
      <c r="L1024" s="17"/>
    </row>
    <row r="1025" spans="1:12" x14ac:dyDescent="0.3">
      <c r="A1025" s="1"/>
      <c r="B1025" s="1"/>
      <c r="C1025" s="1"/>
      <c r="D1025" s="4"/>
      <c r="E1025" s="4"/>
      <c r="F1025" s="10"/>
      <c r="G1025" s="9"/>
      <c r="I1025" s="4"/>
      <c r="J1025" s="17"/>
      <c r="K1025" s="17"/>
      <c r="L1025" s="17"/>
    </row>
    <row r="1026" spans="1:12" x14ac:dyDescent="0.3">
      <c r="A1026" s="1"/>
      <c r="B1026" s="1"/>
      <c r="C1026" s="1"/>
      <c r="D1026" s="4"/>
      <c r="E1026" s="4"/>
      <c r="F1026" s="10"/>
      <c r="G1026" s="9"/>
      <c r="I1026" s="4"/>
      <c r="J1026" s="17"/>
      <c r="K1026" s="17"/>
      <c r="L1026" s="17"/>
    </row>
    <row r="1027" spans="1:12" x14ac:dyDescent="0.3">
      <c r="A1027" s="1"/>
      <c r="B1027" s="1"/>
      <c r="C1027" s="1"/>
      <c r="D1027" s="4"/>
      <c r="E1027" s="4"/>
      <c r="F1027" s="10"/>
      <c r="G1027" s="9"/>
      <c r="I1027" s="4"/>
      <c r="J1027" s="17"/>
      <c r="K1027" s="17"/>
      <c r="L1027" s="17"/>
    </row>
    <row r="1028" spans="1:12" x14ac:dyDescent="0.3">
      <c r="A1028" s="1"/>
      <c r="B1028" s="1"/>
      <c r="C1028" s="1"/>
      <c r="D1028" s="4"/>
      <c r="E1028" s="4"/>
      <c r="F1028" s="10"/>
      <c r="G1028" s="9"/>
      <c r="I1028" s="4"/>
      <c r="J1028" s="17"/>
      <c r="K1028" s="17"/>
      <c r="L1028" s="17"/>
    </row>
    <row r="1029" spans="1:12" x14ac:dyDescent="0.3">
      <c r="A1029" s="1"/>
      <c r="B1029" s="1"/>
      <c r="C1029" s="1"/>
      <c r="D1029" s="4"/>
      <c r="E1029" s="4"/>
      <c r="F1029" s="10"/>
      <c r="G1029" s="9"/>
      <c r="I1029" s="4"/>
      <c r="J1029" s="17"/>
      <c r="K1029" s="17"/>
      <c r="L1029" s="17"/>
    </row>
    <row r="1030" spans="1:12" x14ac:dyDescent="0.3">
      <c r="A1030" s="1"/>
      <c r="B1030" s="1"/>
      <c r="C1030" s="1"/>
      <c r="D1030" s="4"/>
      <c r="E1030" s="4"/>
      <c r="F1030" s="10"/>
      <c r="G1030" s="9"/>
      <c r="I1030" s="4"/>
      <c r="J1030" s="17"/>
      <c r="K1030" s="17"/>
      <c r="L1030" s="17"/>
    </row>
    <row r="1031" spans="1:12" x14ac:dyDescent="0.3">
      <c r="A1031" s="1"/>
      <c r="B1031" s="1"/>
      <c r="C1031" s="1"/>
      <c r="D1031" s="4"/>
      <c r="E1031" s="4"/>
      <c r="F1031" s="10"/>
      <c r="G1031" s="9"/>
      <c r="I1031" s="4"/>
      <c r="J1031" s="17"/>
      <c r="K1031" s="17"/>
      <c r="L1031" s="17"/>
    </row>
    <row r="1032" spans="1:12" x14ac:dyDescent="0.3">
      <c r="A1032" s="1"/>
      <c r="B1032" s="1"/>
      <c r="C1032" s="1"/>
      <c r="D1032" s="4"/>
      <c r="E1032" s="4"/>
      <c r="F1032" s="10"/>
      <c r="G1032" s="9"/>
      <c r="I1032" s="4"/>
      <c r="J1032" s="17"/>
      <c r="K1032" s="17"/>
      <c r="L1032" s="17"/>
    </row>
    <row r="1033" spans="1:12" x14ac:dyDescent="0.3">
      <c r="A1033" s="1"/>
      <c r="B1033" s="1"/>
      <c r="C1033" s="1"/>
      <c r="D1033" s="4"/>
      <c r="E1033" s="4"/>
      <c r="F1033" s="10"/>
      <c r="G1033" s="9"/>
      <c r="I1033" s="4"/>
      <c r="J1033" s="17"/>
      <c r="K1033" s="17"/>
      <c r="L1033" s="17"/>
    </row>
    <row r="1034" spans="1:12" x14ac:dyDescent="0.3">
      <c r="A1034" s="1"/>
      <c r="B1034" s="1"/>
      <c r="C1034" s="1"/>
      <c r="D1034" s="4"/>
      <c r="E1034" s="4"/>
      <c r="F1034" s="10"/>
      <c r="G1034" s="9"/>
      <c r="I1034" s="4"/>
      <c r="J1034" s="17"/>
      <c r="K1034" s="17"/>
      <c r="L1034" s="17"/>
    </row>
    <row r="1035" spans="1:12" x14ac:dyDescent="0.3">
      <c r="A1035" s="1"/>
      <c r="B1035" s="1"/>
      <c r="C1035" s="1"/>
      <c r="D1035" s="4"/>
      <c r="E1035" s="4"/>
      <c r="F1035" s="10"/>
      <c r="G1035" s="9"/>
      <c r="I1035" s="4"/>
      <c r="J1035" s="17"/>
      <c r="K1035" s="17"/>
      <c r="L1035" s="17"/>
    </row>
    <row r="1036" spans="1:12" x14ac:dyDescent="0.3">
      <c r="A1036" s="1"/>
      <c r="B1036" s="1"/>
      <c r="C1036" s="1"/>
      <c r="D1036" s="4"/>
      <c r="E1036" s="4"/>
      <c r="F1036" s="10"/>
      <c r="G1036" s="9"/>
      <c r="I1036" s="4"/>
      <c r="J1036" s="17"/>
      <c r="K1036" s="17"/>
      <c r="L1036" s="17"/>
    </row>
    <row r="1037" spans="1:12" x14ac:dyDescent="0.3">
      <c r="A1037" s="1"/>
      <c r="B1037" s="1"/>
      <c r="C1037" s="1"/>
      <c r="D1037" s="4"/>
      <c r="E1037" s="4"/>
      <c r="F1037" s="10"/>
      <c r="G1037" s="9"/>
      <c r="I1037" s="4"/>
      <c r="J1037" s="17"/>
      <c r="K1037" s="17"/>
      <c r="L1037" s="17"/>
    </row>
    <row r="1038" spans="1:12" x14ac:dyDescent="0.3">
      <c r="A1038" s="1"/>
      <c r="B1038" s="1"/>
      <c r="C1038" s="1"/>
      <c r="D1038" s="4"/>
      <c r="E1038" s="4"/>
      <c r="F1038" s="10"/>
      <c r="G1038" s="9"/>
      <c r="I1038" s="4"/>
      <c r="J1038" s="17"/>
      <c r="K1038" s="17"/>
      <c r="L1038" s="17"/>
    </row>
    <row r="1039" spans="1:12" x14ac:dyDescent="0.3">
      <c r="A1039" s="1"/>
      <c r="B1039" s="1"/>
      <c r="C1039" s="1"/>
      <c r="D1039" s="4"/>
      <c r="E1039" s="4"/>
      <c r="F1039" s="10"/>
      <c r="G1039" s="9"/>
      <c r="I1039" s="4"/>
      <c r="J1039" s="17"/>
      <c r="K1039" s="17"/>
      <c r="L1039" s="17"/>
    </row>
    <row r="1040" spans="1:12" x14ac:dyDescent="0.3">
      <c r="A1040" s="1"/>
      <c r="B1040" s="1"/>
      <c r="C1040" s="1"/>
      <c r="D1040" s="4"/>
      <c r="E1040" s="4"/>
      <c r="F1040" s="10"/>
      <c r="G1040" s="9"/>
      <c r="I1040" s="4"/>
      <c r="J1040" s="17"/>
      <c r="K1040" s="17"/>
      <c r="L1040" s="17"/>
    </row>
    <row r="1041" spans="1:12" x14ac:dyDescent="0.3">
      <c r="A1041" s="1"/>
      <c r="B1041" s="1"/>
      <c r="C1041" s="1"/>
      <c r="D1041" s="4"/>
      <c r="E1041" s="4"/>
      <c r="F1041" s="10"/>
      <c r="G1041" s="9"/>
      <c r="I1041" s="4"/>
      <c r="J1041" s="17"/>
      <c r="K1041" s="17"/>
      <c r="L1041" s="17"/>
    </row>
    <row r="1042" spans="1:12" x14ac:dyDescent="0.3">
      <c r="A1042" s="1"/>
      <c r="B1042" s="1"/>
      <c r="C1042" s="1"/>
      <c r="D1042" s="4"/>
      <c r="E1042" s="4"/>
      <c r="F1042" s="10"/>
      <c r="G1042" s="9"/>
      <c r="I1042" s="4"/>
      <c r="J1042" s="17"/>
      <c r="K1042" s="17"/>
      <c r="L1042" s="17"/>
    </row>
    <row r="1043" spans="1:12" x14ac:dyDescent="0.3">
      <c r="A1043" s="1"/>
      <c r="B1043" s="1"/>
      <c r="C1043" s="1"/>
      <c r="D1043" s="4"/>
      <c r="E1043" s="4"/>
      <c r="F1043" s="10"/>
      <c r="G1043" s="9"/>
      <c r="I1043" s="4"/>
      <c r="J1043" s="17"/>
      <c r="K1043" s="17"/>
      <c r="L1043" s="17"/>
    </row>
    <row r="1044" spans="1:12" x14ac:dyDescent="0.3">
      <c r="A1044" s="1"/>
      <c r="B1044" s="1"/>
      <c r="C1044" s="1"/>
      <c r="D1044" s="4"/>
      <c r="E1044" s="4"/>
      <c r="F1044" s="10"/>
      <c r="G1044" s="9"/>
      <c r="I1044" s="4"/>
      <c r="J1044" s="17"/>
      <c r="K1044" s="17"/>
      <c r="L1044" s="17"/>
    </row>
    <row r="1045" spans="1:12" x14ac:dyDescent="0.3">
      <c r="A1045" s="1"/>
      <c r="B1045" s="1"/>
      <c r="C1045" s="1"/>
      <c r="D1045" s="4"/>
      <c r="E1045" s="4"/>
      <c r="F1045" s="10"/>
      <c r="G1045" s="9"/>
      <c r="I1045" s="4"/>
      <c r="J1045" s="17"/>
      <c r="K1045" s="17"/>
      <c r="L1045" s="17"/>
    </row>
    <row r="1046" spans="1:12" x14ac:dyDescent="0.3">
      <c r="A1046" s="1"/>
      <c r="B1046" s="1"/>
      <c r="C1046" s="1"/>
      <c r="D1046" s="4"/>
      <c r="E1046" s="4"/>
      <c r="F1046" s="10"/>
      <c r="G1046" s="9"/>
      <c r="I1046" s="4"/>
      <c r="J1046" s="17"/>
      <c r="K1046" s="17"/>
      <c r="L1046" s="17"/>
    </row>
    <row r="1047" spans="1:12" x14ac:dyDescent="0.3">
      <c r="A1047" s="1"/>
      <c r="B1047" s="1"/>
      <c r="C1047" s="1"/>
      <c r="D1047" s="4"/>
      <c r="E1047" s="4"/>
      <c r="F1047" s="10"/>
      <c r="G1047" s="9"/>
      <c r="I1047" s="4"/>
      <c r="J1047" s="17"/>
      <c r="K1047" s="17"/>
      <c r="L1047" s="17"/>
    </row>
    <row r="1048" spans="1:12" x14ac:dyDescent="0.3">
      <c r="A1048" s="1"/>
      <c r="B1048" s="1"/>
      <c r="C1048" s="1"/>
      <c r="D1048" s="4"/>
      <c r="E1048" s="4"/>
      <c r="F1048" s="10"/>
      <c r="G1048" s="9"/>
      <c r="I1048" s="4"/>
      <c r="J1048" s="17"/>
      <c r="K1048" s="17"/>
      <c r="L1048" s="17"/>
    </row>
    <row r="1049" spans="1:12" x14ac:dyDescent="0.3">
      <c r="A1049" s="1"/>
      <c r="B1049" s="1"/>
      <c r="C1049" s="1"/>
      <c r="D1049" s="4"/>
      <c r="E1049" s="4"/>
      <c r="F1049" s="10"/>
      <c r="G1049" s="9"/>
      <c r="I1049" s="4"/>
      <c r="J1049" s="17"/>
      <c r="K1049" s="17"/>
      <c r="L1049" s="17"/>
    </row>
    <row r="1050" spans="1:12" x14ac:dyDescent="0.3">
      <c r="A1050" s="1"/>
      <c r="B1050" s="1"/>
      <c r="C1050" s="1"/>
      <c r="D1050" s="4"/>
      <c r="E1050" s="4"/>
      <c r="F1050" s="10"/>
      <c r="G1050" s="9"/>
      <c r="I1050" s="4"/>
      <c r="J1050" s="17"/>
      <c r="K1050" s="17"/>
      <c r="L1050" s="17"/>
    </row>
    <row r="1051" spans="1:12" x14ac:dyDescent="0.3">
      <c r="A1051" s="1"/>
      <c r="B1051" s="1"/>
      <c r="C1051" s="1"/>
      <c r="D1051" s="4"/>
      <c r="E1051" s="4"/>
      <c r="F1051" s="10"/>
      <c r="G1051" s="9"/>
      <c r="I1051" s="4"/>
      <c r="J1051" s="17"/>
      <c r="K1051" s="17"/>
      <c r="L1051" s="17"/>
    </row>
    <row r="1052" spans="1:12" x14ac:dyDescent="0.3">
      <c r="A1052" s="1"/>
      <c r="B1052" s="1"/>
      <c r="C1052" s="1"/>
      <c r="D1052" s="4"/>
      <c r="E1052" s="4"/>
      <c r="F1052" s="10"/>
      <c r="G1052" s="9"/>
      <c r="I1052" s="4"/>
      <c r="J1052" s="17"/>
      <c r="K1052" s="17"/>
      <c r="L1052" s="17"/>
    </row>
    <row r="1053" spans="1:12" x14ac:dyDescent="0.3">
      <c r="A1053" s="1"/>
      <c r="B1053" s="1"/>
      <c r="C1053" s="1"/>
      <c r="D1053" s="4"/>
      <c r="E1053" s="4"/>
      <c r="F1053" s="10"/>
      <c r="G1053" s="9"/>
      <c r="I1053" s="4"/>
      <c r="J1053" s="17"/>
      <c r="K1053" s="17"/>
      <c r="L1053" s="17"/>
    </row>
    <row r="1054" spans="1:12" x14ac:dyDescent="0.3">
      <c r="A1054" s="1"/>
      <c r="B1054" s="1"/>
      <c r="C1054" s="1"/>
      <c r="D1054" s="4"/>
      <c r="E1054" s="4"/>
      <c r="F1054" s="10"/>
      <c r="G1054" s="9"/>
      <c r="I1054" s="4"/>
      <c r="J1054" s="17"/>
      <c r="K1054" s="17"/>
      <c r="L1054" s="17"/>
    </row>
    <row r="1055" spans="1:12" x14ac:dyDescent="0.3">
      <c r="A1055" s="1"/>
      <c r="B1055" s="1"/>
      <c r="C1055" s="1"/>
      <c r="D1055" s="4"/>
      <c r="E1055" s="4"/>
      <c r="F1055" s="10"/>
      <c r="G1055" s="9"/>
      <c r="I1055" s="4"/>
      <c r="J1055" s="17"/>
      <c r="K1055" s="17"/>
      <c r="L1055" s="17"/>
    </row>
    <row r="1056" spans="1:12" x14ac:dyDescent="0.3">
      <c r="A1056" s="1"/>
      <c r="B1056" s="1"/>
      <c r="C1056" s="1"/>
      <c r="D1056" s="4"/>
      <c r="E1056" s="4"/>
      <c r="F1056" s="10"/>
      <c r="G1056" s="9"/>
      <c r="I1056" s="4"/>
      <c r="J1056" s="17"/>
      <c r="K1056" s="17"/>
      <c r="L1056" s="17"/>
    </row>
    <row r="1057" spans="1:12" x14ac:dyDescent="0.3">
      <c r="A1057" s="1"/>
      <c r="B1057" s="1"/>
      <c r="C1057" s="1"/>
      <c r="D1057" s="4"/>
      <c r="E1057" s="4"/>
      <c r="F1057" s="10"/>
      <c r="G1057" s="9"/>
      <c r="I1057" s="4"/>
      <c r="J1057" s="17"/>
      <c r="K1057" s="17"/>
      <c r="L1057" s="17"/>
    </row>
    <row r="1058" spans="1:12" x14ac:dyDescent="0.3">
      <c r="A1058" s="1"/>
      <c r="B1058" s="1"/>
      <c r="C1058" s="1"/>
      <c r="D1058" s="4"/>
      <c r="E1058" s="4"/>
      <c r="F1058" s="10"/>
      <c r="G1058" s="9"/>
      <c r="I1058" s="4"/>
      <c r="J1058" s="17"/>
      <c r="K1058" s="17"/>
      <c r="L1058" s="17"/>
    </row>
    <row r="1059" spans="1:12" x14ac:dyDescent="0.3">
      <c r="A1059" s="1"/>
      <c r="B1059" s="1"/>
      <c r="C1059" s="1"/>
      <c r="D1059" s="4"/>
      <c r="E1059" s="4"/>
      <c r="F1059" s="10"/>
      <c r="G1059" s="9"/>
      <c r="I1059" s="4"/>
      <c r="J1059" s="17"/>
      <c r="K1059" s="17"/>
      <c r="L1059" s="17"/>
    </row>
    <row r="1060" spans="1:12" x14ac:dyDescent="0.3">
      <c r="A1060" s="1"/>
      <c r="B1060" s="1"/>
      <c r="C1060" s="1"/>
      <c r="D1060" s="4"/>
      <c r="E1060" s="4"/>
      <c r="F1060" s="10"/>
      <c r="G1060" s="9"/>
      <c r="I1060" s="4"/>
      <c r="J1060" s="17"/>
      <c r="K1060" s="17"/>
      <c r="L1060" s="17"/>
    </row>
    <row r="1061" spans="1:12" x14ac:dyDescent="0.3">
      <c r="A1061" s="1"/>
      <c r="B1061" s="1"/>
      <c r="C1061" s="1"/>
      <c r="D1061" s="4"/>
      <c r="E1061" s="4"/>
      <c r="F1061" s="10"/>
      <c r="G1061" s="9"/>
      <c r="I1061" s="4"/>
      <c r="J1061" s="17"/>
      <c r="K1061" s="17"/>
      <c r="L1061" s="17"/>
    </row>
    <row r="1062" spans="1:12" x14ac:dyDescent="0.3">
      <c r="A1062" s="1"/>
      <c r="B1062" s="1"/>
      <c r="C1062" s="1"/>
      <c r="D1062" s="4"/>
      <c r="E1062" s="4"/>
      <c r="F1062" s="10"/>
      <c r="G1062" s="9"/>
      <c r="I1062" s="4"/>
      <c r="J1062" s="17"/>
      <c r="K1062" s="17"/>
      <c r="L1062" s="17"/>
    </row>
    <row r="1063" spans="1:12" x14ac:dyDescent="0.3">
      <c r="A1063" s="1"/>
      <c r="B1063" s="1"/>
      <c r="C1063" s="1"/>
      <c r="D1063" s="4"/>
      <c r="E1063" s="4"/>
      <c r="F1063" s="10"/>
      <c r="G1063" s="9"/>
      <c r="I1063" s="4"/>
      <c r="J1063" s="17"/>
      <c r="K1063" s="17"/>
      <c r="L1063" s="17"/>
    </row>
    <row r="1064" spans="1:12" x14ac:dyDescent="0.3">
      <c r="A1064" s="1"/>
      <c r="B1064" s="1"/>
      <c r="C1064" s="1"/>
      <c r="D1064" s="4"/>
      <c r="E1064" s="4"/>
      <c r="F1064" s="10"/>
      <c r="G1064" s="9"/>
      <c r="I1064" s="4"/>
      <c r="J1064" s="17"/>
      <c r="K1064" s="17"/>
      <c r="L1064" s="17"/>
    </row>
    <row r="1065" spans="1:12" x14ac:dyDescent="0.3">
      <c r="A1065" s="1"/>
      <c r="B1065" s="1"/>
      <c r="C1065" s="1"/>
      <c r="D1065" s="4"/>
      <c r="E1065" s="4"/>
      <c r="F1065" s="10"/>
      <c r="G1065" s="9"/>
      <c r="I1065" s="4"/>
      <c r="J1065" s="17"/>
      <c r="K1065" s="17"/>
      <c r="L1065" s="17"/>
    </row>
    <row r="1066" spans="1:12" x14ac:dyDescent="0.3">
      <c r="A1066" s="1"/>
      <c r="B1066" s="1"/>
      <c r="C1066" s="1"/>
      <c r="D1066" s="4"/>
      <c r="E1066" s="4"/>
      <c r="F1066" s="10"/>
      <c r="G1066" s="9"/>
      <c r="I1066" s="4"/>
      <c r="J1066" s="17"/>
      <c r="K1066" s="17"/>
      <c r="L1066" s="17"/>
    </row>
    <row r="1067" spans="1:12" x14ac:dyDescent="0.3">
      <c r="A1067" s="1"/>
      <c r="B1067" s="1"/>
      <c r="C1067" s="1"/>
      <c r="D1067" s="4"/>
      <c r="E1067" s="4"/>
      <c r="F1067" s="10"/>
      <c r="G1067" s="9"/>
      <c r="I1067" s="4"/>
      <c r="J1067" s="17"/>
      <c r="K1067" s="17"/>
      <c r="L1067" s="17"/>
    </row>
    <row r="1068" spans="1:12" x14ac:dyDescent="0.3">
      <c r="A1068" s="1"/>
      <c r="B1068" s="1"/>
      <c r="C1068" s="1"/>
      <c r="D1068" s="4"/>
      <c r="E1068" s="4"/>
      <c r="F1068" s="10"/>
      <c r="G1068" s="9"/>
      <c r="I1068" s="4"/>
      <c r="J1068" s="17"/>
      <c r="K1068" s="17"/>
      <c r="L1068" s="17"/>
    </row>
    <row r="1069" spans="1:12" x14ac:dyDescent="0.3">
      <c r="A1069" s="1"/>
      <c r="B1069" s="1"/>
      <c r="C1069" s="1"/>
      <c r="D1069" s="4"/>
      <c r="E1069" s="4"/>
      <c r="F1069" s="10"/>
      <c r="G1069" s="9"/>
      <c r="I1069" s="4"/>
      <c r="J1069" s="17"/>
      <c r="K1069" s="17"/>
      <c r="L1069" s="17"/>
    </row>
    <row r="1070" spans="1:12" x14ac:dyDescent="0.3">
      <c r="A1070" s="1"/>
      <c r="B1070" s="1"/>
      <c r="C1070" s="1"/>
      <c r="D1070" s="4"/>
      <c r="E1070" s="4"/>
      <c r="F1070" s="10"/>
      <c r="G1070" s="9"/>
      <c r="I1070" s="4"/>
      <c r="J1070" s="17"/>
      <c r="K1070" s="17"/>
      <c r="L1070" s="17"/>
    </row>
    <row r="1071" spans="1:12" x14ac:dyDescent="0.3">
      <c r="A1071" s="1"/>
      <c r="B1071" s="1"/>
      <c r="C1071" s="1"/>
      <c r="D1071" s="4"/>
      <c r="E1071" s="4"/>
      <c r="F1071" s="10"/>
      <c r="G1071" s="9"/>
      <c r="I1071" s="4"/>
      <c r="J1071" s="17"/>
      <c r="K1071" s="17"/>
      <c r="L1071" s="17"/>
    </row>
    <row r="1072" spans="1:12" x14ac:dyDescent="0.3">
      <c r="A1072" s="1"/>
      <c r="B1072" s="1"/>
      <c r="C1072" s="1"/>
      <c r="D1072" s="4"/>
      <c r="E1072" s="4"/>
      <c r="F1072" s="10"/>
      <c r="G1072" s="9"/>
      <c r="I1072" s="4"/>
      <c r="J1072" s="17"/>
      <c r="K1072" s="17"/>
      <c r="L1072" s="17"/>
    </row>
    <row r="1073" spans="1:12" x14ac:dyDescent="0.3">
      <c r="A1073" s="1"/>
      <c r="B1073" s="1"/>
      <c r="C1073" s="1"/>
      <c r="D1073" s="4"/>
      <c r="E1073" s="4"/>
      <c r="F1073" s="10"/>
      <c r="G1073" s="9"/>
      <c r="I1073" s="4"/>
      <c r="J1073" s="17"/>
      <c r="K1073" s="17"/>
      <c r="L1073" s="17"/>
    </row>
    <row r="1074" spans="1:12" x14ac:dyDescent="0.3">
      <c r="A1074" s="1"/>
      <c r="B1074" s="1"/>
      <c r="C1074" s="1"/>
      <c r="D1074" s="4"/>
      <c r="E1074" s="4"/>
      <c r="F1074" s="10"/>
      <c r="G1074" s="9"/>
      <c r="I1074" s="4"/>
      <c r="J1074" s="17"/>
      <c r="K1074" s="17"/>
      <c r="L1074" s="17"/>
    </row>
    <row r="1075" spans="1:12" x14ac:dyDescent="0.3">
      <c r="A1075" s="1"/>
      <c r="B1075" s="1"/>
      <c r="C1075" s="1"/>
      <c r="D1075" s="4"/>
      <c r="E1075" s="4"/>
      <c r="F1075" s="10"/>
      <c r="G1075" s="9"/>
      <c r="I1075" s="4"/>
      <c r="J1075" s="17"/>
      <c r="K1075" s="17"/>
      <c r="L1075" s="17"/>
    </row>
    <row r="1076" spans="1:12" x14ac:dyDescent="0.3">
      <c r="A1076" s="1"/>
      <c r="B1076" s="1"/>
      <c r="C1076" s="1"/>
      <c r="D1076" s="4"/>
      <c r="E1076" s="4"/>
      <c r="F1076" s="10"/>
      <c r="G1076" s="9"/>
      <c r="I1076" s="4"/>
      <c r="J1076" s="17"/>
      <c r="K1076" s="17"/>
      <c r="L1076" s="17"/>
    </row>
    <row r="1077" spans="1:12" x14ac:dyDescent="0.3">
      <c r="A1077" s="1"/>
      <c r="B1077" s="1"/>
      <c r="C1077" s="1"/>
      <c r="D1077" s="4"/>
      <c r="E1077" s="4"/>
      <c r="F1077" s="10"/>
      <c r="G1077" s="9"/>
      <c r="I1077" s="4"/>
      <c r="J1077" s="17"/>
      <c r="K1077" s="17"/>
      <c r="L1077" s="17"/>
    </row>
    <row r="1078" spans="1:12" x14ac:dyDescent="0.3">
      <c r="A1078" s="1"/>
      <c r="B1078" s="1"/>
      <c r="C1078" s="1"/>
      <c r="D1078" s="4"/>
      <c r="E1078" s="4"/>
      <c r="F1078" s="10"/>
      <c r="G1078" s="9"/>
      <c r="I1078" s="4"/>
      <c r="J1078" s="17"/>
      <c r="K1078" s="17"/>
      <c r="L1078" s="17"/>
    </row>
    <row r="1079" spans="1:12" x14ac:dyDescent="0.3">
      <c r="A1079" s="1"/>
      <c r="B1079" s="1"/>
      <c r="C1079" s="1"/>
      <c r="D1079" s="4"/>
      <c r="E1079" s="4"/>
      <c r="F1079" s="10"/>
      <c r="G1079" s="9"/>
      <c r="I1079" s="4"/>
      <c r="J1079" s="17"/>
      <c r="K1079" s="17"/>
      <c r="L1079" s="17"/>
    </row>
    <row r="1080" spans="1:12" x14ac:dyDescent="0.3">
      <c r="A1080" s="1"/>
      <c r="B1080" s="1"/>
      <c r="C1080" s="1"/>
      <c r="D1080" s="4"/>
      <c r="E1080" s="4"/>
      <c r="F1080" s="10"/>
      <c r="G1080" s="9"/>
      <c r="I1080" s="4"/>
      <c r="J1080" s="17"/>
      <c r="K1080" s="17"/>
      <c r="L1080" s="17"/>
    </row>
    <row r="1081" spans="1:12" x14ac:dyDescent="0.3">
      <c r="A1081" s="1"/>
      <c r="B1081" s="1"/>
      <c r="C1081" s="1"/>
      <c r="D1081" s="4"/>
      <c r="E1081" s="4"/>
      <c r="F1081" s="10"/>
      <c r="G1081" s="9"/>
      <c r="I1081" s="4"/>
      <c r="J1081" s="17"/>
      <c r="K1081" s="17"/>
      <c r="L1081" s="17"/>
    </row>
    <row r="1082" spans="1:12" x14ac:dyDescent="0.3">
      <c r="A1082" s="1"/>
      <c r="B1082" s="1"/>
      <c r="C1082" s="1"/>
      <c r="D1082" s="4"/>
      <c r="E1082" s="4"/>
      <c r="F1082" s="10"/>
      <c r="G1082" s="9"/>
      <c r="I1082" s="4"/>
      <c r="J1082" s="17"/>
      <c r="K1082" s="17"/>
      <c r="L1082" s="17"/>
    </row>
    <row r="1083" spans="1:12" x14ac:dyDescent="0.3">
      <c r="A1083" s="1"/>
      <c r="B1083" s="1"/>
      <c r="C1083" s="1"/>
      <c r="D1083" s="4"/>
      <c r="E1083" s="4"/>
      <c r="F1083" s="10"/>
      <c r="G1083" s="9"/>
      <c r="I1083" s="4"/>
      <c r="J1083" s="17"/>
      <c r="K1083" s="17"/>
      <c r="L1083" s="17"/>
    </row>
    <row r="1084" spans="1:12" x14ac:dyDescent="0.3">
      <c r="A1084" s="1"/>
      <c r="B1084" s="1"/>
      <c r="C1084" s="1"/>
      <c r="D1084" s="4"/>
      <c r="E1084" s="4"/>
      <c r="F1084" s="10"/>
      <c r="G1084" s="9"/>
      <c r="I1084" s="4"/>
      <c r="J1084" s="17"/>
      <c r="K1084" s="17"/>
      <c r="L1084" s="17"/>
    </row>
    <row r="1085" spans="1:12" x14ac:dyDescent="0.3">
      <c r="A1085" s="1"/>
      <c r="B1085" s="1"/>
      <c r="C1085" s="1"/>
      <c r="D1085" s="4"/>
      <c r="E1085" s="4"/>
      <c r="F1085" s="10"/>
      <c r="G1085" s="9"/>
      <c r="I1085" s="4"/>
      <c r="J1085" s="17"/>
      <c r="K1085" s="17"/>
      <c r="L1085" s="17"/>
    </row>
    <row r="1086" spans="1:12" x14ac:dyDescent="0.3">
      <c r="A1086" s="1"/>
      <c r="B1086" s="1"/>
      <c r="C1086" s="1"/>
      <c r="D1086" s="4"/>
      <c r="E1086" s="4"/>
      <c r="F1086" s="10"/>
      <c r="G1086" s="9"/>
      <c r="I1086" s="4"/>
      <c r="J1086" s="17"/>
      <c r="K1086" s="17"/>
      <c r="L1086" s="17"/>
    </row>
    <row r="1087" spans="1:12" x14ac:dyDescent="0.3">
      <c r="A1087" s="1"/>
      <c r="B1087" s="1"/>
      <c r="C1087" s="1"/>
      <c r="D1087" s="4"/>
      <c r="E1087" s="4"/>
      <c r="F1087" s="10"/>
      <c r="G1087" s="9"/>
      <c r="I1087" s="4"/>
      <c r="J1087" s="17"/>
      <c r="K1087" s="17"/>
      <c r="L1087" s="17"/>
    </row>
    <row r="1088" spans="1:12" x14ac:dyDescent="0.3">
      <c r="A1088" s="1"/>
      <c r="B1088" s="1"/>
      <c r="C1088" s="1"/>
      <c r="D1088" s="4"/>
      <c r="E1088" s="4"/>
      <c r="F1088" s="10"/>
      <c r="G1088" s="9"/>
      <c r="I1088" s="4"/>
      <c r="J1088" s="17"/>
      <c r="K1088" s="17"/>
      <c r="L1088" s="17"/>
    </row>
    <row r="1089" spans="1:12" x14ac:dyDescent="0.3">
      <c r="A1089" s="1"/>
      <c r="B1089" s="1"/>
      <c r="C1089" s="1"/>
      <c r="D1089" s="4"/>
      <c r="E1089" s="4"/>
      <c r="F1089" s="10"/>
      <c r="G1089" s="9"/>
      <c r="I1089" s="4"/>
      <c r="J1089" s="17"/>
      <c r="K1089" s="17"/>
      <c r="L1089" s="17"/>
    </row>
    <row r="1090" spans="1:12" x14ac:dyDescent="0.3">
      <c r="A1090" s="1"/>
      <c r="B1090" s="1"/>
      <c r="C1090" s="1"/>
      <c r="D1090" s="4"/>
      <c r="E1090" s="4"/>
      <c r="F1090" s="10"/>
      <c r="G1090" s="9"/>
      <c r="I1090" s="4"/>
      <c r="J1090" s="17"/>
      <c r="K1090" s="17"/>
      <c r="L1090" s="17"/>
    </row>
    <row r="1091" spans="1:12" x14ac:dyDescent="0.3">
      <c r="A1091" s="1"/>
      <c r="B1091" s="1"/>
      <c r="C1091" s="1"/>
      <c r="D1091" s="4"/>
      <c r="E1091" s="4"/>
      <c r="F1091" s="10"/>
      <c r="G1091" s="9"/>
      <c r="I1091" s="4"/>
      <c r="J1091" s="17"/>
      <c r="K1091" s="17"/>
      <c r="L1091" s="17"/>
    </row>
    <row r="1092" spans="1:12" x14ac:dyDescent="0.3">
      <c r="A1092" s="1"/>
      <c r="B1092" s="1"/>
      <c r="C1092" s="1"/>
      <c r="D1092" s="4"/>
      <c r="E1092" s="4"/>
      <c r="F1092" s="10"/>
      <c r="G1092" s="9"/>
      <c r="I1092" s="4"/>
      <c r="J1092" s="17"/>
      <c r="K1092" s="17"/>
      <c r="L1092" s="17"/>
    </row>
    <row r="1093" spans="1:12" x14ac:dyDescent="0.3">
      <c r="A1093" s="1"/>
      <c r="B1093" s="1"/>
      <c r="C1093" s="1"/>
      <c r="D1093" s="4"/>
      <c r="E1093" s="4"/>
      <c r="F1093" s="10"/>
      <c r="G1093" s="9"/>
      <c r="I1093" s="4"/>
      <c r="J1093" s="17"/>
      <c r="K1093" s="17"/>
      <c r="L1093" s="17"/>
    </row>
    <row r="1094" spans="1:12" x14ac:dyDescent="0.3">
      <c r="A1094" s="1"/>
      <c r="B1094" s="1"/>
      <c r="C1094" s="1"/>
      <c r="D1094" s="4"/>
      <c r="E1094" s="4"/>
      <c r="F1094" s="10"/>
      <c r="G1094" s="9"/>
      <c r="I1094" s="4"/>
      <c r="J1094" s="17"/>
      <c r="K1094" s="17"/>
      <c r="L1094" s="17"/>
    </row>
    <row r="1095" spans="1:12" x14ac:dyDescent="0.3">
      <c r="A1095" s="1"/>
      <c r="B1095" s="1"/>
      <c r="C1095" s="1"/>
      <c r="D1095" s="4"/>
      <c r="E1095" s="4"/>
      <c r="F1095" s="10"/>
      <c r="G1095" s="9"/>
      <c r="I1095" s="4"/>
      <c r="J1095" s="17"/>
      <c r="K1095" s="17"/>
      <c r="L1095" s="17"/>
    </row>
    <row r="1096" spans="1:12" x14ac:dyDescent="0.3">
      <c r="A1096" s="1"/>
      <c r="B1096" s="1"/>
      <c r="C1096" s="1"/>
      <c r="D1096" s="4"/>
      <c r="E1096" s="4"/>
      <c r="F1096" s="10"/>
      <c r="G1096" s="9"/>
      <c r="I1096" s="4"/>
      <c r="J1096" s="17"/>
      <c r="K1096" s="17"/>
      <c r="L1096" s="17"/>
    </row>
    <row r="1097" spans="1:12" x14ac:dyDescent="0.3">
      <c r="A1097" s="1"/>
      <c r="B1097" s="1"/>
      <c r="C1097" s="1"/>
      <c r="D1097" s="4"/>
      <c r="E1097" s="4"/>
      <c r="F1097" s="10"/>
      <c r="G1097" s="9"/>
      <c r="I1097" s="4"/>
      <c r="J1097" s="17"/>
      <c r="K1097" s="17"/>
      <c r="L1097" s="17"/>
    </row>
    <row r="1098" spans="1:12" x14ac:dyDescent="0.3">
      <c r="A1098" s="1"/>
      <c r="B1098" s="1"/>
      <c r="C1098" s="1"/>
      <c r="D1098" s="4"/>
      <c r="E1098" s="4"/>
      <c r="F1098" s="10"/>
      <c r="G1098" s="9"/>
      <c r="I1098" s="4"/>
      <c r="J1098" s="17"/>
      <c r="K1098" s="17"/>
      <c r="L1098" s="17"/>
    </row>
    <row r="1099" spans="1:12" x14ac:dyDescent="0.3">
      <c r="A1099" s="1"/>
      <c r="B1099" s="1"/>
      <c r="C1099" s="1"/>
      <c r="D1099" s="4"/>
      <c r="E1099" s="4"/>
      <c r="F1099" s="10"/>
      <c r="G1099" s="9"/>
      <c r="I1099" s="4"/>
      <c r="J1099" s="17"/>
      <c r="K1099" s="17"/>
      <c r="L1099" s="17"/>
    </row>
    <row r="1100" spans="1:12" x14ac:dyDescent="0.3">
      <c r="A1100" s="1"/>
      <c r="B1100" s="1"/>
      <c r="C1100" s="1"/>
      <c r="D1100" s="4"/>
      <c r="E1100" s="4"/>
      <c r="F1100" s="10"/>
      <c r="G1100" s="9"/>
      <c r="I1100" s="4"/>
      <c r="J1100" s="17"/>
      <c r="K1100" s="17"/>
      <c r="L1100" s="17"/>
    </row>
    <row r="1101" spans="1:12" x14ac:dyDescent="0.3">
      <c r="A1101" s="1"/>
      <c r="B1101" s="1"/>
      <c r="C1101" s="1"/>
      <c r="D1101" s="4"/>
      <c r="E1101" s="4"/>
      <c r="F1101" s="10"/>
      <c r="G1101" s="9"/>
      <c r="I1101" s="4"/>
      <c r="J1101" s="17"/>
      <c r="K1101" s="17"/>
      <c r="L1101" s="17"/>
    </row>
    <row r="1102" spans="1:12" x14ac:dyDescent="0.3">
      <c r="A1102" s="1"/>
      <c r="B1102" s="1"/>
      <c r="C1102" s="1"/>
      <c r="D1102" s="4"/>
      <c r="E1102" s="4"/>
      <c r="F1102" s="10"/>
      <c r="G1102" s="9"/>
      <c r="I1102" s="4"/>
      <c r="J1102" s="17"/>
      <c r="K1102" s="17"/>
      <c r="L1102" s="17"/>
    </row>
    <row r="1103" spans="1:12" x14ac:dyDescent="0.3">
      <c r="A1103" s="1"/>
      <c r="B1103" s="1"/>
      <c r="C1103" s="1"/>
      <c r="D1103" s="4"/>
      <c r="E1103" s="4"/>
      <c r="F1103" s="10"/>
      <c r="G1103" s="9"/>
      <c r="I1103" s="4"/>
      <c r="J1103" s="17"/>
      <c r="K1103" s="17"/>
      <c r="L1103" s="17"/>
    </row>
    <row r="1104" spans="1:12" x14ac:dyDescent="0.3">
      <c r="A1104" s="1"/>
      <c r="B1104" s="1"/>
      <c r="C1104" s="1"/>
      <c r="D1104" s="4"/>
      <c r="E1104" s="4"/>
      <c r="F1104" s="10"/>
      <c r="G1104" s="9"/>
      <c r="I1104" s="4"/>
      <c r="J1104" s="17"/>
      <c r="K1104" s="17"/>
      <c r="L1104" s="17"/>
    </row>
    <row r="1105" spans="1:12" x14ac:dyDescent="0.3">
      <c r="A1105" s="1"/>
      <c r="B1105" s="1"/>
      <c r="C1105" s="1"/>
      <c r="D1105" s="4"/>
      <c r="E1105" s="4"/>
      <c r="F1105" s="10"/>
      <c r="G1105" s="9"/>
      <c r="I1105" s="4"/>
      <c r="J1105" s="17"/>
      <c r="K1105" s="17"/>
      <c r="L1105" s="17"/>
    </row>
    <row r="1106" spans="1:12" x14ac:dyDescent="0.3">
      <c r="A1106" s="1"/>
      <c r="B1106" s="1"/>
      <c r="C1106" s="1"/>
      <c r="D1106" s="4"/>
      <c r="E1106" s="4"/>
      <c r="F1106" s="10"/>
      <c r="G1106" s="9"/>
      <c r="I1106" s="4"/>
      <c r="J1106" s="17"/>
      <c r="K1106" s="17"/>
      <c r="L1106" s="17"/>
    </row>
    <row r="1107" spans="1:12" x14ac:dyDescent="0.3">
      <c r="A1107" s="1"/>
      <c r="B1107" s="1"/>
      <c r="C1107" s="1"/>
      <c r="D1107" s="4"/>
      <c r="E1107" s="4"/>
      <c r="F1107" s="10"/>
      <c r="G1107" s="9"/>
      <c r="I1107" s="4"/>
      <c r="J1107" s="17"/>
      <c r="K1107" s="17"/>
      <c r="L1107" s="17"/>
    </row>
    <row r="1108" spans="1:12" x14ac:dyDescent="0.3">
      <c r="A1108" s="1"/>
      <c r="B1108" s="1"/>
      <c r="C1108" s="1"/>
      <c r="D1108" s="4"/>
      <c r="E1108" s="4"/>
      <c r="F1108" s="10"/>
      <c r="G1108" s="9"/>
      <c r="I1108" s="4"/>
      <c r="J1108" s="17"/>
      <c r="K1108" s="17"/>
      <c r="L1108" s="17"/>
    </row>
    <row r="1109" spans="1:12" x14ac:dyDescent="0.3">
      <c r="A1109" s="1"/>
      <c r="B1109" s="1"/>
      <c r="C1109" s="1"/>
      <c r="D1109" s="4"/>
      <c r="E1109" s="4"/>
      <c r="F1109" s="10"/>
      <c r="G1109" s="9"/>
      <c r="I1109" s="4"/>
      <c r="J1109" s="17"/>
      <c r="K1109" s="17"/>
      <c r="L1109" s="17"/>
    </row>
    <row r="1110" spans="1:12" x14ac:dyDescent="0.3">
      <c r="A1110" s="1"/>
      <c r="B1110" s="1"/>
      <c r="C1110" s="1"/>
      <c r="D1110" s="4"/>
      <c r="E1110" s="4"/>
      <c r="F1110" s="10"/>
      <c r="G1110" s="9"/>
      <c r="I1110" s="4"/>
      <c r="J1110" s="17"/>
      <c r="K1110" s="17"/>
      <c r="L1110" s="17"/>
    </row>
    <row r="1111" spans="1:12" x14ac:dyDescent="0.3">
      <c r="A1111" s="1"/>
      <c r="B1111" s="1"/>
      <c r="C1111" s="1"/>
      <c r="D1111" s="4"/>
      <c r="E1111" s="4"/>
      <c r="F1111" s="10"/>
      <c r="G1111" s="9"/>
      <c r="I1111" s="4"/>
      <c r="J1111" s="17"/>
      <c r="K1111" s="17"/>
      <c r="L1111" s="17"/>
    </row>
    <row r="1112" spans="1:12" x14ac:dyDescent="0.3">
      <c r="A1112" s="1"/>
      <c r="B1112" s="1"/>
      <c r="C1112" s="1"/>
      <c r="D1112" s="4"/>
      <c r="E1112" s="4"/>
      <c r="F1112" s="10"/>
      <c r="G1112" s="9"/>
      <c r="I1112" s="4"/>
      <c r="J1112" s="17"/>
      <c r="K1112" s="17"/>
      <c r="L1112" s="17"/>
    </row>
    <row r="1113" spans="1:12" x14ac:dyDescent="0.3">
      <c r="A1113" s="1"/>
      <c r="B1113" s="1"/>
      <c r="C1113" s="1"/>
      <c r="D1113" s="4"/>
      <c r="E1113" s="4"/>
      <c r="F1113" s="10"/>
      <c r="G1113" s="9"/>
      <c r="I1113" s="4"/>
      <c r="J1113" s="17"/>
      <c r="K1113" s="17"/>
      <c r="L1113" s="17"/>
    </row>
    <row r="1114" spans="1:12" x14ac:dyDescent="0.3">
      <c r="A1114" s="1"/>
      <c r="B1114" s="1"/>
      <c r="C1114" s="1"/>
      <c r="D1114" s="4"/>
      <c r="E1114" s="4"/>
      <c r="F1114" s="10"/>
      <c r="G1114" s="9"/>
      <c r="I1114" s="4"/>
      <c r="J1114" s="17"/>
      <c r="K1114" s="17"/>
      <c r="L1114" s="17"/>
    </row>
    <row r="1115" spans="1:12" x14ac:dyDescent="0.3">
      <c r="A1115" s="1"/>
      <c r="B1115" s="1"/>
      <c r="C1115" s="1"/>
      <c r="D1115" s="4"/>
      <c r="E1115" s="4"/>
      <c r="F1115" s="10"/>
      <c r="G1115" s="9"/>
      <c r="I1115" s="4"/>
      <c r="J1115" s="17"/>
      <c r="K1115" s="17"/>
      <c r="L1115" s="17"/>
    </row>
    <row r="1116" spans="1:12" x14ac:dyDescent="0.3">
      <c r="A1116" s="1"/>
      <c r="B1116" s="1"/>
      <c r="C1116" s="1"/>
      <c r="D1116" s="4"/>
      <c r="E1116" s="4"/>
      <c r="F1116" s="10"/>
      <c r="G1116" s="9"/>
      <c r="I1116" s="4"/>
      <c r="J1116" s="17"/>
      <c r="K1116" s="17"/>
      <c r="L1116" s="17"/>
    </row>
    <row r="1117" spans="1:12" x14ac:dyDescent="0.3">
      <c r="A1117" s="1"/>
      <c r="B1117" s="1"/>
      <c r="C1117" s="1"/>
      <c r="D1117" s="4"/>
      <c r="E1117" s="4"/>
      <c r="F1117" s="10"/>
      <c r="G1117" s="9"/>
      <c r="I1117" s="4"/>
      <c r="J1117" s="17"/>
      <c r="K1117" s="17"/>
      <c r="L1117" s="17"/>
    </row>
    <row r="1118" spans="1:12" x14ac:dyDescent="0.3">
      <c r="A1118" s="1"/>
      <c r="B1118" s="1"/>
      <c r="C1118" s="1"/>
      <c r="D1118" s="4"/>
      <c r="E1118" s="4"/>
      <c r="F1118" s="10"/>
      <c r="G1118" s="9"/>
      <c r="I1118" s="4"/>
      <c r="J1118" s="17"/>
      <c r="K1118" s="17"/>
      <c r="L1118" s="17"/>
    </row>
    <row r="1119" spans="1:12" x14ac:dyDescent="0.3">
      <c r="A1119" s="1"/>
      <c r="B1119" s="1"/>
      <c r="C1119" s="1"/>
      <c r="D1119" s="4"/>
      <c r="E1119" s="4"/>
      <c r="F1119" s="10"/>
      <c r="G1119" s="9"/>
      <c r="I1119" s="4"/>
      <c r="J1119" s="17"/>
      <c r="K1119" s="17"/>
      <c r="L1119" s="17"/>
    </row>
    <row r="1120" spans="1:12" x14ac:dyDescent="0.3">
      <c r="A1120" s="1"/>
      <c r="B1120" s="1"/>
      <c r="C1120" s="1"/>
      <c r="D1120" s="4"/>
      <c r="E1120" s="4"/>
      <c r="F1120" s="10"/>
      <c r="G1120" s="9"/>
      <c r="I1120" s="4"/>
      <c r="J1120" s="17"/>
      <c r="K1120" s="17"/>
      <c r="L1120" s="17"/>
    </row>
    <row r="1121" spans="1:12" x14ac:dyDescent="0.3">
      <c r="A1121" s="1"/>
      <c r="B1121" s="1"/>
      <c r="C1121" s="1"/>
      <c r="D1121" s="4"/>
      <c r="E1121" s="4"/>
      <c r="F1121" s="10"/>
      <c r="G1121" s="9"/>
      <c r="I1121" s="4"/>
      <c r="J1121" s="17"/>
      <c r="K1121" s="17"/>
      <c r="L1121" s="17"/>
    </row>
    <row r="1122" spans="1:12" x14ac:dyDescent="0.3">
      <c r="A1122" s="1"/>
      <c r="B1122" s="1"/>
      <c r="C1122" s="1"/>
      <c r="D1122" s="4"/>
      <c r="E1122" s="4"/>
      <c r="F1122" s="10"/>
      <c r="G1122" s="9"/>
      <c r="I1122" s="4"/>
      <c r="J1122" s="17"/>
      <c r="K1122" s="17"/>
      <c r="L1122" s="17"/>
    </row>
    <row r="1123" spans="1:12" x14ac:dyDescent="0.3">
      <c r="A1123" s="1"/>
      <c r="B1123" s="1"/>
      <c r="C1123" s="1"/>
      <c r="D1123" s="4"/>
      <c r="E1123" s="4"/>
      <c r="F1123" s="10"/>
      <c r="G1123" s="9"/>
      <c r="I1123" s="4"/>
      <c r="J1123" s="17"/>
      <c r="K1123" s="17"/>
      <c r="L1123" s="17"/>
    </row>
    <row r="1124" spans="1:12" x14ac:dyDescent="0.3">
      <c r="A1124" s="1"/>
      <c r="B1124" s="1"/>
      <c r="C1124" s="1"/>
      <c r="D1124" s="4"/>
      <c r="E1124" s="4"/>
      <c r="F1124" s="10"/>
      <c r="G1124" s="9"/>
      <c r="I1124" s="4"/>
      <c r="J1124" s="17"/>
      <c r="K1124" s="17"/>
      <c r="L1124" s="17"/>
    </row>
    <row r="1125" spans="1:12" x14ac:dyDescent="0.3">
      <c r="A1125" s="1"/>
      <c r="B1125" s="1"/>
      <c r="C1125" s="1"/>
      <c r="D1125" s="4"/>
      <c r="E1125" s="4"/>
      <c r="F1125" s="10"/>
      <c r="G1125" s="9"/>
      <c r="I1125" s="4"/>
      <c r="J1125" s="17"/>
      <c r="K1125" s="17"/>
      <c r="L1125" s="17"/>
    </row>
    <row r="1126" spans="1:12" x14ac:dyDescent="0.3">
      <c r="A1126" s="1"/>
      <c r="B1126" s="1"/>
      <c r="C1126" s="1"/>
      <c r="D1126" s="4"/>
      <c r="E1126" s="4"/>
      <c r="F1126" s="10"/>
      <c r="G1126" s="9"/>
      <c r="I1126" s="4"/>
      <c r="J1126" s="17"/>
      <c r="K1126" s="17"/>
      <c r="L1126" s="17"/>
    </row>
    <row r="1127" spans="1:12" x14ac:dyDescent="0.3">
      <c r="A1127" s="1"/>
      <c r="B1127" s="1"/>
      <c r="C1127" s="1"/>
      <c r="D1127" s="4"/>
      <c r="E1127" s="4"/>
      <c r="F1127" s="10"/>
      <c r="G1127" s="9"/>
      <c r="I1127" s="4"/>
      <c r="J1127" s="17"/>
      <c r="K1127" s="17"/>
      <c r="L1127" s="17"/>
    </row>
    <row r="1128" spans="1:12" x14ac:dyDescent="0.3">
      <c r="A1128" s="1"/>
      <c r="B1128" s="1"/>
      <c r="C1128" s="1"/>
      <c r="D1128" s="4"/>
      <c r="E1128" s="4"/>
      <c r="F1128" s="10"/>
      <c r="G1128" s="9"/>
      <c r="I1128" s="4"/>
      <c r="J1128" s="17"/>
      <c r="K1128" s="17"/>
      <c r="L1128" s="17"/>
    </row>
    <row r="1129" spans="1:12" x14ac:dyDescent="0.3">
      <c r="A1129" s="1"/>
      <c r="B1129" s="1"/>
      <c r="C1129" s="1"/>
      <c r="D1129" s="4"/>
      <c r="E1129" s="4"/>
      <c r="F1129" s="10"/>
      <c r="G1129" s="9"/>
      <c r="I1129" s="4"/>
      <c r="J1129" s="17"/>
      <c r="K1129" s="17"/>
      <c r="L1129" s="17"/>
    </row>
    <row r="1130" spans="1:12" x14ac:dyDescent="0.3">
      <c r="A1130" s="1"/>
      <c r="B1130" s="1"/>
      <c r="C1130" s="1"/>
      <c r="D1130" s="4"/>
      <c r="E1130" s="4"/>
      <c r="F1130" s="10"/>
      <c r="G1130" s="9"/>
      <c r="I1130" s="4"/>
      <c r="J1130" s="17"/>
      <c r="K1130" s="17"/>
      <c r="L1130" s="17"/>
    </row>
    <row r="1131" spans="1:12" x14ac:dyDescent="0.3">
      <c r="A1131" s="1"/>
      <c r="B1131" s="1"/>
      <c r="C1131" s="1"/>
      <c r="D1131" s="4"/>
      <c r="E1131" s="4"/>
      <c r="F1131" s="10"/>
      <c r="G1131" s="9"/>
      <c r="I1131" s="4"/>
      <c r="J1131" s="17"/>
      <c r="K1131" s="17"/>
      <c r="L1131" s="17"/>
    </row>
    <row r="1132" spans="1:12" x14ac:dyDescent="0.3">
      <c r="A1132" s="1"/>
      <c r="B1132" s="1"/>
      <c r="C1132" s="1"/>
      <c r="D1132" s="4"/>
      <c r="E1132" s="4"/>
      <c r="F1132" s="10"/>
      <c r="G1132" s="9"/>
      <c r="I1132" s="4"/>
      <c r="J1132" s="17"/>
      <c r="K1132" s="17"/>
      <c r="L1132" s="17"/>
    </row>
    <row r="1133" spans="1:12" x14ac:dyDescent="0.3">
      <c r="A1133" s="1"/>
      <c r="B1133" s="1"/>
      <c r="C1133" s="1"/>
      <c r="D1133" s="4"/>
      <c r="E1133" s="4"/>
      <c r="F1133" s="10"/>
      <c r="G1133" s="9"/>
      <c r="I1133" s="4"/>
      <c r="J1133" s="17"/>
      <c r="K1133" s="17"/>
      <c r="L1133" s="17"/>
    </row>
    <row r="1134" spans="1:12" x14ac:dyDescent="0.3">
      <c r="A1134" s="1"/>
      <c r="B1134" s="1"/>
      <c r="C1134" s="1"/>
      <c r="D1134" s="4"/>
      <c r="E1134" s="4"/>
      <c r="F1134" s="10"/>
      <c r="G1134" s="9"/>
      <c r="I1134" s="4"/>
      <c r="J1134" s="17"/>
      <c r="K1134" s="17"/>
      <c r="L1134" s="17"/>
    </row>
    <row r="1135" spans="1:12" x14ac:dyDescent="0.3">
      <c r="A1135" s="1"/>
      <c r="B1135" s="1"/>
      <c r="C1135" s="1"/>
      <c r="D1135" s="4"/>
      <c r="E1135" s="4"/>
      <c r="F1135" s="10"/>
      <c r="G1135" s="9"/>
      <c r="I1135" s="4"/>
      <c r="J1135" s="17"/>
      <c r="K1135" s="17"/>
      <c r="L1135" s="17"/>
    </row>
    <row r="1136" spans="1:12" x14ac:dyDescent="0.3">
      <c r="A1136" s="1"/>
      <c r="B1136" s="1"/>
      <c r="C1136" s="1"/>
      <c r="D1136" s="4"/>
      <c r="E1136" s="4"/>
      <c r="F1136" s="10"/>
      <c r="G1136" s="9"/>
      <c r="I1136" s="4"/>
      <c r="J1136" s="17"/>
      <c r="K1136" s="17"/>
      <c r="L1136" s="17"/>
    </row>
    <row r="1137" spans="1:12" x14ac:dyDescent="0.3">
      <c r="A1137" s="1"/>
      <c r="B1137" s="1"/>
      <c r="C1137" s="1"/>
      <c r="D1137" s="4"/>
      <c r="E1137" s="4"/>
      <c r="F1137" s="10"/>
      <c r="G1137" s="9"/>
      <c r="I1137" s="4"/>
      <c r="J1137" s="17"/>
      <c r="K1137" s="17"/>
      <c r="L1137" s="17"/>
    </row>
    <row r="1138" spans="1:12" x14ac:dyDescent="0.3">
      <c r="A1138" s="1"/>
      <c r="B1138" s="1"/>
      <c r="C1138" s="1"/>
      <c r="D1138" s="4"/>
      <c r="E1138" s="4"/>
      <c r="F1138" s="10"/>
      <c r="G1138" s="9"/>
      <c r="I1138" s="4"/>
      <c r="J1138" s="17"/>
      <c r="K1138" s="17"/>
      <c r="L1138" s="17"/>
    </row>
    <row r="1139" spans="1:12" x14ac:dyDescent="0.3">
      <c r="A1139" s="1"/>
      <c r="B1139" s="1"/>
      <c r="C1139" s="1"/>
      <c r="D1139" s="4"/>
      <c r="E1139" s="4"/>
      <c r="F1139" s="10"/>
      <c r="G1139" s="9"/>
      <c r="I1139" s="4"/>
      <c r="J1139" s="17"/>
      <c r="K1139" s="17"/>
      <c r="L1139" s="17"/>
    </row>
    <row r="1140" spans="1:12" x14ac:dyDescent="0.3">
      <c r="A1140" s="1"/>
      <c r="B1140" s="1"/>
      <c r="C1140" s="1"/>
      <c r="D1140" s="4"/>
      <c r="E1140" s="4"/>
      <c r="F1140" s="10"/>
      <c r="G1140" s="9"/>
      <c r="I1140" s="4"/>
      <c r="J1140" s="17"/>
      <c r="K1140" s="17"/>
      <c r="L1140" s="17"/>
    </row>
    <row r="1141" spans="1:12" x14ac:dyDescent="0.3">
      <c r="A1141" s="1"/>
      <c r="B1141" s="1"/>
      <c r="C1141" s="1"/>
      <c r="D1141" s="4"/>
      <c r="E1141" s="4"/>
      <c r="F1141" s="10"/>
      <c r="G1141" s="9"/>
      <c r="I1141" s="4"/>
      <c r="J1141" s="17"/>
      <c r="K1141" s="17"/>
      <c r="L1141" s="17"/>
    </row>
    <row r="1142" spans="1:12" x14ac:dyDescent="0.3">
      <c r="A1142" s="1"/>
      <c r="B1142" s="1"/>
      <c r="C1142" s="1"/>
      <c r="D1142" s="4"/>
      <c r="E1142" s="4"/>
      <c r="F1142" s="10"/>
      <c r="G1142" s="9"/>
      <c r="I1142" s="4"/>
      <c r="J1142" s="17"/>
      <c r="K1142" s="17"/>
      <c r="L1142" s="17"/>
    </row>
    <row r="1143" spans="1:12" x14ac:dyDescent="0.3">
      <c r="A1143" s="1"/>
      <c r="B1143" s="1"/>
      <c r="C1143" s="1"/>
      <c r="D1143" s="4"/>
      <c r="E1143" s="4"/>
      <c r="F1143" s="10"/>
      <c r="G1143" s="9"/>
      <c r="I1143" s="4"/>
      <c r="J1143" s="17"/>
      <c r="K1143" s="17"/>
      <c r="L1143" s="17"/>
    </row>
    <row r="1144" spans="1:12" x14ac:dyDescent="0.3">
      <c r="A1144" s="1"/>
      <c r="B1144" s="1"/>
      <c r="C1144" s="1"/>
      <c r="D1144" s="4"/>
      <c r="E1144" s="4"/>
      <c r="F1144" s="10"/>
      <c r="G1144" s="9"/>
      <c r="I1144" s="4"/>
      <c r="J1144" s="17"/>
      <c r="K1144" s="17"/>
      <c r="L1144" s="17"/>
    </row>
    <row r="1145" spans="1:12" x14ac:dyDescent="0.3">
      <c r="A1145" s="1"/>
      <c r="B1145" s="1"/>
      <c r="C1145" s="1"/>
      <c r="D1145" s="4"/>
      <c r="E1145" s="4"/>
      <c r="F1145" s="10"/>
      <c r="G1145" s="9"/>
      <c r="I1145" s="4"/>
      <c r="J1145" s="17"/>
      <c r="K1145" s="17"/>
      <c r="L1145" s="17"/>
    </row>
    <row r="1146" spans="1:12" x14ac:dyDescent="0.3">
      <c r="A1146" s="1"/>
      <c r="B1146" s="1"/>
      <c r="C1146" s="1"/>
      <c r="D1146" s="4"/>
      <c r="E1146" s="4"/>
      <c r="F1146" s="10"/>
      <c r="G1146" s="9"/>
      <c r="I1146" s="4"/>
      <c r="J1146" s="17"/>
      <c r="K1146" s="17"/>
      <c r="L1146" s="17"/>
    </row>
    <row r="1147" spans="1:12" x14ac:dyDescent="0.3">
      <c r="A1147" s="1"/>
      <c r="B1147" s="1"/>
      <c r="C1147" s="1"/>
      <c r="D1147" s="4"/>
      <c r="E1147" s="4"/>
      <c r="F1147" s="10"/>
      <c r="G1147" s="9"/>
      <c r="I1147" s="4"/>
      <c r="J1147" s="17"/>
      <c r="K1147" s="17"/>
      <c r="L1147" s="17"/>
    </row>
  </sheetData>
  <phoneticPr fontId="1" type="noConversion"/>
  <conditionalFormatting sqref="J1:L1048576">
    <cfRule type="dataBar" priority="3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{D02E1710-10D7-4F94-98BA-DB03C6E3E185}</x14:id>
        </ext>
      </extLst>
    </cfRule>
  </conditionalFormatting>
  <conditionalFormatting sqref="M2:M1147">
    <cfRule type="dataBar" priority="1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{4C755500-7855-4C1E-AFB4-30F7C1BAAB6F}</x14:id>
        </ext>
      </extLst>
    </cfRule>
  </conditionalFormatting>
  <pageMargins left="0.7" right="0.7" top="0.75" bottom="0.75" header="0.3" footer="0.3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02E1710-10D7-4F94-98BA-DB03C6E3E185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J1:L1048576</xm:sqref>
        </x14:conditionalFormatting>
        <x14:conditionalFormatting xmlns:xm="http://schemas.microsoft.com/office/excel/2006/main">
          <x14:cfRule type="dataBar" id="{4C755500-7855-4C1E-AFB4-30F7C1BAAB6F}">
            <x14:dataBar minLength="0" maxLength="100" border="1" negativeBarBorderColorSameAsPositive="0">
              <x14:cfvo type="autoMin"/>
              <x14:cfvo type="autoMax"/>
              <x14:borderColor rgb="FFFFB628"/>
              <x14:negativeFillColor rgb="FFFF0000"/>
              <x14:negativeBorderColor rgb="FFFF0000"/>
              <x14:axisColor rgb="FF000000"/>
            </x14:dataBar>
          </x14:cfRule>
          <xm:sqref>M2:M1147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</vt:i4>
      </vt:variant>
    </vt:vector>
  </HeadingPairs>
  <TitlesOfParts>
    <vt:vector size="1" baseType="lpstr">
      <vt:lpstr>Data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윤준혁</cp:lastModifiedBy>
  <dcterms:created xsi:type="dcterms:W3CDTF">2024-05-16T15:21:07Z</dcterms:created>
  <dcterms:modified xsi:type="dcterms:W3CDTF">2025-10-11T17:01:18Z</dcterms:modified>
</cp:coreProperties>
</file>