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space\YMAMiniGames\YMAMinigame\Assets\AddressableResource\Data\Excels\"/>
    </mc:Choice>
  </mc:AlternateContent>
  <xr:revisionPtr revIDLastSave="0" documentId="13_ncr:1_{53ADB77C-7CB2-4D1F-8254-633CDE1A35E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1" i="1" l="1"/>
  <c r="K101" i="1"/>
  <c r="L101" i="1"/>
  <c r="M101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8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6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42" i="1"/>
  <c r="G4" i="1"/>
  <c r="G5" i="1"/>
  <c r="G6" i="1"/>
  <c r="G7" i="1"/>
  <c r="M7" i="1" s="1"/>
  <c r="G8" i="1"/>
  <c r="G9" i="1"/>
  <c r="G10" i="1"/>
  <c r="G11" i="1"/>
  <c r="G12" i="1"/>
  <c r="G13" i="1"/>
  <c r="G14" i="1"/>
  <c r="G15" i="1"/>
  <c r="M15" i="1" s="1"/>
  <c r="G16" i="1"/>
  <c r="M16" i="1" s="1"/>
  <c r="G17" i="1"/>
  <c r="M17" i="1" s="1"/>
  <c r="G18" i="1"/>
  <c r="M18" i="1" s="1"/>
  <c r="G19" i="1"/>
  <c r="G20" i="1"/>
  <c r="G21" i="1"/>
  <c r="G22" i="1"/>
  <c r="G23" i="1"/>
  <c r="G24" i="1"/>
  <c r="M24" i="1" s="1"/>
  <c r="G25" i="1"/>
  <c r="M25" i="1" s="1"/>
  <c r="G26" i="1"/>
  <c r="M26" i="1" s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3" i="1"/>
  <c r="M9" i="1"/>
  <c r="M10" i="1"/>
  <c r="M11" i="1"/>
  <c r="M12" i="1"/>
  <c r="M13" i="1"/>
  <c r="M14" i="1"/>
  <c r="M3" i="1"/>
  <c r="I2" i="1"/>
  <c r="J2" i="1"/>
  <c r="K2" i="1"/>
  <c r="L2" i="1"/>
  <c r="M2" i="1"/>
  <c r="M4" i="1"/>
  <c r="M5" i="1"/>
  <c r="M6" i="1"/>
  <c r="M8" i="1"/>
  <c r="L4" i="1"/>
  <c r="L5" i="1"/>
  <c r="L6" i="1"/>
  <c r="L7" i="1"/>
  <c r="L8" i="1"/>
  <c r="J9" i="1"/>
  <c r="K9" i="1"/>
  <c r="L9" i="1"/>
  <c r="J10" i="1"/>
  <c r="K10" i="1"/>
  <c r="L10" i="1"/>
  <c r="L11" i="1"/>
  <c r="L12" i="1"/>
  <c r="L13" i="1"/>
  <c r="L14" i="1"/>
  <c r="L15" i="1"/>
  <c r="L16" i="1"/>
  <c r="K17" i="1"/>
  <c r="L17" i="1"/>
  <c r="J18" i="1"/>
  <c r="K18" i="1"/>
  <c r="L18" i="1"/>
  <c r="L19" i="1"/>
  <c r="L20" i="1"/>
  <c r="L21" i="1"/>
  <c r="L22" i="1"/>
  <c r="J23" i="1"/>
  <c r="J24" i="1"/>
  <c r="L24" i="1"/>
  <c r="J25" i="1"/>
  <c r="L25" i="1"/>
  <c r="J26" i="1"/>
  <c r="J27" i="1"/>
  <c r="J28" i="1"/>
  <c r="J29" i="1"/>
  <c r="J30" i="1"/>
  <c r="J31" i="1"/>
  <c r="J32" i="1"/>
  <c r="L32" i="1"/>
  <c r="J33" i="1"/>
  <c r="L33" i="1"/>
  <c r="J34" i="1"/>
  <c r="J35" i="1"/>
  <c r="J36" i="1"/>
  <c r="J37" i="1"/>
  <c r="J38" i="1"/>
  <c r="J39" i="1"/>
  <c r="J40" i="1"/>
  <c r="L40" i="1"/>
  <c r="J41" i="1"/>
  <c r="L41" i="1"/>
  <c r="J42" i="1"/>
  <c r="K42" i="1"/>
  <c r="L42" i="1"/>
  <c r="J43" i="1"/>
  <c r="J44" i="1"/>
  <c r="J45" i="1"/>
  <c r="J46" i="1"/>
  <c r="J47" i="1"/>
  <c r="J48" i="1"/>
  <c r="L48" i="1"/>
  <c r="J49" i="1"/>
  <c r="L49" i="1"/>
  <c r="J50" i="1"/>
  <c r="J51" i="1"/>
  <c r="J52" i="1"/>
  <c r="J53" i="1"/>
  <c r="J54" i="1"/>
  <c r="J55" i="1"/>
  <c r="J56" i="1"/>
  <c r="L56" i="1"/>
  <c r="J57" i="1"/>
  <c r="L57" i="1"/>
  <c r="J58" i="1"/>
  <c r="J59" i="1"/>
  <c r="J60" i="1"/>
  <c r="J61" i="1"/>
  <c r="J62" i="1"/>
  <c r="K62" i="1"/>
  <c r="L62" i="1"/>
  <c r="J63" i="1"/>
  <c r="L63" i="1"/>
  <c r="J64" i="1"/>
  <c r="L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K82" i="1"/>
  <c r="L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K3" i="1"/>
  <c r="L3" i="1"/>
  <c r="J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D83" i="1"/>
  <c r="D84" i="1" s="1"/>
  <c r="L84" i="1" s="1"/>
  <c r="D63" i="1"/>
  <c r="D64" i="1" s="1"/>
  <c r="D43" i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L61" i="1" s="1"/>
  <c r="D23" i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K22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J22" i="1" s="1"/>
  <c r="M30" i="1" l="1"/>
  <c r="M20" i="1"/>
  <c r="M21" i="1"/>
  <c r="M22" i="1"/>
  <c r="M19" i="1"/>
  <c r="M27" i="1"/>
  <c r="M41" i="1"/>
  <c r="M46" i="1"/>
  <c r="M34" i="1"/>
  <c r="M36" i="1"/>
  <c r="M40" i="1"/>
  <c r="M42" i="1"/>
  <c r="M47" i="1"/>
  <c r="M35" i="1"/>
  <c r="J17" i="1"/>
  <c r="K16" i="1"/>
  <c r="L23" i="1"/>
  <c r="K7" i="1"/>
  <c r="J15" i="1"/>
  <c r="J7" i="1"/>
  <c r="K8" i="1"/>
  <c r="L54" i="1"/>
  <c r="L30" i="1"/>
  <c r="K14" i="1"/>
  <c r="K6" i="1"/>
  <c r="J8" i="1"/>
  <c r="J14" i="1"/>
  <c r="M38" i="1"/>
  <c r="L55" i="1"/>
  <c r="L45" i="1"/>
  <c r="L29" i="1"/>
  <c r="M37" i="1"/>
  <c r="L39" i="1"/>
  <c r="K21" i="1"/>
  <c r="K13" i="1"/>
  <c r="K5" i="1"/>
  <c r="L47" i="1"/>
  <c r="L53" i="1"/>
  <c r="J21" i="1"/>
  <c r="J13" i="1"/>
  <c r="J5" i="1"/>
  <c r="L28" i="1"/>
  <c r="L38" i="1"/>
  <c r="J6" i="1"/>
  <c r="K20" i="1"/>
  <c r="K12" i="1"/>
  <c r="K4" i="1"/>
  <c r="J16" i="1"/>
  <c r="K15" i="1"/>
  <c r="L44" i="1"/>
  <c r="J20" i="1"/>
  <c r="J12" i="1"/>
  <c r="J4" i="1"/>
  <c r="M32" i="1"/>
  <c r="L60" i="1"/>
  <c r="L83" i="1"/>
  <c r="L59" i="1"/>
  <c r="L51" i="1"/>
  <c r="L43" i="1"/>
  <c r="L35" i="1"/>
  <c r="L27" i="1"/>
  <c r="M31" i="1"/>
  <c r="L31" i="1"/>
  <c r="K19" i="1"/>
  <c r="K11" i="1"/>
  <c r="L37" i="1"/>
  <c r="L36" i="1"/>
  <c r="J19" i="1"/>
  <c r="J11" i="1"/>
  <c r="M29" i="1"/>
  <c r="L46" i="1"/>
  <c r="L52" i="1"/>
  <c r="L58" i="1"/>
  <c r="L50" i="1"/>
  <c r="L34" i="1"/>
  <c r="L26" i="1"/>
  <c r="M28" i="1"/>
  <c r="C83" i="1"/>
  <c r="K83" i="1" s="1"/>
  <c r="C43" i="1"/>
  <c r="K43" i="1" s="1"/>
  <c r="C63" i="1"/>
  <c r="K63" i="1" s="1"/>
  <c r="C24" i="1"/>
  <c r="K24" i="1" s="1"/>
  <c r="C23" i="1"/>
  <c r="K23" i="1" s="1"/>
  <c r="C64" i="1"/>
  <c r="K64" i="1" s="1"/>
  <c r="D65" i="1"/>
  <c r="C84" i="1"/>
  <c r="K84" i="1" s="1"/>
  <c r="D85" i="1"/>
  <c r="C45" i="1"/>
  <c r="C4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42" i="1"/>
  <c r="I43" i="1"/>
  <c r="I62" i="1"/>
  <c r="I63" i="1"/>
  <c r="I64" i="1"/>
  <c r="I82" i="1"/>
  <c r="I83" i="1"/>
  <c r="I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M23" i="1" l="1"/>
  <c r="M44" i="1"/>
  <c r="D86" i="1"/>
  <c r="L85" i="1"/>
  <c r="M39" i="1"/>
  <c r="D66" i="1"/>
  <c r="L65" i="1"/>
  <c r="M56" i="1"/>
  <c r="M55" i="1"/>
  <c r="I45" i="1"/>
  <c r="K45" i="1"/>
  <c r="M51" i="1"/>
  <c r="M45" i="1"/>
  <c r="I44" i="1"/>
  <c r="K44" i="1"/>
  <c r="M49" i="1"/>
  <c r="I84" i="1"/>
  <c r="M50" i="1"/>
  <c r="C85" i="1"/>
  <c r="C65" i="1"/>
  <c r="C25" i="1"/>
  <c r="C46" i="1"/>
  <c r="A76" i="1"/>
  <c r="M33" i="1" l="1"/>
  <c r="M60" i="1"/>
  <c r="I25" i="1"/>
  <c r="K25" i="1"/>
  <c r="M52" i="1"/>
  <c r="M64" i="1"/>
  <c r="M58" i="1"/>
  <c r="M54" i="1"/>
  <c r="M65" i="1"/>
  <c r="I46" i="1"/>
  <c r="K46" i="1"/>
  <c r="D67" i="1"/>
  <c r="L66" i="1"/>
  <c r="I65" i="1"/>
  <c r="K65" i="1"/>
  <c r="M48" i="1"/>
  <c r="I85" i="1"/>
  <c r="K85" i="1"/>
  <c r="D87" i="1"/>
  <c r="L86" i="1"/>
  <c r="M59" i="1"/>
  <c r="C86" i="1"/>
  <c r="C66" i="1"/>
  <c r="C26" i="1"/>
  <c r="C47" i="1"/>
  <c r="A77" i="1"/>
  <c r="M43" i="1" l="1"/>
  <c r="M57" i="1"/>
  <c r="D68" i="1"/>
  <c r="L67" i="1"/>
  <c r="M74" i="1"/>
  <c r="I47" i="1"/>
  <c r="K47" i="1"/>
  <c r="I26" i="1"/>
  <c r="K26" i="1"/>
  <c r="M67" i="1"/>
  <c r="I66" i="1"/>
  <c r="K66" i="1"/>
  <c r="I86" i="1"/>
  <c r="K86" i="1"/>
  <c r="M61" i="1"/>
  <c r="M62" i="1"/>
  <c r="M68" i="1"/>
  <c r="D88" i="1"/>
  <c r="L87" i="1"/>
  <c r="M69" i="1"/>
  <c r="C87" i="1"/>
  <c r="C67" i="1"/>
  <c r="C27" i="1"/>
  <c r="C48" i="1"/>
  <c r="A78" i="1"/>
  <c r="M53" i="1" l="1"/>
  <c r="M71" i="1"/>
  <c r="M70" i="1"/>
  <c r="M76" i="1"/>
  <c r="I48" i="1"/>
  <c r="K48" i="1"/>
  <c r="M72" i="1"/>
  <c r="M82" i="1"/>
  <c r="I27" i="1"/>
  <c r="K27" i="1"/>
  <c r="I67" i="1"/>
  <c r="K67" i="1"/>
  <c r="I87" i="1"/>
  <c r="K87" i="1"/>
  <c r="M78" i="1"/>
  <c r="M83" i="1"/>
  <c r="D89" i="1"/>
  <c r="L88" i="1"/>
  <c r="D69" i="1"/>
  <c r="L68" i="1"/>
  <c r="M77" i="1"/>
  <c r="M66" i="1"/>
  <c r="C88" i="1"/>
  <c r="C68" i="1"/>
  <c r="C28" i="1"/>
  <c r="C49" i="1"/>
  <c r="A79" i="1"/>
  <c r="M73" i="1" l="1"/>
  <c r="M63" i="1"/>
  <c r="D90" i="1"/>
  <c r="L89" i="1"/>
  <c r="M96" i="1"/>
  <c r="M87" i="1"/>
  <c r="I28" i="1"/>
  <c r="K28" i="1"/>
  <c r="I88" i="1"/>
  <c r="K88" i="1"/>
  <c r="M79" i="1"/>
  <c r="M92" i="1"/>
  <c r="M100" i="1"/>
  <c r="M91" i="1"/>
  <c r="M81" i="1"/>
  <c r="M94" i="1"/>
  <c r="M85" i="1"/>
  <c r="I49" i="1"/>
  <c r="K49" i="1"/>
  <c r="I68" i="1"/>
  <c r="K68" i="1"/>
  <c r="M75" i="1"/>
  <c r="M95" i="1"/>
  <c r="M86" i="1"/>
  <c r="D70" i="1"/>
  <c r="L69" i="1"/>
  <c r="M80" i="1"/>
  <c r="C89" i="1"/>
  <c r="C69" i="1"/>
  <c r="C29" i="1"/>
  <c r="C50" i="1"/>
  <c r="A80" i="1"/>
  <c r="M93" i="1" l="1"/>
  <c r="M84" i="1"/>
  <c r="M99" i="1"/>
  <c r="M90" i="1"/>
  <c r="I50" i="1"/>
  <c r="K50" i="1"/>
  <c r="I29" i="1"/>
  <c r="K29" i="1"/>
  <c r="M97" i="1"/>
  <c r="M88" i="1"/>
  <c r="I69" i="1"/>
  <c r="K69" i="1"/>
  <c r="I89" i="1"/>
  <c r="K89" i="1"/>
  <c r="M98" i="1"/>
  <c r="M89" i="1"/>
  <c r="D71" i="1"/>
  <c r="L70" i="1"/>
  <c r="D91" i="1"/>
  <c r="L90" i="1"/>
  <c r="C90" i="1"/>
  <c r="C70" i="1"/>
  <c r="C30" i="1"/>
  <c r="C51" i="1"/>
  <c r="A81" i="1"/>
  <c r="I90" i="1" l="1"/>
  <c r="K90" i="1"/>
  <c r="I70" i="1"/>
  <c r="K70" i="1"/>
  <c r="I51" i="1"/>
  <c r="K51" i="1"/>
  <c r="I30" i="1"/>
  <c r="K30" i="1"/>
  <c r="D92" i="1"/>
  <c r="L91" i="1"/>
  <c r="D72" i="1"/>
  <c r="L71" i="1"/>
  <c r="C91" i="1"/>
  <c r="C71" i="1"/>
  <c r="C31" i="1"/>
  <c r="C52" i="1"/>
  <c r="A82" i="1"/>
  <c r="I52" i="1" l="1"/>
  <c r="K52" i="1"/>
  <c r="I71" i="1"/>
  <c r="K71" i="1"/>
  <c r="I31" i="1"/>
  <c r="K31" i="1"/>
  <c r="I91" i="1"/>
  <c r="K91" i="1"/>
  <c r="D73" i="1"/>
  <c r="L72" i="1"/>
  <c r="D93" i="1"/>
  <c r="L92" i="1"/>
  <c r="C92" i="1"/>
  <c r="C72" i="1"/>
  <c r="C32" i="1"/>
  <c r="C53" i="1"/>
  <c r="A83" i="1"/>
  <c r="I53" i="1" l="1"/>
  <c r="K53" i="1"/>
  <c r="I32" i="1"/>
  <c r="K32" i="1"/>
  <c r="I72" i="1"/>
  <c r="K72" i="1"/>
  <c r="I92" i="1"/>
  <c r="K92" i="1"/>
  <c r="D94" i="1"/>
  <c r="L93" i="1"/>
  <c r="D74" i="1"/>
  <c r="L73" i="1"/>
  <c r="C93" i="1"/>
  <c r="C73" i="1"/>
  <c r="C33" i="1"/>
  <c r="C54" i="1"/>
  <c r="A84" i="1"/>
  <c r="I54" i="1" l="1"/>
  <c r="K54" i="1"/>
  <c r="I33" i="1"/>
  <c r="K33" i="1"/>
  <c r="I73" i="1"/>
  <c r="K73" i="1"/>
  <c r="I93" i="1"/>
  <c r="K93" i="1"/>
  <c r="D75" i="1"/>
  <c r="L74" i="1"/>
  <c r="D95" i="1"/>
  <c r="L94" i="1"/>
  <c r="C94" i="1"/>
  <c r="C74" i="1"/>
  <c r="C34" i="1"/>
  <c r="C55" i="1"/>
  <c r="A85" i="1"/>
  <c r="I34" i="1" l="1"/>
  <c r="K34" i="1"/>
  <c r="I55" i="1"/>
  <c r="K55" i="1"/>
  <c r="I74" i="1"/>
  <c r="K74" i="1"/>
  <c r="I94" i="1"/>
  <c r="K94" i="1"/>
  <c r="D96" i="1"/>
  <c r="L95" i="1"/>
  <c r="D76" i="1"/>
  <c r="L75" i="1"/>
  <c r="C95" i="1"/>
  <c r="C75" i="1"/>
  <c r="C35" i="1"/>
  <c r="C56" i="1"/>
  <c r="A86" i="1"/>
  <c r="I56" i="1" l="1"/>
  <c r="K56" i="1"/>
  <c r="I35" i="1"/>
  <c r="K35" i="1"/>
  <c r="I75" i="1"/>
  <c r="K75" i="1"/>
  <c r="I95" i="1"/>
  <c r="K95" i="1"/>
  <c r="D77" i="1"/>
  <c r="L76" i="1"/>
  <c r="D97" i="1"/>
  <c r="L96" i="1"/>
  <c r="C96" i="1"/>
  <c r="C76" i="1"/>
  <c r="C36" i="1"/>
  <c r="C57" i="1"/>
  <c r="A87" i="1"/>
  <c r="I57" i="1" l="1"/>
  <c r="K57" i="1"/>
  <c r="I36" i="1"/>
  <c r="K36" i="1"/>
  <c r="I76" i="1"/>
  <c r="K76" i="1"/>
  <c r="I96" i="1"/>
  <c r="K96" i="1"/>
  <c r="D98" i="1"/>
  <c r="L97" i="1"/>
  <c r="D78" i="1"/>
  <c r="L77" i="1"/>
  <c r="C97" i="1"/>
  <c r="C77" i="1"/>
  <c r="C37" i="1"/>
  <c r="C58" i="1"/>
  <c r="A88" i="1"/>
  <c r="I77" i="1" l="1"/>
  <c r="K77" i="1"/>
  <c r="I58" i="1"/>
  <c r="K58" i="1"/>
  <c r="I37" i="1"/>
  <c r="K37" i="1"/>
  <c r="I97" i="1"/>
  <c r="K97" i="1"/>
  <c r="D79" i="1"/>
  <c r="L78" i="1"/>
  <c r="D99" i="1"/>
  <c r="L98" i="1"/>
  <c r="C98" i="1"/>
  <c r="C78" i="1"/>
  <c r="C38" i="1"/>
  <c r="C59" i="1"/>
  <c r="A89" i="1"/>
  <c r="I59" i="1" l="1"/>
  <c r="K59" i="1"/>
  <c r="I38" i="1"/>
  <c r="K38" i="1"/>
  <c r="I78" i="1"/>
  <c r="K78" i="1"/>
  <c r="I98" i="1"/>
  <c r="K98" i="1"/>
  <c r="D100" i="1"/>
  <c r="L99" i="1"/>
  <c r="D80" i="1"/>
  <c r="L79" i="1"/>
  <c r="C99" i="1"/>
  <c r="C79" i="1"/>
  <c r="C39" i="1"/>
  <c r="C61" i="1"/>
  <c r="C60" i="1"/>
  <c r="A90" i="1"/>
  <c r="I60" i="1" l="1"/>
  <c r="K60" i="1"/>
  <c r="I61" i="1"/>
  <c r="K61" i="1"/>
  <c r="I39" i="1"/>
  <c r="K39" i="1"/>
  <c r="I79" i="1"/>
  <c r="K79" i="1"/>
  <c r="I99" i="1"/>
  <c r="K99" i="1"/>
  <c r="D81" i="1"/>
  <c r="L81" i="1" s="1"/>
  <c r="L80" i="1"/>
  <c r="D101" i="1"/>
  <c r="L100" i="1"/>
  <c r="C100" i="1"/>
  <c r="C101" i="1"/>
  <c r="I101" i="1" s="1"/>
  <c r="C81" i="1"/>
  <c r="C80" i="1"/>
  <c r="C40" i="1"/>
  <c r="C41" i="1"/>
  <c r="A91" i="1"/>
  <c r="I80" i="1" l="1"/>
  <c r="K80" i="1"/>
  <c r="I41" i="1"/>
  <c r="K41" i="1"/>
  <c r="I40" i="1"/>
  <c r="K40" i="1"/>
  <c r="I81" i="1"/>
  <c r="K81" i="1"/>
  <c r="I100" i="1"/>
  <c r="K100" i="1"/>
  <c r="A92" i="1"/>
  <c r="A93" i="1" l="1"/>
  <c r="A94" i="1" l="1"/>
  <c r="A95" i="1" s="1"/>
  <c r="A96" i="1" s="1"/>
  <c r="A97" i="1" s="1"/>
  <c r="A98" i="1" s="1"/>
  <c r="A99" i="1" s="1"/>
  <c r="A100" i="1" s="1"/>
  <c r="A101" i="1" s="1"/>
  <c r="A102" i="1" s="1"/>
</calcChain>
</file>

<file path=xl/sharedStrings.xml><?xml version="1.0" encoding="utf-8"?>
<sst xmlns="http://schemas.openxmlformats.org/spreadsheetml/2006/main" count="9" uniqueCount="9">
  <si>
    <t>number</t>
    <phoneticPr fontId="1" type="noConversion"/>
  </si>
  <si>
    <t>level</t>
    <phoneticPr fontId="1" type="noConversion"/>
  </si>
  <si>
    <t>up</t>
    <phoneticPr fontId="1" type="noConversion"/>
  </si>
  <si>
    <t>stay</t>
    <phoneticPr fontId="1" type="noConversion"/>
  </si>
  <si>
    <t>down</t>
    <phoneticPr fontId="1" type="noConversion"/>
  </si>
  <si>
    <t>atk</t>
    <phoneticPr fontId="1" type="noConversion"/>
  </si>
  <si>
    <t>requireCoin</t>
    <phoneticPr fontId="1" type="noConversion"/>
  </si>
  <si>
    <t>확률 보정 확인</t>
    <phoneticPr fontId="1" type="noConversion"/>
  </si>
  <si>
    <t>criDmg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</si>
</sst>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9" formatCode="0.0%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558ED5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2" xfId="0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76" fontId="3" fillId="0" borderId="0" xfId="0" applyNumberFormat="1" applyFont="1" applyAlignment="1">
      <alignment horizontal="center"/>
    </xf>
    <xf numFmtId="176" fontId="3" fillId="0" borderId="0" xfId="0" quotePrefix="1" applyNumberFormat="1" applyFont="1" applyAlignment="1">
      <alignment horizontal="center"/>
    </xf>
    <xf numFmtId="0" fontId="3" fillId="0" borderId="0" xfId="0" quotePrefix="1" applyFont="1" applyAlignment="1">
      <alignment horizontal="center"/>
    </xf>
    <xf numFmtId="176" fontId="2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179" fontId="3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FB108"/>
  <sheetViews>
    <sheetView tabSelected="1" workbookViewId="0">
      <pane ySplit="1" topLeftCell="A59" activePane="bottomLeft" state="frozen"/>
      <selection pane="bottomLeft" activeCell="N99" sqref="N99"/>
    </sheetView>
  </sheetViews>
  <sheetFormatPr defaultColWidth="17.625" defaultRowHeight="17.25" x14ac:dyDescent="0.3"/>
  <cols>
    <col min="1" max="3" width="18.875" style="6" customWidth="1"/>
    <col min="4" max="4" width="18.875" style="8" customWidth="1"/>
    <col min="5" max="5" width="19" style="8" customWidth="1"/>
    <col min="6" max="6" width="19" style="4" customWidth="1"/>
    <col min="7" max="7" width="18.375" style="4" customWidth="1"/>
    <col min="9" max="9" width="18.875" style="8" customWidth="1"/>
    <col min="10" max="12" width="12.75" style="4" customWidth="1"/>
    <col min="13" max="13" width="36.125" style="4" customWidth="1"/>
    <col min="14" max="14" width="17.625" style="4"/>
    <col min="18" max="16381" width="17.625" style="4"/>
    <col min="16382" max="16382" width="8.875" style="4" bestFit="1" customWidth="1"/>
    <col min="16383" max="16384" width="8.875" style="4" customWidth="1"/>
  </cols>
  <sheetData>
    <row r="1" spans="1:13 16382:16382" x14ac:dyDescent="0.3">
      <c r="A1" s="2" t="s">
        <v>1</v>
      </c>
      <c r="B1" s="2" t="s">
        <v>2</v>
      </c>
      <c r="C1" s="2" t="s">
        <v>3</v>
      </c>
      <c r="D1" s="7" t="s">
        <v>4</v>
      </c>
      <c r="E1" s="7" t="s">
        <v>5</v>
      </c>
      <c r="F1" s="7" t="s">
        <v>8</v>
      </c>
      <c r="G1" s="7" t="s">
        <v>6</v>
      </c>
      <c r="I1" s="11" t="s">
        <v>7</v>
      </c>
      <c r="XFB1" s="3" t="s">
        <v>0</v>
      </c>
    </row>
    <row r="2" spans="1:13 16382:16382" x14ac:dyDescent="0.3">
      <c r="A2" s="1">
        <v>0</v>
      </c>
      <c r="B2" s="1">
        <v>10000</v>
      </c>
      <c r="C2" s="1">
        <v>0</v>
      </c>
      <c r="D2" s="4">
        <v>0</v>
      </c>
      <c r="E2" s="4">
        <v>0</v>
      </c>
      <c r="F2" s="1">
        <v>0</v>
      </c>
      <c r="G2" s="12">
        <v>150</v>
      </c>
      <c r="I2" s="4">
        <f t="shared" ref="I2" si="0">SUM(B2:D2)</f>
        <v>10000</v>
      </c>
      <c r="J2" s="14">
        <f>B2/10000</f>
        <v>1</v>
      </c>
      <c r="K2" s="14">
        <f t="shared" ref="K2" si="1">C2/10000</f>
        <v>0</v>
      </c>
      <c r="L2" s="14">
        <f t="shared" ref="L2" si="2">D2/10000</f>
        <v>0</v>
      </c>
      <c r="M2" s="4">
        <f>G2</f>
        <v>150</v>
      </c>
      <c r="XFB2" s="15"/>
    </row>
    <row r="3" spans="1:13 16382:16382" x14ac:dyDescent="0.3">
      <c r="A3" s="1">
        <v>1</v>
      </c>
      <c r="B3" s="1">
        <v>9500</v>
      </c>
      <c r="C3" s="1">
        <v>500</v>
      </c>
      <c r="D3" s="4">
        <v>0</v>
      </c>
      <c r="E3" s="4">
        <v>1</v>
      </c>
      <c r="F3" s="1">
        <v>0.01</v>
      </c>
      <c r="G3" s="12">
        <f>150+A3*2</f>
        <v>152</v>
      </c>
      <c r="I3" s="4">
        <f t="shared" ref="I3:I34" si="3">SUM(B3:D3)</f>
        <v>10000</v>
      </c>
      <c r="J3" s="14">
        <f>B3/10000</f>
        <v>0.95</v>
      </c>
      <c r="K3" s="14">
        <f t="shared" ref="K3:L3" si="4">C3/10000</f>
        <v>0.05</v>
      </c>
      <c r="L3" s="14">
        <f t="shared" si="4"/>
        <v>0</v>
      </c>
      <c r="M3" s="4">
        <f>G3</f>
        <v>152</v>
      </c>
    </row>
    <row r="4" spans="1:13 16382:16382" x14ac:dyDescent="0.3">
      <c r="A4" s="1">
        <f>A3+1</f>
        <v>2</v>
      </c>
      <c r="B4" s="1">
        <f>B3-500</f>
        <v>9000</v>
      </c>
      <c r="C4" s="1">
        <f>C3+500</f>
        <v>1000</v>
      </c>
      <c r="D4" s="4">
        <v>0</v>
      </c>
      <c r="E4" s="4">
        <f>E3+1</f>
        <v>2</v>
      </c>
      <c r="F4" s="13">
        <f>F3+0.005</f>
        <v>1.4999999999999999E-2</v>
      </c>
      <c r="G4" s="12">
        <f t="shared" ref="G4:G41" si="5">150+A4*2</f>
        <v>154</v>
      </c>
      <c r="I4" s="4">
        <f t="shared" si="3"/>
        <v>10000</v>
      </c>
      <c r="J4" s="14">
        <f t="shared" ref="J4:J67" si="6">B4/10000</f>
        <v>0.9</v>
      </c>
      <c r="K4" s="14">
        <f t="shared" ref="K4:K67" si="7">C4/10000</f>
        <v>0.1</v>
      </c>
      <c r="L4" s="14">
        <f t="shared" ref="L4:L67" si="8">D4/10000</f>
        <v>0</v>
      </c>
      <c r="M4" s="4">
        <f t="shared" ref="M4:M67" si="9">G4</f>
        <v>154</v>
      </c>
    </row>
    <row r="5" spans="1:13 16382:16382" x14ac:dyDescent="0.3">
      <c r="A5" s="1">
        <f t="shared" ref="A5:A68" si="10">A4+1</f>
        <v>3</v>
      </c>
      <c r="B5" s="1">
        <f t="shared" ref="B5:B12" si="11">B4-500</f>
        <v>8500</v>
      </c>
      <c r="C5" s="1">
        <f t="shared" ref="C5:C12" si="12">C4+500</f>
        <v>1500</v>
      </c>
      <c r="D5" s="4">
        <v>0</v>
      </c>
      <c r="E5" s="4">
        <f t="shared" ref="E5:E42" si="13">E4+1</f>
        <v>3</v>
      </c>
      <c r="F5" s="13">
        <f t="shared" ref="F5:F21" si="14">F4+0.005</f>
        <v>0.02</v>
      </c>
      <c r="G5" s="12">
        <f t="shared" si="5"/>
        <v>156</v>
      </c>
      <c r="I5" s="4">
        <f t="shared" si="3"/>
        <v>10000</v>
      </c>
      <c r="J5" s="14">
        <f t="shared" si="6"/>
        <v>0.85</v>
      </c>
      <c r="K5" s="14">
        <f t="shared" si="7"/>
        <v>0.15</v>
      </c>
      <c r="L5" s="14">
        <f t="shared" si="8"/>
        <v>0</v>
      </c>
      <c r="M5" s="4">
        <f t="shared" si="9"/>
        <v>156</v>
      </c>
    </row>
    <row r="6" spans="1:13 16382:16382" x14ac:dyDescent="0.3">
      <c r="A6" s="1">
        <f t="shared" si="10"/>
        <v>4</v>
      </c>
      <c r="B6" s="1">
        <f t="shared" si="11"/>
        <v>8000</v>
      </c>
      <c r="C6" s="1">
        <f t="shared" si="12"/>
        <v>2000</v>
      </c>
      <c r="D6" s="4">
        <v>0</v>
      </c>
      <c r="E6" s="4">
        <f t="shared" si="13"/>
        <v>4</v>
      </c>
      <c r="F6" s="13">
        <f t="shared" si="14"/>
        <v>2.5000000000000001E-2</v>
      </c>
      <c r="G6" s="12">
        <f t="shared" si="5"/>
        <v>158</v>
      </c>
      <c r="I6" s="4">
        <f t="shared" si="3"/>
        <v>10000</v>
      </c>
      <c r="J6" s="14">
        <f t="shared" si="6"/>
        <v>0.8</v>
      </c>
      <c r="K6" s="14">
        <f t="shared" si="7"/>
        <v>0.2</v>
      </c>
      <c r="L6" s="14">
        <f t="shared" si="8"/>
        <v>0</v>
      </c>
      <c r="M6" s="4">
        <f t="shared" si="9"/>
        <v>158</v>
      </c>
    </row>
    <row r="7" spans="1:13 16382:16382" x14ac:dyDescent="0.3">
      <c r="A7" s="1">
        <f t="shared" si="10"/>
        <v>5</v>
      </c>
      <c r="B7" s="1">
        <f t="shared" si="11"/>
        <v>7500</v>
      </c>
      <c r="C7" s="1">
        <f t="shared" si="12"/>
        <v>2500</v>
      </c>
      <c r="D7" s="4">
        <v>0</v>
      </c>
      <c r="E7" s="4">
        <f t="shared" si="13"/>
        <v>5</v>
      </c>
      <c r="F7" s="13">
        <f t="shared" si="14"/>
        <v>3.0000000000000002E-2</v>
      </c>
      <c r="G7" s="12">
        <f t="shared" si="5"/>
        <v>160</v>
      </c>
      <c r="I7" s="4">
        <f t="shared" si="3"/>
        <v>10000</v>
      </c>
      <c r="J7" s="14">
        <f t="shared" si="6"/>
        <v>0.75</v>
      </c>
      <c r="K7" s="14">
        <f t="shared" si="7"/>
        <v>0.25</v>
      </c>
      <c r="L7" s="14">
        <f t="shared" si="8"/>
        <v>0</v>
      </c>
      <c r="M7" s="4">
        <f t="shared" si="9"/>
        <v>160</v>
      </c>
    </row>
    <row r="8" spans="1:13 16382:16382" x14ac:dyDescent="0.3">
      <c r="A8" s="1">
        <f t="shared" si="10"/>
        <v>6</v>
      </c>
      <c r="B8" s="1">
        <f t="shared" si="11"/>
        <v>7000</v>
      </c>
      <c r="C8" s="1">
        <f t="shared" si="12"/>
        <v>3000</v>
      </c>
      <c r="D8" s="4">
        <v>0</v>
      </c>
      <c r="E8" s="4">
        <f t="shared" si="13"/>
        <v>6</v>
      </c>
      <c r="F8" s="13">
        <f t="shared" si="14"/>
        <v>3.5000000000000003E-2</v>
      </c>
      <c r="G8" s="12">
        <f t="shared" si="5"/>
        <v>162</v>
      </c>
      <c r="I8" s="4">
        <f t="shared" si="3"/>
        <v>10000</v>
      </c>
      <c r="J8" s="14">
        <f t="shared" si="6"/>
        <v>0.7</v>
      </c>
      <c r="K8" s="14">
        <f t="shared" si="7"/>
        <v>0.3</v>
      </c>
      <c r="L8" s="14">
        <f t="shared" si="8"/>
        <v>0</v>
      </c>
      <c r="M8" s="4">
        <f t="shared" si="9"/>
        <v>162</v>
      </c>
    </row>
    <row r="9" spans="1:13 16382:16382" x14ac:dyDescent="0.3">
      <c r="A9" s="1">
        <f t="shared" si="10"/>
        <v>7</v>
      </c>
      <c r="B9" s="1">
        <f t="shared" si="11"/>
        <v>6500</v>
      </c>
      <c r="C9" s="1">
        <f t="shared" si="12"/>
        <v>3500</v>
      </c>
      <c r="D9" s="4">
        <v>0</v>
      </c>
      <c r="E9" s="4">
        <f t="shared" si="13"/>
        <v>7</v>
      </c>
      <c r="F9" s="13">
        <f t="shared" si="14"/>
        <v>0.04</v>
      </c>
      <c r="G9" s="12">
        <f t="shared" si="5"/>
        <v>164</v>
      </c>
      <c r="I9" s="4">
        <f t="shared" si="3"/>
        <v>10000</v>
      </c>
      <c r="J9" s="14">
        <f t="shared" si="6"/>
        <v>0.65</v>
      </c>
      <c r="K9" s="14">
        <f t="shared" si="7"/>
        <v>0.35</v>
      </c>
      <c r="L9" s="14">
        <f t="shared" si="8"/>
        <v>0</v>
      </c>
      <c r="M9" s="4">
        <f t="shared" si="9"/>
        <v>164</v>
      </c>
    </row>
    <row r="10" spans="1:13 16382:16382" x14ac:dyDescent="0.3">
      <c r="A10" s="1">
        <f t="shared" si="10"/>
        <v>8</v>
      </c>
      <c r="B10" s="1">
        <f t="shared" si="11"/>
        <v>6000</v>
      </c>
      <c r="C10" s="1">
        <f t="shared" si="12"/>
        <v>4000</v>
      </c>
      <c r="D10" s="4">
        <v>0</v>
      </c>
      <c r="E10" s="4">
        <f t="shared" si="13"/>
        <v>8</v>
      </c>
      <c r="F10" s="13">
        <f t="shared" si="14"/>
        <v>4.4999999999999998E-2</v>
      </c>
      <c r="G10" s="12">
        <f t="shared" si="5"/>
        <v>166</v>
      </c>
      <c r="I10" s="4">
        <f t="shared" si="3"/>
        <v>10000</v>
      </c>
      <c r="J10" s="14">
        <f t="shared" si="6"/>
        <v>0.6</v>
      </c>
      <c r="K10" s="14">
        <f t="shared" si="7"/>
        <v>0.4</v>
      </c>
      <c r="L10" s="14">
        <f t="shared" si="8"/>
        <v>0</v>
      </c>
      <c r="M10" s="4">
        <f t="shared" si="9"/>
        <v>166</v>
      </c>
    </row>
    <row r="11" spans="1:13 16382:16382" x14ac:dyDescent="0.3">
      <c r="A11" s="1">
        <f t="shared" si="10"/>
        <v>9</v>
      </c>
      <c r="B11" s="1">
        <f t="shared" si="11"/>
        <v>5500</v>
      </c>
      <c r="C11" s="1">
        <f t="shared" si="12"/>
        <v>4500</v>
      </c>
      <c r="D11" s="4">
        <v>0</v>
      </c>
      <c r="E11" s="4">
        <f t="shared" si="13"/>
        <v>9</v>
      </c>
      <c r="F11" s="13">
        <f t="shared" si="14"/>
        <v>4.9999999999999996E-2</v>
      </c>
      <c r="G11" s="12">
        <f t="shared" si="5"/>
        <v>168</v>
      </c>
      <c r="I11" s="4">
        <f t="shared" si="3"/>
        <v>10000</v>
      </c>
      <c r="J11" s="14">
        <f t="shared" si="6"/>
        <v>0.55000000000000004</v>
      </c>
      <c r="K11" s="14">
        <f t="shared" si="7"/>
        <v>0.45</v>
      </c>
      <c r="L11" s="14">
        <f t="shared" si="8"/>
        <v>0</v>
      </c>
      <c r="M11" s="4">
        <f t="shared" si="9"/>
        <v>168</v>
      </c>
    </row>
    <row r="12" spans="1:13 16382:16382" x14ac:dyDescent="0.3">
      <c r="A12" s="1">
        <f t="shared" si="10"/>
        <v>10</v>
      </c>
      <c r="B12" s="1">
        <f t="shared" si="11"/>
        <v>5000</v>
      </c>
      <c r="C12" s="1">
        <f t="shared" si="12"/>
        <v>5000</v>
      </c>
      <c r="D12" s="4">
        <v>0</v>
      </c>
      <c r="E12" s="4">
        <f t="shared" si="13"/>
        <v>10</v>
      </c>
      <c r="F12" s="13">
        <f t="shared" si="14"/>
        <v>5.4999999999999993E-2</v>
      </c>
      <c r="G12" s="12">
        <f t="shared" si="5"/>
        <v>170</v>
      </c>
      <c r="I12" s="4">
        <f t="shared" si="3"/>
        <v>10000</v>
      </c>
      <c r="J12" s="14">
        <f t="shared" si="6"/>
        <v>0.5</v>
      </c>
      <c r="K12" s="14">
        <f t="shared" si="7"/>
        <v>0.5</v>
      </c>
      <c r="L12" s="14">
        <f t="shared" si="8"/>
        <v>0</v>
      </c>
      <c r="M12" s="4">
        <f t="shared" si="9"/>
        <v>170</v>
      </c>
    </row>
    <row r="13" spans="1:13 16382:16382" x14ac:dyDescent="0.3">
      <c r="A13" s="1">
        <f t="shared" si="10"/>
        <v>11</v>
      </c>
      <c r="B13" s="1">
        <f>B12-200</f>
        <v>4800</v>
      </c>
      <c r="C13" s="1">
        <f>C12+200</f>
        <v>5200</v>
      </c>
      <c r="D13" s="4">
        <v>0</v>
      </c>
      <c r="E13" s="4">
        <f t="shared" si="13"/>
        <v>11</v>
      </c>
      <c r="F13" s="13">
        <f t="shared" si="14"/>
        <v>5.9999999999999991E-2</v>
      </c>
      <c r="G13" s="12">
        <f t="shared" si="5"/>
        <v>172</v>
      </c>
      <c r="I13" s="4">
        <f t="shared" si="3"/>
        <v>10000</v>
      </c>
      <c r="J13" s="14">
        <f t="shared" si="6"/>
        <v>0.48</v>
      </c>
      <c r="K13" s="14">
        <f t="shared" si="7"/>
        <v>0.52</v>
      </c>
      <c r="L13" s="14">
        <f t="shared" si="8"/>
        <v>0</v>
      </c>
      <c r="M13" s="4">
        <f t="shared" si="9"/>
        <v>172</v>
      </c>
    </row>
    <row r="14" spans="1:13 16382:16382" x14ac:dyDescent="0.3">
      <c r="A14" s="1">
        <f t="shared" si="10"/>
        <v>12</v>
      </c>
      <c r="B14" s="1">
        <f t="shared" ref="B14:B22" si="15">B13-200</f>
        <v>4600</v>
      </c>
      <c r="C14" s="1">
        <f t="shared" ref="C14:C22" si="16">C13+200</f>
        <v>5400</v>
      </c>
      <c r="D14" s="4">
        <v>0</v>
      </c>
      <c r="E14" s="4">
        <f t="shared" si="13"/>
        <v>12</v>
      </c>
      <c r="F14" s="13">
        <f t="shared" si="14"/>
        <v>6.4999999999999988E-2</v>
      </c>
      <c r="G14" s="12">
        <f t="shared" si="5"/>
        <v>174</v>
      </c>
      <c r="I14" s="4">
        <f t="shared" si="3"/>
        <v>10000</v>
      </c>
      <c r="J14" s="14">
        <f t="shared" si="6"/>
        <v>0.46</v>
      </c>
      <c r="K14" s="14">
        <f t="shared" si="7"/>
        <v>0.54</v>
      </c>
      <c r="L14" s="14">
        <f t="shared" si="8"/>
        <v>0</v>
      </c>
      <c r="M14" s="4">
        <f t="shared" si="9"/>
        <v>174</v>
      </c>
    </row>
    <row r="15" spans="1:13 16382:16382" x14ac:dyDescent="0.3">
      <c r="A15" s="1">
        <f t="shared" si="10"/>
        <v>13</v>
      </c>
      <c r="B15" s="1">
        <f t="shared" si="15"/>
        <v>4400</v>
      </c>
      <c r="C15" s="1">
        <f t="shared" si="16"/>
        <v>5600</v>
      </c>
      <c r="D15" s="4">
        <v>0</v>
      </c>
      <c r="E15" s="4">
        <f t="shared" si="13"/>
        <v>13</v>
      </c>
      <c r="F15" s="13">
        <f t="shared" si="14"/>
        <v>6.9999999999999993E-2</v>
      </c>
      <c r="G15" s="12">
        <f t="shared" si="5"/>
        <v>176</v>
      </c>
      <c r="I15" s="4">
        <f t="shared" si="3"/>
        <v>10000</v>
      </c>
      <c r="J15" s="14">
        <f t="shared" si="6"/>
        <v>0.44</v>
      </c>
      <c r="K15" s="14">
        <f t="shared" si="7"/>
        <v>0.56000000000000005</v>
      </c>
      <c r="L15" s="14">
        <f t="shared" si="8"/>
        <v>0</v>
      </c>
      <c r="M15" s="4">
        <f t="shared" si="9"/>
        <v>176</v>
      </c>
    </row>
    <row r="16" spans="1:13 16382:16382" x14ac:dyDescent="0.3">
      <c r="A16" s="1">
        <f t="shared" si="10"/>
        <v>14</v>
      </c>
      <c r="B16" s="1">
        <f t="shared" si="15"/>
        <v>4200</v>
      </c>
      <c r="C16" s="1">
        <f t="shared" si="16"/>
        <v>5800</v>
      </c>
      <c r="D16" s="4">
        <v>0</v>
      </c>
      <c r="E16" s="4">
        <f t="shared" si="13"/>
        <v>14</v>
      </c>
      <c r="F16" s="13">
        <f t="shared" si="14"/>
        <v>7.4999999999999997E-2</v>
      </c>
      <c r="G16" s="12">
        <f t="shared" si="5"/>
        <v>178</v>
      </c>
      <c r="I16" s="4">
        <f t="shared" si="3"/>
        <v>10000</v>
      </c>
      <c r="J16" s="14">
        <f t="shared" si="6"/>
        <v>0.42</v>
      </c>
      <c r="K16" s="14">
        <f t="shared" si="7"/>
        <v>0.57999999999999996</v>
      </c>
      <c r="L16" s="14">
        <f t="shared" si="8"/>
        <v>0</v>
      </c>
      <c r="M16" s="4">
        <f t="shared" si="9"/>
        <v>178</v>
      </c>
    </row>
    <row r="17" spans="1:13" x14ac:dyDescent="0.3">
      <c r="A17" s="1">
        <f t="shared" si="10"/>
        <v>15</v>
      </c>
      <c r="B17" s="1">
        <f t="shared" si="15"/>
        <v>4000</v>
      </c>
      <c r="C17" s="1">
        <f t="shared" si="16"/>
        <v>6000</v>
      </c>
      <c r="D17" s="4">
        <v>0</v>
      </c>
      <c r="E17" s="4">
        <f t="shared" si="13"/>
        <v>15</v>
      </c>
      <c r="F17" s="13">
        <f t="shared" si="14"/>
        <v>0.08</v>
      </c>
      <c r="G17" s="12">
        <f t="shared" si="5"/>
        <v>180</v>
      </c>
      <c r="I17" s="4">
        <f t="shared" si="3"/>
        <v>10000</v>
      </c>
      <c r="J17" s="14">
        <f t="shared" si="6"/>
        <v>0.4</v>
      </c>
      <c r="K17" s="14">
        <f t="shared" si="7"/>
        <v>0.6</v>
      </c>
      <c r="L17" s="14">
        <f t="shared" si="8"/>
        <v>0</v>
      </c>
      <c r="M17" s="4">
        <f t="shared" si="9"/>
        <v>180</v>
      </c>
    </row>
    <row r="18" spans="1:13" x14ac:dyDescent="0.3">
      <c r="A18" s="1">
        <f t="shared" si="10"/>
        <v>16</v>
      </c>
      <c r="B18" s="1">
        <f t="shared" si="15"/>
        <v>3800</v>
      </c>
      <c r="C18" s="1">
        <f t="shared" si="16"/>
        <v>6200</v>
      </c>
      <c r="D18" s="4">
        <v>0</v>
      </c>
      <c r="E18" s="4">
        <f t="shared" si="13"/>
        <v>16</v>
      </c>
      <c r="F18" s="13">
        <f t="shared" si="14"/>
        <v>8.5000000000000006E-2</v>
      </c>
      <c r="G18" s="12">
        <f t="shared" si="5"/>
        <v>182</v>
      </c>
      <c r="I18" s="4">
        <f t="shared" si="3"/>
        <v>10000</v>
      </c>
      <c r="J18" s="14">
        <f t="shared" si="6"/>
        <v>0.38</v>
      </c>
      <c r="K18" s="14">
        <f t="shared" si="7"/>
        <v>0.62</v>
      </c>
      <c r="L18" s="14">
        <f t="shared" si="8"/>
        <v>0</v>
      </c>
      <c r="M18" s="4">
        <f t="shared" si="9"/>
        <v>182</v>
      </c>
    </row>
    <row r="19" spans="1:13" x14ac:dyDescent="0.3">
      <c r="A19" s="1">
        <f t="shared" si="10"/>
        <v>17</v>
      </c>
      <c r="B19" s="1">
        <f t="shared" si="15"/>
        <v>3600</v>
      </c>
      <c r="C19" s="1">
        <f t="shared" si="16"/>
        <v>6400</v>
      </c>
      <c r="D19" s="4">
        <v>0</v>
      </c>
      <c r="E19" s="4">
        <f t="shared" si="13"/>
        <v>17</v>
      </c>
      <c r="F19" s="13">
        <f t="shared" si="14"/>
        <v>9.0000000000000011E-2</v>
      </c>
      <c r="G19" s="12">
        <f t="shared" si="5"/>
        <v>184</v>
      </c>
      <c r="I19" s="4">
        <f t="shared" si="3"/>
        <v>10000</v>
      </c>
      <c r="J19" s="14">
        <f t="shared" si="6"/>
        <v>0.36</v>
      </c>
      <c r="K19" s="14">
        <f t="shared" si="7"/>
        <v>0.64</v>
      </c>
      <c r="L19" s="14">
        <f t="shared" si="8"/>
        <v>0</v>
      </c>
      <c r="M19" s="4">
        <f t="shared" si="9"/>
        <v>184</v>
      </c>
    </row>
    <row r="20" spans="1:13" x14ac:dyDescent="0.3">
      <c r="A20" s="1">
        <f t="shared" si="10"/>
        <v>18</v>
      </c>
      <c r="B20" s="1">
        <f t="shared" si="15"/>
        <v>3400</v>
      </c>
      <c r="C20" s="1">
        <f t="shared" si="16"/>
        <v>6600</v>
      </c>
      <c r="D20" s="4">
        <v>0</v>
      </c>
      <c r="E20" s="4">
        <f t="shared" si="13"/>
        <v>18</v>
      </c>
      <c r="F20" s="13">
        <f t="shared" si="14"/>
        <v>9.5000000000000015E-2</v>
      </c>
      <c r="G20" s="12">
        <f t="shared" si="5"/>
        <v>186</v>
      </c>
      <c r="I20" s="4">
        <f t="shared" si="3"/>
        <v>10000</v>
      </c>
      <c r="J20" s="14">
        <f t="shared" si="6"/>
        <v>0.34</v>
      </c>
      <c r="K20" s="14">
        <f t="shared" si="7"/>
        <v>0.66</v>
      </c>
      <c r="L20" s="14">
        <f t="shared" si="8"/>
        <v>0</v>
      </c>
      <c r="M20" s="4">
        <f t="shared" si="9"/>
        <v>186</v>
      </c>
    </row>
    <row r="21" spans="1:13" x14ac:dyDescent="0.3">
      <c r="A21" s="1">
        <f t="shared" si="10"/>
        <v>19</v>
      </c>
      <c r="B21" s="1">
        <f t="shared" si="15"/>
        <v>3200</v>
      </c>
      <c r="C21" s="1">
        <f t="shared" si="16"/>
        <v>6800</v>
      </c>
      <c r="D21" s="4">
        <v>0</v>
      </c>
      <c r="E21" s="4">
        <f t="shared" si="13"/>
        <v>19</v>
      </c>
      <c r="F21" s="13">
        <f t="shared" si="14"/>
        <v>0.10000000000000002</v>
      </c>
      <c r="G21" s="12">
        <f t="shared" si="5"/>
        <v>188</v>
      </c>
      <c r="I21" s="4">
        <f t="shared" si="3"/>
        <v>10000</v>
      </c>
      <c r="J21" s="14">
        <f t="shared" si="6"/>
        <v>0.32</v>
      </c>
      <c r="K21" s="14">
        <f t="shared" si="7"/>
        <v>0.68</v>
      </c>
      <c r="L21" s="14">
        <f t="shared" si="8"/>
        <v>0</v>
      </c>
      <c r="M21" s="4">
        <f t="shared" si="9"/>
        <v>188</v>
      </c>
    </row>
    <row r="22" spans="1:13" x14ac:dyDescent="0.3">
      <c r="A22" s="1">
        <f t="shared" si="10"/>
        <v>20</v>
      </c>
      <c r="B22" s="1">
        <f t="shared" si="15"/>
        <v>3000</v>
      </c>
      <c r="C22" s="1">
        <f t="shared" si="16"/>
        <v>7000</v>
      </c>
      <c r="D22" s="4">
        <v>0</v>
      </c>
      <c r="E22" s="4">
        <f t="shared" si="13"/>
        <v>20</v>
      </c>
      <c r="F22" s="13">
        <f>F21+0.008</f>
        <v>0.10800000000000001</v>
      </c>
      <c r="G22" s="12">
        <f t="shared" si="5"/>
        <v>190</v>
      </c>
      <c r="I22" s="4">
        <f t="shared" si="3"/>
        <v>10000</v>
      </c>
      <c r="J22" s="14">
        <f t="shared" si="6"/>
        <v>0.3</v>
      </c>
      <c r="K22" s="14">
        <f t="shared" si="7"/>
        <v>0.7</v>
      </c>
      <c r="L22" s="14">
        <f t="shared" si="8"/>
        <v>0</v>
      </c>
      <c r="M22" s="4">
        <f t="shared" si="9"/>
        <v>190</v>
      </c>
    </row>
    <row r="23" spans="1:13" x14ac:dyDescent="0.3">
      <c r="A23" s="1">
        <f t="shared" si="10"/>
        <v>21</v>
      </c>
      <c r="B23" s="1">
        <v>3000</v>
      </c>
      <c r="C23" s="1">
        <f>$C$22-D23</f>
        <v>6980</v>
      </c>
      <c r="D23" s="4">
        <f>D22+20</f>
        <v>20</v>
      </c>
      <c r="E23" s="4">
        <f t="shared" si="13"/>
        <v>21</v>
      </c>
      <c r="F23" s="13">
        <f t="shared" ref="F23:F41" si="17">F22+0.008</f>
        <v>0.11600000000000002</v>
      </c>
      <c r="G23" s="12">
        <f t="shared" si="5"/>
        <v>192</v>
      </c>
      <c r="I23" s="4">
        <f t="shared" si="3"/>
        <v>10000</v>
      </c>
      <c r="J23" s="14">
        <f t="shared" si="6"/>
        <v>0.3</v>
      </c>
      <c r="K23" s="14">
        <f t="shared" si="7"/>
        <v>0.69799999999999995</v>
      </c>
      <c r="L23" s="14">
        <f t="shared" si="8"/>
        <v>2E-3</v>
      </c>
      <c r="M23" s="4">
        <f t="shared" si="9"/>
        <v>192</v>
      </c>
    </row>
    <row r="24" spans="1:13" x14ac:dyDescent="0.3">
      <c r="A24" s="1">
        <f t="shared" si="10"/>
        <v>22</v>
      </c>
      <c r="B24" s="1">
        <v>3000</v>
      </c>
      <c r="C24" s="1">
        <f t="shared" ref="C24:C41" si="18">$C$22-D24</f>
        <v>6960</v>
      </c>
      <c r="D24" s="4">
        <f t="shared" ref="D24:D41" si="19">D23+20</f>
        <v>40</v>
      </c>
      <c r="E24" s="4">
        <f t="shared" si="13"/>
        <v>22</v>
      </c>
      <c r="F24" s="13">
        <f t="shared" si="17"/>
        <v>0.12400000000000003</v>
      </c>
      <c r="G24" s="12">
        <f t="shared" si="5"/>
        <v>194</v>
      </c>
      <c r="I24" s="4">
        <f t="shared" si="3"/>
        <v>10000</v>
      </c>
      <c r="J24" s="14">
        <f t="shared" si="6"/>
        <v>0.3</v>
      </c>
      <c r="K24" s="14">
        <f t="shared" si="7"/>
        <v>0.69599999999999995</v>
      </c>
      <c r="L24" s="14">
        <f t="shared" si="8"/>
        <v>4.0000000000000001E-3</v>
      </c>
      <c r="M24" s="4">
        <f t="shared" si="9"/>
        <v>194</v>
      </c>
    </row>
    <row r="25" spans="1:13" x14ac:dyDescent="0.3">
      <c r="A25" s="1">
        <f t="shared" si="10"/>
        <v>23</v>
      </c>
      <c r="B25" s="1">
        <v>3000</v>
      </c>
      <c r="C25" s="1">
        <f t="shared" si="18"/>
        <v>6940</v>
      </c>
      <c r="D25" s="4">
        <f t="shared" si="19"/>
        <v>60</v>
      </c>
      <c r="E25" s="4">
        <f t="shared" si="13"/>
        <v>23</v>
      </c>
      <c r="F25" s="13">
        <f t="shared" si="17"/>
        <v>0.13200000000000003</v>
      </c>
      <c r="G25" s="12">
        <f t="shared" si="5"/>
        <v>196</v>
      </c>
      <c r="I25" s="4">
        <f t="shared" si="3"/>
        <v>10000</v>
      </c>
      <c r="J25" s="14">
        <f t="shared" si="6"/>
        <v>0.3</v>
      </c>
      <c r="K25" s="14">
        <f t="shared" si="7"/>
        <v>0.69399999999999995</v>
      </c>
      <c r="L25" s="14">
        <f t="shared" si="8"/>
        <v>6.0000000000000001E-3</v>
      </c>
      <c r="M25" s="4">
        <f t="shared" si="9"/>
        <v>196</v>
      </c>
    </row>
    <row r="26" spans="1:13" x14ac:dyDescent="0.3">
      <c r="A26" s="1">
        <f t="shared" si="10"/>
        <v>24</v>
      </c>
      <c r="B26" s="1">
        <v>3000</v>
      </c>
      <c r="C26" s="1">
        <f t="shared" si="18"/>
        <v>6920</v>
      </c>
      <c r="D26" s="4">
        <f t="shared" si="19"/>
        <v>80</v>
      </c>
      <c r="E26" s="4">
        <f t="shared" si="13"/>
        <v>24</v>
      </c>
      <c r="F26" s="13">
        <f t="shared" si="17"/>
        <v>0.14000000000000004</v>
      </c>
      <c r="G26" s="12">
        <f t="shared" si="5"/>
        <v>198</v>
      </c>
      <c r="I26" s="4">
        <f t="shared" si="3"/>
        <v>10000</v>
      </c>
      <c r="J26" s="14">
        <f t="shared" si="6"/>
        <v>0.3</v>
      </c>
      <c r="K26" s="14">
        <f t="shared" si="7"/>
        <v>0.69199999999999995</v>
      </c>
      <c r="L26" s="14">
        <f t="shared" si="8"/>
        <v>8.0000000000000002E-3</v>
      </c>
      <c r="M26" s="4">
        <f t="shared" si="9"/>
        <v>198</v>
      </c>
    </row>
    <row r="27" spans="1:13" x14ac:dyDescent="0.3">
      <c r="A27" s="1">
        <f t="shared" si="10"/>
        <v>25</v>
      </c>
      <c r="B27" s="1">
        <v>3000</v>
      </c>
      <c r="C27" s="1">
        <f t="shared" si="18"/>
        <v>6900</v>
      </c>
      <c r="D27" s="4">
        <f t="shared" si="19"/>
        <v>100</v>
      </c>
      <c r="E27" s="4">
        <f t="shared" si="13"/>
        <v>25</v>
      </c>
      <c r="F27" s="13">
        <f t="shared" si="17"/>
        <v>0.14800000000000005</v>
      </c>
      <c r="G27" s="12">
        <f t="shared" si="5"/>
        <v>200</v>
      </c>
      <c r="I27" s="4">
        <f t="shared" si="3"/>
        <v>10000</v>
      </c>
      <c r="J27" s="14">
        <f t="shared" si="6"/>
        <v>0.3</v>
      </c>
      <c r="K27" s="14">
        <f t="shared" si="7"/>
        <v>0.69</v>
      </c>
      <c r="L27" s="14">
        <f t="shared" si="8"/>
        <v>0.01</v>
      </c>
      <c r="M27" s="4">
        <f t="shared" si="9"/>
        <v>200</v>
      </c>
    </row>
    <row r="28" spans="1:13" x14ac:dyDescent="0.3">
      <c r="A28" s="1">
        <f t="shared" si="10"/>
        <v>26</v>
      </c>
      <c r="B28" s="1">
        <v>3000</v>
      </c>
      <c r="C28" s="1">
        <f t="shared" si="18"/>
        <v>6880</v>
      </c>
      <c r="D28" s="4">
        <f t="shared" si="19"/>
        <v>120</v>
      </c>
      <c r="E28" s="4">
        <f t="shared" si="13"/>
        <v>26</v>
      </c>
      <c r="F28" s="13">
        <f t="shared" si="17"/>
        <v>0.15600000000000006</v>
      </c>
      <c r="G28" s="12">
        <f t="shared" si="5"/>
        <v>202</v>
      </c>
      <c r="I28" s="4">
        <f t="shared" si="3"/>
        <v>10000</v>
      </c>
      <c r="J28" s="14">
        <f t="shared" si="6"/>
        <v>0.3</v>
      </c>
      <c r="K28" s="14">
        <f t="shared" si="7"/>
        <v>0.68799999999999994</v>
      </c>
      <c r="L28" s="14">
        <f t="shared" si="8"/>
        <v>1.2E-2</v>
      </c>
      <c r="M28" s="4">
        <f t="shared" si="9"/>
        <v>202</v>
      </c>
    </row>
    <row r="29" spans="1:13" x14ac:dyDescent="0.3">
      <c r="A29" s="1">
        <f t="shared" si="10"/>
        <v>27</v>
      </c>
      <c r="B29" s="1">
        <v>3000</v>
      </c>
      <c r="C29" s="1">
        <f t="shared" si="18"/>
        <v>6860</v>
      </c>
      <c r="D29" s="4">
        <f t="shared" si="19"/>
        <v>140</v>
      </c>
      <c r="E29" s="4">
        <f t="shared" si="13"/>
        <v>27</v>
      </c>
      <c r="F29" s="13">
        <f t="shared" si="17"/>
        <v>0.16400000000000006</v>
      </c>
      <c r="G29" s="12">
        <f t="shared" si="5"/>
        <v>204</v>
      </c>
      <c r="I29" s="4">
        <f t="shared" si="3"/>
        <v>10000</v>
      </c>
      <c r="J29" s="14">
        <f t="shared" si="6"/>
        <v>0.3</v>
      </c>
      <c r="K29" s="14">
        <f t="shared" si="7"/>
        <v>0.68600000000000005</v>
      </c>
      <c r="L29" s="14">
        <f t="shared" si="8"/>
        <v>1.4E-2</v>
      </c>
      <c r="M29" s="4">
        <f t="shared" si="9"/>
        <v>204</v>
      </c>
    </row>
    <row r="30" spans="1:13" x14ac:dyDescent="0.3">
      <c r="A30" s="1">
        <f t="shared" si="10"/>
        <v>28</v>
      </c>
      <c r="B30" s="1">
        <v>3000</v>
      </c>
      <c r="C30" s="1">
        <f t="shared" si="18"/>
        <v>6840</v>
      </c>
      <c r="D30" s="4">
        <f t="shared" si="19"/>
        <v>160</v>
      </c>
      <c r="E30" s="4">
        <f t="shared" si="13"/>
        <v>28</v>
      </c>
      <c r="F30" s="13">
        <f t="shared" si="17"/>
        <v>0.17200000000000007</v>
      </c>
      <c r="G30" s="12">
        <f t="shared" si="5"/>
        <v>206</v>
      </c>
      <c r="I30" s="4">
        <f t="shared" si="3"/>
        <v>10000</v>
      </c>
      <c r="J30" s="14">
        <f t="shared" si="6"/>
        <v>0.3</v>
      </c>
      <c r="K30" s="14">
        <f t="shared" si="7"/>
        <v>0.68400000000000005</v>
      </c>
      <c r="L30" s="14">
        <f t="shared" si="8"/>
        <v>1.6E-2</v>
      </c>
      <c r="M30" s="4">
        <f t="shared" si="9"/>
        <v>206</v>
      </c>
    </row>
    <row r="31" spans="1:13" x14ac:dyDescent="0.3">
      <c r="A31" s="1">
        <f t="shared" si="10"/>
        <v>29</v>
      </c>
      <c r="B31" s="1">
        <v>3000</v>
      </c>
      <c r="C31" s="1">
        <f t="shared" si="18"/>
        <v>6820</v>
      </c>
      <c r="D31" s="4">
        <f t="shared" si="19"/>
        <v>180</v>
      </c>
      <c r="E31" s="4">
        <f t="shared" si="13"/>
        <v>29</v>
      </c>
      <c r="F31" s="13">
        <f t="shared" si="17"/>
        <v>0.18000000000000008</v>
      </c>
      <c r="G31" s="12">
        <f t="shared" si="5"/>
        <v>208</v>
      </c>
      <c r="I31" s="4">
        <f t="shared" si="3"/>
        <v>10000</v>
      </c>
      <c r="J31" s="14">
        <f t="shared" si="6"/>
        <v>0.3</v>
      </c>
      <c r="K31" s="14">
        <f t="shared" si="7"/>
        <v>0.68200000000000005</v>
      </c>
      <c r="L31" s="14">
        <f t="shared" si="8"/>
        <v>1.7999999999999999E-2</v>
      </c>
      <c r="M31" s="4">
        <f t="shared" si="9"/>
        <v>208</v>
      </c>
    </row>
    <row r="32" spans="1:13" x14ac:dyDescent="0.3">
      <c r="A32" s="1">
        <f t="shared" si="10"/>
        <v>30</v>
      </c>
      <c r="B32" s="1">
        <v>3000</v>
      </c>
      <c r="C32" s="1">
        <f t="shared" si="18"/>
        <v>6800</v>
      </c>
      <c r="D32" s="4">
        <f t="shared" si="19"/>
        <v>200</v>
      </c>
      <c r="E32" s="4">
        <f t="shared" si="13"/>
        <v>30</v>
      </c>
      <c r="F32" s="13">
        <f t="shared" si="17"/>
        <v>0.18800000000000008</v>
      </c>
      <c r="G32" s="12">
        <f t="shared" si="5"/>
        <v>210</v>
      </c>
      <c r="I32" s="4">
        <f t="shared" si="3"/>
        <v>10000</v>
      </c>
      <c r="J32" s="14">
        <f t="shared" si="6"/>
        <v>0.3</v>
      </c>
      <c r="K32" s="14">
        <f t="shared" si="7"/>
        <v>0.68</v>
      </c>
      <c r="L32" s="14">
        <f t="shared" si="8"/>
        <v>0.02</v>
      </c>
      <c r="M32" s="4">
        <f t="shared" si="9"/>
        <v>210</v>
      </c>
    </row>
    <row r="33" spans="1:13" x14ac:dyDescent="0.3">
      <c r="A33" s="1">
        <f t="shared" si="10"/>
        <v>31</v>
      </c>
      <c r="B33" s="1">
        <v>3000</v>
      </c>
      <c r="C33" s="1">
        <f t="shared" si="18"/>
        <v>6780</v>
      </c>
      <c r="D33" s="4">
        <f t="shared" si="19"/>
        <v>220</v>
      </c>
      <c r="E33" s="4">
        <f t="shared" si="13"/>
        <v>31</v>
      </c>
      <c r="F33" s="13">
        <f t="shared" si="17"/>
        <v>0.19600000000000009</v>
      </c>
      <c r="G33" s="12">
        <f t="shared" si="5"/>
        <v>212</v>
      </c>
      <c r="I33" s="4">
        <f t="shared" si="3"/>
        <v>10000</v>
      </c>
      <c r="J33" s="14">
        <f t="shared" si="6"/>
        <v>0.3</v>
      </c>
      <c r="K33" s="14">
        <f t="shared" si="7"/>
        <v>0.67800000000000005</v>
      </c>
      <c r="L33" s="14">
        <f t="shared" si="8"/>
        <v>2.1999999999999999E-2</v>
      </c>
      <c r="M33" s="4">
        <f t="shared" si="9"/>
        <v>212</v>
      </c>
    </row>
    <row r="34" spans="1:13" x14ac:dyDescent="0.3">
      <c r="A34" s="1">
        <f t="shared" si="10"/>
        <v>32</v>
      </c>
      <c r="B34" s="1">
        <v>3000</v>
      </c>
      <c r="C34" s="1">
        <f t="shared" si="18"/>
        <v>6760</v>
      </c>
      <c r="D34" s="4">
        <f t="shared" si="19"/>
        <v>240</v>
      </c>
      <c r="E34" s="4">
        <f t="shared" si="13"/>
        <v>32</v>
      </c>
      <c r="F34" s="13">
        <f t="shared" si="17"/>
        <v>0.2040000000000001</v>
      </c>
      <c r="G34" s="12">
        <f t="shared" si="5"/>
        <v>214</v>
      </c>
      <c r="I34" s="4">
        <f t="shared" si="3"/>
        <v>10000</v>
      </c>
      <c r="J34" s="14">
        <f t="shared" si="6"/>
        <v>0.3</v>
      </c>
      <c r="K34" s="14">
        <f t="shared" si="7"/>
        <v>0.67600000000000005</v>
      </c>
      <c r="L34" s="14">
        <f t="shared" si="8"/>
        <v>2.4E-2</v>
      </c>
      <c r="M34" s="4">
        <f t="shared" si="9"/>
        <v>214</v>
      </c>
    </row>
    <row r="35" spans="1:13" x14ac:dyDescent="0.3">
      <c r="A35" s="1">
        <f t="shared" si="10"/>
        <v>33</v>
      </c>
      <c r="B35" s="1">
        <v>3000</v>
      </c>
      <c r="C35" s="1">
        <f t="shared" si="18"/>
        <v>6740</v>
      </c>
      <c r="D35" s="4">
        <f t="shared" si="19"/>
        <v>260</v>
      </c>
      <c r="E35" s="4">
        <f t="shared" si="13"/>
        <v>33</v>
      </c>
      <c r="F35" s="13">
        <f t="shared" si="17"/>
        <v>0.21200000000000011</v>
      </c>
      <c r="G35" s="12">
        <f t="shared" si="5"/>
        <v>216</v>
      </c>
      <c r="I35" s="4">
        <f t="shared" ref="I35:I66" si="20">SUM(B35:D35)</f>
        <v>10000</v>
      </c>
      <c r="J35" s="14">
        <f t="shared" si="6"/>
        <v>0.3</v>
      </c>
      <c r="K35" s="14">
        <f t="shared" si="7"/>
        <v>0.67400000000000004</v>
      </c>
      <c r="L35" s="14">
        <f t="shared" si="8"/>
        <v>2.5999999999999999E-2</v>
      </c>
      <c r="M35" s="4">
        <f t="shared" si="9"/>
        <v>216</v>
      </c>
    </row>
    <row r="36" spans="1:13" x14ac:dyDescent="0.3">
      <c r="A36" s="1">
        <f t="shared" si="10"/>
        <v>34</v>
      </c>
      <c r="B36" s="1">
        <v>3000</v>
      </c>
      <c r="C36" s="1">
        <f t="shared" si="18"/>
        <v>6720</v>
      </c>
      <c r="D36" s="4">
        <f t="shared" si="19"/>
        <v>280</v>
      </c>
      <c r="E36" s="4">
        <f t="shared" si="13"/>
        <v>34</v>
      </c>
      <c r="F36" s="13">
        <f t="shared" si="17"/>
        <v>0.22000000000000011</v>
      </c>
      <c r="G36" s="12">
        <f t="shared" si="5"/>
        <v>218</v>
      </c>
      <c r="I36" s="4">
        <f t="shared" si="20"/>
        <v>10000</v>
      </c>
      <c r="J36" s="14">
        <f t="shared" si="6"/>
        <v>0.3</v>
      </c>
      <c r="K36" s="14">
        <f t="shared" si="7"/>
        <v>0.67200000000000004</v>
      </c>
      <c r="L36" s="14">
        <f t="shared" si="8"/>
        <v>2.8000000000000001E-2</v>
      </c>
      <c r="M36" s="4">
        <f t="shared" si="9"/>
        <v>218</v>
      </c>
    </row>
    <row r="37" spans="1:13" x14ac:dyDescent="0.3">
      <c r="A37" s="1">
        <f t="shared" si="10"/>
        <v>35</v>
      </c>
      <c r="B37" s="1">
        <v>3000</v>
      </c>
      <c r="C37" s="1">
        <f t="shared" si="18"/>
        <v>6700</v>
      </c>
      <c r="D37" s="4">
        <f t="shared" si="19"/>
        <v>300</v>
      </c>
      <c r="E37" s="4">
        <f t="shared" si="13"/>
        <v>35</v>
      </c>
      <c r="F37" s="13">
        <f t="shared" si="17"/>
        <v>0.22800000000000012</v>
      </c>
      <c r="G37" s="12">
        <f t="shared" si="5"/>
        <v>220</v>
      </c>
      <c r="I37" s="4">
        <f t="shared" si="20"/>
        <v>10000</v>
      </c>
      <c r="J37" s="14">
        <f t="shared" si="6"/>
        <v>0.3</v>
      </c>
      <c r="K37" s="14">
        <f t="shared" si="7"/>
        <v>0.67</v>
      </c>
      <c r="L37" s="14">
        <f t="shared" si="8"/>
        <v>0.03</v>
      </c>
      <c r="M37" s="4">
        <f t="shared" si="9"/>
        <v>220</v>
      </c>
    </row>
    <row r="38" spans="1:13" x14ac:dyDescent="0.3">
      <c r="A38" s="1">
        <f t="shared" si="10"/>
        <v>36</v>
      </c>
      <c r="B38" s="1">
        <v>3000</v>
      </c>
      <c r="C38" s="1">
        <f t="shared" si="18"/>
        <v>6680</v>
      </c>
      <c r="D38" s="4">
        <f t="shared" si="19"/>
        <v>320</v>
      </c>
      <c r="E38" s="4">
        <f t="shared" si="13"/>
        <v>36</v>
      </c>
      <c r="F38" s="13">
        <f t="shared" si="17"/>
        <v>0.23600000000000013</v>
      </c>
      <c r="G38" s="12">
        <f t="shared" si="5"/>
        <v>222</v>
      </c>
      <c r="I38" s="4">
        <f t="shared" si="20"/>
        <v>10000</v>
      </c>
      <c r="J38" s="14">
        <f t="shared" si="6"/>
        <v>0.3</v>
      </c>
      <c r="K38" s="14">
        <f t="shared" si="7"/>
        <v>0.66800000000000004</v>
      </c>
      <c r="L38" s="14">
        <f t="shared" si="8"/>
        <v>3.2000000000000001E-2</v>
      </c>
      <c r="M38" s="4">
        <f t="shared" si="9"/>
        <v>222</v>
      </c>
    </row>
    <row r="39" spans="1:13" x14ac:dyDescent="0.3">
      <c r="A39" s="1">
        <f t="shared" si="10"/>
        <v>37</v>
      </c>
      <c r="B39" s="1">
        <v>3000</v>
      </c>
      <c r="C39" s="1">
        <f t="shared" si="18"/>
        <v>6660</v>
      </c>
      <c r="D39" s="4">
        <f t="shared" si="19"/>
        <v>340</v>
      </c>
      <c r="E39" s="4">
        <f t="shared" si="13"/>
        <v>37</v>
      </c>
      <c r="F39" s="13">
        <f t="shared" si="17"/>
        <v>0.24400000000000013</v>
      </c>
      <c r="G39" s="12">
        <f t="shared" si="5"/>
        <v>224</v>
      </c>
      <c r="I39" s="4">
        <f t="shared" si="20"/>
        <v>10000</v>
      </c>
      <c r="J39" s="14">
        <f t="shared" si="6"/>
        <v>0.3</v>
      </c>
      <c r="K39" s="14">
        <f t="shared" si="7"/>
        <v>0.66600000000000004</v>
      </c>
      <c r="L39" s="14">
        <f t="shared" si="8"/>
        <v>3.4000000000000002E-2</v>
      </c>
      <c r="M39" s="4">
        <f t="shared" si="9"/>
        <v>224</v>
      </c>
    </row>
    <row r="40" spans="1:13" x14ac:dyDescent="0.3">
      <c r="A40" s="1">
        <f t="shared" si="10"/>
        <v>38</v>
      </c>
      <c r="B40" s="1">
        <v>3000</v>
      </c>
      <c r="C40" s="1">
        <f t="shared" si="18"/>
        <v>6640</v>
      </c>
      <c r="D40" s="4">
        <f t="shared" si="19"/>
        <v>360</v>
      </c>
      <c r="E40" s="4">
        <f t="shared" si="13"/>
        <v>38</v>
      </c>
      <c r="F40" s="13">
        <f t="shared" si="17"/>
        <v>0.25200000000000011</v>
      </c>
      <c r="G40" s="12">
        <f t="shared" si="5"/>
        <v>226</v>
      </c>
      <c r="I40" s="4">
        <f t="shared" si="20"/>
        <v>10000</v>
      </c>
      <c r="J40" s="14">
        <f t="shared" si="6"/>
        <v>0.3</v>
      </c>
      <c r="K40" s="14">
        <f t="shared" si="7"/>
        <v>0.66400000000000003</v>
      </c>
      <c r="L40" s="14">
        <f t="shared" si="8"/>
        <v>3.5999999999999997E-2</v>
      </c>
      <c r="M40" s="4">
        <f t="shared" si="9"/>
        <v>226</v>
      </c>
    </row>
    <row r="41" spans="1:13" x14ac:dyDescent="0.3">
      <c r="A41" s="1">
        <f t="shared" si="10"/>
        <v>39</v>
      </c>
      <c r="B41" s="1">
        <v>3000</v>
      </c>
      <c r="C41" s="1">
        <f t="shared" si="18"/>
        <v>6620</v>
      </c>
      <c r="D41" s="4">
        <f t="shared" si="19"/>
        <v>380</v>
      </c>
      <c r="E41" s="4">
        <f t="shared" si="13"/>
        <v>39</v>
      </c>
      <c r="F41" s="13">
        <f t="shared" si="17"/>
        <v>0.26000000000000012</v>
      </c>
      <c r="G41" s="12">
        <f t="shared" si="5"/>
        <v>228</v>
      </c>
      <c r="I41" s="4">
        <f t="shared" si="20"/>
        <v>10000</v>
      </c>
      <c r="J41" s="14">
        <f t="shared" si="6"/>
        <v>0.3</v>
      </c>
      <c r="K41" s="14">
        <f t="shared" si="7"/>
        <v>0.66200000000000003</v>
      </c>
      <c r="L41" s="14">
        <f t="shared" si="8"/>
        <v>3.7999999999999999E-2</v>
      </c>
      <c r="M41" s="4">
        <f t="shared" si="9"/>
        <v>228</v>
      </c>
    </row>
    <row r="42" spans="1:13" x14ac:dyDescent="0.3">
      <c r="A42" s="1">
        <f t="shared" si="10"/>
        <v>40</v>
      </c>
      <c r="B42" s="1">
        <v>2500</v>
      </c>
      <c r="C42" s="1">
        <v>7500</v>
      </c>
      <c r="D42" s="4">
        <v>0</v>
      </c>
      <c r="E42" s="4">
        <f t="shared" si="13"/>
        <v>40</v>
      </c>
      <c r="F42" s="13">
        <f>F41+0.013</f>
        <v>0.27300000000000013</v>
      </c>
      <c r="G42" s="12">
        <f>200+A42*3</f>
        <v>320</v>
      </c>
      <c r="I42" s="4">
        <f t="shared" si="20"/>
        <v>10000</v>
      </c>
      <c r="J42" s="14">
        <f t="shared" si="6"/>
        <v>0.25</v>
      </c>
      <c r="K42" s="14">
        <f t="shared" si="7"/>
        <v>0.75</v>
      </c>
      <c r="L42" s="14">
        <f t="shared" si="8"/>
        <v>0</v>
      </c>
      <c r="M42" s="4">
        <f t="shared" si="9"/>
        <v>320</v>
      </c>
    </row>
    <row r="43" spans="1:13" x14ac:dyDescent="0.3">
      <c r="A43" s="1">
        <f t="shared" si="10"/>
        <v>41</v>
      </c>
      <c r="B43" s="1">
        <v>2500</v>
      </c>
      <c r="C43" s="1">
        <f>C42-D43</f>
        <v>7450</v>
      </c>
      <c r="D43" s="4">
        <f>D42+50</f>
        <v>50</v>
      </c>
      <c r="E43" s="4">
        <f>E42+2</f>
        <v>42</v>
      </c>
      <c r="F43" s="13">
        <f t="shared" ref="F43:F61" si="21">F42+0.013</f>
        <v>0.28600000000000014</v>
      </c>
      <c r="G43" s="12">
        <f t="shared" ref="G43:G61" si="22">200+A43*3</f>
        <v>323</v>
      </c>
      <c r="I43" s="4">
        <f t="shared" si="20"/>
        <v>10000</v>
      </c>
      <c r="J43" s="14">
        <f t="shared" si="6"/>
        <v>0.25</v>
      </c>
      <c r="K43" s="14">
        <f t="shared" si="7"/>
        <v>0.745</v>
      </c>
      <c r="L43" s="14">
        <f t="shared" si="8"/>
        <v>5.0000000000000001E-3</v>
      </c>
      <c r="M43" s="4">
        <f t="shared" si="9"/>
        <v>323</v>
      </c>
    </row>
    <row r="44" spans="1:13" x14ac:dyDescent="0.3">
      <c r="A44" s="1">
        <f t="shared" si="10"/>
        <v>42</v>
      </c>
      <c r="B44" s="1">
        <v>2500</v>
      </c>
      <c r="C44" s="1">
        <f>$C$42-D44</f>
        <v>7400</v>
      </c>
      <c r="D44" s="4">
        <f t="shared" ref="D44:D61" si="23">D43+50</f>
        <v>100</v>
      </c>
      <c r="E44" s="4">
        <f t="shared" ref="E44:E61" si="24">E43+2</f>
        <v>44</v>
      </c>
      <c r="F44" s="13">
        <f t="shared" si="21"/>
        <v>0.29900000000000015</v>
      </c>
      <c r="G44" s="12">
        <f t="shared" si="22"/>
        <v>326</v>
      </c>
      <c r="I44" s="4">
        <f t="shared" si="20"/>
        <v>10000</v>
      </c>
      <c r="J44" s="14">
        <f t="shared" si="6"/>
        <v>0.25</v>
      </c>
      <c r="K44" s="14">
        <f t="shared" si="7"/>
        <v>0.74</v>
      </c>
      <c r="L44" s="14">
        <f t="shared" si="8"/>
        <v>0.01</v>
      </c>
      <c r="M44" s="4">
        <f t="shared" si="9"/>
        <v>326</v>
      </c>
    </row>
    <row r="45" spans="1:13" x14ac:dyDescent="0.3">
      <c r="A45" s="1">
        <f t="shared" si="10"/>
        <v>43</v>
      </c>
      <c r="B45" s="1">
        <v>2500</v>
      </c>
      <c r="C45" s="1">
        <f t="shared" ref="C45:C61" si="25">$C$42-D45</f>
        <v>7350</v>
      </c>
      <c r="D45" s="4">
        <f t="shared" si="23"/>
        <v>150</v>
      </c>
      <c r="E45" s="4">
        <f t="shared" si="24"/>
        <v>46</v>
      </c>
      <c r="F45" s="13">
        <f t="shared" si="21"/>
        <v>0.31200000000000017</v>
      </c>
      <c r="G45" s="12">
        <f t="shared" si="22"/>
        <v>329</v>
      </c>
      <c r="I45" s="4">
        <f t="shared" si="20"/>
        <v>10000</v>
      </c>
      <c r="J45" s="14">
        <f t="shared" si="6"/>
        <v>0.25</v>
      </c>
      <c r="K45" s="14">
        <f t="shared" si="7"/>
        <v>0.73499999999999999</v>
      </c>
      <c r="L45" s="14">
        <f t="shared" si="8"/>
        <v>1.4999999999999999E-2</v>
      </c>
      <c r="M45" s="4">
        <f t="shared" si="9"/>
        <v>329</v>
      </c>
    </row>
    <row r="46" spans="1:13" x14ac:dyDescent="0.3">
      <c r="A46" s="1">
        <f t="shared" si="10"/>
        <v>44</v>
      </c>
      <c r="B46" s="1">
        <v>2500</v>
      </c>
      <c r="C46" s="1">
        <f t="shared" si="25"/>
        <v>7300</v>
      </c>
      <c r="D46" s="4">
        <f t="shared" si="23"/>
        <v>200</v>
      </c>
      <c r="E46" s="4">
        <f t="shared" si="24"/>
        <v>48</v>
      </c>
      <c r="F46" s="13">
        <f t="shared" si="21"/>
        <v>0.32500000000000018</v>
      </c>
      <c r="G46" s="12">
        <f t="shared" si="22"/>
        <v>332</v>
      </c>
      <c r="I46" s="4">
        <f t="shared" si="20"/>
        <v>10000</v>
      </c>
      <c r="J46" s="14">
        <f t="shared" si="6"/>
        <v>0.25</v>
      </c>
      <c r="K46" s="14">
        <f t="shared" si="7"/>
        <v>0.73</v>
      </c>
      <c r="L46" s="14">
        <f t="shared" si="8"/>
        <v>0.02</v>
      </c>
      <c r="M46" s="4">
        <f t="shared" si="9"/>
        <v>332</v>
      </c>
    </row>
    <row r="47" spans="1:13" x14ac:dyDescent="0.3">
      <c r="A47" s="1">
        <f t="shared" si="10"/>
        <v>45</v>
      </c>
      <c r="B47" s="1">
        <v>2500</v>
      </c>
      <c r="C47" s="1">
        <f t="shared" si="25"/>
        <v>7250</v>
      </c>
      <c r="D47" s="4">
        <f t="shared" si="23"/>
        <v>250</v>
      </c>
      <c r="E47" s="4">
        <f t="shared" si="24"/>
        <v>50</v>
      </c>
      <c r="F47" s="13">
        <f t="shared" si="21"/>
        <v>0.33800000000000019</v>
      </c>
      <c r="G47" s="12">
        <f t="shared" si="22"/>
        <v>335</v>
      </c>
      <c r="I47" s="4">
        <f t="shared" si="20"/>
        <v>10000</v>
      </c>
      <c r="J47" s="14">
        <f t="shared" si="6"/>
        <v>0.25</v>
      </c>
      <c r="K47" s="14">
        <f t="shared" si="7"/>
        <v>0.72499999999999998</v>
      </c>
      <c r="L47" s="14">
        <f t="shared" si="8"/>
        <v>2.5000000000000001E-2</v>
      </c>
      <c r="M47" s="4">
        <f t="shared" si="9"/>
        <v>335</v>
      </c>
    </row>
    <row r="48" spans="1:13" x14ac:dyDescent="0.3">
      <c r="A48" s="1">
        <f t="shared" si="10"/>
        <v>46</v>
      </c>
      <c r="B48" s="1">
        <v>2500</v>
      </c>
      <c r="C48" s="1">
        <f t="shared" si="25"/>
        <v>7200</v>
      </c>
      <c r="D48" s="4">
        <f t="shared" si="23"/>
        <v>300</v>
      </c>
      <c r="E48" s="4">
        <f t="shared" si="24"/>
        <v>52</v>
      </c>
      <c r="F48" s="13">
        <f t="shared" si="21"/>
        <v>0.3510000000000002</v>
      </c>
      <c r="G48" s="12">
        <f t="shared" si="22"/>
        <v>338</v>
      </c>
      <c r="I48" s="4">
        <f t="shared" si="20"/>
        <v>10000</v>
      </c>
      <c r="J48" s="14">
        <f t="shared" si="6"/>
        <v>0.25</v>
      </c>
      <c r="K48" s="14">
        <f t="shared" si="7"/>
        <v>0.72</v>
      </c>
      <c r="L48" s="14">
        <f t="shared" si="8"/>
        <v>0.03</v>
      </c>
      <c r="M48" s="4">
        <f t="shared" si="9"/>
        <v>338</v>
      </c>
    </row>
    <row r="49" spans="1:13" x14ac:dyDescent="0.3">
      <c r="A49" s="1">
        <f t="shared" si="10"/>
        <v>47</v>
      </c>
      <c r="B49" s="1">
        <v>2500</v>
      </c>
      <c r="C49" s="1">
        <f t="shared" si="25"/>
        <v>7150</v>
      </c>
      <c r="D49" s="4">
        <f t="shared" si="23"/>
        <v>350</v>
      </c>
      <c r="E49" s="4">
        <f t="shared" si="24"/>
        <v>54</v>
      </c>
      <c r="F49" s="13">
        <f t="shared" si="21"/>
        <v>0.36400000000000021</v>
      </c>
      <c r="G49" s="12">
        <f t="shared" si="22"/>
        <v>341</v>
      </c>
      <c r="I49" s="4">
        <f t="shared" si="20"/>
        <v>10000</v>
      </c>
      <c r="J49" s="14">
        <f t="shared" si="6"/>
        <v>0.25</v>
      </c>
      <c r="K49" s="14">
        <f t="shared" si="7"/>
        <v>0.71499999999999997</v>
      </c>
      <c r="L49" s="14">
        <f t="shared" si="8"/>
        <v>3.5000000000000003E-2</v>
      </c>
      <c r="M49" s="4">
        <f t="shared" si="9"/>
        <v>341</v>
      </c>
    </row>
    <row r="50" spans="1:13" x14ac:dyDescent="0.3">
      <c r="A50" s="1">
        <f t="shared" si="10"/>
        <v>48</v>
      </c>
      <c r="B50" s="1">
        <v>2500</v>
      </c>
      <c r="C50" s="1">
        <f t="shared" si="25"/>
        <v>7100</v>
      </c>
      <c r="D50" s="4">
        <f t="shared" si="23"/>
        <v>400</v>
      </c>
      <c r="E50" s="4">
        <f t="shared" si="24"/>
        <v>56</v>
      </c>
      <c r="F50" s="13">
        <f t="shared" si="21"/>
        <v>0.37700000000000022</v>
      </c>
      <c r="G50" s="12">
        <f t="shared" si="22"/>
        <v>344</v>
      </c>
      <c r="I50" s="4">
        <f t="shared" si="20"/>
        <v>10000</v>
      </c>
      <c r="J50" s="14">
        <f t="shared" si="6"/>
        <v>0.25</v>
      </c>
      <c r="K50" s="14">
        <f t="shared" si="7"/>
        <v>0.71</v>
      </c>
      <c r="L50" s="14">
        <f t="shared" si="8"/>
        <v>0.04</v>
      </c>
      <c r="M50" s="4">
        <f t="shared" si="9"/>
        <v>344</v>
      </c>
    </row>
    <row r="51" spans="1:13" x14ac:dyDescent="0.3">
      <c r="A51" s="1">
        <f t="shared" si="10"/>
        <v>49</v>
      </c>
      <c r="B51" s="1">
        <v>2500</v>
      </c>
      <c r="C51" s="1">
        <f t="shared" si="25"/>
        <v>7050</v>
      </c>
      <c r="D51" s="4">
        <f t="shared" si="23"/>
        <v>450</v>
      </c>
      <c r="E51" s="4">
        <f t="shared" si="24"/>
        <v>58</v>
      </c>
      <c r="F51" s="13">
        <f t="shared" si="21"/>
        <v>0.39000000000000024</v>
      </c>
      <c r="G51" s="12">
        <f t="shared" si="22"/>
        <v>347</v>
      </c>
      <c r="I51" s="4">
        <f t="shared" si="20"/>
        <v>10000</v>
      </c>
      <c r="J51" s="14">
        <f t="shared" si="6"/>
        <v>0.25</v>
      </c>
      <c r="K51" s="14">
        <f t="shared" si="7"/>
        <v>0.70499999999999996</v>
      </c>
      <c r="L51" s="14">
        <f t="shared" si="8"/>
        <v>4.4999999999999998E-2</v>
      </c>
      <c r="M51" s="4">
        <f t="shared" si="9"/>
        <v>347</v>
      </c>
    </row>
    <row r="52" spans="1:13" x14ac:dyDescent="0.3">
      <c r="A52" s="1">
        <f t="shared" si="10"/>
        <v>50</v>
      </c>
      <c r="B52" s="1">
        <v>2500</v>
      </c>
      <c r="C52" s="1">
        <f t="shared" si="25"/>
        <v>7000</v>
      </c>
      <c r="D52" s="4">
        <f t="shared" si="23"/>
        <v>500</v>
      </c>
      <c r="E52" s="4">
        <f t="shared" si="24"/>
        <v>60</v>
      </c>
      <c r="F52" s="13">
        <f t="shared" si="21"/>
        <v>0.40300000000000025</v>
      </c>
      <c r="G52" s="12">
        <f t="shared" si="22"/>
        <v>350</v>
      </c>
      <c r="I52" s="4">
        <f t="shared" si="20"/>
        <v>10000</v>
      </c>
      <c r="J52" s="14">
        <f t="shared" si="6"/>
        <v>0.25</v>
      </c>
      <c r="K52" s="14">
        <f t="shared" si="7"/>
        <v>0.7</v>
      </c>
      <c r="L52" s="14">
        <f t="shared" si="8"/>
        <v>0.05</v>
      </c>
      <c r="M52" s="4">
        <f t="shared" si="9"/>
        <v>350</v>
      </c>
    </row>
    <row r="53" spans="1:13" x14ac:dyDescent="0.3">
      <c r="A53" s="1">
        <f t="shared" si="10"/>
        <v>51</v>
      </c>
      <c r="B53" s="1">
        <v>2500</v>
      </c>
      <c r="C53" s="1">
        <f t="shared" si="25"/>
        <v>6950</v>
      </c>
      <c r="D53" s="4">
        <f t="shared" si="23"/>
        <v>550</v>
      </c>
      <c r="E53" s="4">
        <f t="shared" si="24"/>
        <v>62</v>
      </c>
      <c r="F53" s="13">
        <f t="shared" si="21"/>
        <v>0.41600000000000026</v>
      </c>
      <c r="G53" s="12">
        <f t="shared" si="22"/>
        <v>353</v>
      </c>
      <c r="I53" s="4">
        <f t="shared" si="20"/>
        <v>10000</v>
      </c>
      <c r="J53" s="14">
        <f t="shared" si="6"/>
        <v>0.25</v>
      </c>
      <c r="K53" s="14">
        <f t="shared" si="7"/>
        <v>0.69499999999999995</v>
      </c>
      <c r="L53" s="14">
        <f t="shared" si="8"/>
        <v>5.5E-2</v>
      </c>
      <c r="M53" s="4">
        <f t="shared" si="9"/>
        <v>353</v>
      </c>
    </row>
    <row r="54" spans="1:13" x14ac:dyDescent="0.3">
      <c r="A54" s="1">
        <f t="shared" si="10"/>
        <v>52</v>
      </c>
      <c r="B54" s="1">
        <v>2500</v>
      </c>
      <c r="C54" s="1">
        <f t="shared" si="25"/>
        <v>6900</v>
      </c>
      <c r="D54" s="4">
        <f t="shared" si="23"/>
        <v>600</v>
      </c>
      <c r="E54" s="4">
        <f t="shared" si="24"/>
        <v>64</v>
      </c>
      <c r="F54" s="13">
        <f t="shared" si="21"/>
        <v>0.42900000000000027</v>
      </c>
      <c r="G54" s="12">
        <f t="shared" si="22"/>
        <v>356</v>
      </c>
      <c r="I54" s="4">
        <f t="shared" si="20"/>
        <v>10000</v>
      </c>
      <c r="J54" s="14">
        <f t="shared" si="6"/>
        <v>0.25</v>
      </c>
      <c r="K54" s="14">
        <f t="shared" si="7"/>
        <v>0.69</v>
      </c>
      <c r="L54" s="14">
        <f t="shared" si="8"/>
        <v>0.06</v>
      </c>
      <c r="M54" s="4">
        <f t="shared" si="9"/>
        <v>356</v>
      </c>
    </row>
    <row r="55" spans="1:13" x14ac:dyDescent="0.3">
      <c r="A55" s="1">
        <f t="shared" si="10"/>
        <v>53</v>
      </c>
      <c r="B55" s="1">
        <v>2500</v>
      </c>
      <c r="C55" s="1">
        <f t="shared" si="25"/>
        <v>6850</v>
      </c>
      <c r="D55" s="4">
        <f t="shared" si="23"/>
        <v>650</v>
      </c>
      <c r="E55" s="4">
        <f t="shared" si="24"/>
        <v>66</v>
      </c>
      <c r="F55" s="13">
        <f t="shared" si="21"/>
        <v>0.44200000000000028</v>
      </c>
      <c r="G55" s="12">
        <f t="shared" si="22"/>
        <v>359</v>
      </c>
      <c r="I55" s="4">
        <f t="shared" si="20"/>
        <v>10000</v>
      </c>
      <c r="J55" s="14">
        <f t="shared" si="6"/>
        <v>0.25</v>
      </c>
      <c r="K55" s="14">
        <f t="shared" si="7"/>
        <v>0.68500000000000005</v>
      </c>
      <c r="L55" s="14">
        <f t="shared" si="8"/>
        <v>6.5000000000000002E-2</v>
      </c>
      <c r="M55" s="4">
        <f t="shared" si="9"/>
        <v>359</v>
      </c>
    </row>
    <row r="56" spans="1:13" x14ac:dyDescent="0.3">
      <c r="A56" s="1">
        <f t="shared" si="10"/>
        <v>54</v>
      </c>
      <c r="B56" s="1">
        <v>2500</v>
      </c>
      <c r="C56" s="1">
        <f t="shared" si="25"/>
        <v>6800</v>
      </c>
      <c r="D56" s="4">
        <f t="shared" si="23"/>
        <v>700</v>
      </c>
      <c r="E56" s="4">
        <f t="shared" si="24"/>
        <v>68</v>
      </c>
      <c r="F56" s="13">
        <f t="shared" si="21"/>
        <v>0.45500000000000029</v>
      </c>
      <c r="G56" s="12">
        <f t="shared" si="22"/>
        <v>362</v>
      </c>
      <c r="I56" s="4">
        <f t="shared" si="20"/>
        <v>10000</v>
      </c>
      <c r="J56" s="14">
        <f t="shared" si="6"/>
        <v>0.25</v>
      </c>
      <c r="K56" s="14">
        <f t="shared" si="7"/>
        <v>0.68</v>
      </c>
      <c r="L56" s="14">
        <f t="shared" si="8"/>
        <v>7.0000000000000007E-2</v>
      </c>
      <c r="M56" s="4">
        <f t="shared" si="9"/>
        <v>362</v>
      </c>
    </row>
    <row r="57" spans="1:13" x14ac:dyDescent="0.3">
      <c r="A57" s="1">
        <f t="shared" si="10"/>
        <v>55</v>
      </c>
      <c r="B57" s="1">
        <v>2500</v>
      </c>
      <c r="C57" s="1">
        <f t="shared" si="25"/>
        <v>6750</v>
      </c>
      <c r="D57" s="4">
        <f t="shared" si="23"/>
        <v>750</v>
      </c>
      <c r="E57" s="4">
        <f t="shared" si="24"/>
        <v>70</v>
      </c>
      <c r="F57" s="13">
        <f t="shared" si="21"/>
        <v>0.4680000000000003</v>
      </c>
      <c r="G57" s="12">
        <f t="shared" si="22"/>
        <v>365</v>
      </c>
      <c r="I57" s="4">
        <f t="shared" si="20"/>
        <v>10000</v>
      </c>
      <c r="J57" s="14">
        <f t="shared" si="6"/>
        <v>0.25</v>
      </c>
      <c r="K57" s="14">
        <f t="shared" si="7"/>
        <v>0.67500000000000004</v>
      </c>
      <c r="L57" s="14">
        <f t="shared" si="8"/>
        <v>7.4999999999999997E-2</v>
      </c>
      <c r="M57" s="4">
        <f t="shared" si="9"/>
        <v>365</v>
      </c>
    </row>
    <row r="58" spans="1:13" x14ac:dyDescent="0.3">
      <c r="A58" s="1">
        <f t="shared" si="10"/>
        <v>56</v>
      </c>
      <c r="B58" s="1">
        <v>2500</v>
      </c>
      <c r="C58" s="1">
        <f t="shared" si="25"/>
        <v>6700</v>
      </c>
      <c r="D58" s="4">
        <f t="shared" si="23"/>
        <v>800</v>
      </c>
      <c r="E58" s="4">
        <f t="shared" si="24"/>
        <v>72</v>
      </c>
      <c r="F58" s="13">
        <f t="shared" si="21"/>
        <v>0.48100000000000032</v>
      </c>
      <c r="G58" s="12">
        <f t="shared" si="22"/>
        <v>368</v>
      </c>
      <c r="I58" s="4">
        <f t="shared" si="20"/>
        <v>10000</v>
      </c>
      <c r="J58" s="14">
        <f t="shared" si="6"/>
        <v>0.25</v>
      </c>
      <c r="K58" s="14">
        <f t="shared" si="7"/>
        <v>0.67</v>
      </c>
      <c r="L58" s="14">
        <f t="shared" si="8"/>
        <v>0.08</v>
      </c>
      <c r="M58" s="4">
        <f t="shared" si="9"/>
        <v>368</v>
      </c>
    </row>
    <row r="59" spans="1:13" x14ac:dyDescent="0.3">
      <c r="A59" s="1">
        <f t="shared" si="10"/>
        <v>57</v>
      </c>
      <c r="B59" s="1">
        <v>2500</v>
      </c>
      <c r="C59" s="1">
        <f t="shared" si="25"/>
        <v>6650</v>
      </c>
      <c r="D59" s="4">
        <f t="shared" si="23"/>
        <v>850</v>
      </c>
      <c r="E59" s="4">
        <f t="shared" si="24"/>
        <v>74</v>
      </c>
      <c r="F59" s="13">
        <f t="shared" si="21"/>
        <v>0.49400000000000033</v>
      </c>
      <c r="G59" s="12">
        <f t="shared" si="22"/>
        <v>371</v>
      </c>
      <c r="I59" s="4">
        <f t="shared" si="20"/>
        <v>10000</v>
      </c>
      <c r="J59" s="14">
        <f t="shared" si="6"/>
        <v>0.25</v>
      </c>
      <c r="K59" s="14">
        <f t="shared" si="7"/>
        <v>0.66500000000000004</v>
      </c>
      <c r="L59" s="14">
        <f t="shared" si="8"/>
        <v>8.5000000000000006E-2</v>
      </c>
      <c r="M59" s="4">
        <f t="shared" si="9"/>
        <v>371</v>
      </c>
    </row>
    <row r="60" spans="1:13" x14ac:dyDescent="0.3">
      <c r="A60" s="1">
        <f t="shared" si="10"/>
        <v>58</v>
      </c>
      <c r="B60" s="1">
        <v>2500</v>
      </c>
      <c r="C60" s="1">
        <f t="shared" si="25"/>
        <v>6600</v>
      </c>
      <c r="D60" s="4">
        <f t="shared" si="23"/>
        <v>900</v>
      </c>
      <c r="E60" s="4">
        <f t="shared" si="24"/>
        <v>76</v>
      </c>
      <c r="F60" s="13">
        <f t="shared" si="21"/>
        <v>0.50700000000000034</v>
      </c>
      <c r="G60" s="12">
        <f t="shared" si="22"/>
        <v>374</v>
      </c>
      <c r="I60" s="4">
        <f t="shared" si="20"/>
        <v>10000</v>
      </c>
      <c r="J60" s="14">
        <f t="shared" si="6"/>
        <v>0.25</v>
      </c>
      <c r="K60" s="14">
        <f t="shared" si="7"/>
        <v>0.66</v>
      </c>
      <c r="L60" s="14">
        <f t="shared" si="8"/>
        <v>0.09</v>
      </c>
      <c r="M60" s="4">
        <f t="shared" si="9"/>
        <v>374</v>
      </c>
    </row>
    <row r="61" spans="1:13" x14ac:dyDescent="0.3">
      <c r="A61" s="1">
        <f t="shared" si="10"/>
        <v>59</v>
      </c>
      <c r="B61" s="1">
        <v>2500</v>
      </c>
      <c r="C61" s="1">
        <f t="shared" si="25"/>
        <v>6550</v>
      </c>
      <c r="D61" s="4">
        <f t="shared" si="23"/>
        <v>950</v>
      </c>
      <c r="E61" s="4">
        <f t="shared" si="24"/>
        <v>78</v>
      </c>
      <c r="F61" s="13">
        <f t="shared" si="21"/>
        <v>0.52000000000000035</v>
      </c>
      <c r="G61" s="12">
        <f t="shared" si="22"/>
        <v>377</v>
      </c>
      <c r="I61" s="4">
        <f t="shared" si="20"/>
        <v>10000</v>
      </c>
      <c r="J61" s="14">
        <f t="shared" si="6"/>
        <v>0.25</v>
      </c>
      <c r="K61" s="14">
        <f t="shared" si="7"/>
        <v>0.65500000000000003</v>
      </c>
      <c r="L61" s="14">
        <f t="shared" si="8"/>
        <v>9.5000000000000001E-2</v>
      </c>
      <c r="M61" s="4">
        <f t="shared" si="9"/>
        <v>377</v>
      </c>
    </row>
    <row r="62" spans="1:13" x14ac:dyDescent="0.3">
      <c r="A62" s="1">
        <f t="shared" si="10"/>
        <v>60</v>
      </c>
      <c r="B62" s="1">
        <v>2000</v>
      </c>
      <c r="C62" s="1">
        <v>8000</v>
      </c>
      <c r="D62" s="4">
        <v>0</v>
      </c>
      <c r="E62" s="4">
        <f>E61+2</f>
        <v>80</v>
      </c>
      <c r="F62" s="13">
        <f>F61+0.021</f>
        <v>0.54100000000000037</v>
      </c>
      <c r="G62" s="12">
        <f>250+A62*4</f>
        <v>490</v>
      </c>
      <c r="I62" s="4">
        <f t="shared" si="20"/>
        <v>10000</v>
      </c>
      <c r="J62" s="14">
        <f t="shared" si="6"/>
        <v>0.2</v>
      </c>
      <c r="K62" s="14">
        <f t="shared" si="7"/>
        <v>0.8</v>
      </c>
      <c r="L62" s="14">
        <f t="shared" si="8"/>
        <v>0</v>
      </c>
      <c r="M62" s="4">
        <f t="shared" si="9"/>
        <v>490</v>
      </c>
    </row>
    <row r="63" spans="1:13" x14ac:dyDescent="0.3">
      <c r="A63" s="1">
        <f t="shared" si="10"/>
        <v>61</v>
      </c>
      <c r="B63" s="1">
        <v>2000</v>
      </c>
      <c r="C63" s="1">
        <f>$C$62-D63</f>
        <v>7900</v>
      </c>
      <c r="D63" s="4">
        <f>D62+100</f>
        <v>100</v>
      </c>
      <c r="E63" s="4">
        <f>E62+3</f>
        <v>83</v>
      </c>
      <c r="F63" s="13">
        <f t="shared" ref="F63:F81" si="26">F62+0.021</f>
        <v>0.56200000000000039</v>
      </c>
      <c r="G63" s="12">
        <f t="shared" ref="G63:G81" si="27">250+A63*4</f>
        <v>494</v>
      </c>
      <c r="I63" s="4">
        <f t="shared" si="20"/>
        <v>10000</v>
      </c>
      <c r="J63" s="14">
        <f t="shared" si="6"/>
        <v>0.2</v>
      </c>
      <c r="K63" s="14">
        <f t="shared" si="7"/>
        <v>0.79</v>
      </c>
      <c r="L63" s="14">
        <f t="shared" si="8"/>
        <v>0.01</v>
      </c>
      <c r="M63" s="4">
        <f t="shared" si="9"/>
        <v>494</v>
      </c>
    </row>
    <row r="64" spans="1:13" x14ac:dyDescent="0.3">
      <c r="A64" s="1">
        <f t="shared" si="10"/>
        <v>62</v>
      </c>
      <c r="B64" s="1">
        <v>2000</v>
      </c>
      <c r="C64" s="1">
        <f t="shared" ref="C64:C81" si="28">$C$62-D64</f>
        <v>7800</v>
      </c>
      <c r="D64" s="4">
        <f t="shared" ref="D64:D81" si="29">D63+100</f>
        <v>200</v>
      </c>
      <c r="E64" s="4">
        <f t="shared" ref="E64:E82" si="30">E63+3</f>
        <v>86</v>
      </c>
      <c r="F64" s="13">
        <f t="shared" si="26"/>
        <v>0.58300000000000041</v>
      </c>
      <c r="G64" s="12">
        <f t="shared" si="27"/>
        <v>498</v>
      </c>
      <c r="I64" s="4">
        <f t="shared" si="20"/>
        <v>10000</v>
      </c>
      <c r="J64" s="14">
        <f t="shared" si="6"/>
        <v>0.2</v>
      </c>
      <c r="K64" s="14">
        <f t="shared" si="7"/>
        <v>0.78</v>
      </c>
      <c r="L64" s="14">
        <f t="shared" si="8"/>
        <v>0.02</v>
      </c>
      <c r="M64" s="4">
        <f t="shared" si="9"/>
        <v>498</v>
      </c>
    </row>
    <row r="65" spans="1:13" x14ac:dyDescent="0.3">
      <c r="A65" s="1">
        <f t="shared" si="10"/>
        <v>63</v>
      </c>
      <c r="B65" s="1">
        <v>2000</v>
      </c>
      <c r="C65" s="1">
        <f t="shared" si="28"/>
        <v>7700</v>
      </c>
      <c r="D65" s="4">
        <f t="shared" si="29"/>
        <v>300</v>
      </c>
      <c r="E65" s="4">
        <f t="shared" si="30"/>
        <v>89</v>
      </c>
      <c r="F65" s="13">
        <f t="shared" si="26"/>
        <v>0.60400000000000043</v>
      </c>
      <c r="G65" s="12">
        <f t="shared" si="27"/>
        <v>502</v>
      </c>
      <c r="I65" s="4">
        <f t="shared" si="20"/>
        <v>10000</v>
      </c>
      <c r="J65" s="14">
        <f t="shared" si="6"/>
        <v>0.2</v>
      </c>
      <c r="K65" s="14">
        <f t="shared" si="7"/>
        <v>0.77</v>
      </c>
      <c r="L65" s="14">
        <f t="shared" si="8"/>
        <v>0.03</v>
      </c>
      <c r="M65" s="4">
        <f t="shared" si="9"/>
        <v>502</v>
      </c>
    </row>
    <row r="66" spans="1:13" x14ac:dyDescent="0.3">
      <c r="A66" s="1">
        <f t="shared" si="10"/>
        <v>64</v>
      </c>
      <c r="B66" s="1">
        <v>2000</v>
      </c>
      <c r="C66" s="1">
        <f t="shared" si="28"/>
        <v>7600</v>
      </c>
      <c r="D66" s="4">
        <f t="shared" si="29"/>
        <v>400</v>
      </c>
      <c r="E66" s="4">
        <f t="shared" si="30"/>
        <v>92</v>
      </c>
      <c r="F66" s="13">
        <f t="shared" si="26"/>
        <v>0.62500000000000044</v>
      </c>
      <c r="G66" s="12">
        <f t="shared" si="27"/>
        <v>506</v>
      </c>
      <c r="I66" s="4">
        <f t="shared" si="20"/>
        <v>10000</v>
      </c>
      <c r="J66" s="14">
        <f t="shared" si="6"/>
        <v>0.2</v>
      </c>
      <c r="K66" s="14">
        <f t="shared" si="7"/>
        <v>0.76</v>
      </c>
      <c r="L66" s="14">
        <f t="shared" si="8"/>
        <v>0.04</v>
      </c>
      <c r="M66" s="4">
        <f t="shared" si="9"/>
        <v>506</v>
      </c>
    </row>
    <row r="67" spans="1:13" x14ac:dyDescent="0.3">
      <c r="A67" s="1">
        <f t="shared" si="10"/>
        <v>65</v>
      </c>
      <c r="B67" s="1">
        <v>2000</v>
      </c>
      <c r="C67" s="1">
        <f t="shared" si="28"/>
        <v>7500</v>
      </c>
      <c r="D67" s="4">
        <f t="shared" si="29"/>
        <v>500</v>
      </c>
      <c r="E67" s="4">
        <f t="shared" si="30"/>
        <v>95</v>
      </c>
      <c r="F67" s="13">
        <f t="shared" si="26"/>
        <v>0.64600000000000046</v>
      </c>
      <c r="G67" s="12">
        <f t="shared" si="27"/>
        <v>510</v>
      </c>
      <c r="I67" s="4">
        <f t="shared" ref="I67:I101" si="31">SUM(B67:D67)</f>
        <v>10000</v>
      </c>
      <c r="J67" s="14">
        <f t="shared" si="6"/>
        <v>0.2</v>
      </c>
      <c r="K67" s="14">
        <f t="shared" si="7"/>
        <v>0.75</v>
      </c>
      <c r="L67" s="14">
        <f t="shared" si="8"/>
        <v>0.05</v>
      </c>
      <c r="M67" s="4">
        <f t="shared" si="9"/>
        <v>510</v>
      </c>
    </row>
    <row r="68" spans="1:13" x14ac:dyDescent="0.3">
      <c r="A68" s="1">
        <f t="shared" si="10"/>
        <v>66</v>
      </c>
      <c r="B68" s="1">
        <v>2000</v>
      </c>
      <c r="C68" s="1">
        <f t="shared" si="28"/>
        <v>7400</v>
      </c>
      <c r="D68" s="4">
        <f t="shared" si="29"/>
        <v>600</v>
      </c>
      <c r="E68" s="4">
        <f t="shared" si="30"/>
        <v>98</v>
      </c>
      <c r="F68" s="13">
        <f t="shared" si="26"/>
        <v>0.66700000000000048</v>
      </c>
      <c r="G68" s="12">
        <f t="shared" si="27"/>
        <v>514</v>
      </c>
      <c r="I68" s="4">
        <f t="shared" si="31"/>
        <v>10000</v>
      </c>
      <c r="J68" s="14">
        <f t="shared" ref="J68:J100" si="32">B68/10000</f>
        <v>0.2</v>
      </c>
      <c r="K68" s="14">
        <f t="shared" ref="K68:K100" si="33">C68/10000</f>
        <v>0.74</v>
      </c>
      <c r="L68" s="14">
        <f t="shared" ref="L68:L100" si="34">D68/10000</f>
        <v>0.06</v>
      </c>
      <c r="M68" s="4">
        <f t="shared" ref="M68:M100" si="35">G68</f>
        <v>514</v>
      </c>
    </row>
    <row r="69" spans="1:13" x14ac:dyDescent="0.3">
      <c r="A69" s="1">
        <f t="shared" ref="A69:A74" si="36">A68+1</f>
        <v>67</v>
      </c>
      <c r="B69" s="1">
        <v>2000</v>
      </c>
      <c r="C69" s="1">
        <f t="shared" si="28"/>
        <v>7300</v>
      </c>
      <c r="D69" s="4">
        <f t="shared" si="29"/>
        <v>700</v>
      </c>
      <c r="E69" s="4">
        <f t="shared" si="30"/>
        <v>101</v>
      </c>
      <c r="F69" s="13">
        <f t="shared" si="26"/>
        <v>0.6880000000000005</v>
      </c>
      <c r="G69" s="12">
        <f t="shared" si="27"/>
        <v>518</v>
      </c>
      <c r="I69" s="4">
        <f t="shared" si="31"/>
        <v>10000</v>
      </c>
      <c r="J69" s="14">
        <f t="shared" si="32"/>
        <v>0.2</v>
      </c>
      <c r="K69" s="14">
        <f t="shared" si="33"/>
        <v>0.73</v>
      </c>
      <c r="L69" s="14">
        <f t="shared" si="34"/>
        <v>7.0000000000000007E-2</v>
      </c>
      <c r="M69" s="4">
        <f t="shared" si="35"/>
        <v>518</v>
      </c>
    </row>
    <row r="70" spans="1:13" x14ac:dyDescent="0.3">
      <c r="A70" s="1">
        <f t="shared" si="36"/>
        <v>68</v>
      </c>
      <c r="B70" s="1">
        <v>2000</v>
      </c>
      <c r="C70" s="1">
        <f t="shared" si="28"/>
        <v>7200</v>
      </c>
      <c r="D70" s="4">
        <f t="shared" si="29"/>
        <v>800</v>
      </c>
      <c r="E70" s="4">
        <f t="shared" si="30"/>
        <v>104</v>
      </c>
      <c r="F70" s="13">
        <f t="shared" si="26"/>
        <v>0.70900000000000052</v>
      </c>
      <c r="G70" s="12">
        <f t="shared" si="27"/>
        <v>522</v>
      </c>
      <c r="I70" s="4">
        <f t="shared" si="31"/>
        <v>10000</v>
      </c>
      <c r="J70" s="14">
        <f t="shared" si="32"/>
        <v>0.2</v>
      </c>
      <c r="K70" s="14">
        <f t="shared" si="33"/>
        <v>0.72</v>
      </c>
      <c r="L70" s="14">
        <f t="shared" si="34"/>
        <v>0.08</v>
      </c>
      <c r="M70" s="4">
        <f t="shared" si="35"/>
        <v>522</v>
      </c>
    </row>
    <row r="71" spans="1:13" x14ac:dyDescent="0.3">
      <c r="A71" s="1">
        <f t="shared" si="36"/>
        <v>69</v>
      </c>
      <c r="B71" s="1">
        <v>2000</v>
      </c>
      <c r="C71" s="1">
        <f t="shared" si="28"/>
        <v>7100</v>
      </c>
      <c r="D71" s="4">
        <f t="shared" si="29"/>
        <v>900</v>
      </c>
      <c r="E71" s="4">
        <f t="shared" si="30"/>
        <v>107</v>
      </c>
      <c r="F71" s="13">
        <f t="shared" si="26"/>
        <v>0.73000000000000054</v>
      </c>
      <c r="G71" s="12">
        <f t="shared" si="27"/>
        <v>526</v>
      </c>
      <c r="I71" s="4">
        <f t="shared" si="31"/>
        <v>10000</v>
      </c>
      <c r="J71" s="14">
        <f t="shared" si="32"/>
        <v>0.2</v>
      </c>
      <c r="K71" s="14">
        <f t="shared" si="33"/>
        <v>0.71</v>
      </c>
      <c r="L71" s="14">
        <f t="shared" si="34"/>
        <v>0.09</v>
      </c>
      <c r="M71" s="4">
        <f t="shared" si="35"/>
        <v>526</v>
      </c>
    </row>
    <row r="72" spans="1:13" x14ac:dyDescent="0.3">
      <c r="A72" s="1">
        <f t="shared" si="36"/>
        <v>70</v>
      </c>
      <c r="B72" s="1">
        <v>2000</v>
      </c>
      <c r="C72" s="1">
        <f t="shared" si="28"/>
        <v>7000</v>
      </c>
      <c r="D72" s="4">
        <f t="shared" si="29"/>
        <v>1000</v>
      </c>
      <c r="E72" s="4">
        <f t="shared" si="30"/>
        <v>110</v>
      </c>
      <c r="F72" s="13">
        <f t="shared" si="26"/>
        <v>0.75100000000000056</v>
      </c>
      <c r="G72" s="12">
        <f t="shared" si="27"/>
        <v>530</v>
      </c>
      <c r="I72" s="4">
        <f t="shared" si="31"/>
        <v>10000</v>
      </c>
      <c r="J72" s="14">
        <f t="shared" si="32"/>
        <v>0.2</v>
      </c>
      <c r="K72" s="14">
        <f t="shared" si="33"/>
        <v>0.7</v>
      </c>
      <c r="L72" s="14">
        <f t="shared" si="34"/>
        <v>0.1</v>
      </c>
      <c r="M72" s="4">
        <f t="shared" si="35"/>
        <v>530</v>
      </c>
    </row>
    <row r="73" spans="1:13" x14ac:dyDescent="0.3">
      <c r="A73" s="1">
        <f t="shared" si="36"/>
        <v>71</v>
      </c>
      <c r="B73" s="1">
        <v>2000</v>
      </c>
      <c r="C73" s="1">
        <f t="shared" si="28"/>
        <v>6900</v>
      </c>
      <c r="D73" s="4">
        <f t="shared" si="29"/>
        <v>1100</v>
      </c>
      <c r="E73" s="4">
        <f t="shared" si="30"/>
        <v>113</v>
      </c>
      <c r="F73" s="13">
        <f t="shared" si="26"/>
        <v>0.77200000000000057</v>
      </c>
      <c r="G73" s="12">
        <f t="shared" si="27"/>
        <v>534</v>
      </c>
      <c r="I73" s="4">
        <f t="shared" si="31"/>
        <v>10000</v>
      </c>
      <c r="J73" s="14">
        <f t="shared" si="32"/>
        <v>0.2</v>
      </c>
      <c r="K73" s="14">
        <f t="shared" si="33"/>
        <v>0.69</v>
      </c>
      <c r="L73" s="14">
        <f t="shared" si="34"/>
        <v>0.11</v>
      </c>
      <c r="M73" s="4">
        <f t="shared" si="35"/>
        <v>534</v>
      </c>
    </row>
    <row r="74" spans="1:13" x14ac:dyDescent="0.3">
      <c r="A74" s="1">
        <f t="shared" si="36"/>
        <v>72</v>
      </c>
      <c r="B74" s="1">
        <v>2000</v>
      </c>
      <c r="C74" s="1">
        <f t="shared" si="28"/>
        <v>6800</v>
      </c>
      <c r="D74" s="4">
        <f t="shared" si="29"/>
        <v>1200</v>
      </c>
      <c r="E74" s="4">
        <f t="shared" si="30"/>
        <v>116</v>
      </c>
      <c r="F74" s="13">
        <f t="shared" si="26"/>
        <v>0.79300000000000059</v>
      </c>
      <c r="G74" s="12">
        <f t="shared" si="27"/>
        <v>538</v>
      </c>
      <c r="I74" s="4">
        <f t="shared" si="31"/>
        <v>10000</v>
      </c>
      <c r="J74" s="14">
        <f t="shared" si="32"/>
        <v>0.2</v>
      </c>
      <c r="K74" s="14">
        <f t="shared" si="33"/>
        <v>0.68</v>
      </c>
      <c r="L74" s="14">
        <f t="shared" si="34"/>
        <v>0.12</v>
      </c>
      <c r="M74" s="4">
        <f t="shared" si="35"/>
        <v>538</v>
      </c>
    </row>
    <row r="75" spans="1:13" x14ac:dyDescent="0.3">
      <c r="A75" s="1">
        <f t="shared" ref="A75:A94" si="37">A74+1</f>
        <v>73</v>
      </c>
      <c r="B75" s="1">
        <v>2000</v>
      </c>
      <c r="C75" s="1">
        <f t="shared" si="28"/>
        <v>6700</v>
      </c>
      <c r="D75" s="4">
        <f t="shared" si="29"/>
        <v>1300</v>
      </c>
      <c r="E75" s="4">
        <f t="shared" si="30"/>
        <v>119</v>
      </c>
      <c r="F75" s="13">
        <f t="shared" si="26"/>
        <v>0.81400000000000061</v>
      </c>
      <c r="G75" s="12">
        <f t="shared" si="27"/>
        <v>542</v>
      </c>
      <c r="I75" s="4">
        <f t="shared" si="31"/>
        <v>10000</v>
      </c>
      <c r="J75" s="14">
        <f t="shared" si="32"/>
        <v>0.2</v>
      </c>
      <c r="K75" s="14">
        <f t="shared" si="33"/>
        <v>0.67</v>
      </c>
      <c r="L75" s="14">
        <f t="shared" si="34"/>
        <v>0.13</v>
      </c>
      <c r="M75" s="4">
        <f t="shared" si="35"/>
        <v>542</v>
      </c>
    </row>
    <row r="76" spans="1:13" x14ac:dyDescent="0.3">
      <c r="A76" s="1">
        <f t="shared" si="37"/>
        <v>74</v>
      </c>
      <c r="B76" s="1">
        <v>2000</v>
      </c>
      <c r="C76" s="1">
        <f t="shared" si="28"/>
        <v>6600</v>
      </c>
      <c r="D76" s="4">
        <f t="shared" si="29"/>
        <v>1400</v>
      </c>
      <c r="E76" s="4">
        <f t="shared" si="30"/>
        <v>122</v>
      </c>
      <c r="F76" s="13">
        <f t="shared" si="26"/>
        <v>0.83500000000000063</v>
      </c>
      <c r="G76" s="12">
        <f t="shared" si="27"/>
        <v>546</v>
      </c>
      <c r="I76" s="4">
        <f t="shared" si="31"/>
        <v>10000</v>
      </c>
      <c r="J76" s="14">
        <f t="shared" si="32"/>
        <v>0.2</v>
      </c>
      <c r="K76" s="14">
        <f t="shared" si="33"/>
        <v>0.66</v>
      </c>
      <c r="L76" s="14">
        <f t="shared" si="34"/>
        <v>0.14000000000000001</v>
      </c>
      <c r="M76" s="4">
        <f t="shared" si="35"/>
        <v>546</v>
      </c>
    </row>
    <row r="77" spans="1:13" x14ac:dyDescent="0.3">
      <c r="A77" s="1">
        <f t="shared" si="37"/>
        <v>75</v>
      </c>
      <c r="B77" s="1">
        <v>2000</v>
      </c>
      <c r="C77" s="1">
        <f t="shared" si="28"/>
        <v>6500</v>
      </c>
      <c r="D77" s="4">
        <f t="shared" si="29"/>
        <v>1500</v>
      </c>
      <c r="E77" s="4">
        <f t="shared" si="30"/>
        <v>125</v>
      </c>
      <c r="F77" s="13">
        <f t="shared" si="26"/>
        <v>0.85600000000000065</v>
      </c>
      <c r="G77" s="12">
        <f t="shared" si="27"/>
        <v>550</v>
      </c>
      <c r="I77" s="4">
        <f t="shared" si="31"/>
        <v>10000</v>
      </c>
      <c r="J77" s="14">
        <f t="shared" si="32"/>
        <v>0.2</v>
      </c>
      <c r="K77" s="14">
        <f t="shared" si="33"/>
        <v>0.65</v>
      </c>
      <c r="L77" s="14">
        <f t="shared" si="34"/>
        <v>0.15</v>
      </c>
      <c r="M77" s="4">
        <f t="shared" si="35"/>
        <v>550</v>
      </c>
    </row>
    <row r="78" spans="1:13" x14ac:dyDescent="0.3">
      <c r="A78" s="1">
        <f t="shared" si="37"/>
        <v>76</v>
      </c>
      <c r="B78" s="1">
        <v>2000</v>
      </c>
      <c r="C78" s="1">
        <f t="shared" si="28"/>
        <v>6400</v>
      </c>
      <c r="D78" s="4">
        <f t="shared" si="29"/>
        <v>1600</v>
      </c>
      <c r="E78" s="4">
        <f t="shared" si="30"/>
        <v>128</v>
      </c>
      <c r="F78" s="13">
        <f t="shared" si="26"/>
        <v>0.87700000000000067</v>
      </c>
      <c r="G78" s="12">
        <f t="shared" si="27"/>
        <v>554</v>
      </c>
      <c r="I78" s="4">
        <f t="shared" si="31"/>
        <v>10000</v>
      </c>
      <c r="J78" s="14">
        <f t="shared" si="32"/>
        <v>0.2</v>
      </c>
      <c r="K78" s="14">
        <f t="shared" si="33"/>
        <v>0.64</v>
      </c>
      <c r="L78" s="14">
        <f t="shared" si="34"/>
        <v>0.16</v>
      </c>
      <c r="M78" s="4">
        <f t="shared" si="35"/>
        <v>554</v>
      </c>
    </row>
    <row r="79" spans="1:13" x14ac:dyDescent="0.3">
      <c r="A79" s="1">
        <f t="shared" si="37"/>
        <v>77</v>
      </c>
      <c r="B79" s="1">
        <v>2000</v>
      </c>
      <c r="C79" s="1">
        <f t="shared" si="28"/>
        <v>6300</v>
      </c>
      <c r="D79" s="4">
        <f t="shared" si="29"/>
        <v>1700</v>
      </c>
      <c r="E79" s="4">
        <f t="shared" si="30"/>
        <v>131</v>
      </c>
      <c r="F79" s="13">
        <f t="shared" si="26"/>
        <v>0.89800000000000069</v>
      </c>
      <c r="G79" s="12">
        <f t="shared" si="27"/>
        <v>558</v>
      </c>
      <c r="I79" s="4">
        <f t="shared" si="31"/>
        <v>10000</v>
      </c>
      <c r="J79" s="14">
        <f t="shared" si="32"/>
        <v>0.2</v>
      </c>
      <c r="K79" s="14">
        <f t="shared" si="33"/>
        <v>0.63</v>
      </c>
      <c r="L79" s="14">
        <f t="shared" si="34"/>
        <v>0.17</v>
      </c>
      <c r="M79" s="4">
        <f t="shared" si="35"/>
        <v>558</v>
      </c>
    </row>
    <row r="80" spans="1:13" x14ac:dyDescent="0.3">
      <c r="A80" s="1">
        <f t="shared" si="37"/>
        <v>78</v>
      </c>
      <c r="B80" s="1">
        <v>2000</v>
      </c>
      <c r="C80" s="1">
        <f t="shared" si="28"/>
        <v>6200</v>
      </c>
      <c r="D80" s="4">
        <f t="shared" si="29"/>
        <v>1800</v>
      </c>
      <c r="E80" s="4">
        <f t="shared" si="30"/>
        <v>134</v>
      </c>
      <c r="F80" s="13">
        <f t="shared" si="26"/>
        <v>0.91900000000000071</v>
      </c>
      <c r="G80" s="12">
        <f t="shared" si="27"/>
        <v>562</v>
      </c>
      <c r="I80" s="4">
        <f t="shared" si="31"/>
        <v>10000</v>
      </c>
      <c r="J80" s="14">
        <f t="shared" si="32"/>
        <v>0.2</v>
      </c>
      <c r="K80" s="14">
        <f t="shared" si="33"/>
        <v>0.62</v>
      </c>
      <c r="L80" s="14">
        <f t="shared" si="34"/>
        <v>0.18</v>
      </c>
      <c r="M80" s="4">
        <f t="shared" si="35"/>
        <v>562</v>
      </c>
    </row>
    <row r="81" spans="1:13" x14ac:dyDescent="0.3">
      <c r="A81" s="1">
        <f t="shared" si="37"/>
        <v>79</v>
      </c>
      <c r="B81" s="1">
        <v>2000</v>
      </c>
      <c r="C81" s="1">
        <f t="shared" si="28"/>
        <v>6100</v>
      </c>
      <c r="D81" s="4">
        <f t="shared" si="29"/>
        <v>1900</v>
      </c>
      <c r="E81" s="4">
        <f t="shared" si="30"/>
        <v>137</v>
      </c>
      <c r="F81" s="13">
        <f t="shared" si="26"/>
        <v>0.94000000000000072</v>
      </c>
      <c r="G81" s="12">
        <f t="shared" si="27"/>
        <v>566</v>
      </c>
      <c r="I81" s="4">
        <f t="shared" si="31"/>
        <v>10000</v>
      </c>
      <c r="J81" s="14">
        <f t="shared" si="32"/>
        <v>0.2</v>
      </c>
      <c r="K81" s="14">
        <f t="shared" si="33"/>
        <v>0.61</v>
      </c>
      <c r="L81" s="14">
        <f t="shared" si="34"/>
        <v>0.19</v>
      </c>
      <c r="M81" s="4">
        <f t="shared" si="35"/>
        <v>566</v>
      </c>
    </row>
    <row r="82" spans="1:13" x14ac:dyDescent="0.3">
      <c r="A82" s="1">
        <f t="shared" si="37"/>
        <v>80</v>
      </c>
      <c r="B82" s="1">
        <v>1500</v>
      </c>
      <c r="C82" s="1">
        <v>8500</v>
      </c>
      <c r="D82" s="4">
        <v>0</v>
      </c>
      <c r="E82" s="4">
        <f t="shared" si="30"/>
        <v>140</v>
      </c>
      <c r="F82" s="13">
        <f>F81+0.036</f>
        <v>0.97600000000000076</v>
      </c>
      <c r="G82" s="12">
        <f>300+A82*5</f>
        <v>700</v>
      </c>
      <c r="I82" s="4">
        <f t="shared" si="31"/>
        <v>10000</v>
      </c>
      <c r="J82" s="14">
        <f t="shared" si="32"/>
        <v>0.15</v>
      </c>
      <c r="K82" s="14">
        <f t="shared" si="33"/>
        <v>0.85</v>
      </c>
      <c r="L82" s="14">
        <f t="shared" si="34"/>
        <v>0</v>
      </c>
      <c r="M82" s="4">
        <f t="shared" si="35"/>
        <v>700</v>
      </c>
    </row>
    <row r="83" spans="1:13" x14ac:dyDescent="0.3">
      <c r="A83" s="1">
        <f t="shared" si="37"/>
        <v>81</v>
      </c>
      <c r="B83" s="1">
        <v>1500</v>
      </c>
      <c r="C83" s="1">
        <f>$C$82-D83</f>
        <v>8290</v>
      </c>
      <c r="D83" s="4">
        <f>D82+210</f>
        <v>210</v>
      </c>
      <c r="E83" s="4">
        <f>E82+4</f>
        <v>144</v>
      </c>
      <c r="F83" s="13">
        <f t="shared" ref="F83:F101" si="38">F82+0.036</f>
        <v>1.0120000000000007</v>
      </c>
      <c r="G83" s="12">
        <f t="shared" ref="G83:G101" si="39">300+A83*5</f>
        <v>705</v>
      </c>
      <c r="I83" s="4">
        <f t="shared" si="31"/>
        <v>10000</v>
      </c>
      <c r="J83" s="14">
        <f t="shared" si="32"/>
        <v>0.15</v>
      </c>
      <c r="K83" s="14">
        <f t="shared" si="33"/>
        <v>0.82899999999999996</v>
      </c>
      <c r="L83" s="14">
        <f t="shared" si="34"/>
        <v>2.1000000000000001E-2</v>
      </c>
      <c r="M83" s="4">
        <f t="shared" si="35"/>
        <v>705</v>
      </c>
    </row>
    <row r="84" spans="1:13" x14ac:dyDescent="0.3">
      <c r="A84" s="1">
        <f t="shared" si="37"/>
        <v>82</v>
      </c>
      <c r="B84" s="1">
        <v>1500</v>
      </c>
      <c r="C84" s="1">
        <f t="shared" ref="C84:C101" si="40">$C$82-D84</f>
        <v>8080</v>
      </c>
      <c r="D84" s="4">
        <f t="shared" ref="D84:D101" si="41">D83+210</f>
        <v>420</v>
      </c>
      <c r="E84" s="4">
        <f t="shared" ref="E84:E101" si="42">E83+4</f>
        <v>148</v>
      </c>
      <c r="F84" s="13">
        <f t="shared" si="38"/>
        <v>1.0480000000000007</v>
      </c>
      <c r="G84" s="12">
        <f t="shared" si="39"/>
        <v>710</v>
      </c>
      <c r="I84" s="4">
        <f t="shared" si="31"/>
        <v>10000</v>
      </c>
      <c r="J84" s="14">
        <f t="shared" si="32"/>
        <v>0.15</v>
      </c>
      <c r="K84" s="14">
        <f t="shared" si="33"/>
        <v>0.80800000000000005</v>
      </c>
      <c r="L84" s="14">
        <f t="shared" si="34"/>
        <v>4.2000000000000003E-2</v>
      </c>
      <c r="M84" s="4">
        <f t="shared" si="35"/>
        <v>710</v>
      </c>
    </row>
    <row r="85" spans="1:13" x14ac:dyDescent="0.3">
      <c r="A85" s="1">
        <f t="shared" si="37"/>
        <v>83</v>
      </c>
      <c r="B85" s="1">
        <v>1500</v>
      </c>
      <c r="C85" s="1">
        <f t="shared" si="40"/>
        <v>7870</v>
      </c>
      <c r="D85" s="4">
        <f t="shared" si="41"/>
        <v>630</v>
      </c>
      <c r="E85" s="4">
        <f t="shared" si="42"/>
        <v>152</v>
      </c>
      <c r="F85" s="13">
        <f t="shared" si="38"/>
        <v>1.0840000000000007</v>
      </c>
      <c r="G85" s="12">
        <f t="shared" si="39"/>
        <v>715</v>
      </c>
      <c r="I85" s="4">
        <f t="shared" si="31"/>
        <v>10000</v>
      </c>
      <c r="J85" s="14">
        <f t="shared" si="32"/>
        <v>0.15</v>
      </c>
      <c r="K85" s="14">
        <f t="shared" si="33"/>
        <v>0.78700000000000003</v>
      </c>
      <c r="L85" s="14">
        <f t="shared" si="34"/>
        <v>6.3E-2</v>
      </c>
      <c r="M85" s="4">
        <f t="shared" si="35"/>
        <v>715</v>
      </c>
    </row>
    <row r="86" spans="1:13" x14ac:dyDescent="0.3">
      <c r="A86" s="1">
        <f t="shared" si="37"/>
        <v>84</v>
      </c>
      <c r="B86" s="1">
        <v>1500</v>
      </c>
      <c r="C86" s="1">
        <f t="shared" si="40"/>
        <v>7660</v>
      </c>
      <c r="D86" s="4">
        <f t="shared" si="41"/>
        <v>840</v>
      </c>
      <c r="E86" s="4">
        <f t="shared" si="42"/>
        <v>156</v>
      </c>
      <c r="F86" s="13">
        <f t="shared" si="38"/>
        <v>1.1200000000000008</v>
      </c>
      <c r="G86" s="12">
        <f t="shared" si="39"/>
        <v>720</v>
      </c>
      <c r="I86" s="4">
        <f t="shared" si="31"/>
        <v>10000</v>
      </c>
      <c r="J86" s="14">
        <f t="shared" si="32"/>
        <v>0.15</v>
      </c>
      <c r="K86" s="14">
        <f t="shared" si="33"/>
        <v>0.76600000000000001</v>
      </c>
      <c r="L86" s="14">
        <f t="shared" si="34"/>
        <v>8.4000000000000005E-2</v>
      </c>
      <c r="M86" s="4">
        <f t="shared" si="35"/>
        <v>720</v>
      </c>
    </row>
    <row r="87" spans="1:13" x14ac:dyDescent="0.3">
      <c r="A87" s="1">
        <f t="shared" si="37"/>
        <v>85</v>
      </c>
      <c r="B87" s="1">
        <v>1500</v>
      </c>
      <c r="C87" s="1">
        <f t="shared" si="40"/>
        <v>7450</v>
      </c>
      <c r="D87" s="4">
        <f t="shared" si="41"/>
        <v>1050</v>
      </c>
      <c r="E87" s="4">
        <f t="shared" si="42"/>
        <v>160</v>
      </c>
      <c r="F87" s="13">
        <f t="shared" si="38"/>
        <v>1.1560000000000008</v>
      </c>
      <c r="G87" s="12">
        <f t="shared" si="39"/>
        <v>725</v>
      </c>
      <c r="I87" s="4">
        <f t="shared" si="31"/>
        <v>10000</v>
      </c>
      <c r="J87" s="14">
        <f t="shared" si="32"/>
        <v>0.15</v>
      </c>
      <c r="K87" s="14">
        <f t="shared" si="33"/>
        <v>0.745</v>
      </c>
      <c r="L87" s="14">
        <f t="shared" si="34"/>
        <v>0.105</v>
      </c>
      <c r="M87" s="4">
        <f t="shared" si="35"/>
        <v>725</v>
      </c>
    </row>
    <row r="88" spans="1:13" x14ac:dyDescent="0.3">
      <c r="A88" s="1">
        <f t="shared" si="37"/>
        <v>86</v>
      </c>
      <c r="B88" s="1">
        <v>1500</v>
      </c>
      <c r="C88" s="1">
        <f t="shared" si="40"/>
        <v>7240</v>
      </c>
      <c r="D88" s="4">
        <f t="shared" si="41"/>
        <v>1260</v>
      </c>
      <c r="E88" s="4">
        <f t="shared" si="42"/>
        <v>164</v>
      </c>
      <c r="F88" s="13">
        <f t="shared" si="38"/>
        <v>1.1920000000000008</v>
      </c>
      <c r="G88" s="12">
        <f t="shared" si="39"/>
        <v>730</v>
      </c>
      <c r="I88" s="4">
        <f t="shared" si="31"/>
        <v>10000</v>
      </c>
      <c r="J88" s="14">
        <f t="shared" si="32"/>
        <v>0.15</v>
      </c>
      <c r="K88" s="14">
        <f t="shared" si="33"/>
        <v>0.72399999999999998</v>
      </c>
      <c r="L88" s="14">
        <f t="shared" si="34"/>
        <v>0.126</v>
      </c>
      <c r="M88" s="4">
        <f t="shared" si="35"/>
        <v>730</v>
      </c>
    </row>
    <row r="89" spans="1:13" x14ac:dyDescent="0.3">
      <c r="A89" s="1">
        <f t="shared" si="37"/>
        <v>87</v>
      </c>
      <c r="B89" s="1">
        <v>1500</v>
      </c>
      <c r="C89" s="1">
        <f t="shared" si="40"/>
        <v>7030</v>
      </c>
      <c r="D89" s="4">
        <f t="shared" si="41"/>
        <v>1470</v>
      </c>
      <c r="E89" s="4">
        <f t="shared" si="42"/>
        <v>168</v>
      </c>
      <c r="F89" s="13">
        <f t="shared" si="38"/>
        <v>1.2280000000000009</v>
      </c>
      <c r="G89" s="12">
        <f t="shared" si="39"/>
        <v>735</v>
      </c>
      <c r="I89" s="4">
        <f t="shared" si="31"/>
        <v>10000</v>
      </c>
      <c r="J89" s="14">
        <f t="shared" si="32"/>
        <v>0.15</v>
      </c>
      <c r="K89" s="14">
        <f t="shared" si="33"/>
        <v>0.70299999999999996</v>
      </c>
      <c r="L89" s="14">
        <f t="shared" si="34"/>
        <v>0.14699999999999999</v>
      </c>
      <c r="M89" s="4">
        <f t="shared" si="35"/>
        <v>735</v>
      </c>
    </row>
    <row r="90" spans="1:13" x14ac:dyDescent="0.3">
      <c r="A90" s="1">
        <f t="shared" si="37"/>
        <v>88</v>
      </c>
      <c r="B90" s="1">
        <v>1500</v>
      </c>
      <c r="C90" s="1">
        <f t="shared" si="40"/>
        <v>6820</v>
      </c>
      <c r="D90" s="4">
        <f t="shared" si="41"/>
        <v>1680</v>
      </c>
      <c r="E90" s="4">
        <f t="shared" si="42"/>
        <v>172</v>
      </c>
      <c r="F90" s="13">
        <f t="shared" si="38"/>
        <v>1.2640000000000009</v>
      </c>
      <c r="G90" s="12">
        <f t="shared" si="39"/>
        <v>740</v>
      </c>
      <c r="I90" s="4">
        <f t="shared" si="31"/>
        <v>10000</v>
      </c>
      <c r="J90" s="14">
        <f t="shared" si="32"/>
        <v>0.15</v>
      </c>
      <c r="K90" s="14">
        <f t="shared" si="33"/>
        <v>0.68200000000000005</v>
      </c>
      <c r="L90" s="14">
        <f t="shared" si="34"/>
        <v>0.16800000000000001</v>
      </c>
      <c r="M90" s="4">
        <f t="shared" si="35"/>
        <v>740</v>
      </c>
    </row>
    <row r="91" spans="1:13" x14ac:dyDescent="0.3">
      <c r="A91" s="1">
        <f t="shared" si="37"/>
        <v>89</v>
      </c>
      <c r="B91" s="1">
        <v>1500</v>
      </c>
      <c r="C91" s="1">
        <f t="shared" si="40"/>
        <v>6610</v>
      </c>
      <c r="D91" s="4">
        <f t="shared" si="41"/>
        <v>1890</v>
      </c>
      <c r="E91" s="4">
        <f t="shared" si="42"/>
        <v>176</v>
      </c>
      <c r="F91" s="13">
        <f t="shared" si="38"/>
        <v>1.3000000000000009</v>
      </c>
      <c r="G91" s="12">
        <f t="shared" si="39"/>
        <v>745</v>
      </c>
      <c r="I91" s="4">
        <f t="shared" si="31"/>
        <v>10000</v>
      </c>
      <c r="J91" s="14">
        <f t="shared" si="32"/>
        <v>0.15</v>
      </c>
      <c r="K91" s="14">
        <f t="shared" si="33"/>
        <v>0.66100000000000003</v>
      </c>
      <c r="L91" s="14">
        <f t="shared" si="34"/>
        <v>0.189</v>
      </c>
      <c r="M91" s="4">
        <f t="shared" si="35"/>
        <v>745</v>
      </c>
    </row>
    <row r="92" spans="1:13" x14ac:dyDescent="0.3">
      <c r="A92" s="1">
        <f t="shared" si="37"/>
        <v>90</v>
      </c>
      <c r="B92" s="1">
        <v>1500</v>
      </c>
      <c r="C92" s="1">
        <f t="shared" si="40"/>
        <v>6400</v>
      </c>
      <c r="D92" s="4">
        <f t="shared" si="41"/>
        <v>2100</v>
      </c>
      <c r="E92" s="4">
        <f t="shared" si="42"/>
        <v>180</v>
      </c>
      <c r="F92" s="13">
        <f t="shared" si="38"/>
        <v>1.336000000000001</v>
      </c>
      <c r="G92" s="12">
        <f t="shared" si="39"/>
        <v>750</v>
      </c>
      <c r="I92" s="4">
        <f t="shared" si="31"/>
        <v>10000</v>
      </c>
      <c r="J92" s="14">
        <f t="shared" si="32"/>
        <v>0.15</v>
      </c>
      <c r="K92" s="14">
        <f t="shared" si="33"/>
        <v>0.64</v>
      </c>
      <c r="L92" s="14">
        <f t="shared" si="34"/>
        <v>0.21</v>
      </c>
      <c r="M92" s="4">
        <f t="shared" si="35"/>
        <v>750</v>
      </c>
    </row>
    <row r="93" spans="1:13" x14ac:dyDescent="0.3">
      <c r="A93" s="1">
        <f t="shared" si="37"/>
        <v>91</v>
      </c>
      <c r="B93" s="1">
        <v>1500</v>
      </c>
      <c r="C93" s="1">
        <f t="shared" si="40"/>
        <v>6190</v>
      </c>
      <c r="D93" s="4">
        <f t="shared" si="41"/>
        <v>2310</v>
      </c>
      <c r="E93" s="4">
        <f t="shared" si="42"/>
        <v>184</v>
      </c>
      <c r="F93" s="13">
        <f t="shared" si="38"/>
        <v>1.372000000000001</v>
      </c>
      <c r="G93" s="12">
        <f t="shared" si="39"/>
        <v>755</v>
      </c>
      <c r="I93" s="4">
        <f t="shared" si="31"/>
        <v>10000</v>
      </c>
      <c r="J93" s="14">
        <f t="shared" si="32"/>
        <v>0.15</v>
      </c>
      <c r="K93" s="14">
        <f t="shared" si="33"/>
        <v>0.61899999999999999</v>
      </c>
      <c r="L93" s="14">
        <f t="shared" si="34"/>
        <v>0.23100000000000001</v>
      </c>
      <c r="M93" s="4">
        <f t="shared" si="35"/>
        <v>755</v>
      </c>
    </row>
    <row r="94" spans="1:13" x14ac:dyDescent="0.3">
      <c r="A94" s="1">
        <f t="shared" si="37"/>
        <v>92</v>
      </c>
      <c r="B94" s="1">
        <v>1500</v>
      </c>
      <c r="C94" s="1">
        <f t="shared" si="40"/>
        <v>5980</v>
      </c>
      <c r="D94" s="4">
        <f t="shared" si="41"/>
        <v>2520</v>
      </c>
      <c r="E94" s="4">
        <f t="shared" si="42"/>
        <v>188</v>
      </c>
      <c r="F94" s="13">
        <f t="shared" si="38"/>
        <v>1.408000000000001</v>
      </c>
      <c r="G94" s="12">
        <f t="shared" si="39"/>
        <v>760</v>
      </c>
      <c r="I94" s="4">
        <f t="shared" si="31"/>
        <v>10000</v>
      </c>
      <c r="J94" s="14">
        <f t="shared" si="32"/>
        <v>0.15</v>
      </c>
      <c r="K94" s="14">
        <f t="shared" si="33"/>
        <v>0.59799999999999998</v>
      </c>
      <c r="L94" s="14">
        <f t="shared" si="34"/>
        <v>0.252</v>
      </c>
      <c r="M94" s="4">
        <f t="shared" si="35"/>
        <v>760</v>
      </c>
    </row>
    <row r="95" spans="1:13" x14ac:dyDescent="0.3">
      <c r="A95" s="1">
        <f t="shared" ref="A95:A102" si="43">A94+1</f>
        <v>93</v>
      </c>
      <c r="B95" s="1">
        <v>1500</v>
      </c>
      <c r="C95" s="1">
        <f t="shared" si="40"/>
        <v>5770</v>
      </c>
      <c r="D95" s="4">
        <f t="shared" si="41"/>
        <v>2730</v>
      </c>
      <c r="E95" s="4">
        <f t="shared" si="42"/>
        <v>192</v>
      </c>
      <c r="F95" s="13">
        <f t="shared" si="38"/>
        <v>1.4440000000000011</v>
      </c>
      <c r="G95" s="12">
        <f t="shared" si="39"/>
        <v>765</v>
      </c>
      <c r="I95" s="4">
        <f t="shared" si="31"/>
        <v>10000</v>
      </c>
      <c r="J95" s="14">
        <f t="shared" si="32"/>
        <v>0.15</v>
      </c>
      <c r="K95" s="14">
        <f t="shared" si="33"/>
        <v>0.57699999999999996</v>
      </c>
      <c r="L95" s="14">
        <f t="shared" si="34"/>
        <v>0.27300000000000002</v>
      </c>
      <c r="M95" s="4">
        <f t="shared" si="35"/>
        <v>765</v>
      </c>
    </row>
    <row r="96" spans="1:13" x14ac:dyDescent="0.3">
      <c r="A96" s="1">
        <f t="shared" si="43"/>
        <v>94</v>
      </c>
      <c r="B96" s="1">
        <v>1500</v>
      </c>
      <c r="C96" s="1">
        <f t="shared" si="40"/>
        <v>5560</v>
      </c>
      <c r="D96" s="4">
        <f t="shared" si="41"/>
        <v>2940</v>
      </c>
      <c r="E96" s="4">
        <f t="shared" si="42"/>
        <v>196</v>
      </c>
      <c r="F96" s="13">
        <f t="shared" si="38"/>
        <v>1.4800000000000011</v>
      </c>
      <c r="G96" s="12">
        <f t="shared" si="39"/>
        <v>770</v>
      </c>
      <c r="I96" s="4">
        <f t="shared" si="31"/>
        <v>10000</v>
      </c>
      <c r="J96" s="14">
        <f t="shared" si="32"/>
        <v>0.15</v>
      </c>
      <c r="K96" s="14">
        <f t="shared" si="33"/>
        <v>0.55600000000000005</v>
      </c>
      <c r="L96" s="14">
        <f t="shared" si="34"/>
        <v>0.29399999999999998</v>
      </c>
      <c r="M96" s="4">
        <f t="shared" si="35"/>
        <v>770</v>
      </c>
    </row>
    <row r="97" spans="1:13" x14ac:dyDescent="0.3">
      <c r="A97" s="1">
        <f t="shared" si="43"/>
        <v>95</v>
      </c>
      <c r="B97" s="1">
        <v>1500</v>
      </c>
      <c r="C97" s="1">
        <f t="shared" si="40"/>
        <v>5350</v>
      </c>
      <c r="D97" s="4">
        <f t="shared" si="41"/>
        <v>3150</v>
      </c>
      <c r="E97" s="4">
        <f t="shared" si="42"/>
        <v>200</v>
      </c>
      <c r="F97" s="13">
        <f t="shared" si="38"/>
        <v>1.5160000000000011</v>
      </c>
      <c r="G97" s="12">
        <f t="shared" si="39"/>
        <v>775</v>
      </c>
      <c r="I97" s="4">
        <f t="shared" si="31"/>
        <v>10000</v>
      </c>
      <c r="J97" s="14">
        <f t="shared" si="32"/>
        <v>0.15</v>
      </c>
      <c r="K97" s="14">
        <f t="shared" si="33"/>
        <v>0.53500000000000003</v>
      </c>
      <c r="L97" s="14">
        <f t="shared" si="34"/>
        <v>0.315</v>
      </c>
      <c r="M97" s="4">
        <f t="shared" si="35"/>
        <v>775</v>
      </c>
    </row>
    <row r="98" spans="1:13" x14ac:dyDescent="0.3">
      <c r="A98" s="1">
        <f t="shared" si="43"/>
        <v>96</v>
      </c>
      <c r="B98" s="1">
        <v>1500</v>
      </c>
      <c r="C98" s="1">
        <f t="shared" si="40"/>
        <v>5140</v>
      </c>
      <c r="D98" s="4">
        <f t="shared" si="41"/>
        <v>3360</v>
      </c>
      <c r="E98" s="4">
        <f t="shared" si="42"/>
        <v>204</v>
      </c>
      <c r="F98" s="13">
        <f t="shared" si="38"/>
        <v>1.5520000000000012</v>
      </c>
      <c r="G98" s="12">
        <f t="shared" si="39"/>
        <v>780</v>
      </c>
      <c r="I98" s="4">
        <f t="shared" si="31"/>
        <v>10000</v>
      </c>
      <c r="J98" s="14">
        <f t="shared" si="32"/>
        <v>0.15</v>
      </c>
      <c r="K98" s="14">
        <f t="shared" si="33"/>
        <v>0.51400000000000001</v>
      </c>
      <c r="L98" s="14">
        <f t="shared" si="34"/>
        <v>0.33600000000000002</v>
      </c>
      <c r="M98" s="4">
        <f t="shared" si="35"/>
        <v>780</v>
      </c>
    </row>
    <row r="99" spans="1:13" x14ac:dyDescent="0.3">
      <c r="A99" s="1">
        <f t="shared" si="43"/>
        <v>97</v>
      </c>
      <c r="B99" s="1">
        <v>1500</v>
      </c>
      <c r="C99" s="1">
        <f t="shared" si="40"/>
        <v>4930</v>
      </c>
      <c r="D99" s="4">
        <f t="shared" si="41"/>
        <v>3570</v>
      </c>
      <c r="E99" s="4">
        <f t="shared" si="42"/>
        <v>208</v>
      </c>
      <c r="F99" s="13">
        <f t="shared" si="38"/>
        <v>1.5880000000000012</v>
      </c>
      <c r="G99" s="12">
        <f t="shared" si="39"/>
        <v>785</v>
      </c>
      <c r="I99" s="4">
        <f t="shared" si="31"/>
        <v>10000</v>
      </c>
      <c r="J99" s="14">
        <f t="shared" si="32"/>
        <v>0.15</v>
      </c>
      <c r="K99" s="14">
        <f t="shared" si="33"/>
        <v>0.49299999999999999</v>
      </c>
      <c r="L99" s="14">
        <f t="shared" si="34"/>
        <v>0.35699999999999998</v>
      </c>
      <c r="M99" s="4">
        <f t="shared" si="35"/>
        <v>785</v>
      </c>
    </row>
    <row r="100" spans="1:13" x14ac:dyDescent="0.3">
      <c r="A100" s="1">
        <f t="shared" si="43"/>
        <v>98</v>
      </c>
      <c r="B100" s="1">
        <v>1500</v>
      </c>
      <c r="C100" s="1">
        <f t="shared" si="40"/>
        <v>4720</v>
      </c>
      <c r="D100" s="4">
        <f t="shared" si="41"/>
        <v>3780</v>
      </c>
      <c r="E100" s="4">
        <f t="shared" si="42"/>
        <v>212</v>
      </c>
      <c r="F100" s="13">
        <f t="shared" si="38"/>
        <v>1.6240000000000012</v>
      </c>
      <c r="G100" s="12">
        <f t="shared" si="39"/>
        <v>790</v>
      </c>
      <c r="I100" s="4">
        <f t="shared" si="31"/>
        <v>10000</v>
      </c>
      <c r="J100" s="14">
        <f t="shared" si="32"/>
        <v>0.15</v>
      </c>
      <c r="K100" s="14">
        <f t="shared" si="33"/>
        <v>0.47199999999999998</v>
      </c>
      <c r="L100" s="14">
        <f t="shared" si="34"/>
        <v>0.378</v>
      </c>
      <c r="M100" s="4">
        <f t="shared" si="35"/>
        <v>790</v>
      </c>
    </row>
    <row r="101" spans="1:13" x14ac:dyDescent="0.3">
      <c r="A101" s="1">
        <f t="shared" si="43"/>
        <v>99</v>
      </c>
      <c r="B101" s="1">
        <v>1500</v>
      </c>
      <c r="C101" s="1">
        <f t="shared" si="40"/>
        <v>4510</v>
      </c>
      <c r="D101" s="4">
        <f t="shared" si="41"/>
        <v>3990</v>
      </c>
      <c r="E101" s="4">
        <f t="shared" si="42"/>
        <v>216</v>
      </c>
      <c r="F101" s="13">
        <f t="shared" si="38"/>
        <v>1.6600000000000013</v>
      </c>
      <c r="G101" s="12">
        <f t="shared" si="39"/>
        <v>795</v>
      </c>
      <c r="I101" s="4">
        <f t="shared" si="31"/>
        <v>10000</v>
      </c>
      <c r="J101" s="14">
        <f t="shared" ref="J101" si="44">B101/10000</f>
        <v>0.15</v>
      </c>
      <c r="K101" s="14">
        <f t="shared" ref="K101" si="45">C101/10000</f>
        <v>0.45100000000000001</v>
      </c>
      <c r="L101" s="14">
        <f t="shared" ref="L101" si="46">D101/10000</f>
        <v>0.39900000000000002</v>
      </c>
      <c r="M101" s="4">
        <f t="shared" ref="M101" si="47">G101</f>
        <v>795</v>
      </c>
    </row>
    <row r="102" spans="1:13" x14ac:dyDescent="0.3">
      <c r="A102" s="5">
        <f t="shared" si="43"/>
        <v>100</v>
      </c>
      <c r="B102" s="5">
        <v>-1</v>
      </c>
      <c r="C102" s="5">
        <v>-1</v>
      </c>
      <c r="D102" s="10">
        <v>-1</v>
      </c>
      <c r="E102" s="9">
        <v>250</v>
      </c>
      <c r="F102" s="4">
        <v>2</v>
      </c>
      <c r="G102" s="4">
        <v>-1</v>
      </c>
    </row>
    <row r="103" spans="1:13" x14ac:dyDescent="0.3">
      <c r="A103" s="5"/>
      <c r="B103" s="5"/>
      <c r="C103" s="5"/>
    </row>
    <row r="104" spans="1:13" x14ac:dyDescent="0.3">
      <c r="A104" s="5"/>
      <c r="B104" s="5"/>
      <c r="C104" s="5"/>
    </row>
    <row r="105" spans="1:13" x14ac:dyDescent="0.3">
      <c r="A105" s="5"/>
      <c r="B105" s="5"/>
      <c r="C105" s="5"/>
    </row>
    <row r="106" spans="1:13" x14ac:dyDescent="0.3">
      <c r="A106" s="5"/>
      <c r="B106" s="5"/>
      <c r="C106" s="5"/>
    </row>
    <row r="107" spans="1:13" x14ac:dyDescent="0.3">
      <c r="A107" s="5"/>
      <c r="B107" s="5"/>
      <c r="C107" s="5"/>
    </row>
    <row r="108" spans="1:13" x14ac:dyDescent="0.3">
      <c r="A108" s="5"/>
      <c r="B108" s="5"/>
      <c r="C108" s="5"/>
    </row>
  </sheetData>
  <phoneticPr fontId="1" type="noConversion"/>
  <conditionalFormatting sqref="J1:L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{D02E1710-10D7-4F94-98BA-DB03C6E3E185}</x14:id>
        </ext>
      </extLst>
    </cfRule>
  </conditionalFormatting>
  <conditionalFormatting sqref="M2:M10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{4C755500-7855-4C1E-AFB4-30F7C1BAAB6F}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2E1710-10D7-4F94-98BA-DB03C6E3E1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J1:L1048576</xm:sqref>
        </x14:conditionalFormatting>
        <x14:conditionalFormatting xmlns:xm="http://schemas.microsoft.com/office/excel/2006/main">
          <x14:cfRule type="dataBar" id="{4C755500-7855-4C1E-AFB4-30F7C1BAAB6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M2:M101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윤준혁</cp:lastModifiedBy>
  <dcterms:created xsi:type="dcterms:W3CDTF">2024-05-16T15:21:07Z</dcterms:created>
  <dcterms:modified xsi:type="dcterms:W3CDTF">2025-08-29T19:24:12Z</dcterms:modified>
</cp:coreProperties>
</file>