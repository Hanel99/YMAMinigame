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workspace\YMAMiniGames\YMAMinigame\Assets\Resources\Data\Excels\"/>
    </mc:Choice>
  </mc:AlternateContent>
  <xr:revisionPtr revIDLastSave="0" documentId="13_ncr:1_{5331ED99-1494-4266-86A7-2009F2979FAD}" xr6:coauthVersionLast="47" xr6:coauthVersionMax="47" xr10:uidLastSave="{00000000-0000-0000-0000-000000000000}"/>
  <bookViews>
    <workbookView xWindow="42450" yWindow="3750" windowWidth="31935" windowHeight="186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2" i="1"/>
  <c r="M1" i="1"/>
  <c r="L1" i="1" a="1"/>
  <c r="L1" i="1" s="1"/>
  <c r="K1" i="1"/>
  <c r="L3" i="1"/>
  <c r="L4" i="1"/>
  <c r="L5" i="1"/>
  <c r="L6" i="1"/>
  <c r="L7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<sst xmlns="http://schemas.openxmlformats.org/spreadsheetml/2006/main" count="285" uniqueCount="66">
  <si>
    <t>number</t>
    <phoneticPr fontId="1" type="noConversion"/>
  </si>
  <si>
    <t>Normal</t>
    <phoneticPr fontId="1" type="noConversion"/>
  </si>
  <si>
    <t>SuperRare</t>
    <phoneticPr fontId="1" type="noConversion"/>
  </si>
  <si>
    <t>Rare</t>
    <phoneticPr fontId="1" type="noConversion"/>
  </si>
  <si>
    <t>Id</t>
    <phoneticPr fontId="1" type="noConversion"/>
  </si>
  <si>
    <t>Grade</t>
    <phoneticPr fontId="1" type="noConversion"/>
  </si>
  <si>
    <t>Master</t>
    <phoneticPr fontId="1" type="noConversion"/>
  </si>
  <si>
    <t>Number</t>
    <phoneticPr fontId="1" type="noConversion"/>
  </si>
  <si>
    <t>H</t>
  </si>
  <si>
    <t>Hanel</t>
  </si>
  <si>
    <t>Gathree</t>
  </si>
  <si>
    <t>Gaejang</t>
  </si>
  <si>
    <t>Yoshi</t>
  </si>
  <si>
    <t>Narae</t>
  </si>
  <si>
    <t>Neemo</t>
  </si>
  <si>
    <t>Nibel</t>
  </si>
  <si>
    <t>Yjyj</t>
  </si>
  <si>
    <t>Dami</t>
  </si>
  <si>
    <t>Ruby</t>
  </si>
  <si>
    <t>Manta</t>
  </si>
  <si>
    <t>Walwaldog</t>
  </si>
  <si>
    <t>Moon</t>
  </si>
  <si>
    <t>Banana</t>
  </si>
  <si>
    <t>Vorrom</t>
  </si>
  <si>
    <t>Jjamong</t>
  </si>
  <si>
    <t>Bbada</t>
  </si>
  <si>
    <t>Samsa</t>
  </si>
  <si>
    <t>Seno</t>
  </si>
  <si>
    <t>Sola</t>
  </si>
  <si>
    <t>Siroking</t>
  </si>
  <si>
    <t>Akusi</t>
  </si>
  <si>
    <t>Yobara</t>
  </si>
  <si>
    <t>Luo</t>
  </si>
  <si>
    <t>Yulmu</t>
  </si>
  <si>
    <t>Name</t>
  </si>
  <si>
    <t>Judy</t>
  </si>
  <si>
    <t>Zoey</t>
  </si>
  <si>
    <t>Kong</t>
  </si>
  <si>
    <t>Kiwi</t>
  </si>
  <si>
    <t>Tamtam</t>
  </si>
  <si>
    <t>Hyunbin</t>
  </si>
  <si>
    <t>Normal</t>
  </si>
  <si>
    <t>Rare</t>
  </si>
  <si>
    <t>SuperRare</t>
  </si>
  <si>
    <t>Silver</t>
    <phoneticPr fontId="1" type="noConversion"/>
  </si>
  <si>
    <t>Gold</t>
    <phoneticPr fontId="1" type="noConversion"/>
  </si>
  <si>
    <t>Black</t>
    <phoneticPr fontId="1" type="noConversion"/>
  </si>
  <si>
    <t>Other</t>
  </si>
  <si>
    <t>ImageNumber</t>
    <phoneticPr fontId="1" type="noConversion"/>
  </si>
  <si>
    <t>#30</t>
    <phoneticPr fontId="1" type="noConversion"/>
  </si>
  <si>
    <t>Other</t>
    <phoneticPr fontId="1" type="noConversion"/>
  </si>
  <si>
    <t>이미지 할당 넘버</t>
    <phoneticPr fontId="1" type="noConversion"/>
  </si>
  <si>
    <t>Gathree</t>
    <phoneticPr fontId="1" type="noConversion"/>
  </si>
  <si>
    <t>#22</t>
    <phoneticPr fontId="1" type="noConversion"/>
  </si>
  <si>
    <t>가장 큰 이미지 넘버</t>
    <phoneticPr fontId="1" type="noConversion"/>
  </si>
  <si>
    <t>2차 이미지 추가</t>
    <phoneticPr fontId="1" type="noConversion"/>
  </si>
  <si>
    <t>현재 등록 카드 개수</t>
    <phoneticPr fontId="1" type="noConversion"/>
  </si>
  <si>
    <t>Hanel</t>
    <phoneticPr fontId="1" type="noConversion"/>
  </si>
  <si>
    <t>#2</t>
    <phoneticPr fontId="1" type="noConversion"/>
  </si>
  <si>
    <t>#46</t>
    <phoneticPr fontId="1" type="noConversion"/>
  </si>
  <si>
    <t>#65</t>
    <phoneticPr fontId="1" type="noConversion"/>
  </si>
  <si>
    <t>#91</t>
    <phoneticPr fontId="1" type="noConversion"/>
  </si>
  <si>
    <t>#20</t>
    <phoneticPr fontId="1" type="noConversion"/>
  </si>
  <si>
    <t>#18</t>
    <phoneticPr fontId="1" type="noConversion"/>
  </si>
  <si>
    <t>#25</t>
    <phoneticPr fontId="1" type="noConversion"/>
  </si>
  <si>
    <t>#82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</si>
</sst>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3"/>
      <charset val="129"/>
    </font>
    <font>
      <i/>
      <sz val="12"/>
      <color theme="0" tint="-0.249977111117893"/>
      <name val="맑은 고딕"/>
      <family val="3"/>
      <charset val="129"/>
    </font>
    <font>
      <sz val="12"/>
      <color theme="0" tint="-0.249977111117893"/>
      <name val="맑은 고딕"/>
      <family val="3"/>
      <charset val="129"/>
    </font>
    <font>
      <i/>
      <sz val="11"/>
      <color theme="0" tint="-0.249977111117893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58ED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0" fillId="0" borderId="0" xfId="0" applyNumberFormat="1"/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3" fontId="3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5" borderId="0" xfId="0" applyFill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표준" xfId="0" builtinId="0"/>
  </cellStyles>
  <dxfs count="6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</font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</font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</font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</font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</font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</font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</font>
      <fill>
        <patternFill>
          <bgColor theme="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/>
      </font>
      <fill>
        <patternFill>
          <bgColor theme="2"/>
        </patternFill>
      </fill>
    </dxf>
  </dxfs>
  <tableStyles count="0" defaultTableStyle="TableStyleMedium9" defaultPivotStyle="PivotStyleLight16"/>
  <colors>
    <mruColors>
      <color rgb="FF9C0006"/>
      <color rgb="FFFFC7CE"/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FC114"/>
  <sheetViews>
    <sheetView tabSelected="1" workbookViewId="0">
      <pane ySplit="1" topLeftCell="A79" activePane="bottomLeft" state="frozen"/>
      <selection pane="bottomLeft" activeCell="E90" sqref="E90"/>
    </sheetView>
  </sheetViews>
  <sheetFormatPr defaultColWidth="17.625" defaultRowHeight="17.25"/>
  <cols>
    <col min="1" max="2" width="18.25" style="7" customWidth="1"/>
    <col min="3" max="4" width="18.25" style="4" customWidth="1"/>
    <col min="5" max="5" width="17.625" style="9"/>
    <col min="7" max="8" width="18.375" style="4" customWidth="1"/>
    <col min="9" max="9" width="21" style="4" bestFit="1" customWidth="1"/>
    <col min="10" max="11" width="17.625" style="4"/>
    <col min="12" max="14" width="14" style="4" customWidth="1"/>
    <col min="15" max="15" width="17.625" style="4"/>
    <col min="16" max="16" width="17.625" style="9"/>
    <col min="19" max="16382" width="17.625" style="4"/>
    <col min="16383" max="16383" width="8.875" style="4" bestFit="1" customWidth="1"/>
    <col min="16384" max="16384" width="8.875" style="4" customWidth="1"/>
  </cols>
  <sheetData>
    <row r="1" spans="1:16 16383:16383">
      <c r="A1" s="2" t="s">
        <v>4</v>
      </c>
      <c r="B1" s="2" t="s">
        <v>6</v>
      </c>
      <c r="C1" s="3" t="s">
        <v>5</v>
      </c>
      <c r="D1" s="3" t="s">
        <v>7</v>
      </c>
      <c r="E1" s="3" t="s">
        <v>48</v>
      </c>
      <c r="I1" s="4" t="s">
        <v>54</v>
      </c>
      <c r="J1" s="13" t="s">
        <v>12</v>
      </c>
      <c r="K1" s="4">
        <f>VLOOKUP(J1,N:O,2,FALSE)</f>
        <v>4</v>
      </c>
      <c r="L1" s="14" cm="1">
        <f t="array" ref="L1">MAX(IF(B:B=$J$1,D:D))</f>
        <v>5</v>
      </c>
      <c r="M1" s="4">
        <f>COUNTIF(B:B,J1)</f>
        <v>6</v>
      </c>
      <c r="O1" s="4" t="s">
        <v>51</v>
      </c>
      <c r="P1" s="9" t="s">
        <v>56</v>
      </c>
      <c r="XFC1" s="3" t="s">
        <v>0</v>
      </c>
    </row>
    <row r="2" spans="1:16 16383:16383">
      <c r="A2" s="5">
        <v>0</v>
      </c>
      <c r="B2" s="4" t="s">
        <v>9</v>
      </c>
      <c r="C2" s="1" t="s">
        <v>1</v>
      </c>
      <c r="D2" s="4">
        <v>1</v>
      </c>
      <c r="E2" s="4">
        <v>100</v>
      </c>
      <c r="G2" s="1"/>
      <c r="H2" s="8"/>
      <c r="L2" s="4">
        <f t="shared" ref="L2:L7" si="0">COUNTIF(C:C,M2)</f>
        <v>59</v>
      </c>
      <c r="M2" s="4" t="s">
        <v>41</v>
      </c>
      <c r="N2" s="4" t="s">
        <v>50</v>
      </c>
      <c r="O2" s="4">
        <v>0</v>
      </c>
      <c r="P2" s="9">
        <f>COUNTIF(B:B,N2)</f>
        <v>2</v>
      </c>
    </row>
    <row r="3" spans="1:16 16383:16383">
      <c r="A3" s="5">
        <v>1</v>
      </c>
      <c r="B3" s="4" t="s">
        <v>10</v>
      </c>
      <c r="C3" s="1" t="s">
        <v>1</v>
      </c>
      <c r="D3" s="4">
        <v>1</v>
      </c>
      <c r="E3" s="4">
        <v>200</v>
      </c>
      <c r="G3" s="6"/>
      <c r="H3" s="8"/>
      <c r="L3" s="4">
        <f t="shared" si="0"/>
        <v>26</v>
      </c>
      <c r="M3" s="4" t="s">
        <v>42</v>
      </c>
      <c r="N3" s="4" t="s">
        <v>57</v>
      </c>
      <c r="O3" s="4">
        <v>1</v>
      </c>
      <c r="P3" s="9">
        <f t="shared" ref="P3:P35" si="1">COUNTIF(B:B,N3)</f>
        <v>13</v>
      </c>
    </row>
    <row r="4" spans="1:16 16383:16383">
      <c r="A4" s="5" t="s">
        <v>58</v>
      </c>
      <c r="B4" s="4" t="s">
        <v>11</v>
      </c>
      <c r="C4" s="1" t="s">
        <v>1</v>
      </c>
      <c r="D4" s="4">
        <v>1</v>
      </c>
      <c r="E4" s="4">
        <v>300</v>
      </c>
      <c r="G4" s="1"/>
      <c r="L4" s="4">
        <f t="shared" si="0"/>
        <v>13</v>
      </c>
      <c r="M4" s="4" t="s">
        <v>43</v>
      </c>
      <c r="N4" s="4" t="s">
        <v>52</v>
      </c>
      <c r="O4" s="4">
        <v>2</v>
      </c>
      <c r="P4" s="9">
        <f t="shared" si="1"/>
        <v>2</v>
      </c>
    </row>
    <row r="5" spans="1:16 16383:16383">
      <c r="A5" s="5">
        <v>3</v>
      </c>
      <c r="B5" s="4" t="s">
        <v>12</v>
      </c>
      <c r="C5" s="1" t="s">
        <v>1</v>
      </c>
      <c r="D5" s="4">
        <v>1</v>
      </c>
      <c r="E5" s="4">
        <v>400</v>
      </c>
      <c r="G5" s="1"/>
      <c r="L5" s="4">
        <f t="shared" si="0"/>
        <v>5</v>
      </c>
      <c r="M5" s="1" t="s">
        <v>44</v>
      </c>
      <c r="N5" s="10" t="s">
        <v>11</v>
      </c>
      <c r="O5" s="10">
        <v>3</v>
      </c>
      <c r="P5" s="19">
        <f t="shared" si="1"/>
        <v>4</v>
      </c>
    </row>
    <row r="6" spans="1:16 16383:16383">
      <c r="A6" s="5">
        <v>4</v>
      </c>
      <c r="B6" s="4" t="s">
        <v>13</v>
      </c>
      <c r="C6" s="1" t="s">
        <v>1</v>
      </c>
      <c r="D6" s="4">
        <v>1</v>
      </c>
      <c r="E6" s="4">
        <v>500</v>
      </c>
      <c r="G6" s="1"/>
      <c r="L6" s="4">
        <f t="shared" si="0"/>
        <v>5</v>
      </c>
      <c r="M6" s="1" t="s">
        <v>45</v>
      </c>
      <c r="N6" s="4" t="s">
        <v>12</v>
      </c>
      <c r="O6" s="4">
        <v>4</v>
      </c>
      <c r="P6" s="9">
        <f t="shared" si="1"/>
        <v>6</v>
      </c>
    </row>
    <row r="7" spans="1:16 16383:16383">
      <c r="A7" s="5">
        <v>5</v>
      </c>
      <c r="B7" s="4" t="s">
        <v>14</v>
      </c>
      <c r="C7" s="1" t="s">
        <v>1</v>
      </c>
      <c r="D7" s="4">
        <v>1</v>
      </c>
      <c r="E7" s="4">
        <v>600</v>
      </c>
      <c r="G7" s="1"/>
      <c r="L7" s="4">
        <f t="shared" si="0"/>
        <v>4</v>
      </c>
      <c r="M7" s="1" t="s">
        <v>46</v>
      </c>
      <c r="N7" s="4" t="s">
        <v>13</v>
      </c>
      <c r="O7" s="4">
        <v>5</v>
      </c>
      <c r="P7" s="9">
        <f t="shared" si="1"/>
        <v>3</v>
      </c>
    </row>
    <row r="8" spans="1:16 16383:16383">
      <c r="A8" s="7">
        <v>6</v>
      </c>
      <c r="B8" s="4" t="s">
        <v>15</v>
      </c>
      <c r="C8" s="1" t="s">
        <v>1</v>
      </c>
      <c r="D8" s="4">
        <v>1</v>
      </c>
      <c r="E8" s="4">
        <v>700</v>
      </c>
      <c r="N8" s="4" t="s">
        <v>14</v>
      </c>
      <c r="O8" s="4">
        <v>6</v>
      </c>
      <c r="P8" s="9">
        <f t="shared" si="1"/>
        <v>3</v>
      </c>
    </row>
    <row r="9" spans="1:16 16383:16383">
      <c r="A9" s="7">
        <v>7</v>
      </c>
      <c r="B9" s="4" t="s">
        <v>16</v>
      </c>
      <c r="C9" s="1" t="s">
        <v>1</v>
      </c>
      <c r="D9" s="4">
        <v>1</v>
      </c>
      <c r="E9" s="4">
        <v>800</v>
      </c>
      <c r="N9" s="4" t="s">
        <v>15</v>
      </c>
      <c r="O9" s="4">
        <v>7</v>
      </c>
      <c r="P9" s="9">
        <f t="shared" si="1"/>
        <v>2</v>
      </c>
    </row>
    <row r="10" spans="1:16 16383:16383">
      <c r="A10" s="7">
        <v>8</v>
      </c>
      <c r="B10" s="4" t="s">
        <v>17</v>
      </c>
      <c r="C10" s="1" t="s">
        <v>1</v>
      </c>
      <c r="D10" s="4">
        <v>1</v>
      </c>
      <c r="E10" s="4">
        <v>900</v>
      </c>
      <c r="N10" s="4" t="s">
        <v>16</v>
      </c>
      <c r="O10" s="4">
        <v>8</v>
      </c>
      <c r="P10" s="9">
        <f t="shared" si="1"/>
        <v>2</v>
      </c>
    </row>
    <row r="11" spans="1:16 16383:16383">
      <c r="A11" s="7">
        <v>9</v>
      </c>
      <c r="B11" s="4" t="s">
        <v>18</v>
      </c>
      <c r="C11" s="1" t="s">
        <v>1</v>
      </c>
      <c r="D11" s="4">
        <v>1</v>
      </c>
      <c r="E11" s="4">
        <v>1000</v>
      </c>
      <c r="N11" s="4" t="s">
        <v>17</v>
      </c>
      <c r="O11" s="4">
        <v>9</v>
      </c>
      <c r="P11" s="9">
        <f t="shared" si="1"/>
        <v>4</v>
      </c>
    </row>
    <row r="12" spans="1:16 16383:16383">
      <c r="A12" s="7">
        <v>10</v>
      </c>
      <c r="B12" s="4" t="s">
        <v>19</v>
      </c>
      <c r="C12" s="1" t="s">
        <v>1</v>
      </c>
      <c r="D12" s="4">
        <v>1</v>
      </c>
      <c r="E12" s="4">
        <v>1100</v>
      </c>
      <c r="N12" s="4" t="s">
        <v>18</v>
      </c>
      <c r="O12" s="4">
        <v>10</v>
      </c>
      <c r="P12" s="9">
        <f t="shared" si="1"/>
        <v>2</v>
      </c>
    </row>
    <row r="13" spans="1:16 16383:16383">
      <c r="A13" s="7">
        <v>11</v>
      </c>
      <c r="B13" s="4" t="s">
        <v>20</v>
      </c>
      <c r="C13" s="1" t="s">
        <v>1</v>
      </c>
      <c r="D13" s="4">
        <v>1</v>
      </c>
      <c r="E13" s="4">
        <v>1200</v>
      </c>
      <c r="N13" s="4" t="s">
        <v>19</v>
      </c>
      <c r="O13" s="4">
        <v>11</v>
      </c>
      <c r="P13" s="9">
        <f t="shared" si="1"/>
        <v>2</v>
      </c>
    </row>
    <row r="14" spans="1:16 16383:16383">
      <c r="A14" s="7">
        <v>12</v>
      </c>
      <c r="B14" s="4" t="s">
        <v>21</v>
      </c>
      <c r="C14" s="1" t="s">
        <v>1</v>
      </c>
      <c r="D14" s="4">
        <v>1</v>
      </c>
      <c r="E14" s="4">
        <v>1300</v>
      </c>
      <c r="N14" s="4" t="s">
        <v>20</v>
      </c>
      <c r="O14" s="4">
        <v>12</v>
      </c>
      <c r="P14" s="9">
        <f t="shared" si="1"/>
        <v>4</v>
      </c>
    </row>
    <row r="15" spans="1:16 16383:16383">
      <c r="A15" s="7">
        <v>13</v>
      </c>
      <c r="B15" s="4" t="s">
        <v>22</v>
      </c>
      <c r="C15" s="1" t="s">
        <v>1</v>
      </c>
      <c r="D15" s="4">
        <v>1</v>
      </c>
      <c r="E15" s="4">
        <v>1400</v>
      </c>
      <c r="N15" s="4" t="s">
        <v>21</v>
      </c>
      <c r="O15" s="4">
        <v>13</v>
      </c>
      <c r="P15" s="9">
        <f t="shared" si="1"/>
        <v>2</v>
      </c>
    </row>
    <row r="16" spans="1:16 16383:16383">
      <c r="A16" s="7">
        <v>14</v>
      </c>
      <c r="B16" s="4" t="s">
        <v>23</v>
      </c>
      <c r="C16" s="1" t="s">
        <v>1</v>
      </c>
      <c r="D16" s="4">
        <v>1</v>
      </c>
      <c r="E16" s="4">
        <v>1500</v>
      </c>
      <c r="N16" s="4" t="s">
        <v>22</v>
      </c>
      <c r="O16" s="4">
        <v>14</v>
      </c>
      <c r="P16" s="9">
        <f t="shared" si="1"/>
        <v>3</v>
      </c>
    </row>
    <row r="17" spans="1:16">
      <c r="A17" s="7">
        <v>15</v>
      </c>
      <c r="B17" s="4" t="s">
        <v>24</v>
      </c>
      <c r="C17" s="1" t="s">
        <v>1</v>
      </c>
      <c r="D17" s="4">
        <v>1</v>
      </c>
      <c r="E17" s="4">
        <v>1600</v>
      </c>
      <c r="N17" s="4" t="s">
        <v>23</v>
      </c>
      <c r="O17" s="4">
        <v>15</v>
      </c>
      <c r="P17" s="9">
        <f t="shared" si="1"/>
        <v>5</v>
      </c>
    </row>
    <row r="18" spans="1:16">
      <c r="A18" s="7">
        <v>16</v>
      </c>
      <c r="B18" s="4" t="s">
        <v>25</v>
      </c>
      <c r="C18" s="1" t="s">
        <v>1</v>
      </c>
      <c r="D18" s="4">
        <v>1</v>
      </c>
      <c r="E18" s="4">
        <v>1700</v>
      </c>
      <c r="N18" s="20" t="s">
        <v>24</v>
      </c>
      <c r="O18" s="20">
        <v>16</v>
      </c>
      <c r="P18" s="21">
        <f t="shared" si="1"/>
        <v>3</v>
      </c>
    </row>
    <row r="19" spans="1:16">
      <c r="A19" s="7">
        <v>17</v>
      </c>
      <c r="B19" s="4" t="s">
        <v>26</v>
      </c>
      <c r="C19" s="1" t="s">
        <v>1</v>
      </c>
      <c r="D19" s="4">
        <v>1</v>
      </c>
      <c r="E19" s="4">
        <v>1800</v>
      </c>
      <c r="N19" s="4" t="s">
        <v>25</v>
      </c>
      <c r="O19" s="4">
        <v>17</v>
      </c>
      <c r="P19" s="9">
        <f t="shared" si="1"/>
        <v>6</v>
      </c>
    </row>
    <row r="20" spans="1:16">
      <c r="A20" s="7" t="s">
        <v>63</v>
      </c>
      <c r="B20" s="4" t="s">
        <v>27</v>
      </c>
      <c r="C20" s="1" t="s">
        <v>1</v>
      </c>
      <c r="D20" s="4">
        <v>1</v>
      </c>
      <c r="E20" s="4">
        <v>1900</v>
      </c>
      <c r="N20" s="4" t="s">
        <v>26</v>
      </c>
      <c r="O20" s="4">
        <v>18</v>
      </c>
      <c r="P20" s="9">
        <f t="shared" si="1"/>
        <v>5</v>
      </c>
    </row>
    <row r="21" spans="1:16">
      <c r="A21" s="7">
        <v>19</v>
      </c>
      <c r="B21" s="4" t="s">
        <v>28</v>
      </c>
      <c r="C21" s="1" t="s">
        <v>1</v>
      </c>
      <c r="D21" s="4">
        <v>1</v>
      </c>
      <c r="E21" s="4">
        <v>2000</v>
      </c>
      <c r="N21" s="10" t="s">
        <v>27</v>
      </c>
      <c r="O21" s="10">
        <v>19</v>
      </c>
      <c r="P21" s="9">
        <f t="shared" si="1"/>
        <v>1</v>
      </c>
    </row>
    <row r="22" spans="1:16">
      <c r="A22" s="7" t="s">
        <v>62</v>
      </c>
      <c r="B22" s="4" t="s">
        <v>29</v>
      </c>
      <c r="C22" s="1" t="s">
        <v>1</v>
      </c>
      <c r="D22" s="4">
        <v>1</v>
      </c>
      <c r="E22" s="4">
        <v>2100</v>
      </c>
      <c r="N22" s="4" t="s">
        <v>28</v>
      </c>
      <c r="O22" s="4">
        <v>20</v>
      </c>
      <c r="P22" s="9">
        <f t="shared" si="1"/>
        <v>3</v>
      </c>
    </row>
    <row r="23" spans="1:16">
      <c r="A23" s="7">
        <v>21</v>
      </c>
      <c r="B23" s="4" t="s">
        <v>30</v>
      </c>
      <c r="C23" s="1" t="s">
        <v>1</v>
      </c>
      <c r="D23" s="4">
        <v>1</v>
      </c>
      <c r="E23" s="4">
        <v>2200</v>
      </c>
      <c r="N23" s="10" t="s">
        <v>29</v>
      </c>
      <c r="O23" s="10">
        <v>21</v>
      </c>
      <c r="P23" s="9">
        <f t="shared" si="1"/>
        <v>2</v>
      </c>
    </row>
    <row r="24" spans="1:16">
      <c r="A24" s="7" t="s">
        <v>53</v>
      </c>
      <c r="B24" s="4" t="s">
        <v>31</v>
      </c>
      <c r="C24" s="1" t="s">
        <v>1</v>
      </c>
      <c r="D24" s="4">
        <v>1</v>
      </c>
      <c r="E24" s="4">
        <v>2300</v>
      </c>
      <c r="N24" s="4" t="s">
        <v>30</v>
      </c>
      <c r="O24" s="4">
        <v>22</v>
      </c>
      <c r="P24" s="9">
        <f t="shared" si="1"/>
        <v>2</v>
      </c>
    </row>
    <row r="25" spans="1:16">
      <c r="A25" s="7">
        <v>23</v>
      </c>
      <c r="B25" s="4" t="s">
        <v>32</v>
      </c>
      <c r="C25" s="1" t="s">
        <v>1</v>
      </c>
      <c r="D25" s="4">
        <v>1</v>
      </c>
      <c r="E25" s="4">
        <v>2400</v>
      </c>
      <c r="N25" s="10" t="s">
        <v>31</v>
      </c>
      <c r="O25" s="11">
        <v>23</v>
      </c>
      <c r="P25" s="9">
        <f t="shared" si="1"/>
        <v>1</v>
      </c>
    </row>
    <row r="26" spans="1:16">
      <c r="A26" s="7">
        <v>24</v>
      </c>
      <c r="B26" s="4" t="s">
        <v>33</v>
      </c>
      <c r="C26" s="1" t="s">
        <v>1</v>
      </c>
      <c r="D26" s="4">
        <v>1</v>
      </c>
      <c r="E26" s="4">
        <v>2500</v>
      </c>
      <c r="N26" s="4" t="s">
        <v>32</v>
      </c>
      <c r="O26" s="4">
        <v>24</v>
      </c>
      <c r="P26" s="9">
        <f t="shared" si="1"/>
        <v>3</v>
      </c>
    </row>
    <row r="27" spans="1:16">
      <c r="A27" s="7" t="s">
        <v>64</v>
      </c>
      <c r="B27" s="4" t="s">
        <v>34</v>
      </c>
      <c r="C27" s="1" t="s">
        <v>1</v>
      </c>
      <c r="D27" s="4">
        <v>1</v>
      </c>
      <c r="E27" s="4">
        <v>2600</v>
      </c>
      <c r="N27" s="4" t="s">
        <v>33</v>
      </c>
      <c r="O27" s="4">
        <v>25</v>
      </c>
      <c r="P27" s="9">
        <f t="shared" si="1"/>
        <v>1</v>
      </c>
    </row>
    <row r="28" spans="1:16">
      <c r="A28" s="7">
        <v>26</v>
      </c>
      <c r="B28" s="4" t="s">
        <v>35</v>
      </c>
      <c r="C28" s="1" t="s">
        <v>1</v>
      </c>
      <c r="D28" s="4">
        <v>1</v>
      </c>
      <c r="E28" s="4">
        <v>2700</v>
      </c>
      <c r="N28" s="10" t="s">
        <v>34</v>
      </c>
      <c r="O28" s="10">
        <v>26</v>
      </c>
      <c r="P28" s="9">
        <f t="shared" si="1"/>
        <v>1</v>
      </c>
    </row>
    <row r="29" spans="1:16">
      <c r="A29" s="7">
        <v>27</v>
      </c>
      <c r="B29" s="4" t="s">
        <v>36</v>
      </c>
      <c r="C29" s="1" t="s">
        <v>1</v>
      </c>
      <c r="D29" s="4">
        <v>1</v>
      </c>
      <c r="E29" s="4">
        <v>2800</v>
      </c>
      <c r="N29" s="4" t="s">
        <v>35</v>
      </c>
      <c r="O29" s="4">
        <v>27</v>
      </c>
      <c r="P29" s="9">
        <f t="shared" si="1"/>
        <v>4</v>
      </c>
    </row>
    <row r="30" spans="1:16">
      <c r="A30" s="7">
        <v>28</v>
      </c>
      <c r="B30" s="4" t="s">
        <v>37</v>
      </c>
      <c r="C30" s="1" t="s">
        <v>1</v>
      </c>
      <c r="D30" s="4">
        <v>1</v>
      </c>
      <c r="E30" s="4">
        <v>2900</v>
      </c>
      <c r="N30" s="4" t="s">
        <v>36</v>
      </c>
      <c r="O30" s="4">
        <v>28</v>
      </c>
      <c r="P30" s="9">
        <f t="shared" si="1"/>
        <v>6</v>
      </c>
    </row>
    <row r="31" spans="1:16">
      <c r="A31" s="7">
        <v>29</v>
      </c>
      <c r="B31" s="4" t="s">
        <v>38</v>
      </c>
      <c r="C31" s="1" t="s">
        <v>1</v>
      </c>
      <c r="D31" s="4">
        <v>1</v>
      </c>
      <c r="E31" s="4">
        <v>3000</v>
      </c>
      <c r="N31" s="4" t="s">
        <v>37</v>
      </c>
      <c r="O31" s="4">
        <v>29</v>
      </c>
      <c r="P31" s="9">
        <f t="shared" si="1"/>
        <v>5</v>
      </c>
    </row>
    <row r="32" spans="1:16">
      <c r="A32" s="7" t="s">
        <v>49</v>
      </c>
      <c r="B32" s="4" t="s">
        <v>39</v>
      </c>
      <c r="C32" s="1" t="s">
        <v>1</v>
      </c>
      <c r="D32" s="4">
        <v>1</v>
      </c>
      <c r="E32" s="4">
        <v>3100</v>
      </c>
      <c r="N32" s="4" t="s">
        <v>38</v>
      </c>
      <c r="O32" s="4">
        <v>30</v>
      </c>
      <c r="P32" s="9">
        <f t="shared" si="1"/>
        <v>5</v>
      </c>
    </row>
    <row r="33" spans="1:16">
      <c r="A33" s="7">
        <v>31</v>
      </c>
      <c r="B33" s="4" t="s">
        <v>8</v>
      </c>
      <c r="C33" s="1" t="s">
        <v>1</v>
      </c>
      <c r="D33" s="4">
        <v>1</v>
      </c>
      <c r="E33" s="4">
        <v>3200</v>
      </c>
      <c r="N33" s="10" t="s">
        <v>39</v>
      </c>
      <c r="O33" s="11">
        <v>31</v>
      </c>
      <c r="P33" s="9">
        <f t="shared" si="1"/>
        <v>1</v>
      </c>
    </row>
    <row r="34" spans="1:16">
      <c r="A34" s="7">
        <v>32</v>
      </c>
      <c r="B34" s="4" t="s">
        <v>40</v>
      </c>
      <c r="C34" s="1" t="s">
        <v>1</v>
      </c>
      <c r="D34" s="4">
        <v>1</v>
      </c>
      <c r="E34" s="4">
        <v>3300</v>
      </c>
      <c r="N34" s="4" t="s">
        <v>8</v>
      </c>
      <c r="O34" s="4">
        <v>32</v>
      </c>
      <c r="P34" s="9">
        <f t="shared" si="1"/>
        <v>2</v>
      </c>
    </row>
    <row r="35" spans="1:16">
      <c r="A35" s="7">
        <v>33</v>
      </c>
      <c r="B35" s="4" t="s">
        <v>47</v>
      </c>
      <c r="C35" s="1" t="s">
        <v>1</v>
      </c>
      <c r="D35" s="4">
        <v>1</v>
      </c>
      <c r="E35" s="4">
        <v>0</v>
      </c>
      <c r="N35" s="4" t="s">
        <v>40</v>
      </c>
      <c r="O35" s="4">
        <v>33</v>
      </c>
      <c r="P35" s="9">
        <f t="shared" si="1"/>
        <v>2</v>
      </c>
    </row>
    <row r="36" spans="1:16">
      <c r="A36" s="7">
        <v>34</v>
      </c>
      <c r="B36" s="4" t="s">
        <v>9</v>
      </c>
      <c r="C36" s="4" t="s">
        <v>42</v>
      </c>
      <c r="D36" s="4">
        <v>2</v>
      </c>
      <c r="E36" s="9">
        <v>101</v>
      </c>
    </row>
    <row r="37" spans="1:16">
      <c r="A37" s="7">
        <v>35</v>
      </c>
      <c r="B37" s="4" t="s">
        <v>9</v>
      </c>
      <c r="C37" s="4" t="s">
        <v>42</v>
      </c>
      <c r="D37" s="4">
        <v>3</v>
      </c>
      <c r="E37" s="9">
        <v>102</v>
      </c>
    </row>
    <row r="38" spans="1:16">
      <c r="A38" s="7">
        <v>36</v>
      </c>
      <c r="B38" s="4" t="s">
        <v>9</v>
      </c>
      <c r="C38" s="4" t="s">
        <v>42</v>
      </c>
      <c r="D38" s="4">
        <v>4</v>
      </c>
      <c r="E38" s="9">
        <v>103</v>
      </c>
      <c r="G38" s="1"/>
    </row>
    <row r="39" spans="1:16">
      <c r="A39" s="7">
        <v>37</v>
      </c>
      <c r="B39" s="4" t="s">
        <v>9</v>
      </c>
      <c r="C39" s="4" t="s">
        <v>3</v>
      </c>
      <c r="D39" s="4">
        <v>5</v>
      </c>
      <c r="E39" s="9">
        <v>104</v>
      </c>
      <c r="G39" s="1"/>
    </row>
    <row r="40" spans="1:16">
      <c r="A40" s="7">
        <v>38</v>
      </c>
      <c r="B40" s="4" t="s">
        <v>9</v>
      </c>
      <c r="C40" s="4" t="s">
        <v>43</v>
      </c>
      <c r="D40" s="4">
        <v>6</v>
      </c>
      <c r="E40" s="9">
        <v>105</v>
      </c>
      <c r="G40" s="1"/>
    </row>
    <row r="41" spans="1:16">
      <c r="A41" s="7">
        <v>39</v>
      </c>
      <c r="B41" s="4" t="s">
        <v>9</v>
      </c>
      <c r="C41" s="4" t="s">
        <v>2</v>
      </c>
      <c r="D41" s="4">
        <v>7</v>
      </c>
      <c r="E41" s="9">
        <v>106</v>
      </c>
    </row>
    <row r="42" spans="1:16">
      <c r="A42" s="7">
        <v>40</v>
      </c>
      <c r="B42" s="4" t="s">
        <v>9</v>
      </c>
      <c r="C42" s="1" t="s">
        <v>44</v>
      </c>
      <c r="D42" s="4">
        <v>8</v>
      </c>
      <c r="E42" s="9">
        <v>107</v>
      </c>
    </row>
    <row r="43" spans="1:16">
      <c r="A43" s="7">
        <v>41</v>
      </c>
      <c r="B43" s="4" t="s">
        <v>9</v>
      </c>
      <c r="C43" s="1" t="s">
        <v>45</v>
      </c>
      <c r="D43" s="4">
        <v>9</v>
      </c>
      <c r="E43" s="9">
        <v>108</v>
      </c>
      <c r="G43" s="1"/>
    </row>
    <row r="44" spans="1:16">
      <c r="A44" s="7">
        <v>42</v>
      </c>
      <c r="B44" s="4" t="s">
        <v>9</v>
      </c>
      <c r="C44" s="1" t="s">
        <v>45</v>
      </c>
      <c r="D44" s="4">
        <v>10</v>
      </c>
      <c r="E44" s="9">
        <v>109</v>
      </c>
      <c r="G44" s="1"/>
    </row>
    <row r="45" spans="1:16">
      <c r="A45" s="7">
        <v>43</v>
      </c>
      <c r="B45" s="4" t="s">
        <v>9</v>
      </c>
      <c r="C45" s="1" t="s">
        <v>45</v>
      </c>
      <c r="D45" s="4">
        <v>11</v>
      </c>
      <c r="E45" s="9">
        <v>110</v>
      </c>
      <c r="G45" s="1"/>
    </row>
    <row r="46" spans="1:16">
      <c r="A46" s="7">
        <v>44</v>
      </c>
      <c r="B46" s="4" t="s">
        <v>9</v>
      </c>
      <c r="C46" s="1" t="s">
        <v>46</v>
      </c>
      <c r="D46" s="4">
        <v>12</v>
      </c>
      <c r="E46" s="9">
        <v>111</v>
      </c>
    </row>
    <row r="47" spans="1:16">
      <c r="A47" s="7">
        <v>45</v>
      </c>
      <c r="B47" s="4" t="s">
        <v>9</v>
      </c>
      <c r="C47" s="1" t="s">
        <v>46</v>
      </c>
      <c r="D47" s="4">
        <v>13</v>
      </c>
      <c r="E47" s="9">
        <v>112</v>
      </c>
    </row>
    <row r="48" spans="1:16">
      <c r="A48" s="7" t="s">
        <v>59</v>
      </c>
      <c r="B48" s="4" t="s">
        <v>11</v>
      </c>
      <c r="C48" s="4" t="s">
        <v>42</v>
      </c>
      <c r="D48" s="4">
        <v>1</v>
      </c>
      <c r="E48" s="9">
        <v>301</v>
      </c>
      <c r="K48" s="10"/>
    </row>
    <row r="49" spans="1:11">
      <c r="A49" s="7">
        <v>47</v>
      </c>
      <c r="B49" s="4" t="s">
        <v>12</v>
      </c>
      <c r="C49" s="4" t="s">
        <v>2</v>
      </c>
      <c r="D49" s="4">
        <v>1</v>
      </c>
      <c r="E49" s="9">
        <v>401</v>
      </c>
    </row>
    <row r="50" spans="1:11">
      <c r="A50" s="7">
        <v>48</v>
      </c>
      <c r="B50" s="4" t="s">
        <v>12</v>
      </c>
      <c r="C50" s="4" t="s">
        <v>3</v>
      </c>
      <c r="D50" s="4">
        <v>2</v>
      </c>
      <c r="E50" s="9">
        <v>402</v>
      </c>
    </row>
    <row r="51" spans="1:11">
      <c r="A51" s="7">
        <v>49</v>
      </c>
      <c r="B51" s="4" t="s">
        <v>12</v>
      </c>
      <c r="C51" s="4" t="s">
        <v>2</v>
      </c>
      <c r="D51" s="4">
        <v>3</v>
      </c>
      <c r="E51" s="9">
        <v>403</v>
      </c>
    </row>
    <row r="52" spans="1:11">
      <c r="A52" s="7">
        <v>50</v>
      </c>
      <c r="B52" s="4" t="s">
        <v>13</v>
      </c>
      <c r="C52" s="4" t="s">
        <v>3</v>
      </c>
      <c r="D52" s="4">
        <v>1</v>
      </c>
      <c r="E52" s="9">
        <v>501</v>
      </c>
    </row>
    <row r="53" spans="1:11">
      <c r="A53" s="7">
        <v>51</v>
      </c>
      <c r="B53" s="4" t="s">
        <v>17</v>
      </c>
      <c r="C53" s="4" t="s">
        <v>3</v>
      </c>
      <c r="D53" s="4">
        <v>1</v>
      </c>
      <c r="E53" s="9">
        <v>901</v>
      </c>
      <c r="K53" s="10"/>
    </row>
    <row r="54" spans="1:11">
      <c r="A54" s="7">
        <v>52</v>
      </c>
      <c r="B54" s="4" t="s">
        <v>20</v>
      </c>
      <c r="C54" s="4" t="s">
        <v>46</v>
      </c>
      <c r="D54" s="4">
        <v>1</v>
      </c>
      <c r="E54" s="9">
        <v>1201</v>
      </c>
    </row>
    <row r="55" spans="1:11">
      <c r="A55" s="7">
        <v>53</v>
      </c>
      <c r="B55" s="4" t="s">
        <v>23</v>
      </c>
      <c r="C55" s="1" t="s">
        <v>44</v>
      </c>
      <c r="D55" s="4">
        <v>1</v>
      </c>
      <c r="E55" s="9">
        <v>1501</v>
      </c>
    </row>
    <row r="56" spans="1:11">
      <c r="A56" s="7">
        <v>54</v>
      </c>
      <c r="B56" s="4" t="s">
        <v>23</v>
      </c>
      <c r="C56" s="1" t="s">
        <v>45</v>
      </c>
      <c r="D56" s="4">
        <v>2</v>
      </c>
      <c r="E56" s="9">
        <v>1502</v>
      </c>
    </row>
    <row r="57" spans="1:11">
      <c r="A57" s="7">
        <v>55</v>
      </c>
      <c r="B57" s="4" t="s">
        <v>26</v>
      </c>
      <c r="C57" s="4" t="s">
        <v>44</v>
      </c>
      <c r="D57" s="4">
        <v>1</v>
      </c>
      <c r="E57" s="9">
        <v>1801</v>
      </c>
    </row>
    <row r="58" spans="1:11">
      <c r="A58" s="7">
        <v>56</v>
      </c>
      <c r="B58" s="4" t="s">
        <v>26</v>
      </c>
      <c r="C58" s="4" t="s">
        <v>46</v>
      </c>
      <c r="D58" s="4">
        <v>2</v>
      </c>
      <c r="E58" s="9">
        <v>1802</v>
      </c>
    </row>
    <row r="59" spans="1:11">
      <c r="A59" s="7">
        <v>57</v>
      </c>
      <c r="B59" s="4" t="s">
        <v>32</v>
      </c>
      <c r="C59" s="4" t="s">
        <v>3</v>
      </c>
      <c r="D59" s="4">
        <v>1</v>
      </c>
      <c r="E59" s="9">
        <v>2401</v>
      </c>
    </row>
    <row r="60" spans="1:11">
      <c r="A60" s="7">
        <v>58</v>
      </c>
      <c r="B60" s="4" t="s">
        <v>36</v>
      </c>
      <c r="C60" s="4" t="s">
        <v>3</v>
      </c>
      <c r="D60" s="4">
        <v>1</v>
      </c>
      <c r="E60" s="9">
        <v>2801</v>
      </c>
    </row>
    <row r="61" spans="1:11">
      <c r="A61" s="7">
        <v>59</v>
      </c>
      <c r="B61" s="4" t="s">
        <v>50</v>
      </c>
      <c r="C61" s="4" t="s">
        <v>2</v>
      </c>
      <c r="D61" s="4">
        <v>2</v>
      </c>
      <c r="E61" s="9">
        <v>1</v>
      </c>
    </row>
    <row r="62" spans="1:11">
      <c r="A62" s="7">
        <v>60</v>
      </c>
      <c r="B62" s="4" t="s">
        <v>36</v>
      </c>
      <c r="C62" s="4" t="s">
        <v>44</v>
      </c>
      <c r="D62" s="4">
        <v>2</v>
      </c>
      <c r="E62" s="9">
        <v>2803</v>
      </c>
    </row>
    <row r="63" spans="1:11">
      <c r="A63" s="7">
        <v>61</v>
      </c>
      <c r="B63" s="4" t="s">
        <v>37</v>
      </c>
      <c r="C63" s="4" t="s">
        <v>3</v>
      </c>
      <c r="D63" s="4">
        <v>1</v>
      </c>
      <c r="E63" s="9">
        <v>2901</v>
      </c>
    </row>
    <row r="64" spans="1:11">
      <c r="A64" s="7">
        <v>62</v>
      </c>
      <c r="B64" s="4" t="s">
        <v>37</v>
      </c>
      <c r="C64" s="4" t="s">
        <v>44</v>
      </c>
      <c r="D64" s="4">
        <v>2</v>
      </c>
      <c r="E64" s="9">
        <v>2902</v>
      </c>
    </row>
    <row r="65" spans="1:7">
      <c r="A65" s="7">
        <v>63</v>
      </c>
      <c r="B65" s="4" t="s">
        <v>38</v>
      </c>
      <c r="C65" s="4" t="s">
        <v>2</v>
      </c>
      <c r="D65" s="4">
        <v>1</v>
      </c>
      <c r="E65" s="9">
        <v>3001</v>
      </c>
    </row>
    <row r="66" spans="1:7">
      <c r="A66" s="7">
        <v>64</v>
      </c>
      <c r="B66" s="4" t="s">
        <v>38</v>
      </c>
      <c r="C66" s="4" t="s">
        <v>45</v>
      </c>
      <c r="D66" s="4">
        <v>2</v>
      </c>
      <c r="E66" s="9">
        <v>3002</v>
      </c>
      <c r="F66" s="12"/>
    </row>
    <row r="67" spans="1:7">
      <c r="A67" s="15" t="s">
        <v>60</v>
      </c>
      <c r="B67" s="16" t="s">
        <v>11</v>
      </c>
      <c r="C67" s="17" t="s">
        <v>1</v>
      </c>
      <c r="D67" s="16">
        <v>3</v>
      </c>
      <c r="E67" s="16">
        <v>302</v>
      </c>
      <c r="F67" s="18"/>
      <c r="G67" s="16" t="s">
        <v>55</v>
      </c>
    </row>
    <row r="68" spans="1:7">
      <c r="A68" s="7">
        <v>66</v>
      </c>
      <c r="B68" s="4" t="s">
        <v>12</v>
      </c>
      <c r="C68" s="1" t="s">
        <v>1</v>
      </c>
      <c r="D68" s="4">
        <v>5</v>
      </c>
      <c r="E68" s="4">
        <v>404</v>
      </c>
    </row>
    <row r="69" spans="1:7">
      <c r="A69" s="7">
        <v>67</v>
      </c>
      <c r="B69" s="4" t="s">
        <v>13</v>
      </c>
      <c r="C69" s="1" t="s">
        <v>1</v>
      </c>
      <c r="D69" s="4">
        <v>3</v>
      </c>
      <c r="E69" s="4">
        <v>502</v>
      </c>
    </row>
    <row r="70" spans="1:7">
      <c r="A70" s="7">
        <v>68</v>
      </c>
      <c r="B70" s="4" t="s">
        <v>14</v>
      </c>
      <c r="C70" s="1" t="s">
        <v>1</v>
      </c>
      <c r="D70" s="4">
        <v>2</v>
      </c>
      <c r="E70" s="4">
        <v>601</v>
      </c>
    </row>
    <row r="71" spans="1:7">
      <c r="A71" s="7">
        <v>69</v>
      </c>
      <c r="B71" s="4" t="s">
        <v>15</v>
      </c>
      <c r="C71" s="1" t="s">
        <v>1</v>
      </c>
      <c r="D71" s="4">
        <v>2</v>
      </c>
      <c r="E71" s="4">
        <v>701</v>
      </c>
    </row>
    <row r="72" spans="1:7">
      <c r="A72" s="7">
        <v>70</v>
      </c>
      <c r="B72" s="4" t="s">
        <v>16</v>
      </c>
      <c r="C72" s="1" t="s">
        <v>1</v>
      </c>
      <c r="D72" s="4">
        <v>2</v>
      </c>
      <c r="E72" s="4">
        <v>801</v>
      </c>
    </row>
    <row r="73" spans="1:7">
      <c r="A73" s="7">
        <v>71</v>
      </c>
      <c r="B73" s="4" t="s">
        <v>17</v>
      </c>
      <c r="C73" s="1" t="s">
        <v>1</v>
      </c>
      <c r="D73" s="4">
        <v>3</v>
      </c>
      <c r="E73" s="4">
        <v>902</v>
      </c>
    </row>
    <row r="74" spans="1:7">
      <c r="A74" s="7">
        <v>72</v>
      </c>
      <c r="B74" s="4" t="s">
        <v>18</v>
      </c>
      <c r="C74" s="1" t="s">
        <v>1</v>
      </c>
      <c r="D74" s="4">
        <v>2</v>
      </c>
      <c r="E74" s="4">
        <v>1001</v>
      </c>
    </row>
    <row r="75" spans="1:7">
      <c r="A75" s="7">
        <v>73</v>
      </c>
      <c r="B75" s="4" t="s">
        <v>19</v>
      </c>
      <c r="C75" s="1" t="s">
        <v>1</v>
      </c>
      <c r="D75" s="4">
        <v>2</v>
      </c>
      <c r="E75" s="4">
        <v>1101</v>
      </c>
    </row>
    <row r="76" spans="1:7">
      <c r="A76" s="7">
        <v>74</v>
      </c>
      <c r="B76" s="4" t="s">
        <v>20</v>
      </c>
      <c r="C76" s="1" t="s">
        <v>1</v>
      </c>
      <c r="D76" s="4">
        <v>3</v>
      </c>
      <c r="E76" s="4">
        <v>1202</v>
      </c>
    </row>
    <row r="77" spans="1:7">
      <c r="A77" s="7">
        <v>75</v>
      </c>
      <c r="B77" s="4" t="s">
        <v>21</v>
      </c>
      <c r="C77" s="1" t="s">
        <v>1</v>
      </c>
      <c r="D77" s="4">
        <v>2</v>
      </c>
      <c r="E77" s="4">
        <v>1301</v>
      </c>
    </row>
    <row r="78" spans="1:7">
      <c r="A78" s="7">
        <v>76</v>
      </c>
      <c r="B78" s="4" t="s">
        <v>22</v>
      </c>
      <c r="C78" s="1" t="s">
        <v>1</v>
      </c>
      <c r="D78" s="4">
        <v>2</v>
      </c>
      <c r="E78" s="4">
        <v>1401</v>
      </c>
    </row>
    <row r="79" spans="1:7">
      <c r="A79" s="7">
        <v>77</v>
      </c>
      <c r="B79" s="4" t="s">
        <v>23</v>
      </c>
      <c r="C79" s="1" t="s">
        <v>1</v>
      </c>
      <c r="D79" s="4">
        <v>4</v>
      </c>
      <c r="E79" s="4">
        <v>1503</v>
      </c>
    </row>
    <row r="80" spans="1:7">
      <c r="A80" s="7">
        <v>78</v>
      </c>
      <c r="B80" s="4" t="s">
        <v>24</v>
      </c>
      <c r="C80" s="1" t="s">
        <v>1</v>
      </c>
      <c r="D80" s="4">
        <v>2</v>
      </c>
      <c r="E80" s="4">
        <v>1601</v>
      </c>
    </row>
    <row r="81" spans="1:5">
      <c r="A81" s="7">
        <v>79</v>
      </c>
      <c r="B81" s="4" t="s">
        <v>25</v>
      </c>
      <c r="C81" s="1" t="s">
        <v>1</v>
      </c>
      <c r="D81" s="4">
        <v>2</v>
      </c>
      <c r="E81" s="4">
        <v>1701</v>
      </c>
    </row>
    <row r="82" spans="1:5">
      <c r="A82" s="7">
        <v>80</v>
      </c>
      <c r="B82" s="4" t="s">
        <v>26</v>
      </c>
      <c r="C82" s="1" t="s">
        <v>1</v>
      </c>
      <c r="D82" s="4">
        <v>4</v>
      </c>
      <c r="E82" s="4">
        <v>1803</v>
      </c>
    </row>
    <row r="83" spans="1:5">
      <c r="A83" s="7">
        <v>81</v>
      </c>
      <c r="B83" s="4" t="s">
        <v>28</v>
      </c>
      <c r="C83" s="1" t="s">
        <v>1</v>
      </c>
      <c r="D83" s="4">
        <v>2</v>
      </c>
      <c r="E83" s="4">
        <v>2001</v>
      </c>
    </row>
    <row r="84" spans="1:5">
      <c r="A84" s="7" t="s">
        <v>65</v>
      </c>
      <c r="B84" s="4" t="s">
        <v>29</v>
      </c>
      <c r="C84" s="1" t="s">
        <v>1</v>
      </c>
      <c r="D84" s="4">
        <v>2</v>
      </c>
      <c r="E84" s="4">
        <v>2101</v>
      </c>
    </row>
    <row r="85" spans="1:5">
      <c r="A85" s="7">
        <v>83</v>
      </c>
      <c r="B85" s="4" t="s">
        <v>30</v>
      </c>
      <c r="C85" s="1" t="s">
        <v>1</v>
      </c>
      <c r="D85" s="4">
        <v>2</v>
      </c>
      <c r="E85" s="4">
        <v>2201</v>
      </c>
    </row>
    <row r="86" spans="1:5">
      <c r="A86" s="7">
        <v>84</v>
      </c>
      <c r="B86" s="4" t="s">
        <v>32</v>
      </c>
      <c r="C86" s="1" t="s">
        <v>1</v>
      </c>
      <c r="D86" s="4">
        <v>3</v>
      </c>
      <c r="E86" s="4">
        <v>2402</v>
      </c>
    </row>
    <row r="87" spans="1:5">
      <c r="A87" s="7">
        <v>85</v>
      </c>
      <c r="B87" s="4" t="s">
        <v>35</v>
      </c>
      <c r="C87" s="1" t="s">
        <v>1</v>
      </c>
      <c r="D87" s="4">
        <v>2</v>
      </c>
      <c r="E87" s="4">
        <v>2701</v>
      </c>
    </row>
    <row r="88" spans="1:5">
      <c r="A88" s="7">
        <v>86</v>
      </c>
      <c r="B88" s="4" t="s">
        <v>36</v>
      </c>
      <c r="C88" s="1" t="s">
        <v>1</v>
      </c>
      <c r="D88" s="4">
        <v>4</v>
      </c>
      <c r="E88" s="4">
        <v>2804</v>
      </c>
    </row>
    <row r="89" spans="1:5">
      <c r="A89" s="7">
        <v>87</v>
      </c>
      <c r="B89" s="4" t="s">
        <v>37</v>
      </c>
      <c r="C89" s="1" t="s">
        <v>1</v>
      </c>
      <c r="D89" s="4">
        <v>4</v>
      </c>
      <c r="E89" s="4">
        <v>2903</v>
      </c>
    </row>
    <row r="90" spans="1:5">
      <c r="A90" s="7">
        <v>88</v>
      </c>
      <c r="B90" s="4" t="s">
        <v>38</v>
      </c>
      <c r="C90" s="1" t="s">
        <v>1</v>
      </c>
      <c r="D90" s="4">
        <v>4</v>
      </c>
      <c r="E90" s="4">
        <v>3003</v>
      </c>
    </row>
    <row r="91" spans="1:5">
      <c r="A91" s="7">
        <v>89</v>
      </c>
      <c r="B91" s="4" t="s">
        <v>40</v>
      </c>
      <c r="C91" s="1" t="s">
        <v>1</v>
      </c>
      <c r="D91" s="4">
        <v>2</v>
      </c>
      <c r="E91" s="4">
        <v>3301</v>
      </c>
    </row>
    <row r="92" spans="1:5">
      <c r="A92" s="7">
        <v>90</v>
      </c>
      <c r="B92" s="4" t="s">
        <v>52</v>
      </c>
      <c r="C92" s="1" t="s">
        <v>42</v>
      </c>
      <c r="D92" s="4">
        <v>0</v>
      </c>
      <c r="E92" s="4">
        <v>201</v>
      </c>
    </row>
    <row r="93" spans="1:5">
      <c r="A93" s="7" t="s">
        <v>61</v>
      </c>
      <c r="B93" s="4" t="s">
        <v>11</v>
      </c>
      <c r="C93" s="1" t="s">
        <v>42</v>
      </c>
      <c r="D93" s="4">
        <v>0</v>
      </c>
      <c r="E93" s="4">
        <v>303</v>
      </c>
    </row>
    <row r="94" spans="1:5">
      <c r="A94" s="7">
        <v>92</v>
      </c>
      <c r="B94" s="4" t="s">
        <v>14</v>
      </c>
      <c r="C94" s="1" t="s">
        <v>42</v>
      </c>
      <c r="D94" s="4">
        <v>0</v>
      </c>
      <c r="E94" s="4">
        <v>602</v>
      </c>
    </row>
    <row r="95" spans="1:5">
      <c r="A95" s="7">
        <v>93</v>
      </c>
      <c r="B95" s="4" t="s">
        <v>17</v>
      </c>
      <c r="C95" s="1" t="s">
        <v>42</v>
      </c>
      <c r="D95" s="4">
        <v>0</v>
      </c>
      <c r="E95" s="4">
        <v>903</v>
      </c>
    </row>
    <row r="96" spans="1:5">
      <c r="A96" s="7">
        <v>94</v>
      </c>
      <c r="B96" s="4" t="s">
        <v>20</v>
      </c>
      <c r="C96" s="1" t="s">
        <v>42</v>
      </c>
      <c r="D96" s="4">
        <v>0</v>
      </c>
      <c r="E96" s="4">
        <v>1203</v>
      </c>
    </row>
    <row r="97" spans="1:5">
      <c r="A97" s="7">
        <v>95</v>
      </c>
      <c r="B97" s="4" t="s">
        <v>22</v>
      </c>
      <c r="C97" s="1" t="s">
        <v>42</v>
      </c>
      <c r="D97" s="4">
        <v>0</v>
      </c>
      <c r="E97" s="4">
        <v>1402</v>
      </c>
    </row>
    <row r="98" spans="1:5">
      <c r="A98" s="7">
        <v>96</v>
      </c>
      <c r="B98" s="4" t="s">
        <v>23</v>
      </c>
      <c r="C98" s="1" t="s">
        <v>42</v>
      </c>
      <c r="D98" s="4">
        <v>0</v>
      </c>
      <c r="E98" s="4">
        <v>1504</v>
      </c>
    </row>
    <row r="99" spans="1:5">
      <c r="A99" s="7">
        <v>97</v>
      </c>
      <c r="B99" s="4" t="s">
        <v>24</v>
      </c>
      <c r="C99" s="1" t="s">
        <v>42</v>
      </c>
      <c r="D99" s="4">
        <v>0</v>
      </c>
      <c r="E99" s="4">
        <v>1602</v>
      </c>
    </row>
    <row r="100" spans="1:5">
      <c r="A100" s="7">
        <v>98</v>
      </c>
      <c r="B100" s="4" t="s">
        <v>25</v>
      </c>
      <c r="C100" s="1" t="s">
        <v>42</v>
      </c>
      <c r="D100" s="4">
        <v>0</v>
      </c>
      <c r="E100" s="9">
        <v>1702</v>
      </c>
    </row>
    <row r="101" spans="1:5">
      <c r="A101" s="7">
        <v>99</v>
      </c>
      <c r="B101" s="4" t="s">
        <v>25</v>
      </c>
      <c r="C101" s="1" t="s">
        <v>42</v>
      </c>
      <c r="D101" s="4">
        <v>0</v>
      </c>
      <c r="E101" s="9">
        <v>1703</v>
      </c>
    </row>
    <row r="102" spans="1:5">
      <c r="A102" s="7">
        <v>100</v>
      </c>
      <c r="B102" s="4" t="s">
        <v>25</v>
      </c>
      <c r="C102" s="1" t="s">
        <v>42</v>
      </c>
      <c r="D102" s="4">
        <v>0</v>
      </c>
      <c r="E102" s="9">
        <v>1704</v>
      </c>
    </row>
    <row r="103" spans="1:5">
      <c r="A103" s="7">
        <v>101</v>
      </c>
      <c r="B103" s="4" t="s">
        <v>26</v>
      </c>
      <c r="C103" s="1" t="s">
        <v>42</v>
      </c>
      <c r="D103" s="4">
        <v>0</v>
      </c>
      <c r="E103" s="9">
        <v>1804</v>
      </c>
    </row>
    <row r="104" spans="1:5">
      <c r="A104" s="7">
        <v>102</v>
      </c>
      <c r="B104" s="4" t="s">
        <v>35</v>
      </c>
      <c r="C104" s="1" t="s">
        <v>42</v>
      </c>
      <c r="D104" s="4">
        <v>0</v>
      </c>
      <c r="E104" s="9">
        <v>2702</v>
      </c>
    </row>
    <row r="105" spans="1:5">
      <c r="A105" s="7">
        <v>103</v>
      </c>
      <c r="B105" s="4" t="s">
        <v>36</v>
      </c>
      <c r="C105" s="1" t="s">
        <v>42</v>
      </c>
      <c r="D105" s="4">
        <v>0</v>
      </c>
      <c r="E105" s="9">
        <v>2802</v>
      </c>
    </row>
    <row r="106" spans="1:5">
      <c r="A106" s="7">
        <v>104</v>
      </c>
      <c r="B106" s="4" t="s">
        <v>38</v>
      </c>
      <c r="C106" s="1" t="s">
        <v>42</v>
      </c>
      <c r="D106" s="4">
        <v>0</v>
      </c>
      <c r="E106" s="9">
        <v>3004</v>
      </c>
    </row>
    <row r="107" spans="1:5">
      <c r="A107" s="7">
        <v>105</v>
      </c>
      <c r="B107" s="4" t="s">
        <v>12</v>
      </c>
      <c r="C107" s="1" t="s">
        <v>43</v>
      </c>
      <c r="D107" s="4">
        <v>0</v>
      </c>
      <c r="E107" s="9">
        <v>405</v>
      </c>
    </row>
    <row r="108" spans="1:5">
      <c r="A108" s="7">
        <v>106</v>
      </c>
      <c r="B108" s="4" t="s">
        <v>25</v>
      </c>
      <c r="C108" s="1" t="s">
        <v>43</v>
      </c>
      <c r="D108" s="4">
        <v>0</v>
      </c>
      <c r="E108" s="9">
        <v>1705</v>
      </c>
    </row>
    <row r="109" spans="1:5">
      <c r="A109" s="7">
        <v>107</v>
      </c>
      <c r="B109" s="4" t="s">
        <v>28</v>
      </c>
      <c r="C109" s="1" t="s">
        <v>43</v>
      </c>
      <c r="D109" s="4">
        <v>0</v>
      </c>
      <c r="E109" s="9">
        <v>2002</v>
      </c>
    </row>
    <row r="110" spans="1:5">
      <c r="A110" s="7">
        <v>108</v>
      </c>
      <c r="B110" s="4" t="s">
        <v>35</v>
      </c>
      <c r="C110" s="1" t="s">
        <v>43</v>
      </c>
      <c r="D110" s="4">
        <v>0</v>
      </c>
      <c r="E110" s="9">
        <v>2703</v>
      </c>
    </row>
    <row r="111" spans="1:5">
      <c r="A111" s="7">
        <v>109</v>
      </c>
      <c r="B111" s="4" t="s">
        <v>36</v>
      </c>
      <c r="C111" s="1" t="s">
        <v>43</v>
      </c>
      <c r="D111" s="4">
        <v>0</v>
      </c>
      <c r="E111" s="9">
        <v>2805</v>
      </c>
    </row>
    <row r="112" spans="1:5">
      <c r="A112" s="7">
        <v>110</v>
      </c>
      <c r="B112" s="4" t="s">
        <v>37</v>
      </c>
      <c r="C112" s="1" t="s">
        <v>43</v>
      </c>
      <c r="D112" s="4">
        <v>0</v>
      </c>
      <c r="E112" s="9">
        <v>2904</v>
      </c>
    </row>
    <row r="113" spans="1:5">
      <c r="A113" s="7">
        <v>111</v>
      </c>
      <c r="B113" s="4" t="s">
        <v>8</v>
      </c>
      <c r="C113" s="1" t="s">
        <v>43</v>
      </c>
      <c r="D113" s="4">
        <v>0</v>
      </c>
      <c r="E113" s="9">
        <v>3201</v>
      </c>
    </row>
    <row r="114" spans="1:5">
      <c r="B114" s="4"/>
    </row>
  </sheetData>
  <phoneticPr fontId="1" type="noConversion"/>
  <conditionalFormatting sqref="A1:A1048576">
    <cfRule type="containsText" dxfId="8" priority="14" operator="containsText" text="#">
      <formula>NOT(ISERROR(SEARCH("#",A1)))</formula>
    </cfRule>
  </conditionalFormatting>
  <conditionalFormatting sqref="B1:B1048576">
    <cfRule type="cellIs" dxfId="7" priority="1" operator="equal">
      <formula>$N$5</formula>
    </cfRule>
    <cfRule type="cellIs" dxfId="6" priority="13" operator="equal">
      <formula>$J$1</formula>
    </cfRule>
    <cfRule type="cellIs" dxfId="5" priority="4" operator="equal">
      <formula>$N$25</formula>
    </cfRule>
    <cfRule type="cellIs" dxfId="3" priority="2" operator="equal">
      <formula>$N$21</formula>
    </cfRule>
    <cfRule type="cellIs" dxfId="2" priority="3" operator="equal">
      <formula>$N$23</formula>
    </cfRule>
    <cfRule type="cellIs" dxfId="1" priority="6" operator="equal">
      <formula>$N$28</formula>
    </cfRule>
  </conditionalFormatting>
  <conditionalFormatting sqref="E1:E1048576">
    <cfRule type="duplicateValues" dxfId="0" priority="15"/>
  </conditionalFormatting>
  <dataValidations count="1">
    <dataValidation type="list" allowBlank="1" showInputMessage="1" showErrorMessage="1" sqref="J1" xr:uid="{A5C6619D-5FF7-4FBD-A4F0-111C82B23071}">
      <formula1>$N$2:$N$35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6013EFDF-943F-4BD5-8F74-030CA517C5B7}">
            <xm:f>NOT(ISERROR(SEARCH($N$33,B1)))</xm:f>
            <xm:f>$N$33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윤준혁</cp:lastModifiedBy>
  <dcterms:created xsi:type="dcterms:W3CDTF">2024-05-16T15:21:07Z</dcterms:created>
  <dcterms:modified xsi:type="dcterms:W3CDTF">2025-04-28T10:46:32Z</dcterms:modified>
</cp:coreProperties>
</file>