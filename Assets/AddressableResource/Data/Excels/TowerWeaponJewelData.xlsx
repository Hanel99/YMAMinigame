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workspace\YMAMiniGames\YMAMinigame\Assets\AddressableResource\Data\Excels\"/>
    </mc:Choice>
  </mc:AlternateContent>
  <xr:revisionPtr revIDLastSave="0" documentId="13_ncr:1_{E0017524-C7A9-4CEF-B21F-767158E8842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I11" i="1"/>
  <c r="I2" i="1"/>
  <c r="I3" i="1"/>
  <c r="I4" i="1"/>
  <c r="I5" i="1"/>
  <c r="I6" i="1"/>
  <c r="I7" i="1"/>
  <c r="I8" i="1"/>
  <c r="I9" i="1"/>
  <c r="I48" i="1"/>
  <c r="H48" i="1" s="1"/>
  <c r="P26" i="1" s="1" a="1"/>
  <c r="P26" i="1" s="1"/>
  <c r="I49" i="1"/>
  <c r="H49" i="1" s="1"/>
  <c r="P27" i="1" s="1" a="1"/>
  <c r="P27" i="1" s="1"/>
  <c r="I50" i="1"/>
  <c r="H50" i="1" s="1"/>
  <c r="P28" i="1" s="1" a="1"/>
  <c r="P28" i="1" s="1"/>
  <c r="I51" i="1"/>
  <c r="H51" i="1" s="1"/>
  <c r="P29" i="1" s="1" a="1"/>
  <c r="P29" i="1" s="1"/>
  <c r="I52" i="1"/>
  <c r="H52" i="1" s="1"/>
  <c r="P30" i="1" s="1" a="1"/>
  <c r="P30" i="1" s="1"/>
  <c r="I53" i="1"/>
  <c r="H53" i="1" s="1"/>
  <c r="P31" i="1" s="1" a="1"/>
  <c r="P31" i="1" s="1"/>
  <c r="I54" i="1"/>
  <c r="H54" i="1" s="1"/>
  <c r="P32" i="1" s="1" a="1"/>
  <c r="P32" i="1" s="1"/>
  <c r="I47" i="1"/>
  <c r="H47" i="1" s="1"/>
  <c r="P25" i="1" s="1" a="1"/>
  <c r="P25" i="1" s="1"/>
  <c r="I39" i="1"/>
  <c r="H39" i="1" s="1"/>
  <c r="O26" i="1" s="1" a="1"/>
  <c r="O26" i="1" s="1"/>
  <c r="I40" i="1"/>
  <c r="H40" i="1" s="1"/>
  <c r="O27" i="1" s="1" a="1"/>
  <c r="O27" i="1" s="1"/>
  <c r="I41" i="1"/>
  <c r="H41" i="1" s="1"/>
  <c r="O28" i="1" s="1" a="1"/>
  <c r="O28" i="1" s="1"/>
  <c r="I42" i="1"/>
  <c r="H42" i="1" s="1"/>
  <c r="O29" i="1" s="1" a="1"/>
  <c r="O29" i="1" s="1"/>
  <c r="I43" i="1"/>
  <c r="H43" i="1" s="1"/>
  <c r="O30" i="1" s="1" a="1"/>
  <c r="O30" i="1" s="1"/>
  <c r="I44" i="1"/>
  <c r="H44" i="1" s="1"/>
  <c r="O31" i="1" s="1" a="1"/>
  <c r="O31" i="1" s="1"/>
  <c r="I45" i="1"/>
  <c r="H45" i="1" s="1"/>
  <c r="O32" i="1" s="1" a="1"/>
  <c r="O32" i="1" s="1"/>
  <c r="I38" i="1"/>
  <c r="H38" i="1" s="1"/>
  <c r="O25" i="1" s="1" a="1"/>
  <c r="O25" i="1" s="1"/>
  <c r="I30" i="1"/>
  <c r="H30" i="1" s="1"/>
  <c r="N26" i="1" s="1" a="1"/>
  <c r="N26" i="1" s="1"/>
  <c r="I31" i="1"/>
  <c r="H31" i="1" s="1"/>
  <c r="N27" i="1" s="1" a="1"/>
  <c r="N27" i="1" s="1"/>
  <c r="I32" i="1"/>
  <c r="H32" i="1" s="1"/>
  <c r="N28" i="1" s="1" a="1"/>
  <c r="N28" i="1" s="1"/>
  <c r="I33" i="1"/>
  <c r="H33" i="1" s="1"/>
  <c r="N29" i="1" s="1" a="1"/>
  <c r="N29" i="1" s="1"/>
  <c r="I34" i="1"/>
  <c r="H34" i="1" s="1"/>
  <c r="N30" i="1" s="1" a="1"/>
  <c r="N30" i="1" s="1"/>
  <c r="I35" i="1"/>
  <c r="H35" i="1" s="1"/>
  <c r="N31" i="1" s="1" a="1"/>
  <c r="N31" i="1" s="1"/>
  <c r="I36" i="1"/>
  <c r="H36" i="1" s="1"/>
  <c r="N32" i="1" s="1" a="1"/>
  <c r="N32" i="1" s="1"/>
  <c r="I29" i="1"/>
  <c r="H29" i="1" s="1"/>
  <c r="N25" i="1" s="1" a="1"/>
  <c r="N25" i="1" s="1"/>
  <c r="I21" i="1"/>
  <c r="H21" i="1" s="1"/>
  <c r="M26" i="1" s="1" a="1"/>
  <c r="M26" i="1" s="1"/>
  <c r="I22" i="1"/>
  <c r="H22" i="1" s="1"/>
  <c r="M27" i="1" s="1" a="1"/>
  <c r="M27" i="1" s="1"/>
  <c r="I23" i="1"/>
  <c r="H23" i="1" s="1"/>
  <c r="M28" i="1" s="1" a="1"/>
  <c r="M28" i="1" s="1"/>
  <c r="I24" i="1"/>
  <c r="H24" i="1" s="1"/>
  <c r="M29" i="1" s="1" a="1"/>
  <c r="M29" i="1" s="1"/>
  <c r="I25" i="1"/>
  <c r="H25" i="1" s="1"/>
  <c r="M30" i="1" s="1" a="1"/>
  <c r="M30" i="1" s="1"/>
  <c r="I26" i="1"/>
  <c r="H26" i="1" s="1"/>
  <c r="M31" i="1" s="1" a="1"/>
  <c r="M31" i="1" s="1"/>
  <c r="I27" i="1"/>
  <c r="H27" i="1" s="1"/>
  <c r="M32" i="1" s="1" a="1"/>
  <c r="M32" i="1" s="1"/>
  <c r="I20" i="1"/>
  <c r="H20" i="1" s="1"/>
  <c r="M25" i="1" s="1" a="1"/>
  <c r="M25" i="1" s="1"/>
  <c r="I12" i="1"/>
  <c r="I13" i="1"/>
  <c r="I14" i="1"/>
  <c r="I15" i="1"/>
  <c r="H15" i="1" s="1"/>
  <c r="L29" i="1" s="1" a="1"/>
  <c r="L29" i="1" s="1"/>
  <c r="I16" i="1"/>
  <c r="H16" i="1" s="1"/>
  <c r="L30" i="1" s="1" a="1"/>
  <c r="L30" i="1" s="1"/>
  <c r="I17" i="1"/>
  <c r="H17" i="1" s="1"/>
  <c r="L31" i="1" s="1" a="1"/>
  <c r="L31" i="1" s="1"/>
  <c r="I18" i="1"/>
  <c r="H18" i="1" s="1"/>
  <c r="L32" i="1" s="1" a="1"/>
  <c r="L32" i="1" s="1"/>
  <c r="H9" i="1"/>
  <c r="K32" i="1" s="1" a="1"/>
  <c r="K32" i="1" s="1"/>
  <c r="M14" i="1"/>
  <c r="M15" i="1"/>
  <c r="M16" i="1"/>
  <c r="M17" i="1"/>
  <c r="M13" i="1"/>
  <c r="L18" i="1"/>
  <c r="L17" i="1"/>
  <c r="L16" i="1"/>
  <c r="L15" i="1"/>
  <c r="L14" i="1"/>
  <c r="L13" i="1"/>
  <c r="F13" i="1"/>
  <c r="F44" i="1" l="1"/>
  <c r="E11" i="1"/>
  <c r="E19" i="1"/>
  <c r="E12" i="1"/>
  <c r="F12" i="1"/>
  <c r="E20" i="1" s="1"/>
  <c r="E13" i="1"/>
  <c r="E14" i="1"/>
  <c r="E15" i="1"/>
  <c r="F15" i="1"/>
  <c r="E23" i="1" s="1"/>
  <c r="E16" i="1"/>
  <c r="F16" i="1"/>
  <c r="E24" i="1" s="1"/>
  <c r="E28" i="1"/>
  <c r="E22" i="1"/>
  <c r="E10" i="1"/>
  <c r="H12" i="1"/>
  <c r="L26" i="1" s="1" a="1"/>
  <c r="L26" i="1" s="1"/>
  <c r="H13" i="1"/>
  <c r="L27" i="1" s="1" a="1"/>
  <c r="L27" i="1" s="1"/>
  <c r="H14" i="1"/>
  <c r="L28" i="1" s="1" a="1"/>
  <c r="L28" i="1" s="1"/>
  <c r="L25" i="1" a="1"/>
  <c r="L25" i="1" s="1"/>
  <c r="H3" i="1"/>
  <c r="K26" i="1" s="1" a="1"/>
  <c r="K26" i="1" s="1"/>
  <c r="H4" i="1"/>
  <c r="K27" i="1" s="1" a="1"/>
  <c r="K27" i="1" s="1"/>
  <c r="H5" i="1"/>
  <c r="K28" i="1" s="1" a="1"/>
  <c r="K28" i="1" s="1"/>
  <c r="H6" i="1"/>
  <c r="K29" i="1" s="1" a="1"/>
  <c r="K29" i="1" s="1"/>
  <c r="H7" i="1"/>
  <c r="K30" i="1" s="1" a="1"/>
  <c r="K30" i="1" s="1"/>
  <c r="H8" i="1"/>
  <c r="K31" i="1" s="1" a="1"/>
  <c r="K31" i="1" s="1"/>
  <c r="H2" i="1"/>
  <c r="K25" i="1" l="1" a="1"/>
  <c r="K25" i="1" s="1"/>
  <c r="E18" i="1"/>
  <c r="E26" i="1"/>
  <c r="E29" i="1"/>
  <c r="F24" i="1"/>
  <c r="E21" i="1"/>
  <c r="E38" i="1"/>
  <c r="E30" i="1"/>
  <c r="E31" i="1" l="1"/>
  <c r="E27" i="1"/>
  <c r="E37" i="1"/>
  <c r="E34" i="1"/>
  <c r="E35" i="1"/>
  <c r="E46" i="1"/>
  <c r="E39" i="1"/>
  <c r="E32" i="1"/>
  <c r="E36" i="1"/>
  <c r="E44" i="1" l="1"/>
  <c r="E43" i="1"/>
  <c r="E42" i="1"/>
  <c r="E4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<sst xmlns="http://schemas.openxmlformats.org/spreadsheetml/2006/main" count="132" uniqueCount="41">
  <si>
    <t>type</t>
    <phoneticPr fontId="1" type="noConversion"/>
  </si>
  <si>
    <t>rank</t>
    <phoneticPr fontId="1" type="noConversion"/>
  </si>
  <si>
    <t>min</t>
    <phoneticPr fontId="1" type="noConversion"/>
  </si>
  <si>
    <t>max</t>
    <phoneticPr fontId="1" type="noConversion"/>
  </si>
  <si>
    <t>Normal</t>
  </si>
  <si>
    <t>Normal</t>
    <phoneticPr fontId="1" type="noConversion"/>
  </si>
  <si>
    <t>Rare</t>
  </si>
  <si>
    <t>Rare</t>
    <phoneticPr fontId="1" type="noConversion"/>
  </si>
  <si>
    <t>SuperRare</t>
  </si>
  <si>
    <t>SuperRare</t>
    <phoneticPr fontId="1" type="noConversion"/>
  </si>
  <si>
    <t>Silver</t>
  </si>
  <si>
    <t>Silver</t>
    <phoneticPr fontId="1" type="noConversion"/>
  </si>
  <si>
    <t>Gold</t>
  </si>
  <si>
    <t>Gold</t>
    <phoneticPr fontId="1" type="noConversion"/>
  </si>
  <si>
    <t>Black</t>
  </si>
  <si>
    <t>Black</t>
    <phoneticPr fontId="1" type="noConversion"/>
  </si>
  <si>
    <t>DmgReduce</t>
  </si>
  <si>
    <t>DmgReduce</t>
    <phoneticPr fontId="1" type="noConversion"/>
  </si>
  <si>
    <t>DefBreak</t>
  </si>
  <si>
    <t>DefBreak</t>
    <phoneticPr fontId="1" type="noConversion"/>
  </si>
  <si>
    <t>index</t>
    <phoneticPr fontId="1" type="noConversion"/>
  </si>
  <si>
    <t>Atk</t>
  </si>
  <si>
    <t>Atk</t>
    <phoneticPr fontId="1" type="noConversion"/>
  </si>
  <si>
    <t>Def</t>
  </si>
  <si>
    <t>Def</t>
    <phoneticPr fontId="1" type="noConversion"/>
  </si>
  <si>
    <t>CriRate</t>
  </si>
  <si>
    <t>CriRate</t>
    <phoneticPr fontId="1" type="noConversion"/>
  </si>
  <si>
    <t>CriDmg</t>
  </si>
  <si>
    <t>CriDmg</t>
    <phoneticPr fontId="1" type="noConversion"/>
  </si>
  <si>
    <t>Avoid</t>
  </si>
  <si>
    <t>Avoid</t>
    <phoneticPr fontId="1" type="noConversion"/>
  </si>
  <si>
    <t>weight</t>
    <phoneticPr fontId="1" type="noConversion"/>
  </si>
  <si>
    <t>grade</t>
    <phoneticPr fontId="1" type="noConversion"/>
  </si>
  <si>
    <t>AtkMul</t>
  </si>
  <si>
    <t>AtkMul</t>
    <phoneticPr fontId="1" type="noConversion"/>
  </si>
  <si>
    <t>N</t>
    <phoneticPr fontId="1" type="noConversion"/>
  </si>
  <si>
    <t>R</t>
    <phoneticPr fontId="1" type="noConversion"/>
  </si>
  <si>
    <t>SR</t>
    <phoneticPr fontId="1" type="noConversion"/>
  </si>
  <si>
    <t>S</t>
    <phoneticPr fontId="1" type="noConversion"/>
  </si>
  <si>
    <t>G</t>
    <phoneticPr fontId="1" type="noConversion"/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</si>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</sst>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12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558ED5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3" fontId="3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1">
    <dxf>
      <font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155"/>
  <sheetViews>
    <sheetView tabSelected="1" workbookViewId="0">
      <pane ySplit="1" topLeftCell="A14" activePane="bottomLeft" state="frozen"/>
      <selection pane="bottomLeft" activeCell="F49" sqref="F49"/>
    </sheetView>
  </sheetViews>
  <sheetFormatPr defaultColWidth="17.625" defaultRowHeight="17.25" x14ac:dyDescent="0.3"/>
  <cols>
    <col min="1" max="4" width="18.875" style="5" customWidth="1"/>
    <col min="5" max="5" width="18.875" style="6" customWidth="1"/>
    <col min="6" max="6" width="19" style="6" customWidth="1"/>
    <col min="7" max="10" width="17.625" style="3"/>
    <col min="11" max="12" width="10.625" style="3" customWidth="1"/>
    <col min="13" max="13" width="10.625" customWidth="1"/>
    <col min="14" max="16" width="10.625" style="3" customWidth="1"/>
    <col min="17" max="16384" width="17.625" style="3"/>
  </cols>
  <sheetData>
    <row r="1" spans="1:13" x14ac:dyDescent="0.3">
      <c r="A1" s="2" t="s">
        <v>20</v>
      </c>
      <c r="B1" s="2" t="s">
        <v>32</v>
      </c>
      <c r="C1" s="2" t="s">
        <v>0</v>
      </c>
      <c r="D1" s="2" t="s">
        <v>31</v>
      </c>
      <c r="E1" s="2" t="s">
        <v>2</v>
      </c>
      <c r="F1" s="2" t="s">
        <v>3</v>
      </c>
      <c r="K1" s="3" t="s">
        <v>0</v>
      </c>
      <c r="L1" s="3" t="s">
        <v>1</v>
      </c>
    </row>
    <row r="2" spans="1:13" x14ac:dyDescent="0.3">
      <c r="A2" s="1">
        <v>0</v>
      </c>
      <c r="B2" s="1" t="s">
        <v>4</v>
      </c>
      <c r="C2" s="1" t="s">
        <v>21</v>
      </c>
      <c r="D2" s="1">
        <v>3</v>
      </c>
      <c r="E2" s="3">
        <v>0</v>
      </c>
      <c r="F2" s="3">
        <v>16</v>
      </c>
      <c r="H2" s="7">
        <f t="shared" ref="H2:H8" si="0">D2/I2</f>
        <v>6.5217391304347824E-2</v>
      </c>
      <c r="I2" s="3">
        <f t="shared" ref="I2:I8" si="1">SUM($D$2:$D$9)</f>
        <v>46</v>
      </c>
      <c r="K2" s="3" t="s">
        <v>22</v>
      </c>
      <c r="L2" s="3" t="s">
        <v>5</v>
      </c>
    </row>
    <row r="3" spans="1:13" x14ac:dyDescent="0.3">
      <c r="A3" s="1">
        <v>1</v>
      </c>
      <c r="B3" s="1" t="s">
        <v>4</v>
      </c>
      <c r="C3" s="1" t="s">
        <v>23</v>
      </c>
      <c r="D3" s="1">
        <v>20</v>
      </c>
      <c r="E3" s="3">
        <v>0</v>
      </c>
      <c r="F3" s="3">
        <v>16</v>
      </c>
      <c r="H3" s="7">
        <f t="shared" si="0"/>
        <v>0.43478260869565216</v>
      </c>
      <c r="I3" s="3">
        <f t="shared" si="1"/>
        <v>46</v>
      </c>
      <c r="K3" s="3" t="s">
        <v>24</v>
      </c>
      <c r="L3" s="3" t="s">
        <v>7</v>
      </c>
    </row>
    <row r="4" spans="1:13" x14ac:dyDescent="0.3">
      <c r="A4" s="1">
        <v>2</v>
      </c>
      <c r="B4" s="1" t="s">
        <v>4</v>
      </c>
      <c r="C4" s="1" t="s">
        <v>25</v>
      </c>
      <c r="D4" s="1">
        <v>20</v>
      </c>
      <c r="E4" s="3">
        <v>0</v>
      </c>
      <c r="F4" s="3">
        <v>2</v>
      </c>
      <c r="H4" s="7">
        <f t="shared" si="0"/>
        <v>0.43478260869565216</v>
      </c>
      <c r="I4" s="3">
        <f t="shared" si="1"/>
        <v>46</v>
      </c>
      <c r="K4" s="3" t="s">
        <v>26</v>
      </c>
      <c r="L4" s="3" t="s">
        <v>9</v>
      </c>
    </row>
    <row r="5" spans="1:13" x14ac:dyDescent="0.3">
      <c r="A5" s="1">
        <v>3</v>
      </c>
      <c r="B5" s="1" t="s">
        <v>4</v>
      </c>
      <c r="C5" s="1" t="s">
        <v>27</v>
      </c>
      <c r="D5" s="1">
        <v>3</v>
      </c>
      <c r="E5" s="3">
        <v>0</v>
      </c>
      <c r="F5" s="3">
        <v>0.1</v>
      </c>
      <c r="H5" s="7">
        <f t="shared" si="0"/>
        <v>6.5217391304347824E-2</v>
      </c>
      <c r="I5" s="3">
        <f t="shared" si="1"/>
        <v>46</v>
      </c>
      <c r="K5" s="3" t="s">
        <v>28</v>
      </c>
      <c r="L5" s="3" t="s">
        <v>11</v>
      </c>
    </row>
    <row r="6" spans="1:13" x14ac:dyDescent="0.3">
      <c r="A6" s="1">
        <v>4</v>
      </c>
      <c r="B6" s="1" t="s">
        <v>4</v>
      </c>
      <c r="C6" s="1" t="s">
        <v>29</v>
      </c>
      <c r="D6" s="1">
        <v>0</v>
      </c>
      <c r="E6" s="3">
        <v>0</v>
      </c>
      <c r="F6" s="3">
        <v>0</v>
      </c>
      <c r="H6" s="7">
        <f t="shared" si="0"/>
        <v>0</v>
      </c>
      <c r="I6" s="3">
        <f t="shared" si="1"/>
        <v>46</v>
      </c>
      <c r="K6" s="3" t="s">
        <v>30</v>
      </c>
      <c r="L6" s="3" t="s">
        <v>13</v>
      </c>
    </row>
    <row r="7" spans="1:13" x14ac:dyDescent="0.3">
      <c r="A7" s="1">
        <v>5</v>
      </c>
      <c r="B7" s="1" t="s">
        <v>4</v>
      </c>
      <c r="C7" s="1" t="s">
        <v>18</v>
      </c>
      <c r="D7" s="1">
        <v>0</v>
      </c>
      <c r="E7" s="3">
        <v>0</v>
      </c>
      <c r="F7" s="3">
        <v>0</v>
      </c>
      <c r="H7" s="7">
        <f t="shared" si="0"/>
        <v>0</v>
      </c>
      <c r="I7" s="3">
        <f t="shared" si="1"/>
        <v>46</v>
      </c>
      <c r="K7" s="3" t="s">
        <v>19</v>
      </c>
      <c r="L7" s="3" t="s">
        <v>15</v>
      </c>
    </row>
    <row r="8" spans="1:13" x14ac:dyDescent="0.3">
      <c r="A8" s="1">
        <v>6</v>
      </c>
      <c r="B8" s="1" t="s">
        <v>4</v>
      </c>
      <c r="C8" s="1" t="s">
        <v>16</v>
      </c>
      <c r="D8" s="1">
        <v>0</v>
      </c>
      <c r="E8" s="3">
        <v>0</v>
      </c>
      <c r="F8" s="3">
        <v>0</v>
      </c>
      <c r="H8" s="7">
        <f t="shared" si="0"/>
        <v>0</v>
      </c>
      <c r="I8" s="3">
        <f t="shared" si="1"/>
        <v>46</v>
      </c>
      <c r="K8" s="3" t="s">
        <v>17</v>
      </c>
    </row>
    <row r="9" spans="1:13" x14ac:dyDescent="0.3">
      <c r="A9" s="1">
        <v>7</v>
      </c>
      <c r="B9" s="1" t="s">
        <v>4</v>
      </c>
      <c r="C9" s="1" t="s">
        <v>34</v>
      </c>
      <c r="D9" s="1">
        <v>0</v>
      </c>
      <c r="E9" s="3">
        <v>0</v>
      </c>
      <c r="F9" s="3">
        <v>0</v>
      </c>
      <c r="H9" s="7">
        <f t="shared" ref="H9" si="2">D9/I9</f>
        <v>0</v>
      </c>
      <c r="I9" s="3">
        <f>SUM($D$2:$D$9)</f>
        <v>46</v>
      </c>
      <c r="K9" s="3" t="s">
        <v>34</v>
      </c>
    </row>
    <row r="10" spans="1:13" x14ac:dyDescent="0.3">
      <c r="A10" s="1">
        <v>8</v>
      </c>
      <c r="B10" s="1" t="s">
        <v>6</v>
      </c>
      <c r="C10" s="1" t="s">
        <v>21</v>
      </c>
      <c r="D10" s="1">
        <v>5</v>
      </c>
      <c r="E10" s="3">
        <f t="shared" ref="E10:E16" si="3">F2/2</f>
        <v>8</v>
      </c>
      <c r="F10" s="3">
        <v>30</v>
      </c>
      <c r="H10" s="7"/>
    </row>
    <row r="11" spans="1:13" x14ac:dyDescent="0.3">
      <c r="A11" s="1">
        <v>9</v>
      </c>
      <c r="B11" s="1" t="s">
        <v>6</v>
      </c>
      <c r="C11" s="1" t="s">
        <v>23</v>
      </c>
      <c r="D11" s="1">
        <v>20</v>
      </c>
      <c r="E11" s="3">
        <f t="shared" si="3"/>
        <v>8</v>
      </c>
      <c r="F11" s="3">
        <v>30</v>
      </c>
      <c r="H11" s="7">
        <f t="shared" ref="H11:H18" si="4">D10/I11</f>
        <v>9.8039215686274508E-2</v>
      </c>
      <c r="I11" s="3">
        <f t="shared" ref="I11:I18" si="5">SUM($D$10:$D$17)</f>
        <v>51</v>
      </c>
    </row>
    <row r="12" spans="1:13" x14ac:dyDescent="0.3">
      <c r="A12" s="1">
        <v>10</v>
      </c>
      <c r="B12" s="1" t="s">
        <v>6</v>
      </c>
      <c r="C12" s="1" t="s">
        <v>25</v>
      </c>
      <c r="D12" s="1">
        <v>20</v>
      </c>
      <c r="E12" s="3">
        <f t="shared" si="3"/>
        <v>1</v>
      </c>
      <c r="F12" s="3">
        <f>F4*2</f>
        <v>4</v>
      </c>
      <c r="H12" s="7">
        <f t="shared" si="4"/>
        <v>0.39215686274509803</v>
      </c>
      <c r="I12" s="3">
        <f t="shared" si="5"/>
        <v>51</v>
      </c>
    </row>
    <row r="13" spans="1:13" x14ac:dyDescent="0.3">
      <c r="A13" s="1">
        <v>11</v>
      </c>
      <c r="B13" s="1" t="s">
        <v>6</v>
      </c>
      <c r="C13" s="1" t="s">
        <v>27</v>
      </c>
      <c r="D13" s="1">
        <v>5</v>
      </c>
      <c r="E13" s="3">
        <f t="shared" si="3"/>
        <v>0.05</v>
      </c>
      <c r="F13" s="3">
        <f>F5*2</f>
        <v>0.2</v>
      </c>
      <c r="H13" s="7">
        <f t="shared" si="4"/>
        <v>0.39215686274509803</v>
      </c>
      <c r="I13" s="3">
        <f t="shared" si="5"/>
        <v>51</v>
      </c>
      <c r="J13" s="1">
        <v>3</v>
      </c>
      <c r="K13" s="4">
        <v>1500</v>
      </c>
      <c r="L13" s="3">
        <f>K13*2</f>
        <v>3000</v>
      </c>
      <c r="M13">
        <f>K13/(J13/100)</f>
        <v>50000</v>
      </c>
    </row>
    <row r="14" spans="1:13" x14ac:dyDescent="0.3">
      <c r="A14" s="1">
        <v>12</v>
      </c>
      <c r="B14" s="1" t="s">
        <v>6</v>
      </c>
      <c r="C14" s="1" t="s">
        <v>29</v>
      </c>
      <c r="D14" s="1">
        <v>1</v>
      </c>
      <c r="E14" s="3">
        <f t="shared" si="3"/>
        <v>0</v>
      </c>
      <c r="F14" s="3">
        <v>2</v>
      </c>
      <c r="H14" s="7">
        <f t="shared" si="4"/>
        <v>9.8039215686274508E-2</v>
      </c>
      <c r="I14" s="3">
        <f t="shared" si="5"/>
        <v>51</v>
      </c>
      <c r="J14" s="1">
        <v>1</v>
      </c>
      <c r="K14" s="4">
        <v>3150</v>
      </c>
      <c r="L14" s="3">
        <f t="shared" ref="L14" si="6">K14*2</f>
        <v>6300</v>
      </c>
      <c r="M14">
        <f t="shared" ref="M14:M17" si="7">K14/(J14/100)</f>
        <v>315000</v>
      </c>
    </row>
    <row r="15" spans="1:13" x14ac:dyDescent="0.3">
      <c r="A15" s="1">
        <v>13</v>
      </c>
      <c r="B15" s="1" t="s">
        <v>6</v>
      </c>
      <c r="C15" s="1" t="s">
        <v>18</v>
      </c>
      <c r="D15" s="1">
        <v>0</v>
      </c>
      <c r="E15" s="3">
        <f t="shared" si="3"/>
        <v>0</v>
      </c>
      <c r="F15" s="3">
        <f>F7*2</f>
        <v>0</v>
      </c>
      <c r="H15" s="7">
        <f t="shared" si="4"/>
        <v>1.9607843137254902E-2</v>
      </c>
      <c r="I15" s="3">
        <f t="shared" si="5"/>
        <v>51</v>
      </c>
      <c r="J15" s="1">
        <v>0.8</v>
      </c>
      <c r="K15" s="4">
        <v>6620</v>
      </c>
      <c r="L15" s="3">
        <f>K15*3</f>
        <v>19860</v>
      </c>
      <c r="M15">
        <f t="shared" si="7"/>
        <v>827500</v>
      </c>
    </row>
    <row r="16" spans="1:13" x14ac:dyDescent="0.3">
      <c r="A16" s="1">
        <v>14</v>
      </c>
      <c r="B16" s="1" t="s">
        <v>6</v>
      </c>
      <c r="C16" s="1" t="s">
        <v>16</v>
      </c>
      <c r="D16" s="1">
        <v>0</v>
      </c>
      <c r="E16" s="3">
        <f t="shared" si="3"/>
        <v>0</v>
      </c>
      <c r="F16" s="3">
        <f>F8*2</f>
        <v>0</v>
      </c>
      <c r="H16" s="7">
        <f t="shared" si="4"/>
        <v>0</v>
      </c>
      <c r="I16" s="3">
        <f t="shared" si="5"/>
        <v>51</v>
      </c>
      <c r="J16" s="1">
        <v>0.5</v>
      </c>
      <c r="K16" s="4">
        <v>13910</v>
      </c>
      <c r="L16" s="3">
        <f>K16*3</f>
        <v>41730</v>
      </c>
      <c r="M16">
        <f t="shared" si="7"/>
        <v>2782000</v>
      </c>
    </row>
    <row r="17" spans="1:17" x14ac:dyDescent="0.3">
      <c r="A17" s="1">
        <v>15</v>
      </c>
      <c r="B17" s="1" t="s">
        <v>6</v>
      </c>
      <c r="C17" s="1" t="s">
        <v>33</v>
      </c>
      <c r="D17" s="1">
        <v>0</v>
      </c>
      <c r="E17" s="3">
        <v>0</v>
      </c>
      <c r="F17" s="3">
        <v>0</v>
      </c>
      <c r="H17" s="7">
        <f t="shared" si="4"/>
        <v>0</v>
      </c>
      <c r="I17" s="3">
        <f t="shared" si="5"/>
        <v>51</v>
      </c>
      <c r="J17" s="1">
        <v>0.3</v>
      </c>
      <c r="K17" s="4">
        <v>29220</v>
      </c>
      <c r="L17" s="3">
        <f>K17*4</f>
        <v>116880</v>
      </c>
      <c r="M17">
        <f t="shared" si="7"/>
        <v>9740000</v>
      </c>
    </row>
    <row r="18" spans="1:17" x14ac:dyDescent="0.3">
      <c r="A18" s="1">
        <v>16</v>
      </c>
      <c r="B18" s="1" t="s">
        <v>8</v>
      </c>
      <c r="C18" s="1" t="s">
        <v>21</v>
      </c>
      <c r="D18" s="1">
        <v>6</v>
      </c>
      <c r="E18" s="3">
        <f t="shared" ref="E18:E24" si="8">F10/2</f>
        <v>15</v>
      </c>
      <c r="F18" s="3">
        <v>60</v>
      </c>
      <c r="H18" s="7">
        <f t="shared" si="4"/>
        <v>0</v>
      </c>
      <c r="I18" s="3">
        <f t="shared" si="5"/>
        <v>51</v>
      </c>
      <c r="J18" s="1">
        <v>0</v>
      </c>
      <c r="K18" s="4">
        <v>61370</v>
      </c>
      <c r="L18" s="3">
        <f>K18*4</f>
        <v>245480</v>
      </c>
    </row>
    <row r="19" spans="1:17" x14ac:dyDescent="0.3">
      <c r="A19" s="1">
        <v>17</v>
      </c>
      <c r="B19" s="1" t="s">
        <v>8</v>
      </c>
      <c r="C19" s="1" t="s">
        <v>23</v>
      </c>
      <c r="D19" s="1">
        <v>17</v>
      </c>
      <c r="E19" s="3">
        <f t="shared" si="8"/>
        <v>15</v>
      </c>
      <c r="F19" s="3">
        <v>60</v>
      </c>
      <c r="H19" s="7"/>
      <c r="J19" s="1"/>
      <c r="K19" s="4"/>
    </row>
    <row r="20" spans="1:17" x14ac:dyDescent="0.3">
      <c r="A20" s="1">
        <v>18</v>
      </c>
      <c r="B20" s="1" t="s">
        <v>8</v>
      </c>
      <c r="C20" s="1" t="s">
        <v>25</v>
      </c>
      <c r="D20" s="1">
        <v>17</v>
      </c>
      <c r="E20" s="3">
        <f t="shared" si="8"/>
        <v>2</v>
      </c>
      <c r="F20" s="3">
        <v>6</v>
      </c>
      <c r="H20" s="7">
        <f t="shared" ref="H20:H27" si="9">D18/I20</f>
        <v>0.12244897959183673</v>
      </c>
      <c r="I20" s="3">
        <f t="shared" ref="I20:I27" si="10">SUM($D$18:$D$25)</f>
        <v>49</v>
      </c>
    </row>
    <row r="21" spans="1:17" x14ac:dyDescent="0.3">
      <c r="A21" s="1">
        <v>19</v>
      </c>
      <c r="B21" s="1" t="s">
        <v>8</v>
      </c>
      <c r="C21" s="1" t="s">
        <v>27</v>
      </c>
      <c r="D21" s="1">
        <v>6</v>
      </c>
      <c r="E21" s="3">
        <f t="shared" si="8"/>
        <v>0.1</v>
      </c>
      <c r="F21" s="3">
        <v>0.2</v>
      </c>
      <c r="H21" s="7">
        <f t="shared" si="9"/>
        <v>0.34693877551020408</v>
      </c>
      <c r="I21" s="3">
        <f t="shared" si="10"/>
        <v>49</v>
      </c>
      <c r="J21" s="7"/>
    </row>
    <row r="22" spans="1:17" x14ac:dyDescent="0.3">
      <c r="A22" s="1">
        <v>20</v>
      </c>
      <c r="B22" s="1" t="s">
        <v>8</v>
      </c>
      <c r="C22" s="1" t="s">
        <v>29</v>
      </c>
      <c r="D22" s="1">
        <v>2</v>
      </c>
      <c r="E22" s="3">
        <f t="shared" si="8"/>
        <v>1</v>
      </c>
      <c r="F22" s="3">
        <v>4</v>
      </c>
      <c r="H22" s="7">
        <f t="shared" si="9"/>
        <v>0.34693877551020408</v>
      </c>
      <c r="I22" s="3">
        <f t="shared" si="10"/>
        <v>49</v>
      </c>
    </row>
    <row r="23" spans="1:17" x14ac:dyDescent="0.3">
      <c r="A23" s="1">
        <v>21</v>
      </c>
      <c r="B23" s="1" t="s">
        <v>8</v>
      </c>
      <c r="C23" s="1" t="s">
        <v>18</v>
      </c>
      <c r="D23" s="1">
        <v>1</v>
      </c>
      <c r="E23" s="3">
        <f t="shared" si="8"/>
        <v>0</v>
      </c>
      <c r="F23" s="3">
        <v>2</v>
      </c>
      <c r="H23" s="7">
        <f t="shared" si="9"/>
        <v>0.12244897959183673</v>
      </c>
      <c r="I23" s="3">
        <f t="shared" si="10"/>
        <v>49</v>
      </c>
    </row>
    <row r="24" spans="1:17" x14ac:dyDescent="0.3">
      <c r="A24" s="1">
        <v>22</v>
      </c>
      <c r="B24" s="1" t="s">
        <v>8</v>
      </c>
      <c r="C24" s="1" t="s">
        <v>16</v>
      </c>
      <c r="D24" s="1">
        <v>0</v>
      </c>
      <c r="E24" s="3">
        <f t="shared" si="8"/>
        <v>0</v>
      </c>
      <c r="F24" s="3">
        <f>F16*2</f>
        <v>0</v>
      </c>
      <c r="H24" s="7">
        <f t="shared" si="9"/>
        <v>4.0816326530612242E-2</v>
      </c>
      <c r="I24" s="3">
        <f t="shared" si="10"/>
        <v>49</v>
      </c>
      <c r="K24" s="3" t="s">
        <v>35</v>
      </c>
      <c r="L24" s="3" t="s">
        <v>36</v>
      </c>
      <c r="M24" s="8" t="s">
        <v>37</v>
      </c>
      <c r="N24" s="3" t="s">
        <v>38</v>
      </c>
      <c r="O24" s="3" t="s">
        <v>39</v>
      </c>
      <c r="P24" s="3" t="s">
        <v>40</v>
      </c>
    </row>
    <row r="25" spans="1:17" x14ac:dyDescent="0.3">
      <c r="A25" s="1">
        <v>23</v>
      </c>
      <c r="B25" s="1" t="s">
        <v>8</v>
      </c>
      <c r="C25" s="1" t="s">
        <v>33</v>
      </c>
      <c r="D25" s="1">
        <v>0</v>
      </c>
      <c r="E25" s="3">
        <v>0</v>
      </c>
      <c r="F25" s="3">
        <v>0</v>
      </c>
      <c r="H25" s="7">
        <f t="shared" si="9"/>
        <v>2.0408163265306121E-2</v>
      </c>
      <c r="I25" s="3">
        <f t="shared" si="10"/>
        <v>49</v>
      </c>
      <c r="J25" s="3" t="s">
        <v>22</v>
      </c>
      <c r="K25" s="7" cm="1">
        <f t="array" ref="K25">INDEX($H:$H, ROW($H$2) + (COLUMN()-COLUMN($K$25))*9 + (ROW()-ROW($K$25)))</f>
        <v>6.5217391304347824E-2</v>
      </c>
      <c r="L25" s="7" cm="1">
        <f t="array" ref="L25">INDEX($H:$H, ROW($H$2) + (COLUMN()-COLUMN($K$25))*9 + (ROW()-ROW($K$25)))</f>
        <v>9.8039215686274508E-2</v>
      </c>
      <c r="M25" s="7" cm="1">
        <f t="array" ref="M25">INDEX($H:$H, ROW($H$2) + (COLUMN()-COLUMN($K$25))*9 + (ROW()-ROW($K$25)))</f>
        <v>0.12244897959183673</v>
      </c>
      <c r="N25" s="7" cm="1">
        <f t="array" ref="N25">INDEX($H:$H, ROW($H$2) + (COLUMN()-COLUMN($K$25))*9 + (ROW()-ROW($K$25)))</f>
        <v>0.1875</v>
      </c>
      <c r="O25" s="7" cm="1">
        <f t="array" ref="O25">INDEX($H:$H, ROW($H$2) + (COLUMN()-COLUMN($K$25))*9 + (ROW()-ROW($K$25)))</f>
        <v>0.20689655172413793</v>
      </c>
      <c r="P25" s="7" cm="1">
        <f t="array" ref="P25">INDEX($H:$H, ROW($H$2) + (COLUMN()-COLUMN($K$25))*9 + (ROW()-ROW($K$25)))</f>
        <v>0.21428571428571427</v>
      </c>
      <c r="Q25" s="7"/>
    </row>
    <row r="26" spans="1:17" x14ac:dyDescent="0.3">
      <c r="A26" s="1">
        <v>24</v>
      </c>
      <c r="B26" s="1" t="s">
        <v>10</v>
      </c>
      <c r="C26" s="1" t="s">
        <v>21</v>
      </c>
      <c r="D26" s="1">
        <v>9</v>
      </c>
      <c r="E26" s="3">
        <f t="shared" ref="E26:E32" si="11">F18/2</f>
        <v>30</v>
      </c>
      <c r="F26" s="3">
        <v>90</v>
      </c>
      <c r="H26" s="7">
        <f t="shared" si="9"/>
        <v>0</v>
      </c>
      <c r="I26" s="3">
        <f t="shared" si="10"/>
        <v>49</v>
      </c>
      <c r="J26" s="3" t="s">
        <v>24</v>
      </c>
      <c r="K26" s="7" cm="1">
        <f t="array" ref="K26">INDEX($H:$H, ROW($H$2) + (COLUMN()-COLUMN($K$25))*9 + (ROW()-ROW($K$25)))</f>
        <v>0.43478260869565216</v>
      </c>
      <c r="L26" s="7" cm="1">
        <f t="array" ref="L26">INDEX($H:$H, ROW($H$2) + (COLUMN()-COLUMN($K$25))*9 + (ROW()-ROW($K$25)))</f>
        <v>0.39215686274509803</v>
      </c>
      <c r="M26" s="7" cm="1">
        <f t="array" ref="M26">INDEX($H:$H, ROW($H$2) + (COLUMN()-COLUMN($K$25))*9 + (ROW()-ROW($K$25)))</f>
        <v>0.34693877551020408</v>
      </c>
      <c r="N26" s="7" cm="1">
        <f t="array" ref="N26">INDEX($H:$H, ROW($H$2) + (COLUMN()-COLUMN($K$25))*9 + (ROW()-ROW($K$25)))</f>
        <v>0.25</v>
      </c>
      <c r="O26" s="7" cm="1">
        <f t="array" ref="O26">INDEX($H:$H, ROW($H$2) + (COLUMN()-COLUMN($K$25))*9 + (ROW()-ROW($K$25)))</f>
        <v>0.20689655172413793</v>
      </c>
      <c r="P26" s="7" cm="1">
        <f t="array" ref="P26">INDEX($H:$H, ROW($H$2) + (COLUMN()-COLUMN($K$25))*9 + (ROW()-ROW($K$25)))</f>
        <v>0.19642857142857142</v>
      </c>
      <c r="Q26" s="7"/>
    </row>
    <row r="27" spans="1:17" x14ac:dyDescent="0.3">
      <c r="A27" s="1">
        <v>25</v>
      </c>
      <c r="B27" s="1" t="s">
        <v>10</v>
      </c>
      <c r="C27" s="1" t="s">
        <v>23</v>
      </c>
      <c r="D27" s="1">
        <v>12</v>
      </c>
      <c r="E27" s="3">
        <f t="shared" si="11"/>
        <v>30</v>
      </c>
      <c r="F27" s="3">
        <v>90</v>
      </c>
      <c r="H27" s="7">
        <f t="shared" si="9"/>
        <v>0</v>
      </c>
      <c r="I27" s="3">
        <f t="shared" si="10"/>
        <v>49</v>
      </c>
      <c r="J27" s="3" t="s">
        <v>26</v>
      </c>
      <c r="K27" s="7" cm="1">
        <f t="array" ref="K27">INDEX($H:$H, ROW($H$2) + (COLUMN()-COLUMN($K$25))*9 + (ROW()-ROW($K$25)))</f>
        <v>0.43478260869565216</v>
      </c>
      <c r="L27" s="7" cm="1">
        <f t="array" ref="L27">INDEX($H:$H, ROW($H$2) + (COLUMN()-COLUMN($K$25))*9 + (ROW()-ROW($K$25)))</f>
        <v>0.39215686274509803</v>
      </c>
      <c r="M27" s="7" cm="1">
        <f t="array" ref="M27">INDEX($H:$H, ROW($H$2) + (COLUMN()-COLUMN($K$25))*9 + (ROW()-ROW($K$25)))</f>
        <v>0.34693877551020408</v>
      </c>
      <c r="N27" s="7" cm="1">
        <f t="array" ref="N27">INDEX($H:$H, ROW($H$2) + (COLUMN()-COLUMN($K$25))*9 + (ROW()-ROW($K$25)))</f>
        <v>0.25</v>
      </c>
      <c r="O27" s="7" cm="1">
        <f t="array" ref="O27">INDEX($H:$H, ROW($H$2) + (COLUMN()-COLUMN($K$25))*9 + (ROW()-ROW($K$25)))</f>
        <v>0.20689655172413793</v>
      </c>
      <c r="P27" s="7" cm="1">
        <f t="array" ref="P27">INDEX($H:$H, ROW($H$2) + (COLUMN()-COLUMN($K$25))*9 + (ROW()-ROW($K$25)))</f>
        <v>0.19642857142857142</v>
      </c>
      <c r="Q27" s="7"/>
    </row>
    <row r="28" spans="1:17" x14ac:dyDescent="0.3">
      <c r="A28" s="1">
        <v>26</v>
      </c>
      <c r="B28" s="1" t="s">
        <v>10</v>
      </c>
      <c r="C28" s="1" t="s">
        <v>25</v>
      </c>
      <c r="D28" s="1">
        <v>12</v>
      </c>
      <c r="E28" s="3">
        <f t="shared" si="11"/>
        <v>3</v>
      </c>
      <c r="F28" s="3">
        <v>8</v>
      </c>
      <c r="H28" s="7"/>
      <c r="J28" s="3" t="s">
        <v>28</v>
      </c>
      <c r="K28" s="7" cm="1">
        <f t="array" ref="K28">INDEX($H:$H, ROW($H$2) + (COLUMN()-COLUMN($K$25))*9 + (ROW()-ROW($K$25)))</f>
        <v>6.5217391304347824E-2</v>
      </c>
      <c r="L28" s="7" cm="1">
        <f t="array" ref="L28">INDEX($H:$H, ROW($H$2) + (COLUMN()-COLUMN($K$25))*9 + (ROW()-ROW($K$25)))</f>
        <v>9.8039215686274508E-2</v>
      </c>
      <c r="M28" s="7" cm="1">
        <f t="array" ref="M28">INDEX($H:$H, ROW($H$2) + (COLUMN()-COLUMN($K$25))*9 + (ROW()-ROW($K$25)))</f>
        <v>0.12244897959183673</v>
      </c>
      <c r="N28" s="7" cm="1">
        <f t="array" ref="N28">INDEX($H:$H, ROW($H$2) + (COLUMN()-COLUMN($K$25))*9 + (ROW()-ROW($K$25)))</f>
        <v>0.1875</v>
      </c>
      <c r="O28" s="7" cm="1">
        <f t="array" ref="O28">INDEX($H:$H, ROW($H$2) + (COLUMN()-COLUMN($K$25))*9 + (ROW()-ROW($K$25)))</f>
        <v>0.20689655172413793</v>
      </c>
      <c r="P28" s="7" cm="1">
        <f t="array" ref="P28">INDEX($H:$H, ROW($H$2) + (COLUMN()-COLUMN($K$25))*9 + (ROW()-ROW($K$25)))</f>
        <v>0.21428571428571427</v>
      </c>
      <c r="Q28" s="7"/>
    </row>
    <row r="29" spans="1:17" x14ac:dyDescent="0.3">
      <c r="A29" s="1">
        <v>27</v>
      </c>
      <c r="B29" s="1" t="s">
        <v>10</v>
      </c>
      <c r="C29" s="1" t="s">
        <v>27</v>
      </c>
      <c r="D29" s="1">
        <v>9</v>
      </c>
      <c r="E29" s="3">
        <f t="shared" si="11"/>
        <v>0.1</v>
      </c>
      <c r="F29" s="3">
        <v>0.6</v>
      </c>
      <c r="H29" s="7">
        <f t="shared" ref="H29:H36" si="12">D26/I29</f>
        <v>0.1875</v>
      </c>
      <c r="I29" s="3">
        <f t="shared" ref="I29:I36" si="13">SUM($D$26:$D$33)</f>
        <v>48</v>
      </c>
      <c r="J29" s="3" t="s">
        <v>30</v>
      </c>
      <c r="K29" s="7" cm="1">
        <f t="array" ref="K29">INDEX($H:$H, ROW($H$2) + (COLUMN()-COLUMN($K$25))*9 + (ROW()-ROW($K$25)))</f>
        <v>0</v>
      </c>
      <c r="L29" s="7" cm="1">
        <f t="array" ref="L29">INDEX($H:$H, ROW($H$2) + (COLUMN()-COLUMN($K$25))*9 + (ROW()-ROW($K$25)))</f>
        <v>1.9607843137254902E-2</v>
      </c>
      <c r="M29" s="7" cm="1">
        <f t="array" ref="M29">INDEX($H:$H, ROW($H$2) + (COLUMN()-COLUMN($K$25))*9 + (ROW()-ROW($K$25)))</f>
        <v>4.0816326530612242E-2</v>
      </c>
      <c r="N29" s="7" cm="1">
        <f t="array" ref="N29">INDEX($H:$H, ROW($H$2) + (COLUMN()-COLUMN($K$25))*9 + (ROW()-ROW($K$25)))</f>
        <v>6.25E-2</v>
      </c>
      <c r="O29" s="7" cm="1">
        <f t="array" ref="O29">INDEX($H:$H, ROW($H$2) + (COLUMN()-COLUMN($K$25))*9 + (ROW()-ROW($K$25)))</f>
        <v>6.8965517241379309E-2</v>
      </c>
      <c r="P29" s="7" cm="1">
        <f t="array" ref="P29">INDEX($H:$H, ROW($H$2) + (COLUMN()-COLUMN($K$25))*9 + (ROW()-ROW($K$25)))</f>
        <v>7.1428571428571425E-2</v>
      </c>
      <c r="Q29" s="7"/>
    </row>
    <row r="30" spans="1:17" x14ac:dyDescent="0.3">
      <c r="A30" s="1">
        <v>28</v>
      </c>
      <c r="B30" s="1" t="s">
        <v>10</v>
      </c>
      <c r="C30" s="1" t="s">
        <v>29</v>
      </c>
      <c r="D30" s="1">
        <v>3</v>
      </c>
      <c r="E30" s="3">
        <f t="shared" si="11"/>
        <v>2</v>
      </c>
      <c r="F30" s="3">
        <v>6</v>
      </c>
      <c r="H30" s="7">
        <f t="shared" si="12"/>
        <v>0.25</v>
      </c>
      <c r="I30" s="3">
        <f t="shared" si="13"/>
        <v>48</v>
      </c>
      <c r="J30" s="3" t="s">
        <v>19</v>
      </c>
      <c r="K30" s="7" cm="1">
        <f t="array" ref="K30">INDEX($H:$H, ROW($H$2) + (COLUMN()-COLUMN($K$25))*9 + (ROW()-ROW($K$25)))</f>
        <v>0</v>
      </c>
      <c r="L30" s="7" cm="1">
        <f t="array" ref="L30">INDEX($H:$H, ROW($H$2) + (COLUMN()-COLUMN($K$25))*9 + (ROW()-ROW($K$25)))</f>
        <v>0</v>
      </c>
      <c r="M30" s="7" cm="1">
        <f t="array" ref="M30">INDEX($H:$H, ROW($H$2) + (COLUMN()-COLUMN($K$25))*9 + (ROW()-ROW($K$25)))</f>
        <v>2.0408163265306121E-2</v>
      </c>
      <c r="N30" s="7" cm="1">
        <f t="array" ref="N30">INDEX($H:$H, ROW($H$2) + (COLUMN()-COLUMN($K$25))*9 + (ROW()-ROW($K$25)))</f>
        <v>4.1666666666666664E-2</v>
      </c>
      <c r="O30" s="7" cm="1">
        <f t="array" ref="O30">INDEX($H:$H, ROW($H$2) + (COLUMN()-COLUMN($K$25))*9 + (ROW()-ROW($K$25)))</f>
        <v>5.1724137931034482E-2</v>
      </c>
      <c r="P30" s="7" cm="1">
        <f t="array" ref="P30">INDEX($H:$H, ROW($H$2) + (COLUMN()-COLUMN($K$25))*9 + (ROW()-ROW($K$25)))</f>
        <v>5.3571428571428568E-2</v>
      </c>
      <c r="Q30" s="7"/>
    </row>
    <row r="31" spans="1:17" x14ac:dyDescent="0.3">
      <c r="A31" s="1">
        <v>29</v>
      </c>
      <c r="B31" s="1" t="s">
        <v>10</v>
      </c>
      <c r="C31" s="1" t="s">
        <v>18</v>
      </c>
      <c r="D31" s="1">
        <v>2</v>
      </c>
      <c r="E31" s="3">
        <f t="shared" si="11"/>
        <v>1</v>
      </c>
      <c r="F31" s="3">
        <v>4</v>
      </c>
      <c r="H31" s="7">
        <f t="shared" si="12"/>
        <v>0.25</v>
      </c>
      <c r="I31" s="3">
        <f t="shared" si="13"/>
        <v>48</v>
      </c>
      <c r="J31" s="3" t="s">
        <v>17</v>
      </c>
      <c r="K31" s="7" cm="1">
        <f t="array" ref="K31">INDEX($H:$H, ROW($H$2) + (COLUMN()-COLUMN($K$25))*9 + (ROW()-ROW($K$25)))</f>
        <v>0</v>
      </c>
      <c r="L31" s="7" cm="1">
        <f t="array" ref="L31">INDEX($H:$H, ROW($H$2) + (COLUMN()-COLUMN($K$25))*9 + (ROW()-ROW($K$25)))</f>
        <v>0</v>
      </c>
      <c r="M31" s="7" cm="1">
        <f t="array" ref="M31">INDEX($H:$H, ROW($H$2) + (COLUMN()-COLUMN($K$25))*9 + (ROW()-ROW($K$25)))</f>
        <v>0</v>
      </c>
      <c r="N31" s="7" cm="1">
        <f t="array" ref="N31">INDEX($H:$H, ROW($H$2) + (COLUMN()-COLUMN($K$25))*9 + (ROW()-ROW($K$25)))</f>
        <v>2.0833333333333332E-2</v>
      </c>
      <c r="O31" s="7" cm="1">
        <f t="array" ref="O31">INDEX($H:$H, ROW($H$2) + (COLUMN()-COLUMN($K$25))*9 + (ROW()-ROW($K$25)))</f>
        <v>3.4482758620689655E-2</v>
      </c>
      <c r="P31" s="7" cm="1">
        <f t="array" ref="P31">INDEX($H:$H, ROW($H$2) + (COLUMN()-COLUMN($K$25))*9 + (ROW()-ROW($K$25)))</f>
        <v>3.5714285714285712E-2</v>
      </c>
      <c r="Q31" s="7"/>
    </row>
    <row r="32" spans="1:17" x14ac:dyDescent="0.3">
      <c r="A32" s="1">
        <v>30</v>
      </c>
      <c r="B32" s="1" t="s">
        <v>10</v>
      </c>
      <c r="C32" s="1" t="s">
        <v>16</v>
      </c>
      <c r="D32" s="1">
        <v>1</v>
      </c>
      <c r="E32" s="3">
        <f t="shared" si="11"/>
        <v>0</v>
      </c>
      <c r="F32" s="3">
        <v>2</v>
      </c>
      <c r="H32" s="7">
        <f t="shared" si="12"/>
        <v>0.1875</v>
      </c>
      <c r="I32" s="3">
        <f t="shared" si="13"/>
        <v>48</v>
      </c>
      <c r="J32" s="3" t="s">
        <v>34</v>
      </c>
      <c r="K32" s="7" cm="1">
        <f t="array" ref="K32">INDEX($H:$H, ROW($H$2) + (COLUMN()-COLUMN($K$25))*9 + (ROW()-ROW($K$25)))</f>
        <v>0</v>
      </c>
      <c r="L32" s="7" cm="1">
        <f t="array" ref="L32">INDEX($H:$H, ROW($H$2) + (COLUMN()-COLUMN($K$25))*9 + (ROW()-ROW($K$25)))</f>
        <v>0</v>
      </c>
      <c r="M32" s="7" cm="1">
        <f t="array" ref="M32">INDEX($H:$H, ROW($H$2) + (COLUMN()-COLUMN($K$25))*9 + (ROW()-ROW($K$25)))</f>
        <v>0</v>
      </c>
      <c r="N32" s="7" cm="1">
        <f t="array" ref="N32">INDEX($H:$H, ROW($H$2) + (COLUMN()-COLUMN($K$25))*9 + (ROW()-ROW($K$25)))</f>
        <v>0</v>
      </c>
      <c r="O32" s="7" cm="1">
        <f t="array" ref="O32">INDEX($H:$H, ROW($H$2) + (COLUMN()-COLUMN($K$25))*9 + (ROW()-ROW($K$25)))</f>
        <v>1.7241379310344827E-2</v>
      </c>
      <c r="P32" s="7" cm="1">
        <f t="array" ref="P32">INDEX($H:$H, ROW($H$2) + (COLUMN()-COLUMN($K$25))*9 + (ROW()-ROW($K$25)))</f>
        <v>1.7857142857142856E-2</v>
      </c>
      <c r="Q32" s="7"/>
    </row>
    <row r="33" spans="1:17" x14ac:dyDescent="0.3">
      <c r="A33" s="1">
        <v>31</v>
      </c>
      <c r="B33" s="1" t="s">
        <v>10</v>
      </c>
      <c r="C33" s="1" t="s">
        <v>33</v>
      </c>
      <c r="D33" s="1">
        <v>0</v>
      </c>
      <c r="E33" s="3">
        <v>0</v>
      </c>
      <c r="F33" s="3">
        <v>0</v>
      </c>
      <c r="H33" s="7">
        <f t="shared" si="12"/>
        <v>6.25E-2</v>
      </c>
      <c r="I33" s="3">
        <f t="shared" si="13"/>
        <v>48</v>
      </c>
      <c r="K33" s="7"/>
      <c r="L33" s="7"/>
      <c r="M33" s="7"/>
      <c r="N33" s="7"/>
      <c r="O33" s="7"/>
      <c r="P33" s="7"/>
      <c r="Q33" s="7"/>
    </row>
    <row r="34" spans="1:17" x14ac:dyDescent="0.3">
      <c r="A34" s="1">
        <v>32</v>
      </c>
      <c r="B34" s="1" t="s">
        <v>12</v>
      </c>
      <c r="C34" s="1" t="s">
        <v>21</v>
      </c>
      <c r="D34" s="1">
        <v>12</v>
      </c>
      <c r="E34" s="3">
        <f t="shared" ref="E34:E39" si="14">F26/2</f>
        <v>45</v>
      </c>
      <c r="F34" s="3">
        <v>180</v>
      </c>
      <c r="H34" s="7">
        <f t="shared" si="12"/>
        <v>4.1666666666666664E-2</v>
      </c>
      <c r="I34" s="3">
        <f t="shared" si="13"/>
        <v>48</v>
      </c>
      <c r="K34" s="7"/>
      <c r="L34" s="7"/>
      <c r="M34" s="7"/>
      <c r="N34" s="7"/>
      <c r="O34" s="7"/>
      <c r="P34" s="7"/>
      <c r="Q34" s="7"/>
    </row>
    <row r="35" spans="1:17" x14ac:dyDescent="0.3">
      <c r="A35" s="1">
        <v>33</v>
      </c>
      <c r="B35" s="1" t="s">
        <v>12</v>
      </c>
      <c r="C35" s="1" t="s">
        <v>23</v>
      </c>
      <c r="D35" s="1">
        <v>12</v>
      </c>
      <c r="E35" s="3">
        <f t="shared" si="14"/>
        <v>45</v>
      </c>
      <c r="F35" s="3">
        <v>180</v>
      </c>
      <c r="H35" s="7">
        <f t="shared" si="12"/>
        <v>2.0833333333333332E-2</v>
      </c>
      <c r="I35" s="3">
        <f t="shared" si="13"/>
        <v>48</v>
      </c>
    </row>
    <row r="36" spans="1:17" x14ac:dyDescent="0.3">
      <c r="A36" s="1">
        <v>34</v>
      </c>
      <c r="B36" s="1" t="s">
        <v>12</v>
      </c>
      <c r="C36" s="1" t="s">
        <v>25</v>
      </c>
      <c r="D36" s="1">
        <v>12</v>
      </c>
      <c r="E36" s="3">
        <f t="shared" si="14"/>
        <v>4</v>
      </c>
      <c r="F36" s="3">
        <v>10</v>
      </c>
      <c r="H36" s="7">
        <f t="shared" si="12"/>
        <v>0</v>
      </c>
      <c r="I36" s="3">
        <f t="shared" si="13"/>
        <v>48</v>
      </c>
    </row>
    <row r="37" spans="1:17" x14ac:dyDescent="0.3">
      <c r="A37" s="1">
        <v>35</v>
      </c>
      <c r="B37" s="1" t="s">
        <v>12</v>
      </c>
      <c r="C37" s="1" t="s">
        <v>27</v>
      </c>
      <c r="D37" s="1">
        <v>12</v>
      </c>
      <c r="E37" s="3">
        <f t="shared" si="14"/>
        <v>0.3</v>
      </c>
      <c r="F37" s="3">
        <v>1</v>
      </c>
      <c r="H37" s="7"/>
    </row>
    <row r="38" spans="1:17" x14ac:dyDescent="0.3">
      <c r="A38" s="1">
        <v>36</v>
      </c>
      <c r="B38" s="1" t="s">
        <v>12</v>
      </c>
      <c r="C38" s="1" t="s">
        <v>29</v>
      </c>
      <c r="D38" s="1">
        <v>4</v>
      </c>
      <c r="E38" s="3">
        <f t="shared" si="14"/>
        <v>3</v>
      </c>
      <c r="F38" s="3">
        <v>8</v>
      </c>
      <c r="H38" s="7">
        <f t="shared" ref="H38:H45" si="15">D34/I38</f>
        <v>0.20689655172413793</v>
      </c>
      <c r="I38" s="3">
        <f t="shared" ref="I38:I45" si="16">SUM($D$34:$D$41)</f>
        <v>58</v>
      </c>
    </row>
    <row r="39" spans="1:17" x14ac:dyDescent="0.3">
      <c r="A39" s="1">
        <v>37</v>
      </c>
      <c r="B39" s="1" t="s">
        <v>12</v>
      </c>
      <c r="C39" s="1" t="s">
        <v>18</v>
      </c>
      <c r="D39" s="1">
        <v>3</v>
      </c>
      <c r="E39" s="3">
        <f t="shared" si="14"/>
        <v>2</v>
      </c>
      <c r="F39" s="3">
        <v>12</v>
      </c>
      <c r="H39" s="7">
        <f t="shared" si="15"/>
        <v>0.20689655172413793</v>
      </c>
      <c r="I39" s="3">
        <f t="shared" si="16"/>
        <v>58</v>
      </c>
    </row>
    <row r="40" spans="1:17" x14ac:dyDescent="0.3">
      <c r="A40" s="1">
        <v>38</v>
      </c>
      <c r="B40" s="1" t="s">
        <v>12</v>
      </c>
      <c r="C40" s="1" t="s">
        <v>16</v>
      </c>
      <c r="D40" s="1">
        <v>2</v>
      </c>
      <c r="E40" s="3">
        <v>1</v>
      </c>
      <c r="F40" s="3">
        <v>12</v>
      </c>
      <c r="H40" s="7">
        <f t="shared" si="15"/>
        <v>0.20689655172413793</v>
      </c>
      <c r="I40" s="3">
        <f t="shared" si="16"/>
        <v>58</v>
      </c>
    </row>
    <row r="41" spans="1:17" x14ac:dyDescent="0.3">
      <c r="A41" s="1">
        <v>39</v>
      </c>
      <c r="B41" s="1" t="s">
        <v>12</v>
      </c>
      <c r="C41" s="1" t="s">
        <v>33</v>
      </c>
      <c r="D41" s="1">
        <v>1</v>
      </c>
      <c r="E41" s="3">
        <v>0</v>
      </c>
      <c r="F41" s="3">
        <v>20</v>
      </c>
      <c r="H41" s="7">
        <f t="shared" si="15"/>
        <v>0.20689655172413793</v>
      </c>
      <c r="I41" s="3">
        <f t="shared" si="16"/>
        <v>58</v>
      </c>
    </row>
    <row r="42" spans="1:17" x14ac:dyDescent="0.3">
      <c r="A42" s="1">
        <v>40</v>
      </c>
      <c r="B42" s="1" t="s">
        <v>14</v>
      </c>
      <c r="C42" s="1" t="s">
        <v>21</v>
      </c>
      <c r="D42" s="1">
        <v>12</v>
      </c>
      <c r="E42" s="3">
        <f t="shared" ref="E42:E48" si="17">F34/2</f>
        <v>90</v>
      </c>
      <c r="F42" s="3">
        <v>250</v>
      </c>
      <c r="H42" s="7">
        <f t="shared" si="15"/>
        <v>6.8965517241379309E-2</v>
      </c>
      <c r="I42" s="3">
        <f t="shared" si="16"/>
        <v>58</v>
      </c>
    </row>
    <row r="43" spans="1:17" x14ac:dyDescent="0.3">
      <c r="A43" s="1">
        <v>41</v>
      </c>
      <c r="B43" s="1" t="s">
        <v>14</v>
      </c>
      <c r="C43" s="1" t="s">
        <v>23</v>
      </c>
      <c r="D43" s="1">
        <v>11</v>
      </c>
      <c r="E43" s="3">
        <f t="shared" si="17"/>
        <v>90</v>
      </c>
      <c r="F43" s="3">
        <v>250</v>
      </c>
      <c r="H43" s="7">
        <f t="shared" si="15"/>
        <v>5.1724137931034482E-2</v>
      </c>
      <c r="I43" s="3">
        <f t="shared" si="16"/>
        <v>58</v>
      </c>
    </row>
    <row r="44" spans="1:17" x14ac:dyDescent="0.3">
      <c r="A44" s="1">
        <v>42</v>
      </c>
      <c r="B44" s="1" t="s">
        <v>14</v>
      </c>
      <c r="C44" s="1" t="s">
        <v>25</v>
      </c>
      <c r="D44" s="1">
        <v>11</v>
      </c>
      <c r="E44" s="3">
        <f t="shared" si="17"/>
        <v>5</v>
      </c>
      <c r="F44" s="3">
        <f>F36*2</f>
        <v>20</v>
      </c>
      <c r="H44" s="7">
        <f t="shared" si="15"/>
        <v>3.4482758620689655E-2</v>
      </c>
      <c r="I44" s="3">
        <f t="shared" si="16"/>
        <v>58</v>
      </c>
    </row>
    <row r="45" spans="1:17" x14ac:dyDescent="0.3">
      <c r="A45" s="1">
        <v>43</v>
      </c>
      <c r="B45" s="1" t="s">
        <v>14</v>
      </c>
      <c r="C45" s="1" t="s">
        <v>27</v>
      </c>
      <c r="D45" s="1">
        <v>12</v>
      </c>
      <c r="E45" s="3">
        <f t="shared" si="17"/>
        <v>0.5</v>
      </c>
      <c r="F45" s="3">
        <v>2.2000000000000002</v>
      </c>
      <c r="H45" s="7">
        <f t="shared" si="15"/>
        <v>1.7241379310344827E-2</v>
      </c>
      <c r="I45" s="3">
        <f t="shared" si="16"/>
        <v>58</v>
      </c>
    </row>
    <row r="46" spans="1:17" x14ac:dyDescent="0.3">
      <c r="A46" s="1">
        <v>44</v>
      </c>
      <c r="B46" s="1" t="s">
        <v>14</v>
      </c>
      <c r="C46" s="1" t="s">
        <v>29</v>
      </c>
      <c r="D46" s="1">
        <v>4</v>
      </c>
      <c r="E46" s="3">
        <f t="shared" si="17"/>
        <v>4</v>
      </c>
      <c r="F46" s="3">
        <v>14</v>
      </c>
      <c r="H46" s="7"/>
    </row>
    <row r="47" spans="1:17" x14ac:dyDescent="0.3">
      <c r="A47" s="1">
        <v>45</v>
      </c>
      <c r="B47" s="1" t="s">
        <v>14</v>
      </c>
      <c r="C47" s="1" t="s">
        <v>18</v>
      </c>
      <c r="D47" s="1">
        <v>3</v>
      </c>
      <c r="E47" s="3">
        <v>3</v>
      </c>
      <c r="F47" s="3">
        <v>24</v>
      </c>
      <c r="H47" s="7">
        <f t="shared" ref="H47:H54" si="18">D42/I47</f>
        <v>0.21428571428571427</v>
      </c>
      <c r="I47" s="3">
        <f t="shared" ref="I47:I54" si="19">SUM($D$42:$D$55)</f>
        <v>56</v>
      </c>
    </row>
    <row r="48" spans="1:17" x14ac:dyDescent="0.3">
      <c r="A48" s="1">
        <v>46</v>
      </c>
      <c r="B48" s="1" t="s">
        <v>14</v>
      </c>
      <c r="C48" s="1" t="s">
        <v>16</v>
      </c>
      <c r="D48" s="1">
        <v>2</v>
      </c>
      <c r="E48" s="3">
        <v>2</v>
      </c>
      <c r="F48" s="3">
        <v>24.5</v>
      </c>
      <c r="H48" s="7">
        <f t="shared" si="18"/>
        <v>0.19642857142857142</v>
      </c>
      <c r="I48" s="3">
        <f t="shared" si="19"/>
        <v>56</v>
      </c>
    </row>
    <row r="49" spans="1:9" x14ac:dyDescent="0.3">
      <c r="A49" s="1">
        <v>47</v>
      </c>
      <c r="B49" s="1" t="s">
        <v>14</v>
      </c>
      <c r="C49" s="1" t="s">
        <v>33</v>
      </c>
      <c r="D49" s="1">
        <v>1</v>
      </c>
      <c r="E49" s="3">
        <v>1</v>
      </c>
      <c r="F49" s="3">
        <v>40</v>
      </c>
      <c r="H49" s="7">
        <f t="shared" si="18"/>
        <v>0.19642857142857142</v>
      </c>
      <c r="I49" s="3">
        <f t="shared" si="19"/>
        <v>56</v>
      </c>
    </row>
    <row r="50" spans="1:9" x14ac:dyDescent="0.3">
      <c r="A50" s="1"/>
      <c r="H50" s="7">
        <f t="shared" si="18"/>
        <v>0.21428571428571427</v>
      </c>
      <c r="I50" s="3">
        <f t="shared" si="19"/>
        <v>56</v>
      </c>
    </row>
    <row r="51" spans="1:9" x14ac:dyDescent="0.3">
      <c r="A51" s="1"/>
      <c r="H51" s="7">
        <f t="shared" si="18"/>
        <v>7.1428571428571425E-2</v>
      </c>
      <c r="I51" s="3">
        <f t="shared" si="19"/>
        <v>56</v>
      </c>
    </row>
    <row r="52" spans="1:9" x14ac:dyDescent="0.3">
      <c r="A52" s="1"/>
      <c r="H52" s="7">
        <f t="shared" si="18"/>
        <v>5.3571428571428568E-2</v>
      </c>
      <c r="I52" s="3">
        <f t="shared" si="19"/>
        <v>56</v>
      </c>
    </row>
    <row r="53" spans="1:9" x14ac:dyDescent="0.3">
      <c r="A53" s="1"/>
      <c r="H53" s="7">
        <f t="shared" si="18"/>
        <v>3.5714285714285712E-2</v>
      </c>
      <c r="I53" s="3">
        <f t="shared" si="19"/>
        <v>56</v>
      </c>
    </row>
    <row r="54" spans="1:9" x14ac:dyDescent="0.3">
      <c r="A54" s="1"/>
      <c r="H54" s="7">
        <f t="shared" si="18"/>
        <v>1.7857142857142856E-2</v>
      </c>
      <c r="I54" s="3">
        <f t="shared" si="19"/>
        <v>56</v>
      </c>
    </row>
    <row r="55" spans="1:9" x14ac:dyDescent="0.3">
      <c r="A55" s="1"/>
      <c r="B55" s="1"/>
      <c r="C55" s="1"/>
      <c r="D55" s="1"/>
      <c r="E55" s="3"/>
      <c r="F55" s="3"/>
      <c r="H55" s="7"/>
    </row>
    <row r="56" spans="1:9" x14ac:dyDescent="0.3">
      <c r="A56" s="1"/>
      <c r="B56" s="1"/>
      <c r="C56" s="1"/>
      <c r="D56" s="1"/>
      <c r="E56" s="3"/>
      <c r="F56" s="3"/>
    </row>
    <row r="57" spans="1:9" x14ac:dyDescent="0.3">
      <c r="A57" s="1"/>
      <c r="B57" s="1"/>
      <c r="C57" s="1"/>
      <c r="D57" s="1"/>
      <c r="E57" s="3"/>
      <c r="F57" s="3"/>
    </row>
    <row r="58" spans="1:9" x14ac:dyDescent="0.3">
      <c r="A58" s="1"/>
      <c r="B58" s="1"/>
      <c r="C58" s="1"/>
      <c r="D58" s="1"/>
      <c r="E58" s="3"/>
      <c r="F58" s="3"/>
    </row>
    <row r="59" spans="1:9" x14ac:dyDescent="0.3">
      <c r="A59" s="1"/>
      <c r="B59" s="1"/>
      <c r="C59" s="1"/>
      <c r="D59" s="1"/>
      <c r="E59" s="3"/>
      <c r="F59" s="3"/>
    </row>
    <row r="60" spans="1:9" x14ac:dyDescent="0.3">
      <c r="A60" s="1"/>
      <c r="B60" s="1"/>
      <c r="C60" s="1"/>
      <c r="D60" s="1"/>
      <c r="E60" s="3"/>
      <c r="F60" s="3"/>
    </row>
    <row r="61" spans="1:9" x14ac:dyDescent="0.3">
      <c r="A61" s="1"/>
      <c r="B61" s="1"/>
      <c r="C61" s="1"/>
      <c r="D61" s="1"/>
      <c r="E61" s="3"/>
      <c r="F61" s="3"/>
    </row>
    <row r="62" spans="1:9" x14ac:dyDescent="0.3">
      <c r="A62" s="1"/>
      <c r="B62" s="1"/>
      <c r="C62" s="1"/>
      <c r="D62" s="1"/>
      <c r="E62" s="3"/>
      <c r="F62" s="3"/>
    </row>
    <row r="63" spans="1:9" x14ac:dyDescent="0.3">
      <c r="A63" s="1"/>
      <c r="B63" s="1"/>
      <c r="C63" s="1"/>
      <c r="D63" s="1"/>
      <c r="E63" s="3"/>
      <c r="F63" s="3"/>
    </row>
    <row r="64" spans="1:9" x14ac:dyDescent="0.3">
      <c r="A64" s="1"/>
      <c r="B64" s="1"/>
      <c r="C64" s="1"/>
      <c r="D64" s="1"/>
      <c r="E64" s="3"/>
      <c r="F64" s="3"/>
    </row>
    <row r="65" spans="1:6" x14ac:dyDescent="0.3">
      <c r="A65" s="1"/>
      <c r="B65" s="1"/>
      <c r="C65" s="1"/>
      <c r="D65" s="1"/>
      <c r="E65" s="3"/>
      <c r="F65" s="3"/>
    </row>
    <row r="66" spans="1:6" x14ac:dyDescent="0.3">
      <c r="A66" s="1"/>
      <c r="B66" s="1"/>
      <c r="C66" s="1"/>
      <c r="D66" s="1"/>
      <c r="E66" s="3"/>
      <c r="F66" s="3"/>
    </row>
    <row r="67" spans="1:6" x14ac:dyDescent="0.3">
      <c r="A67" s="1"/>
      <c r="B67" s="1"/>
      <c r="C67" s="1"/>
      <c r="D67" s="1"/>
      <c r="E67" s="3"/>
      <c r="F67" s="3"/>
    </row>
    <row r="68" spans="1:6" x14ac:dyDescent="0.3">
      <c r="A68" s="1"/>
      <c r="B68" s="1"/>
      <c r="C68" s="1"/>
      <c r="D68" s="1"/>
      <c r="E68" s="3"/>
      <c r="F68" s="3"/>
    </row>
    <row r="69" spans="1:6" x14ac:dyDescent="0.3">
      <c r="A69" s="1"/>
      <c r="B69" s="1"/>
      <c r="C69" s="1"/>
      <c r="D69" s="1"/>
      <c r="E69" s="3"/>
      <c r="F69" s="3"/>
    </row>
    <row r="70" spans="1:6" x14ac:dyDescent="0.3">
      <c r="A70" s="1"/>
      <c r="B70" s="1"/>
      <c r="C70" s="1"/>
      <c r="D70" s="1"/>
      <c r="E70" s="3"/>
      <c r="F70" s="3"/>
    </row>
    <row r="71" spans="1:6" x14ac:dyDescent="0.3">
      <c r="A71" s="1"/>
      <c r="B71" s="1"/>
      <c r="C71" s="1"/>
      <c r="D71" s="1"/>
      <c r="E71" s="3"/>
      <c r="F71" s="3"/>
    </row>
    <row r="72" spans="1:6" x14ac:dyDescent="0.3">
      <c r="A72" s="1"/>
      <c r="B72" s="1"/>
      <c r="C72" s="1"/>
      <c r="D72" s="1"/>
      <c r="E72" s="3"/>
      <c r="F72" s="3"/>
    </row>
    <row r="73" spans="1:6" x14ac:dyDescent="0.3">
      <c r="A73" s="1"/>
      <c r="B73" s="1"/>
      <c r="C73" s="1"/>
      <c r="D73" s="1"/>
      <c r="E73" s="3"/>
      <c r="F73" s="3"/>
    </row>
    <row r="74" spans="1:6" x14ac:dyDescent="0.3">
      <c r="A74" s="1"/>
      <c r="B74" s="1"/>
      <c r="C74" s="1"/>
      <c r="D74" s="1"/>
      <c r="E74" s="3"/>
      <c r="F74" s="3"/>
    </row>
    <row r="75" spans="1:6" x14ac:dyDescent="0.3">
      <c r="A75" s="1"/>
      <c r="B75" s="1"/>
      <c r="C75" s="1"/>
      <c r="D75" s="1"/>
      <c r="E75" s="3"/>
      <c r="F75" s="3"/>
    </row>
    <row r="76" spans="1:6" x14ac:dyDescent="0.3">
      <c r="A76" s="1"/>
      <c r="B76" s="1"/>
      <c r="C76" s="1"/>
      <c r="D76" s="1"/>
      <c r="E76" s="3"/>
      <c r="F76" s="3"/>
    </row>
    <row r="77" spans="1:6" x14ac:dyDescent="0.3">
      <c r="A77" s="1"/>
      <c r="B77" s="1"/>
      <c r="C77" s="1"/>
      <c r="D77" s="1"/>
      <c r="E77" s="3"/>
      <c r="F77" s="3"/>
    </row>
    <row r="78" spans="1:6" x14ac:dyDescent="0.3">
      <c r="A78" s="1"/>
      <c r="B78" s="1"/>
      <c r="C78" s="1"/>
      <c r="D78" s="1"/>
      <c r="E78" s="3"/>
      <c r="F78" s="3"/>
    </row>
    <row r="79" spans="1:6" x14ac:dyDescent="0.3">
      <c r="A79" s="1"/>
      <c r="B79" s="1"/>
      <c r="C79" s="1"/>
      <c r="D79" s="1"/>
      <c r="E79" s="3"/>
      <c r="F79" s="3"/>
    </row>
    <row r="80" spans="1:6" x14ac:dyDescent="0.3">
      <c r="A80" s="1"/>
      <c r="B80" s="1"/>
      <c r="C80" s="1"/>
      <c r="D80" s="1"/>
      <c r="E80" s="3"/>
      <c r="F80" s="3"/>
    </row>
    <row r="81" spans="1:6" x14ac:dyDescent="0.3">
      <c r="A81" s="1"/>
      <c r="B81" s="1"/>
      <c r="C81" s="1"/>
      <c r="D81" s="1"/>
      <c r="E81" s="3"/>
      <c r="F81" s="3"/>
    </row>
    <row r="82" spans="1:6" x14ac:dyDescent="0.3">
      <c r="A82" s="1"/>
      <c r="B82" s="1"/>
      <c r="C82" s="1"/>
      <c r="D82" s="1"/>
      <c r="E82" s="3"/>
      <c r="F82" s="3"/>
    </row>
    <row r="83" spans="1:6" x14ac:dyDescent="0.3">
      <c r="A83" s="1"/>
      <c r="B83" s="1"/>
      <c r="C83" s="1"/>
      <c r="D83" s="1"/>
      <c r="E83" s="3"/>
      <c r="F83" s="3"/>
    </row>
    <row r="84" spans="1:6" x14ac:dyDescent="0.3">
      <c r="A84" s="1"/>
      <c r="B84" s="1"/>
      <c r="C84" s="1"/>
      <c r="D84" s="1"/>
      <c r="E84" s="3"/>
      <c r="F84" s="3"/>
    </row>
    <row r="85" spans="1:6" x14ac:dyDescent="0.3">
      <c r="A85" s="1"/>
      <c r="B85" s="1"/>
      <c r="C85" s="1"/>
      <c r="D85" s="1"/>
      <c r="E85" s="3"/>
      <c r="F85" s="3"/>
    </row>
    <row r="86" spans="1:6" x14ac:dyDescent="0.3">
      <c r="A86" s="1"/>
      <c r="B86" s="1"/>
      <c r="C86" s="1"/>
      <c r="D86" s="1"/>
      <c r="E86" s="3"/>
      <c r="F86" s="3"/>
    </row>
    <row r="87" spans="1:6" x14ac:dyDescent="0.3">
      <c r="A87" s="1"/>
      <c r="B87" s="1"/>
      <c r="C87" s="1"/>
      <c r="D87" s="1"/>
      <c r="E87" s="3"/>
      <c r="F87" s="3"/>
    </row>
    <row r="88" spans="1:6" x14ac:dyDescent="0.3">
      <c r="A88" s="1"/>
      <c r="B88" s="1"/>
      <c r="C88" s="1"/>
      <c r="D88" s="1"/>
      <c r="E88" s="3"/>
      <c r="F88" s="3"/>
    </row>
    <row r="89" spans="1:6" x14ac:dyDescent="0.3">
      <c r="A89" s="1"/>
      <c r="B89" s="1"/>
      <c r="C89" s="1"/>
      <c r="D89" s="1"/>
      <c r="E89" s="3"/>
      <c r="F89" s="3"/>
    </row>
    <row r="90" spans="1:6" x14ac:dyDescent="0.3">
      <c r="A90" s="1"/>
      <c r="B90" s="1"/>
      <c r="C90" s="1"/>
      <c r="D90" s="1"/>
      <c r="E90" s="3"/>
      <c r="F90" s="3"/>
    </row>
    <row r="91" spans="1:6" x14ac:dyDescent="0.3">
      <c r="A91" s="1"/>
      <c r="B91" s="1"/>
      <c r="C91" s="1"/>
      <c r="D91" s="1"/>
      <c r="E91" s="3"/>
      <c r="F91" s="3"/>
    </row>
    <row r="92" spans="1:6" x14ac:dyDescent="0.3">
      <c r="A92" s="1"/>
      <c r="B92" s="1"/>
      <c r="C92" s="1"/>
      <c r="D92" s="1"/>
      <c r="E92" s="3"/>
      <c r="F92" s="3"/>
    </row>
    <row r="93" spans="1:6" x14ac:dyDescent="0.3">
      <c r="A93" s="1"/>
      <c r="B93" s="1"/>
      <c r="C93" s="1"/>
      <c r="D93" s="1"/>
      <c r="E93" s="3"/>
      <c r="F93" s="3"/>
    </row>
    <row r="94" spans="1:6" x14ac:dyDescent="0.3">
      <c r="A94" s="1"/>
      <c r="B94" s="1"/>
      <c r="C94" s="1"/>
      <c r="D94" s="1"/>
      <c r="E94" s="3"/>
      <c r="F94" s="3"/>
    </row>
    <row r="95" spans="1:6" x14ac:dyDescent="0.3">
      <c r="A95" s="1"/>
      <c r="B95" s="1"/>
      <c r="C95" s="1"/>
      <c r="D95" s="1"/>
      <c r="E95" s="3"/>
      <c r="F95" s="3"/>
    </row>
    <row r="96" spans="1:6" x14ac:dyDescent="0.3">
      <c r="A96" s="1"/>
      <c r="B96" s="1"/>
      <c r="C96" s="1"/>
      <c r="D96" s="1"/>
      <c r="E96" s="3"/>
      <c r="F96" s="3"/>
    </row>
    <row r="97" spans="1:6" x14ac:dyDescent="0.3">
      <c r="A97" s="1"/>
      <c r="B97" s="1"/>
      <c r="C97" s="1"/>
      <c r="D97" s="1"/>
      <c r="E97" s="3"/>
      <c r="F97" s="3"/>
    </row>
    <row r="98" spans="1:6" x14ac:dyDescent="0.3">
      <c r="A98" s="1"/>
      <c r="B98" s="1"/>
      <c r="C98" s="1"/>
      <c r="D98" s="1"/>
      <c r="E98" s="3"/>
      <c r="F98" s="3"/>
    </row>
    <row r="99" spans="1:6" x14ac:dyDescent="0.3">
      <c r="A99" s="1"/>
      <c r="B99" s="1"/>
      <c r="C99" s="1"/>
      <c r="D99" s="1"/>
      <c r="E99" s="3"/>
      <c r="F99" s="3"/>
    </row>
    <row r="100" spans="1:6" x14ac:dyDescent="0.3">
      <c r="A100" s="1"/>
      <c r="B100" s="1"/>
      <c r="C100" s="1"/>
      <c r="D100" s="1"/>
      <c r="E100" s="3"/>
      <c r="F100" s="3"/>
    </row>
    <row r="101" spans="1:6" x14ac:dyDescent="0.3">
      <c r="A101" s="1"/>
      <c r="B101" s="1"/>
      <c r="C101" s="1"/>
      <c r="D101" s="1"/>
      <c r="E101" s="3"/>
      <c r="F101" s="3"/>
    </row>
    <row r="102" spans="1:6" x14ac:dyDescent="0.3">
      <c r="A102" s="1"/>
      <c r="B102" s="1"/>
      <c r="C102" s="1"/>
      <c r="D102" s="1"/>
      <c r="E102" s="3"/>
      <c r="F102" s="3"/>
    </row>
    <row r="103" spans="1:6" x14ac:dyDescent="0.3">
      <c r="A103" s="1"/>
      <c r="B103" s="1"/>
      <c r="C103" s="1"/>
      <c r="D103" s="1"/>
      <c r="E103" s="3"/>
      <c r="F103" s="3"/>
    </row>
    <row r="104" spans="1:6" x14ac:dyDescent="0.3">
      <c r="A104" s="1"/>
      <c r="B104" s="1"/>
      <c r="C104" s="1"/>
      <c r="D104" s="1"/>
      <c r="E104" s="3"/>
      <c r="F104" s="3"/>
    </row>
    <row r="105" spans="1:6" x14ac:dyDescent="0.3">
      <c r="A105" s="1"/>
      <c r="B105" s="1"/>
      <c r="C105" s="1"/>
      <c r="D105" s="1"/>
      <c r="E105" s="3"/>
      <c r="F105" s="3"/>
    </row>
    <row r="106" spans="1:6" x14ac:dyDescent="0.3">
      <c r="A106" s="1"/>
      <c r="B106" s="1"/>
      <c r="C106" s="1"/>
      <c r="D106" s="1"/>
      <c r="E106" s="3"/>
      <c r="F106" s="3"/>
    </row>
    <row r="107" spans="1:6" x14ac:dyDescent="0.3">
      <c r="A107" s="1"/>
      <c r="B107" s="1"/>
      <c r="C107" s="1"/>
      <c r="D107" s="1"/>
      <c r="E107" s="3"/>
      <c r="F107" s="3"/>
    </row>
    <row r="108" spans="1:6" x14ac:dyDescent="0.3">
      <c r="A108" s="1"/>
      <c r="B108" s="1"/>
      <c r="C108" s="1"/>
      <c r="D108" s="1"/>
      <c r="E108" s="3"/>
      <c r="F108" s="3"/>
    </row>
    <row r="109" spans="1:6" x14ac:dyDescent="0.3">
      <c r="A109" s="1"/>
      <c r="B109" s="1"/>
      <c r="C109" s="1"/>
      <c r="D109" s="1"/>
      <c r="E109" s="3"/>
      <c r="F109" s="3"/>
    </row>
    <row r="110" spans="1:6" x14ac:dyDescent="0.3">
      <c r="A110" s="1"/>
      <c r="B110" s="1"/>
      <c r="C110" s="1"/>
      <c r="D110" s="1"/>
      <c r="E110" s="3"/>
      <c r="F110" s="3"/>
    </row>
    <row r="111" spans="1:6" x14ac:dyDescent="0.3">
      <c r="A111" s="1"/>
      <c r="B111" s="1"/>
      <c r="C111" s="1"/>
      <c r="D111" s="1"/>
      <c r="E111" s="3"/>
      <c r="F111" s="3"/>
    </row>
    <row r="112" spans="1:6" x14ac:dyDescent="0.3">
      <c r="A112" s="1"/>
      <c r="B112" s="1"/>
      <c r="C112" s="1"/>
      <c r="D112" s="1"/>
      <c r="E112" s="3"/>
      <c r="F112" s="3"/>
    </row>
    <row r="113" spans="1:6" x14ac:dyDescent="0.3">
      <c r="A113" s="1"/>
      <c r="B113" s="1"/>
      <c r="C113" s="1"/>
      <c r="D113" s="1"/>
      <c r="E113" s="3"/>
      <c r="F113" s="3"/>
    </row>
    <row r="114" spans="1:6" x14ac:dyDescent="0.3">
      <c r="A114" s="1"/>
      <c r="B114" s="1"/>
      <c r="C114" s="1"/>
      <c r="D114" s="1"/>
      <c r="E114" s="3"/>
      <c r="F114" s="3"/>
    </row>
    <row r="115" spans="1:6" x14ac:dyDescent="0.3">
      <c r="A115" s="1"/>
      <c r="B115" s="1"/>
      <c r="C115" s="1"/>
      <c r="D115" s="1"/>
      <c r="E115" s="3"/>
      <c r="F115" s="3"/>
    </row>
    <row r="116" spans="1:6" x14ac:dyDescent="0.3">
      <c r="A116" s="1"/>
      <c r="B116" s="1"/>
      <c r="C116" s="1"/>
      <c r="D116" s="1"/>
      <c r="E116" s="3"/>
      <c r="F116" s="3"/>
    </row>
    <row r="117" spans="1:6" x14ac:dyDescent="0.3">
      <c r="A117" s="1"/>
      <c r="B117" s="1"/>
      <c r="C117" s="1"/>
      <c r="D117" s="1"/>
      <c r="E117" s="3"/>
      <c r="F117" s="3"/>
    </row>
    <row r="118" spans="1:6" x14ac:dyDescent="0.3">
      <c r="A118" s="1"/>
      <c r="B118" s="1"/>
      <c r="C118" s="1"/>
      <c r="D118" s="1"/>
      <c r="E118" s="3"/>
      <c r="F118" s="3"/>
    </row>
    <row r="119" spans="1:6" x14ac:dyDescent="0.3">
      <c r="A119" s="1"/>
      <c r="B119" s="1"/>
      <c r="C119" s="1"/>
      <c r="D119" s="1"/>
      <c r="E119" s="3"/>
      <c r="F119" s="3"/>
    </row>
    <row r="120" spans="1:6" x14ac:dyDescent="0.3">
      <c r="A120" s="1"/>
      <c r="B120" s="1"/>
      <c r="C120" s="1"/>
      <c r="D120" s="1"/>
      <c r="E120" s="3"/>
      <c r="F120" s="3"/>
    </row>
    <row r="121" spans="1:6" x14ac:dyDescent="0.3">
      <c r="A121" s="1"/>
      <c r="B121" s="1"/>
      <c r="C121" s="1"/>
      <c r="D121" s="1"/>
      <c r="E121" s="3"/>
      <c r="F121" s="3"/>
    </row>
    <row r="122" spans="1:6" x14ac:dyDescent="0.3">
      <c r="A122" s="1"/>
      <c r="B122" s="1"/>
      <c r="C122" s="1"/>
      <c r="D122" s="1"/>
      <c r="E122" s="3"/>
      <c r="F122" s="3"/>
    </row>
    <row r="123" spans="1:6" x14ac:dyDescent="0.3">
      <c r="A123" s="1"/>
      <c r="B123" s="1"/>
      <c r="C123" s="1"/>
      <c r="D123" s="1"/>
      <c r="E123" s="3"/>
      <c r="F123" s="3"/>
    </row>
    <row r="124" spans="1:6" x14ac:dyDescent="0.3">
      <c r="A124" s="1"/>
      <c r="B124" s="1"/>
      <c r="C124" s="1"/>
      <c r="D124" s="1"/>
      <c r="E124" s="3"/>
      <c r="F124" s="3"/>
    </row>
    <row r="125" spans="1:6" x14ac:dyDescent="0.3">
      <c r="A125" s="1"/>
      <c r="B125" s="1"/>
      <c r="C125" s="1"/>
      <c r="D125" s="1"/>
      <c r="E125" s="3"/>
      <c r="F125" s="3"/>
    </row>
    <row r="126" spans="1:6" x14ac:dyDescent="0.3">
      <c r="A126" s="1"/>
      <c r="B126" s="1"/>
      <c r="C126" s="1"/>
      <c r="D126" s="1"/>
      <c r="E126" s="3"/>
      <c r="F126" s="3"/>
    </row>
    <row r="127" spans="1:6" x14ac:dyDescent="0.3">
      <c r="A127" s="1"/>
      <c r="B127" s="1"/>
      <c r="C127" s="1"/>
      <c r="D127" s="1"/>
      <c r="E127" s="3"/>
      <c r="F127" s="3"/>
    </row>
    <row r="128" spans="1:6" x14ac:dyDescent="0.3">
      <c r="A128" s="1"/>
      <c r="B128" s="1"/>
      <c r="C128" s="1"/>
      <c r="D128" s="1"/>
      <c r="E128" s="3"/>
      <c r="F128" s="3"/>
    </row>
    <row r="129" spans="1:6" x14ac:dyDescent="0.3">
      <c r="A129" s="1"/>
      <c r="B129" s="1"/>
      <c r="C129" s="1"/>
      <c r="D129" s="1"/>
      <c r="E129" s="3"/>
      <c r="F129" s="3"/>
    </row>
    <row r="130" spans="1:6" x14ac:dyDescent="0.3">
      <c r="A130" s="1"/>
      <c r="B130" s="1"/>
      <c r="C130" s="1"/>
      <c r="D130" s="1"/>
      <c r="E130" s="3"/>
      <c r="F130" s="3"/>
    </row>
    <row r="131" spans="1:6" x14ac:dyDescent="0.3">
      <c r="A131" s="1"/>
      <c r="B131" s="1"/>
      <c r="C131" s="1"/>
      <c r="D131" s="1"/>
      <c r="E131" s="3"/>
      <c r="F131" s="3"/>
    </row>
    <row r="132" spans="1:6" x14ac:dyDescent="0.3">
      <c r="A132" s="1"/>
      <c r="B132" s="1"/>
      <c r="C132" s="1"/>
      <c r="D132" s="1"/>
      <c r="E132" s="3"/>
      <c r="F132" s="3"/>
    </row>
    <row r="133" spans="1:6" x14ac:dyDescent="0.3">
      <c r="A133" s="1"/>
      <c r="B133" s="1"/>
      <c r="C133" s="1"/>
      <c r="D133" s="1"/>
      <c r="E133" s="3"/>
      <c r="F133" s="3"/>
    </row>
    <row r="134" spans="1:6" x14ac:dyDescent="0.3">
      <c r="A134" s="1"/>
      <c r="B134" s="1"/>
      <c r="C134" s="1"/>
      <c r="D134" s="1"/>
      <c r="E134" s="3"/>
      <c r="F134" s="3"/>
    </row>
    <row r="135" spans="1:6" x14ac:dyDescent="0.3">
      <c r="A135" s="1"/>
      <c r="B135" s="1"/>
      <c r="C135" s="1"/>
      <c r="D135" s="1"/>
      <c r="E135" s="3"/>
      <c r="F135" s="3"/>
    </row>
    <row r="136" spans="1:6" x14ac:dyDescent="0.3">
      <c r="A136" s="1"/>
      <c r="B136" s="1"/>
      <c r="C136" s="1"/>
      <c r="D136" s="1"/>
      <c r="E136" s="3"/>
      <c r="F136" s="3"/>
    </row>
    <row r="137" spans="1:6" x14ac:dyDescent="0.3">
      <c r="A137" s="1"/>
      <c r="B137" s="1"/>
      <c r="C137" s="1"/>
      <c r="D137" s="1"/>
      <c r="E137" s="3"/>
      <c r="F137" s="3"/>
    </row>
    <row r="138" spans="1:6" x14ac:dyDescent="0.3">
      <c r="A138" s="1"/>
      <c r="B138" s="1"/>
      <c r="C138" s="1"/>
      <c r="D138" s="1"/>
      <c r="E138" s="3"/>
      <c r="F138" s="3"/>
    </row>
    <row r="139" spans="1:6" x14ac:dyDescent="0.3">
      <c r="A139" s="1"/>
      <c r="B139" s="1"/>
      <c r="C139" s="1"/>
      <c r="D139" s="1"/>
      <c r="E139" s="3"/>
      <c r="F139" s="3"/>
    </row>
    <row r="140" spans="1:6" x14ac:dyDescent="0.3">
      <c r="A140" s="1"/>
      <c r="B140" s="1"/>
      <c r="C140" s="1"/>
      <c r="D140" s="1"/>
      <c r="E140" s="3"/>
      <c r="F140" s="3"/>
    </row>
    <row r="141" spans="1:6" x14ac:dyDescent="0.3">
      <c r="A141" s="1"/>
      <c r="B141" s="1"/>
      <c r="C141" s="1"/>
      <c r="D141" s="1"/>
      <c r="E141" s="3"/>
      <c r="F141" s="3"/>
    </row>
    <row r="142" spans="1:6" x14ac:dyDescent="0.3">
      <c r="A142" s="1"/>
      <c r="B142" s="1"/>
      <c r="C142" s="1"/>
      <c r="D142" s="1"/>
      <c r="E142" s="3"/>
      <c r="F142" s="3"/>
    </row>
    <row r="143" spans="1:6" x14ac:dyDescent="0.3">
      <c r="A143" s="1"/>
      <c r="B143" s="1"/>
      <c r="C143" s="1"/>
      <c r="D143" s="1"/>
      <c r="E143" s="3"/>
      <c r="F143" s="3"/>
    </row>
    <row r="144" spans="1:6" x14ac:dyDescent="0.3">
      <c r="A144" s="1"/>
      <c r="B144" s="1"/>
      <c r="C144" s="1"/>
      <c r="D144" s="1"/>
      <c r="E144" s="3"/>
      <c r="F144" s="3"/>
    </row>
    <row r="145" spans="1:6" x14ac:dyDescent="0.3">
      <c r="A145" s="1"/>
      <c r="B145" s="1"/>
      <c r="C145" s="1"/>
      <c r="D145" s="1"/>
      <c r="E145" s="3"/>
      <c r="F145" s="3"/>
    </row>
    <row r="146" spans="1:6" x14ac:dyDescent="0.3">
      <c r="A146" s="1"/>
      <c r="B146" s="1"/>
      <c r="C146" s="1"/>
      <c r="D146" s="1"/>
      <c r="E146" s="3"/>
      <c r="F146" s="3"/>
    </row>
    <row r="147" spans="1:6" x14ac:dyDescent="0.3">
      <c r="A147" s="1"/>
      <c r="B147" s="1"/>
      <c r="C147" s="1"/>
      <c r="D147" s="1"/>
      <c r="E147" s="3"/>
      <c r="F147" s="3"/>
    </row>
    <row r="148" spans="1:6" x14ac:dyDescent="0.3">
      <c r="A148" s="1"/>
      <c r="B148" s="1"/>
      <c r="C148" s="1"/>
      <c r="D148" s="1"/>
      <c r="E148" s="3"/>
      <c r="F148" s="3"/>
    </row>
    <row r="149" spans="1:6" x14ac:dyDescent="0.3">
      <c r="A149" s="1"/>
      <c r="B149" s="1"/>
      <c r="C149" s="1"/>
      <c r="D149" s="1"/>
      <c r="E149" s="3"/>
      <c r="F149" s="3"/>
    </row>
    <row r="150" spans="1:6" x14ac:dyDescent="0.3">
      <c r="A150" s="1"/>
      <c r="B150" s="1"/>
      <c r="C150" s="1"/>
      <c r="D150" s="1"/>
      <c r="E150" s="3"/>
      <c r="F150" s="3"/>
    </row>
    <row r="151" spans="1:6" x14ac:dyDescent="0.3">
      <c r="A151" s="1"/>
      <c r="B151" s="1"/>
      <c r="C151" s="1"/>
      <c r="D151" s="1"/>
      <c r="E151" s="3"/>
      <c r="F151" s="3"/>
    </row>
    <row r="152" spans="1:6" x14ac:dyDescent="0.3">
      <c r="A152" s="1"/>
      <c r="B152" s="1"/>
      <c r="C152" s="1"/>
      <c r="D152" s="1"/>
      <c r="E152" s="3"/>
      <c r="F152" s="3"/>
    </row>
    <row r="153" spans="1:6" x14ac:dyDescent="0.3">
      <c r="A153" s="1"/>
      <c r="B153" s="1"/>
      <c r="C153" s="1"/>
      <c r="D153" s="1"/>
      <c r="E153" s="3"/>
      <c r="F153" s="3"/>
    </row>
    <row r="154" spans="1:6" x14ac:dyDescent="0.3">
      <c r="A154" s="1"/>
      <c r="B154" s="1"/>
      <c r="C154" s="1"/>
      <c r="D154" s="1"/>
      <c r="E154" s="3"/>
      <c r="F154" s="3"/>
    </row>
    <row r="155" spans="1:6" x14ac:dyDescent="0.3">
      <c r="A155" s="1"/>
      <c r="B155" s="1"/>
      <c r="C155" s="1"/>
      <c r="D155" s="1"/>
      <c r="E155" s="3"/>
      <c r="F155" s="3"/>
    </row>
  </sheetData>
  <phoneticPr fontId="1" type="noConversion"/>
  <conditionalFormatting sqref="H1:H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{14387E03-B723-4008-8D4C-98C0A6225079}</x14:id>
        </ext>
      </extLst>
    </cfRule>
  </conditionalFormatting>
  <conditionalFormatting sqref="K25:P33">
    <cfRule type="expression" dxfId="0" priority="1">
      <formula>K25&lt;J25</formula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{F5EABCE3-5819-489A-B937-36AA7AA5338B}</x14:id>
        </ext>
      </extLst>
    </cfRule>
  </conditionalFormatting>
  <dataValidations count="2">
    <dataValidation type="list" allowBlank="1" showInputMessage="1" showErrorMessage="1" sqref="B2:B49 B55" xr:uid="{6F7C22CB-3302-4FCE-BE29-634B012439FF}">
      <formula1>$L$2:$L$7</formula1>
    </dataValidation>
    <dataValidation type="list" allowBlank="1" showInputMessage="1" showErrorMessage="1" sqref="C2:C49 C55" xr:uid="{061ACE8B-28B7-46EA-8228-C23E0DB18982}">
      <formula1>$K$2:$K$10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387E03-B723-4008-8D4C-98C0A62250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F5EABCE3-5819-489A-B937-36AA7AA533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K25:P33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윤준혁</cp:lastModifiedBy>
  <dcterms:created xsi:type="dcterms:W3CDTF">2024-05-16T15:21:07Z</dcterms:created>
  <dcterms:modified xsi:type="dcterms:W3CDTF">2026-03-14T16:11:12Z</dcterms:modified>
</cp:coreProperties>
</file>