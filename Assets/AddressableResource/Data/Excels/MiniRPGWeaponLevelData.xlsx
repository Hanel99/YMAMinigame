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5D5C9CAA-13EC-44B7-AE19-FAF9CC796D17}" xr6:coauthVersionLast="47" xr6:coauthVersionMax="47" xr10:uidLastSave="{00000000-0000-0000-0000-000000000000}"/>
  <bookViews>
    <workbookView xWindow="38280" yWindow="1425" windowWidth="38640" windowHeight="212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1" l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82" i="1"/>
  <c r="E81" i="1"/>
  <c r="E63" i="1"/>
  <c r="E64" i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62" i="1"/>
  <c r="E61" i="1"/>
  <c r="E43" i="1"/>
  <c r="E44" i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42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3" i="1"/>
  <c r="F82" i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81" i="1"/>
  <c r="F62" i="1"/>
  <c r="F63" i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61" i="1"/>
  <c r="F42" i="1"/>
  <c r="F43" i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41" i="1"/>
  <c r="F22" i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21" i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3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D82" i="1"/>
  <c r="D83" i="1" s="1"/>
  <c r="D62" i="1"/>
  <c r="D63" i="1" s="1"/>
  <c r="D42" i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22" i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C82" i="1" l="1"/>
  <c r="C42" i="1"/>
  <c r="C62" i="1"/>
  <c r="C23" i="1"/>
  <c r="C22" i="1"/>
  <c r="C63" i="1"/>
  <c r="D64" i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C83" i="1"/>
  <c r="D84" i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44" i="1"/>
  <c r="I44" i="1" s="1"/>
  <c r="C43" i="1"/>
  <c r="I4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1" i="1"/>
  <c r="I42" i="1"/>
  <c r="I61" i="1"/>
  <c r="I62" i="1"/>
  <c r="I63" i="1"/>
  <c r="I81" i="1"/>
  <c r="I82" i="1"/>
  <c r="I83" i="1"/>
  <c r="I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C84" i="1" l="1"/>
  <c r="I84" i="1" s="1"/>
  <c r="C64" i="1"/>
  <c r="I64" i="1" s="1"/>
  <c r="C24" i="1"/>
  <c r="I24" i="1" s="1"/>
  <c r="C45" i="1"/>
  <c r="I45" i="1" s="1"/>
  <c r="A75" i="1"/>
  <c r="C85" i="1" l="1"/>
  <c r="I85" i="1" s="1"/>
  <c r="C65" i="1"/>
  <c r="I65" i="1" s="1"/>
  <c r="C25" i="1"/>
  <c r="I25" i="1" s="1"/>
  <c r="C46" i="1"/>
  <c r="I46" i="1" s="1"/>
  <c r="A76" i="1"/>
  <c r="C86" i="1" l="1"/>
  <c r="I86" i="1" s="1"/>
  <c r="C66" i="1"/>
  <c r="I66" i="1" s="1"/>
  <c r="C26" i="1"/>
  <c r="I26" i="1" s="1"/>
  <c r="C47" i="1"/>
  <c r="I47" i="1" s="1"/>
  <c r="A77" i="1"/>
  <c r="C87" i="1" l="1"/>
  <c r="I87" i="1" s="1"/>
  <c r="C67" i="1"/>
  <c r="I67" i="1" s="1"/>
  <c r="C27" i="1"/>
  <c r="I27" i="1" s="1"/>
  <c r="C48" i="1"/>
  <c r="I48" i="1" s="1"/>
  <c r="A78" i="1"/>
  <c r="C88" i="1" l="1"/>
  <c r="I88" i="1" s="1"/>
  <c r="C68" i="1"/>
  <c r="I68" i="1" s="1"/>
  <c r="C28" i="1"/>
  <c r="I28" i="1" s="1"/>
  <c r="C49" i="1"/>
  <c r="I49" i="1" s="1"/>
  <c r="A79" i="1"/>
  <c r="C89" i="1" l="1"/>
  <c r="I89" i="1" s="1"/>
  <c r="C69" i="1"/>
  <c r="I69" i="1" s="1"/>
  <c r="C29" i="1"/>
  <c r="I29" i="1" s="1"/>
  <c r="C50" i="1"/>
  <c r="I50" i="1" s="1"/>
  <c r="A80" i="1"/>
  <c r="C90" i="1" l="1"/>
  <c r="I90" i="1" s="1"/>
  <c r="C70" i="1"/>
  <c r="I70" i="1" s="1"/>
  <c r="C30" i="1"/>
  <c r="I30" i="1" s="1"/>
  <c r="C51" i="1"/>
  <c r="I51" i="1" s="1"/>
  <c r="A81" i="1"/>
  <c r="C91" i="1" l="1"/>
  <c r="I91" i="1" s="1"/>
  <c r="C71" i="1"/>
  <c r="I71" i="1" s="1"/>
  <c r="C31" i="1"/>
  <c r="I31" i="1" s="1"/>
  <c r="C52" i="1"/>
  <c r="I52" i="1" s="1"/>
  <c r="A82" i="1"/>
  <c r="C92" i="1" l="1"/>
  <c r="I92" i="1" s="1"/>
  <c r="C72" i="1"/>
  <c r="I72" i="1" s="1"/>
  <c r="C32" i="1"/>
  <c r="I32" i="1" s="1"/>
  <c r="C53" i="1"/>
  <c r="I53" i="1" s="1"/>
  <c r="A83" i="1"/>
  <c r="C93" i="1" l="1"/>
  <c r="I93" i="1" s="1"/>
  <c r="C73" i="1"/>
  <c r="I73" i="1" s="1"/>
  <c r="C33" i="1"/>
  <c r="I33" i="1" s="1"/>
  <c r="C54" i="1"/>
  <c r="I54" i="1" s="1"/>
  <c r="A84" i="1"/>
  <c r="C94" i="1" l="1"/>
  <c r="I94" i="1" s="1"/>
  <c r="C74" i="1"/>
  <c r="I74" i="1" s="1"/>
  <c r="C34" i="1"/>
  <c r="I34" i="1" s="1"/>
  <c r="C55" i="1"/>
  <c r="I55" i="1" s="1"/>
  <c r="A85" i="1"/>
  <c r="C95" i="1" l="1"/>
  <c r="I95" i="1" s="1"/>
  <c r="C75" i="1"/>
  <c r="I75" i="1" s="1"/>
  <c r="C35" i="1"/>
  <c r="I35" i="1" s="1"/>
  <c r="C56" i="1"/>
  <c r="I56" i="1" s="1"/>
  <c r="A86" i="1"/>
  <c r="C96" i="1" l="1"/>
  <c r="I96" i="1" s="1"/>
  <c r="C76" i="1"/>
  <c r="I76" i="1" s="1"/>
  <c r="C36" i="1"/>
  <c r="I36" i="1" s="1"/>
  <c r="C57" i="1"/>
  <c r="I57" i="1" s="1"/>
  <c r="A87" i="1"/>
  <c r="C97" i="1" l="1"/>
  <c r="I97" i="1" s="1"/>
  <c r="C77" i="1"/>
  <c r="I77" i="1" s="1"/>
  <c r="C37" i="1"/>
  <c r="I37" i="1" s="1"/>
  <c r="C58" i="1"/>
  <c r="I58" i="1" s="1"/>
  <c r="A88" i="1"/>
  <c r="C98" i="1" l="1"/>
  <c r="I98" i="1" s="1"/>
  <c r="C78" i="1"/>
  <c r="I78" i="1" s="1"/>
  <c r="C38" i="1"/>
  <c r="I38" i="1" s="1"/>
  <c r="C60" i="1"/>
  <c r="I60" i="1" s="1"/>
  <c r="C59" i="1"/>
  <c r="I59" i="1" s="1"/>
  <c r="A89" i="1"/>
  <c r="C99" i="1" l="1"/>
  <c r="I99" i="1" s="1"/>
  <c r="C100" i="1"/>
  <c r="I100" i="1" s="1"/>
  <c r="C80" i="1"/>
  <c r="I80" i="1" s="1"/>
  <c r="C79" i="1"/>
  <c r="I79" i="1" s="1"/>
  <c r="C39" i="1"/>
  <c r="I39" i="1" s="1"/>
  <c r="C40" i="1"/>
  <c r="I40" i="1" s="1"/>
  <c r="A90" i="1"/>
  <c r="A91" i="1" l="1"/>
  <c r="A92" i="1" l="1"/>
  <c r="A93" i="1" l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<sst xmlns="http://schemas.openxmlformats.org/spreadsheetml/2006/main" count="9" uniqueCount="9">
  <si>
    <t>number</t>
    <phoneticPr fontId="1" type="noConversion"/>
  </si>
  <si>
    <t>level</t>
    <phoneticPr fontId="1" type="noConversion"/>
  </si>
  <si>
    <t>up</t>
    <phoneticPr fontId="1" type="noConversion"/>
  </si>
  <si>
    <t>stay</t>
    <phoneticPr fontId="1" type="noConversion"/>
  </si>
  <si>
    <t>down</t>
    <phoneticPr fontId="1" type="noConversion"/>
  </si>
  <si>
    <t>atk</t>
    <phoneticPr fontId="1" type="noConversion"/>
  </si>
  <si>
    <t>requireCoin</t>
    <phoneticPr fontId="1" type="noConversion"/>
  </si>
  <si>
    <t>확률 보정 확인</t>
    <phoneticPr fontId="1" type="noConversion"/>
  </si>
  <si>
    <t>criDmg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</si>
</sst>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i/>
      <sz val="12"/>
      <color theme="0" tint="-0.24997711111789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2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B107"/>
  <sheetViews>
    <sheetView tabSelected="1" workbookViewId="0">
      <pane ySplit="1" topLeftCell="A2" activePane="bottomLeft" state="frozen"/>
      <selection pane="bottomLeft" activeCell="M18" sqref="M18"/>
    </sheetView>
  </sheetViews>
  <sheetFormatPr defaultColWidth="17.625" defaultRowHeight="17.25" x14ac:dyDescent="0.3"/>
  <cols>
    <col min="1" max="3" width="18.875" style="6" customWidth="1"/>
    <col min="4" max="4" width="18.875" style="9" customWidth="1"/>
    <col min="5" max="5" width="19" style="9" customWidth="1"/>
    <col min="6" max="6" width="19" style="4" customWidth="1"/>
    <col min="7" max="7" width="18.375" style="4" customWidth="1"/>
    <col min="9" max="9" width="18.875" style="9" customWidth="1"/>
    <col min="10" max="11" width="17.625" style="4"/>
    <col min="12" max="12" width="11.375" style="4" bestFit="1" customWidth="1"/>
    <col min="13" max="13" width="12" style="4" bestFit="1" customWidth="1"/>
    <col min="14" max="14" width="17.625" style="4"/>
    <col min="18" max="16381" width="17.625" style="4"/>
    <col min="16382" max="16382" width="8.875" style="4" bestFit="1" customWidth="1"/>
    <col min="16383" max="16384" width="8.875" style="4" customWidth="1"/>
  </cols>
  <sheetData>
    <row r="1" spans="1:12 16382:16382" x14ac:dyDescent="0.3">
      <c r="A1" s="2" t="s">
        <v>1</v>
      </c>
      <c r="B1" s="2" t="s">
        <v>2</v>
      </c>
      <c r="C1" s="2" t="s">
        <v>3</v>
      </c>
      <c r="D1" s="8" t="s">
        <v>4</v>
      </c>
      <c r="E1" s="8" t="s">
        <v>5</v>
      </c>
      <c r="F1" s="8" t="s">
        <v>8</v>
      </c>
      <c r="G1" s="8" t="s">
        <v>6</v>
      </c>
      <c r="I1" s="12" t="s">
        <v>7</v>
      </c>
      <c r="XFB1" s="3" t="s">
        <v>0</v>
      </c>
    </row>
    <row r="2" spans="1:12 16382:16382" x14ac:dyDescent="0.3">
      <c r="A2" s="13">
        <v>1</v>
      </c>
      <c r="B2" s="13">
        <v>9500</v>
      </c>
      <c r="C2" s="13">
        <v>500</v>
      </c>
      <c r="D2" s="14">
        <v>0</v>
      </c>
      <c r="E2" s="14">
        <v>1</v>
      </c>
      <c r="F2" s="13">
        <v>0.01</v>
      </c>
      <c r="G2" s="15">
        <v>100</v>
      </c>
      <c r="H2" s="16"/>
      <c r="I2" s="14">
        <f>SUM(B2:D2)</f>
        <v>10000</v>
      </c>
    </row>
    <row r="3" spans="1:12 16382:16382" x14ac:dyDescent="0.3">
      <c r="A3" s="13">
        <f>A2+1</f>
        <v>2</v>
      </c>
      <c r="B3" s="13">
        <f>B2-500</f>
        <v>9000</v>
      </c>
      <c r="C3" s="13">
        <f>C2+500</f>
        <v>1000</v>
      </c>
      <c r="D3" s="14">
        <v>0</v>
      </c>
      <c r="E3" s="14">
        <f>E2+1</f>
        <v>2</v>
      </c>
      <c r="F3" s="17">
        <f>F2+0.005</f>
        <v>1.4999999999999999E-2</v>
      </c>
      <c r="G3" s="15">
        <f>G2+50</f>
        <v>150</v>
      </c>
      <c r="H3" s="16"/>
      <c r="I3" s="14">
        <f>SUM(B3:D3)</f>
        <v>10000</v>
      </c>
    </row>
    <row r="4" spans="1:12 16382:16382" x14ac:dyDescent="0.3">
      <c r="A4" s="13">
        <f t="shared" ref="A4:A67" si="0">A3+1</f>
        <v>3</v>
      </c>
      <c r="B4" s="13">
        <f t="shared" ref="B4:B11" si="1">B3-500</f>
        <v>8500</v>
      </c>
      <c r="C4" s="13">
        <f t="shared" ref="C4:C11" si="2">C3+500</f>
        <v>1500</v>
      </c>
      <c r="D4" s="14">
        <v>0</v>
      </c>
      <c r="E4" s="14">
        <f t="shared" ref="E4:E41" si="3">E3+1</f>
        <v>3</v>
      </c>
      <c r="F4" s="17">
        <f t="shared" ref="F4:F20" si="4">F3+0.005</f>
        <v>0.02</v>
      </c>
      <c r="G4" s="15">
        <f t="shared" ref="G4:G20" si="5">G3+50</f>
        <v>200</v>
      </c>
      <c r="H4" s="16"/>
      <c r="I4" s="14">
        <f>SUM(B4:D4)</f>
        <v>10000</v>
      </c>
    </row>
    <row r="5" spans="1:12 16382:16382" x14ac:dyDescent="0.3">
      <c r="A5" s="13">
        <f t="shared" si="0"/>
        <v>4</v>
      </c>
      <c r="B5" s="13">
        <f t="shared" si="1"/>
        <v>8000</v>
      </c>
      <c r="C5" s="13">
        <f t="shared" si="2"/>
        <v>2000</v>
      </c>
      <c r="D5" s="14">
        <v>0</v>
      </c>
      <c r="E5" s="14">
        <f t="shared" si="3"/>
        <v>4</v>
      </c>
      <c r="F5" s="17">
        <f t="shared" si="4"/>
        <v>2.5000000000000001E-2</v>
      </c>
      <c r="G5" s="15">
        <f t="shared" si="5"/>
        <v>250</v>
      </c>
      <c r="H5" s="16"/>
      <c r="I5" s="14">
        <f>SUM(B5:D5)</f>
        <v>10000</v>
      </c>
      <c r="L5" s="1"/>
    </row>
    <row r="6" spans="1:12 16382:16382" x14ac:dyDescent="0.3">
      <c r="A6" s="13">
        <f t="shared" si="0"/>
        <v>5</v>
      </c>
      <c r="B6" s="13">
        <f t="shared" si="1"/>
        <v>7500</v>
      </c>
      <c r="C6" s="13">
        <f t="shared" si="2"/>
        <v>2500</v>
      </c>
      <c r="D6" s="14">
        <v>0</v>
      </c>
      <c r="E6" s="14">
        <f t="shared" si="3"/>
        <v>5</v>
      </c>
      <c r="F6" s="17">
        <f t="shared" si="4"/>
        <v>3.0000000000000002E-2</v>
      </c>
      <c r="G6" s="15">
        <f t="shared" si="5"/>
        <v>300</v>
      </c>
      <c r="H6" s="16"/>
      <c r="I6" s="14">
        <f>SUM(B6:D6)</f>
        <v>10000</v>
      </c>
      <c r="L6" s="1"/>
    </row>
    <row r="7" spans="1:12 16382:16382" x14ac:dyDescent="0.3">
      <c r="A7" s="13">
        <f t="shared" si="0"/>
        <v>6</v>
      </c>
      <c r="B7" s="13">
        <f t="shared" si="1"/>
        <v>7000</v>
      </c>
      <c r="C7" s="13">
        <f t="shared" si="2"/>
        <v>3000</v>
      </c>
      <c r="D7" s="14">
        <v>0</v>
      </c>
      <c r="E7" s="14">
        <f t="shared" si="3"/>
        <v>6</v>
      </c>
      <c r="F7" s="17">
        <f t="shared" si="4"/>
        <v>3.5000000000000003E-2</v>
      </c>
      <c r="G7" s="15">
        <f t="shared" si="5"/>
        <v>350</v>
      </c>
      <c r="H7" s="16"/>
      <c r="I7" s="14">
        <f>SUM(B7:D7)</f>
        <v>10000</v>
      </c>
      <c r="L7" s="1"/>
    </row>
    <row r="8" spans="1:12 16382:16382" x14ac:dyDescent="0.3">
      <c r="A8" s="13">
        <f t="shared" si="0"/>
        <v>7</v>
      </c>
      <c r="B8" s="13">
        <f t="shared" si="1"/>
        <v>6500</v>
      </c>
      <c r="C8" s="13">
        <f t="shared" si="2"/>
        <v>3500</v>
      </c>
      <c r="D8" s="14">
        <v>0</v>
      </c>
      <c r="E8" s="14">
        <f t="shared" si="3"/>
        <v>7</v>
      </c>
      <c r="F8" s="17">
        <f t="shared" si="4"/>
        <v>0.04</v>
      </c>
      <c r="G8" s="15">
        <f t="shared" si="5"/>
        <v>400</v>
      </c>
      <c r="H8" s="16"/>
      <c r="I8" s="14">
        <f>SUM(B8:D8)</f>
        <v>10000</v>
      </c>
    </row>
    <row r="9" spans="1:12 16382:16382" x14ac:dyDescent="0.3">
      <c r="A9" s="13">
        <f t="shared" si="0"/>
        <v>8</v>
      </c>
      <c r="B9" s="13">
        <f t="shared" si="1"/>
        <v>6000</v>
      </c>
      <c r="C9" s="13">
        <f t="shared" si="2"/>
        <v>4000</v>
      </c>
      <c r="D9" s="14">
        <v>0</v>
      </c>
      <c r="E9" s="14">
        <f t="shared" si="3"/>
        <v>8</v>
      </c>
      <c r="F9" s="17">
        <f t="shared" si="4"/>
        <v>4.4999999999999998E-2</v>
      </c>
      <c r="G9" s="15">
        <f t="shared" si="5"/>
        <v>450</v>
      </c>
      <c r="H9" s="16"/>
      <c r="I9" s="14">
        <f>SUM(B9:D9)</f>
        <v>10000</v>
      </c>
    </row>
    <row r="10" spans="1:12 16382:16382" x14ac:dyDescent="0.3">
      <c r="A10" s="13">
        <f t="shared" si="0"/>
        <v>9</v>
      </c>
      <c r="B10" s="13">
        <f t="shared" si="1"/>
        <v>5500</v>
      </c>
      <c r="C10" s="13">
        <f t="shared" si="2"/>
        <v>4500</v>
      </c>
      <c r="D10" s="14">
        <v>0</v>
      </c>
      <c r="E10" s="14">
        <f t="shared" si="3"/>
        <v>9</v>
      </c>
      <c r="F10" s="17">
        <f t="shared" si="4"/>
        <v>4.9999999999999996E-2</v>
      </c>
      <c r="G10" s="15">
        <f t="shared" si="5"/>
        <v>500</v>
      </c>
      <c r="H10" s="16"/>
      <c r="I10" s="14">
        <f>SUM(B10:D10)</f>
        <v>10000</v>
      </c>
    </row>
    <row r="11" spans="1:12 16382:16382" x14ac:dyDescent="0.3">
      <c r="A11" s="13">
        <f t="shared" si="0"/>
        <v>10</v>
      </c>
      <c r="B11" s="13">
        <f t="shared" si="1"/>
        <v>5000</v>
      </c>
      <c r="C11" s="13">
        <f t="shared" si="2"/>
        <v>5000</v>
      </c>
      <c r="D11" s="14">
        <v>0</v>
      </c>
      <c r="E11" s="14">
        <f t="shared" si="3"/>
        <v>10</v>
      </c>
      <c r="F11" s="17">
        <f t="shared" si="4"/>
        <v>5.4999999999999993E-2</v>
      </c>
      <c r="G11" s="15">
        <f t="shared" si="5"/>
        <v>550</v>
      </c>
      <c r="H11" s="16"/>
      <c r="I11" s="14">
        <f>SUM(B11:D11)</f>
        <v>10000</v>
      </c>
    </row>
    <row r="12" spans="1:12 16382:16382" x14ac:dyDescent="0.3">
      <c r="A12" s="13">
        <f t="shared" si="0"/>
        <v>11</v>
      </c>
      <c r="B12" s="13">
        <f>B11-200</f>
        <v>4800</v>
      </c>
      <c r="C12" s="13">
        <f>C11+200</f>
        <v>5200</v>
      </c>
      <c r="D12" s="14">
        <v>0</v>
      </c>
      <c r="E12" s="14">
        <f t="shared" si="3"/>
        <v>11</v>
      </c>
      <c r="F12" s="17">
        <f t="shared" si="4"/>
        <v>5.9999999999999991E-2</v>
      </c>
      <c r="G12" s="15">
        <f t="shared" si="5"/>
        <v>600</v>
      </c>
      <c r="H12" s="16"/>
      <c r="I12" s="14">
        <f>SUM(B12:D12)</f>
        <v>10000</v>
      </c>
    </row>
    <row r="13" spans="1:12 16382:16382" x14ac:dyDescent="0.3">
      <c r="A13" s="13">
        <f t="shared" si="0"/>
        <v>12</v>
      </c>
      <c r="B13" s="13">
        <f t="shared" ref="B13:B21" si="6">B12-200</f>
        <v>4600</v>
      </c>
      <c r="C13" s="13">
        <f t="shared" ref="C13:C21" si="7">C12+200</f>
        <v>5400</v>
      </c>
      <c r="D13" s="14">
        <v>0</v>
      </c>
      <c r="E13" s="14">
        <f t="shared" si="3"/>
        <v>12</v>
      </c>
      <c r="F13" s="17">
        <f t="shared" si="4"/>
        <v>6.4999999999999988E-2</v>
      </c>
      <c r="G13" s="15">
        <f t="shared" si="5"/>
        <v>650</v>
      </c>
      <c r="H13" s="16"/>
      <c r="I13" s="14">
        <f>SUM(B13:D13)</f>
        <v>10000</v>
      </c>
    </row>
    <row r="14" spans="1:12 16382:16382" x14ac:dyDescent="0.3">
      <c r="A14" s="13">
        <f t="shared" si="0"/>
        <v>13</v>
      </c>
      <c r="B14" s="13">
        <f t="shared" si="6"/>
        <v>4400</v>
      </c>
      <c r="C14" s="13">
        <f t="shared" si="7"/>
        <v>5600</v>
      </c>
      <c r="D14" s="14">
        <v>0</v>
      </c>
      <c r="E14" s="14">
        <f t="shared" si="3"/>
        <v>13</v>
      </c>
      <c r="F14" s="17">
        <f t="shared" si="4"/>
        <v>6.9999999999999993E-2</v>
      </c>
      <c r="G14" s="15">
        <f t="shared" si="5"/>
        <v>700</v>
      </c>
      <c r="H14" s="16"/>
      <c r="I14" s="14">
        <f>SUM(B14:D14)</f>
        <v>10000</v>
      </c>
    </row>
    <row r="15" spans="1:12 16382:16382" x14ac:dyDescent="0.3">
      <c r="A15" s="13">
        <f t="shared" si="0"/>
        <v>14</v>
      </c>
      <c r="B15" s="13">
        <f t="shared" si="6"/>
        <v>4200</v>
      </c>
      <c r="C15" s="13">
        <f t="shared" si="7"/>
        <v>5800</v>
      </c>
      <c r="D15" s="14">
        <v>0</v>
      </c>
      <c r="E15" s="14">
        <f t="shared" si="3"/>
        <v>14</v>
      </c>
      <c r="F15" s="17">
        <f t="shared" si="4"/>
        <v>7.4999999999999997E-2</v>
      </c>
      <c r="G15" s="15">
        <f t="shared" si="5"/>
        <v>750</v>
      </c>
      <c r="H15" s="16"/>
      <c r="I15" s="14">
        <f>SUM(B15:D15)</f>
        <v>10000</v>
      </c>
    </row>
    <row r="16" spans="1:12 16382:16382" x14ac:dyDescent="0.3">
      <c r="A16" s="13">
        <f t="shared" si="0"/>
        <v>15</v>
      </c>
      <c r="B16" s="13">
        <f t="shared" si="6"/>
        <v>4000</v>
      </c>
      <c r="C16" s="13">
        <f t="shared" si="7"/>
        <v>6000</v>
      </c>
      <c r="D16" s="14">
        <v>0</v>
      </c>
      <c r="E16" s="14">
        <f t="shared" si="3"/>
        <v>15</v>
      </c>
      <c r="F16" s="17">
        <f t="shared" si="4"/>
        <v>0.08</v>
      </c>
      <c r="G16" s="15">
        <f t="shared" si="5"/>
        <v>800</v>
      </c>
      <c r="H16" s="16"/>
      <c r="I16" s="14">
        <f>SUM(B16:D16)</f>
        <v>10000</v>
      </c>
    </row>
    <row r="17" spans="1:12" x14ac:dyDescent="0.3">
      <c r="A17" s="13">
        <f t="shared" si="0"/>
        <v>16</v>
      </c>
      <c r="B17" s="13">
        <f t="shared" si="6"/>
        <v>3800</v>
      </c>
      <c r="C17" s="13">
        <f t="shared" si="7"/>
        <v>6200</v>
      </c>
      <c r="D17" s="14">
        <v>0</v>
      </c>
      <c r="E17" s="14">
        <f t="shared" si="3"/>
        <v>16</v>
      </c>
      <c r="F17" s="17">
        <f t="shared" si="4"/>
        <v>8.5000000000000006E-2</v>
      </c>
      <c r="G17" s="15">
        <f t="shared" si="5"/>
        <v>850</v>
      </c>
      <c r="H17" s="16"/>
      <c r="I17" s="14">
        <f>SUM(B17:D17)</f>
        <v>10000</v>
      </c>
    </row>
    <row r="18" spans="1:12" x14ac:dyDescent="0.3">
      <c r="A18" s="13">
        <f t="shared" si="0"/>
        <v>17</v>
      </c>
      <c r="B18" s="13">
        <f t="shared" si="6"/>
        <v>3600</v>
      </c>
      <c r="C18" s="13">
        <f t="shared" si="7"/>
        <v>6400</v>
      </c>
      <c r="D18" s="14">
        <v>0</v>
      </c>
      <c r="E18" s="14">
        <f t="shared" si="3"/>
        <v>17</v>
      </c>
      <c r="F18" s="17">
        <f t="shared" si="4"/>
        <v>9.0000000000000011E-2</v>
      </c>
      <c r="G18" s="15">
        <f t="shared" si="5"/>
        <v>900</v>
      </c>
      <c r="H18" s="16"/>
      <c r="I18" s="14">
        <f>SUM(B18:D18)</f>
        <v>10000</v>
      </c>
    </row>
    <row r="19" spans="1:12" x14ac:dyDescent="0.3">
      <c r="A19" s="13">
        <f t="shared" si="0"/>
        <v>18</v>
      </c>
      <c r="B19" s="13">
        <f t="shared" si="6"/>
        <v>3400</v>
      </c>
      <c r="C19" s="13">
        <f t="shared" si="7"/>
        <v>6600</v>
      </c>
      <c r="D19" s="14">
        <v>0</v>
      </c>
      <c r="E19" s="14">
        <f t="shared" si="3"/>
        <v>18</v>
      </c>
      <c r="F19" s="17">
        <f t="shared" si="4"/>
        <v>9.5000000000000015E-2</v>
      </c>
      <c r="G19" s="15">
        <f t="shared" si="5"/>
        <v>950</v>
      </c>
      <c r="H19" s="16"/>
      <c r="I19" s="14">
        <f>SUM(B19:D19)</f>
        <v>10000</v>
      </c>
    </row>
    <row r="20" spans="1:12" x14ac:dyDescent="0.3">
      <c r="A20" s="13">
        <f t="shared" si="0"/>
        <v>19</v>
      </c>
      <c r="B20" s="13">
        <f t="shared" si="6"/>
        <v>3200</v>
      </c>
      <c r="C20" s="13">
        <f t="shared" si="7"/>
        <v>6800</v>
      </c>
      <c r="D20" s="14">
        <v>0</v>
      </c>
      <c r="E20" s="14">
        <f t="shared" si="3"/>
        <v>19</v>
      </c>
      <c r="F20" s="17">
        <f t="shared" si="4"/>
        <v>0.10000000000000002</v>
      </c>
      <c r="G20" s="15">
        <f t="shared" si="5"/>
        <v>1000</v>
      </c>
      <c r="H20" s="16"/>
      <c r="I20" s="14">
        <f>SUM(B20:D20)</f>
        <v>10000</v>
      </c>
    </row>
    <row r="21" spans="1:12" x14ac:dyDescent="0.3">
      <c r="A21" s="13">
        <f t="shared" si="0"/>
        <v>20</v>
      </c>
      <c r="B21" s="13">
        <f t="shared" si="6"/>
        <v>3000</v>
      </c>
      <c r="C21" s="13">
        <f t="shared" si="7"/>
        <v>7000</v>
      </c>
      <c r="D21" s="14">
        <v>0</v>
      </c>
      <c r="E21" s="14">
        <f t="shared" si="3"/>
        <v>20</v>
      </c>
      <c r="F21" s="17">
        <f>F20+0.008</f>
        <v>0.10800000000000001</v>
      </c>
      <c r="G21" s="15">
        <f>G20+30</f>
        <v>1030</v>
      </c>
      <c r="H21" s="16"/>
      <c r="I21" s="14">
        <f>SUM(B21:D21)</f>
        <v>10000</v>
      </c>
      <c r="L21" s="14"/>
    </row>
    <row r="22" spans="1:12" x14ac:dyDescent="0.3">
      <c r="A22" s="13">
        <f t="shared" si="0"/>
        <v>21</v>
      </c>
      <c r="B22" s="13">
        <v>3000</v>
      </c>
      <c r="C22" s="13">
        <f>$C$21-D22</f>
        <v>6980</v>
      </c>
      <c r="D22" s="14">
        <f>D21+20</f>
        <v>20</v>
      </c>
      <c r="E22" s="14">
        <f t="shared" si="3"/>
        <v>21</v>
      </c>
      <c r="F22" s="17">
        <f t="shared" ref="F22:F40" si="8">F21+0.008</f>
        <v>0.11600000000000002</v>
      </c>
      <c r="G22" s="15">
        <f t="shared" ref="G22:G40" si="9">G21+30</f>
        <v>1060</v>
      </c>
      <c r="H22" s="16"/>
      <c r="I22" s="14">
        <f>SUM(B22:D22)</f>
        <v>10000</v>
      </c>
      <c r="L22" s="14"/>
    </row>
    <row r="23" spans="1:12" x14ac:dyDescent="0.3">
      <c r="A23" s="13">
        <f t="shared" si="0"/>
        <v>22</v>
      </c>
      <c r="B23" s="13">
        <v>3000</v>
      </c>
      <c r="C23" s="13">
        <f t="shared" ref="C23:C40" si="10">$C$21-D23</f>
        <v>6960</v>
      </c>
      <c r="D23" s="14">
        <f t="shared" ref="D23:D40" si="11">D22+20</f>
        <v>40</v>
      </c>
      <c r="E23" s="14">
        <f t="shared" si="3"/>
        <v>22</v>
      </c>
      <c r="F23" s="17">
        <f t="shared" si="8"/>
        <v>0.12400000000000003</v>
      </c>
      <c r="G23" s="15">
        <f t="shared" si="9"/>
        <v>1090</v>
      </c>
      <c r="H23" s="16"/>
      <c r="I23" s="14">
        <f>SUM(B23:D23)</f>
        <v>10000</v>
      </c>
      <c r="L23" s="14"/>
    </row>
    <row r="24" spans="1:12" x14ac:dyDescent="0.3">
      <c r="A24" s="13">
        <f t="shared" si="0"/>
        <v>23</v>
      </c>
      <c r="B24" s="13">
        <v>3000</v>
      </c>
      <c r="C24" s="13">
        <f t="shared" si="10"/>
        <v>6940</v>
      </c>
      <c r="D24" s="14">
        <f t="shared" si="11"/>
        <v>60</v>
      </c>
      <c r="E24" s="14">
        <f t="shared" si="3"/>
        <v>23</v>
      </c>
      <c r="F24" s="17">
        <f t="shared" si="8"/>
        <v>0.13200000000000003</v>
      </c>
      <c r="G24" s="15">
        <f t="shared" si="9"/>
        <v>1120</v>
      </c>
      <c r="H24" s="16"/>
      <c r="I24" s="14">
        <f>SUM(B24:D24)</f>
        <v>10000</v>
      </c>
      <c r="L24" s="14"/>
    </row>
    <row r="25" spans="1:12" x14ac:dyDescent="0.3">
      <c r="A25" s="13">
        <f t="shared" si="0"/>
        <v>24</v>
      </c>
      <c r="B25" s="13">
        <v>3000</v>
      </c>
      <c r="C25" s="13">
        <f t="shared" si="10"/>
        <v>6920</v>
      </c>
      <c r="D25" s="14">
        <f t="shared" si="11"/>
        <v>80</v>
      </c>
      <c r="E25" s="14">
        <f t="shared" si="3"/>
        <v>24</v>
      </c>
      <c r="F25" s="17">
        <f t="shared" si="8"/>
        <v>0.14000000000000004</v>
      </c>
      <c r="G25" s="15">
        <f t="shared" si="9"/>
        <v>1150</v>
      </c>
      <c r="H25" s="16"/>
      <c r="I25" s="14">
        <f>SUM(B25:D25)</f>
        <v>10000</v>
      </c>
      <c r="L25" s="14"/>
    </row>
    <row r="26" spans="1:12" x14ac:dyDescent="0.3">
      <c r="A26" s="13">
        <f t="shared" si="0"/>
        <v>25</v>
      </c>
      <c r="B26" s="13">
        <v>3000</v>
      </c>
      <c r="C26" s="13">
        <f t="shared" si="10"/>
        <v>6900</v>
      </c>
      <c r="D26" s="14">
        <f t="shared" si="11"/>
        <v>100</v>
      </c>
      <c r="E26" s="14">
        <f t="shared" si="3"/>
        <v>25</v>
      </c>
      <c r="F26" s="17">
        <f t="shared" si="8"/>
        <v>0.14800000000000005</v>
      </c>
      <c r="G26" s="15">
        <f t="shared" si="9"/>
        <v>1180</v>
      </c>
      <c r="H26" s="16"/>
      <c r="I26" s="14">
        <f>SUM(B26:D26)</f>
        <v>10000</v>
      </c>
      <c r="L26" s="14"/>
    </row>
    <row r="27" spans="1:12" x14ac:dyDescent="0.3">
      <c r="A27" s="13">
        <f t="shared" si="0"/>
        <v>26</v>
      </c>
      <c r="B27" s="13">
        <v>3000</v>
      </c>
      <c r="C27" s="13">
        <f t="shared" si="10"/>
        <v>6880</v>
      </c>
      <c r="D27" s="14">
        <f t="shared" si="11"/>
        <v>120</v>
      </c>
      <c r="E27" s="14">
        <f t="shared" si="3"/>
        <v>26</v>
      </c>
      <c r="F27" s="17">
        <f t="shared" si="8"/>
        <v>0.15600000000000006</v>
      </c>
      <c r="G27" s="15">
        <f t="shared" si="9"/>
        <v>1210</v>
      </c>
      <c r="H27" s="16"/>
      <c r="I27" s="14">
        <f>SUM(B27:D27)</f>
        <v>10000</v>
      </c>
    </row>
    <row r="28" spans="1:12" x14ac:dyDescent="0.3">
      <c r="A28" s="13">
        <f t="shared" si="0"/>
        <v>27</v>
      </c>
      <c r="B28" s="13">
        <v>3000</v>
      </c>
      <c r="C28" s="13">
        <f t="shared" si="10"/>
        <v>6860</v>
      </c>
      <c r="D28" s="14">
        <f t="shared" si="11"/>
        <v>140</v>
      </c>
      <c r="E28" s="14">
        <f t="shared" si="3"/>
        <v>27</v>
      </c>
      <c r="F28" s="17">
        <f t="shared" si="8"/>
        <v>0.16400000000000006</v>
      </c>
      <c r="G28" s="15">
        <f t="shared" si="9"/>
        <v>1240</v>
      </c>
      <c r="H28" s="16"/>
      <c r="I28" s="14">
        <f>SUM(B28:D28)</f>
        <v>10000</v>
      </c>
    </row>
    <row r="29" spans="1:12" x14ac:dyDescent="0.3">
      <c r="A29" s="13">
        <f t="shared" si="0"/>
        <v>28</v>
      </c>
      <c r="B29" s="13">
        <v>3000</v>
      </c>
      <c r="C29" s="13">
        <f t="shared" si="10"/>
        <v>6840</v>
      </c>
      <c r="D29" s="14">
        <f t="shared" si="11"/>
        <v>160</v>
      </c>
      <c r="E29" s="14">
        <f t="shared" si="3"/>
        <v>28</v>
      </c>
      <c r="F29" s="17">
        <f t="shared" si="8"/>
        <v>0.17200000000000007</v>
      </c>
      <c r="G29" s="15">
        <f t="shared" si="9"/>
        <v>1270</v>
      </c>
      <c r="H29" s="16"/>
      <c r="I29" s="14">
        <f>SUM(B29:D29)</f>
        <v>10000</v>
      </c>
    </row>
    <row r="30" spans="1:12" x14ac:dyDescent="0.3">
      <c r="A30" s="13">
        <f t="shared" si="0"/>
        <v>29</v>
      </c>
      <c r="B30" s="13">
        <v>3000</v>
      </c>
      <c r="C30" s="13">
        <f t="shared" si="10"/>
        <v>6820</v>
      </c>
      <c r="D30" s="14">
        <f t="shared" si="11"/>
        <v>180</v>
      </c>
      <c r="E30" s="14">
        <f t="shared" si="3"/>
        <v>29</v>
      </c>
      <c r="F30" s="17">
        <f t="shared" si="8"/>
        <v>0.18000000000000008</v>
      </c>
      <c r="G30" s="15">
        <f t="shared" si="9"/>
        <v>1300</v>
      </c>
      <c r="H30" s="16"/>
      <c r="I30" s="14">
        <f>SUM(B30:D30)</f>
        <v>10000</v>
      </c>
    </row>
    <row r="31" spans="1:12" x14ac:dyDescent="0.3">
      <c r="A31" s="13">
        <f t="shared" si="0"/>
        <v>30</v>
      </c>
      <c r="B31" s="13">
        <v>3000</v>
      </c>
      <c r="C31" s="13">
        <f t="shared" si="10"/>
        <v>6800</v>
      </c>
      <c r="D31" s="14">
        <f t="shared" si="11"/>
        <v>200</v>
      </c>
      <c r="E31" s="14">
        <f t="shared" si="3"/>
        <v>30</v>
      </c>
      <c r="F31" s="17">
        <f t="shared" si="8"/>
        <v>0.18800000000000008</v>
      </c>
      <c r="G31" s="15">
        <f t="shared" si="9"/>
        <v>1330</v>
      </c>
      <c r="H31" s="16"/>
      <c r="I31" s="14">
        <f>SUM(B31:D31)</f>
        <v>10000</v>
      </c>
    </row>
    <row r="32" spans="1:12" x14ac:dyDescent="0.3">
      <c r="A32" s="13">
        <f t="shared" si="0"/>
        <v>31</v>
      </c>
      <c r="B32" s="13">
        <v>3000</v>
      </c>
      <c r="C32" s="13">
        <f t="shared" si="10"/>
        <v>6780</v>
      </c>
      <c r="D32" s="14">
        <f t="shared" si="11"/>
        <v>220</v>
      </c>
      <c r="E32" s="14">
        <f t="shared" si="3"/>
        <v>31</v>
      </c>
      <c r="F32" s="17">
        <f t="shared" si="8"/>
        <v>0.19600000000000009</v>
      </c>
      <c r="G32" s="15">
        <f t="shared" si="9"/>
        <v>1360</v>
      </c>
      <c r="H32" s="16"/>
      <c r="I32" s="14">
        <f>SUM(B32:D32)</f>
        <v>10000</v>
      </c>
    </row>
    <row r="33" spans="1:13" x14ac:dyDescent="0.3">
      <c r="A33" s="13">
        <f t="shared" si="0"/>
        <v>32</v>
      </c>
      <c r="B33" s="13">
        <v>3000</v>
      </c>
      <c r="C33" s="13">
        <f t="shared" si="10"/>
        <v>6760</v>
      </c>
      <c r="D33" s="14">
        <f t="shared" si="11"/>
        <v>240</v>
      </c>
      <c r="E33" s="14">
        <f t="shared" si="3"/>
        <v>32</v>
      </c>
      <c r="F33" s="17">
        <f t="shared" si="8"/>
        <v>0.2040000000000001</v>
      </c>
      <c r="G33" s="15">
        <f t="shared" si="9"/>
        <v>1390</v>
      </c>
      <c r="H33" s="16"/>
      <c r="I33" s="14">
        <f>SUM(B33:D33)</f>
        <v>10000</v>
      </c>
      <c r="M33" s="7"/>
    </row>
    <row r="34" spans="1:13" x14ac:dyDescent="0.3">
      <c r="A34" s="13">
        <f t="shared" si="0"/>
        <v>33</v>
      </c>
      <c r="B34" s="13">
        <v>3000</v>
      </c>
      <c r="C34" s="13">
        <f t="shared" si="10"/>
        <v>6740</v>
      </c>
      <c r="D34" s="14">
        <f t="shared" si="11"/>
        <v>260</v>
      </c>
      <c r="E34" s="14">
        <f t="shared" si="3"/>
        <v>33</v>
      </c>
      <c r="F34" s="17">
        <f t="shared" si="8"/>
        <v>0.21200000000000011</v>
      </c>
      <c r="G34" s="15">
        <f t="shared" si="9"/>
        <v>1420</v>
      </c>
      <c r="H34" s="16"/>
      <c r="I34" s="14">
        <f>SUM(B34:D34)</f>
        <v>10000</v>
      </c>
    </row>
    <row r="35" spans="1:13" x14ac:dyDescent="0.3">
      <c r="A35" s="13">
        <f t="shared" si="0"/>
        <v>34</v>
      </c>
      <c r="B35" s="13">
        <v>3000</v>
      </c>
      <c r="C35" s="13">
        <f t="shared" si="10"/>
        <v>6720</v>
      </c>
      <c r="D35" s="14">
        <f t="shared" si="11"/>
        <v>280</v>
      </c>
      <c r="E35" s="14">
        <f t="shared" si="3"/>
        <v>34</v>
      </c>
      <c r="F35" s="17">
        <f t="shared" si="8"/>
        <v>0.22000000000000011</v>
      </c>
      <c r="G35" s="15">
        <f t="shared" si="9"/>
        <v>1450</v>
      </c>
      <c r="H35" s="16"/>
      <c r="I35" s="14">
        <f>SUM(B35:D35)</f>
        <v>10000</v>
      </c>
    </row>
    <row r="36" spans="1:13" x14ac:dyDescent="0.3">
      <c r="A36" s="13">
        <f t="shared" si="0"/>
        <v>35</v>
      </c>
      <c r="B36" s="13">
        <v>3000</v>
      </c>
      <c r="C36" s="13">
        <f t="shared" si="10"/>
        <v>6700</v>
      </c>
      <c r="D36" s="14">
        <f t="shared" si="11"/>
        <v>300</v>
      </c>
      <c r="E36" s="14">
        <f t="shared" si="3"/>
        <v>35</v>
      </c>
      <c r="F36" s="17">
        <f t="shared" si="8"/>
        <v>0.22800000000000012</v>
      </c>
      <c r="G36" s="15">
        <f t="shared" si="9"/>
        <v>1480</v>
      </c>
      <c r="H36" s="16"/>
      <c r="I36" s="14">
        <f>SUM(B36:D36)</f>
        <v>10000</v>
      </c>
    </row>
    <row r="37" spans="1:13" x14ac:dyDescent="0.3">
      <c r="A37" s="13">
        <f t="shared" si="0"/>
        <v>36</v>
      </c>
      <c r="B37" s="13">
        <v>3000</v>
      </c>
      <c r="C37" s="13">
        <f t="shared" si="10"/>
        <v>6680</v>
      </c>
      <c r="D37" s="14">
        <f t="shared" si="11"/>
        <v>320</v>
      </c>
      <c r="E37" s="14">
        <f t="shared" si="3"/>
        <v>36</v>
      </c>
      <c r="F37" s="17">
        <f t="shared" si="8"/>
        <v>0.23600000000000013</v>
      </c>
      <c r="G37" s="15">
        <f t="shared" si="9"/>
        <v>1510</v>
      </c>
      <c r="H37" s="16"/>
      <c r="I37" s="14">
        <f>SUM(B37:D37)</f>
        <v>10000</v>
      </c>
    </row>
    <row r="38" spans="1:13" x14ac:dyDescent="0.3">
      <c r="A38" s="13">
        <f t="shared" si="0"/>
        <v>37</v>
      </c>
      <c r="B38" s="13">
        <v>3000</v>
      </c>
      <c r="C38" s="13">
        <f t="shared" si="10"/>
        <v>6660</v>
      </c>
      <c r="D38" s="14">
        <f t="shared" si="11"/>
        <v>340</v>
      </c>
      <c r="E38" s="14">
        <f t="shared" si="3"/>
        <v>37</v>
      </c>
      <c r="F38" s="17">
        <f t="shared" si="8"/>
        <v>0.24400000000000013</v>
      </c>
      <c r="G38" s="15">
        <f t="shared" si="9"/>
        <v>1540</v>
      </c>
      <c r="H38" s="16"/>
      <c r="I38" s="14">
        <f>SUM(B38:D38)</f>
        <v>10000</v>
      </c>
    </row>
    <row r="39" spans="1:13" x14ac:dyDescent="0.3">
      <c r="A39" s="13">
        <f t="shared" si="0"/>
        <v>38</v>
      </c>
      <c r="B39" s="13">
        <v>3000</v>
      </c>
      <c r="C39" s="13">
        <f t="shared" si="10"/>
        <v>6640</v>
      </c>
      <c r="D39" s="14">
        <f t="shared" si="11"/>
        <v>360</v>
      </c>
      <c r="E39" s="14">
        <f t="shared" si="3"/>
        <v>38</v>
      </c>
      <c r="F39" s="17">
        <f t="shared" si="8"/>
        <v>0.25200000000000011</v>
      </c>
      <c r="G39" s="15">
        <f t="shared" si="9"/>
        <v>1570</v>
      </c>
      <c r="H39" s="16"/>
      <c r="I39" s="14">
        <f>SUM(B39:D39)</f>
        <v>10000</v>
      </c>
    </row>
    <row r="40" spans="1:13" x14ac:dyDescent="0.3">
      <c r="A40" s="13">
        <f t="shared" si="0"/>
        <v>39</v>
      </c>
      <c r="B40" s="13">
        <v>3000</v>
      </c>
      <c r="C40" s="13">
        <f t="shared" si="10"/>
        <v>6620</v>
      </c>
      <c r="D40" s="14">
        <f t="shared" si="11"/>
        <v>380</v>
      </c>
      <c r="E40" s="14">
        <f t="shared" si="3"/>
        <v>39</v>
      </c>
      <c r="F40" s="17">
        <f t="shared" si="8"/>
        <v>0.26000000000000012</v>
      </c>
      <c r="G40" s="15">
        <f t="shared" si="9"/>
        <v>1600</v>
      </c>
      <c r="H40" s="16"/>
      <c r="I40" s="14">
        <f>SUM(B40:D40)</f>
        <v>10000</v>
      </c>
    </row>
    <row r="41" spans="1:13" x14ac:dyDescent="0.3">
      <c r="A41" s="13">
        <f t="shared" si="0"/>
        <v>40</v>
      </c>
      <c r="B41" s="13">
        <v>2500</v>
      </c>
      <c r="C41" s="13">
        <v>7500</v>
      </c>
      <c r="D41" s="14">
        <v>0</v>
      </c>
      <c r="E41" s="14">
        <f t="shared" si="3"/>
        <v>40</v>
      </c>
      <c r="F41" s="17">
        <f>F40+0.013</f>
        <v>0.27300000000000013</v>
      </c>
      <c r="G41" s="15">
        <f>G40+20</f>
        <v>1620</v>
      </c>
      <c r="H41" s="16"/>
      <c r="I41" s="14">
        <f>SUM(B41:D41)</f>
        <v>10000</v>
      </c>
    </row>
    <row r="42" spans="1:13" x14ac:dyDescent="0.3">
      <c r="A42" s="13">
        <f t="shared" si="0"/>
        <v>41</v>
      </c>
      <c r="B42" s="13">
        <v>2500</v>
      </c>
      <c r="C42" s="13">
        <f>C41-D42</f>
        <v>7450</v>
      </c>
      <c r="D42" s="14">
        <f>D41+50</f>
        <v>50</v>
      </c>
      <c r="E42" s="14">
        <f>E41+2</f>
        <v>42</v>
      </c>
      <c r="F42" s="17">
        <f t="shared" ref="F42:F60" si="12">F41+0.013</f>
        <v>0.28600000000000014</v>
      </c>
      <c r="G42" s="15">
        <f t="shared" ref="G42:G60" si="13">G41+20</f>
        <v>1640</v>
      </c>
      <c r="H42" s="16"/>
      <c r="I42" s="14">
        <f>SUM(B42:D42)</f>
        <v>10000</v>
      </c>
    </row>
    <row r="43" spans="1:13" x14ac:dyDescent="0.3">
      <c r="A43" s="13">
        <f t="shared" si="0"/>
        <v>42</v>
      </c>
      <c r="B43" s="13">
        <v>2500</v>
      </c>
      <c r="C43" s="13">
        <f>$C$41-D43</f>
        <v>7400</v>
      </c>
      <c r="D43" s="14">
        <f t="shared" ref="D43:D60" si="14">D42+50</f>
        <v>100</v>
      </c>
      <c r="E43" s="14">
        <f t="shared" ref="E43:E60" si="15">E42+2</f>
        <v>44</v>
      </c>
      <c r="F43" s="17">
        <f t="shared" si="12"/>
        <v>0.29900000000000015</v>
      </c>
      <c r="G43" s="15">
        <f t="shared" si="13"/>
        <v>1660</v>
      </c>
      <c r="H43" s="16"/>
      <c r="I43" s="14">
        <f>SUM(B43:D43)</f>
        <v>10000</v>
      </c>
    </row>
    <row r="44" spans="1:13" x14ac:dyDescent="0.3">
      <c r="A44" s="13">
        <f t="shared" si="0"/>
        <v>43</v>
      </c>
      <c r="B44" s="13">
        <v>2500</v>
      </c>
      <c r="C44" s="13">
        <f t="shared" ref="C44:C60" si="16">$C$41-D44</f>
        <v>7350</v>
      </c>
      <c r="D44" s="14">
        <f t="shared" si="14"/>
        <v>150</v>
      </c>
      <c r="E44" s="14">
        <f t="shared" si="15"/>
        <v>46</v>
      </c>
      <c r="F44" s="17">
        <f t="shared" si="12"/>
        <v>0.31200000000000017</v>
      </c>
      <c r="G44" s="15">
        <f t="shared" si="13"/>
        <v>1680</v>
      </c>
      <c r="H44" s="16"/>
      <c r="I44" s="14">
        <f>SUM(B44:D44)</f>
        <v>10000</v>
      </c>
    </row>
    <row r="45" spans="1:13" x14ac:dyDescent="0.3">
      <c r="A45" s="13">
        <f t="shared" si="0"/>
        <v>44</v>
      </c>
      <c r="B45" s="13">
        <v>2500</v>
      </c>
      <c r="C45" s="13">
        <f t="shared" si="16"/>
        <v>7300</v>
      </c>
      <c r="D45" s="14">
        <f t="shared" si="14"/>
        <v>200</v>
      </c>
      <c r="E45" s="14">
        <f t="shared" si="15"/>
        <v>48</v>
      </c>
      <c r="F45" s="17">
        <f t="shared" si="12"/>
        <v>0.32500000000000018</v>
      </c>
      <c r="G45" s="15">
        <f t="shared" si="13"/>
        <v>1700</v>
      </c>
      <c r="H45" s="16"/>
      <c r="I45" s="14">
        <f>SUM(B45:D45)</f>
        <v>10000</v>
      </c>
    </row>
    <row r="46" spans="1:13" x14ac:dyDescent="0.3">
      <c r="A46" s="13">
        <f t="shared" si="0"/>
        <v>45</v>
      </c>
      <c r="B46" s="13">
        <v>2500</v>
      </c>
      <c r="C46" s="13">
        <f t="shared" si="16"/>
        <v>7250</v>
      </c>
      <c r="D46" s="14">
        <f t="shared" si="14"/>
        <v>250</v>
      </c>
      <c r="E46" s="14">
        <f t="shared" si="15"/>
        <v>50</v>
      </c>
      <c r="F46" s="17">
        <f t="shared" si="12"/>
        <v>0.33800000000000019</v>
      </c>
      <c r="G46" s="15">
        <f t="shared" si="13"/>
        <v>1720</v>
      </c>
      <c r="H46" s="16"/>
      <c r="I46" s="14">
        <f>SUM(B46:D46)</f>
        <v>10000</v>
      </c>
    </row>
    <row r="47" spans="1:13" x14ac:dyDescent="0.3">
      <c r="A47" s="13">
        <f t="shared" si="0"/>
        <v>46</v>
      </c>
      <c r="B47" s="13">
        <v>2500</v>
      </c>
      <c r="C47" s="13">
        <f t="shared" si="16"/>
        <v>7200</v>
      </c>
      <c r="D47" s="14">
        <f t="shared" si="14"/>
        <v>300</v>
      </c>
      <c r="E47" s="14">
        <f t="shared" si="15"/>
        <v>52</v>
      </c>
      <c r="F47" s="17">
        <f t="shared" si="12"/>
        <v>0.3510000000000002</v>
      </c>
      <c r="G47" s="15">
        <f t="shared" si="13"/>
        <v>1740</v>
      </c>
      <c r="H47" s="16"/>
      <c r="I47" s="14">
        <f>SUM(B47:D47)</f>
        <v>10000</v>
      </c>
    </row>
    <row r="48" spans="1:13" x14ac:dyDescent="0.3">
      <c r="A48" s="13">
        <f t="shared" si="0"/>
        <v>47</v>
      </c>
      <c r="B48" s="13">
        <v>2500</v>
      </c>
      <c r="C48" s="13">
        <f t="shared" si="16"/>
        <v>7150</v>
      </c>
      <c r="D48" s="14">
        <f t="shared" si="14"/>
        <v>350</v>
      </c>
      <c r="E48" s="14">
        <f t="shared" si="15"/>
        <v>54</v>
      </c>
      <c r="F48" s="17">
        <f t="shared" si="12"/>
        <v>0.36400000000000021</v>
      </c>
      <c r="G48" s="15">
        <f t="shared" si="13"/>
        <v>1760</v>
      </c>
      <c r="H48" s="16"/>
      <c r="I48" s="14">
        <f>SUM(B48:D48)</f>
        <v>10000</v>
      </c>
    </row>
    <row r="49" spans="1:9" x14ac:dyDescent="0.3">
      <c r="A49" s="13">
        <f t="shared" si="0"/>
        <v>48</v>
      </c>
      <c r="B49" s="13">
        <v>2500</v>
      </c>
      <c r="C49" s="13">
        <f t="shared" si="16"/>
        <v>7100</v>
      </c>
      <c r="D49" s="14">
        <f t="shared" si="14"/>
        <v>400</v>
      </c>
      <c r="E49" s="14">
        <f t="shared" si="15"/>
        <v>56</v>
      </c>
      <c r="F49" s="17">
        <f t="shared" si="12"/>
        <v>0.37700000000000022</v>
      </c>
      <c r="G49" s="15">
        <f t="shared" si="13"/>
        <v>1780</v>
      </c>
      <c r="H49" s="16"/>
      <c r="I49" s="14">
        <f>SUM(B49:D49)</f>
        <v>10000</v>
      </c>
    </row>
    <row r="50" spans="1:9" x14ac:dyDescent="0.3">
      <c r="A50" s="13">
        <f t="shared" si="0"/>
        <v>49</v>
      </c>
      <c r="B50" s="13">
        <v>2500</v>
      </c>
      <c r="C50" s="13">
        <f t="shared" si="16"/>
        <v>7050</v>
      </c>
      <c r="D50" s="14">
        <f t="shared" si="14"/>
        <v>450</v>
      </c>
      <c r="E50" s="14">
        <f t="shared" si="15"/>
        <v>58</v>
      </c>
      <c r="F50" s="17">
        <f t="shared" si="12"/>
        <v>0.39000000000000024</v>
      </c>
      <c r="G50" s="15">
        <f t="shared" si="13"/>
        <v>1800</v>
      </c>
      <c r="H50" s="16"/>
      <c r="I50" s="14">
        <f>SUM(B50:D50)</f>
        <v>10000</v>
      </c>
    </row>
    <row r="51" spans="1:9" x14ac:dyDescent="0.3">
      <c r="A51" s="13">
        <f t="shared" si="0"/>
        <v>50</v>
      </c>
      <c r="B51" s="13">
        <v>2500</v>
      </c>
      <c r="C51" s="13">
        <f t="shared" si="16"/>
        <v>7000</v>
      </c>
      <c r="D51" s="14">
        <f t="shared" si="14"/>
        <v>500</v>
      </c>
      <c r="E51" s="14">
        <f t="shared" si="15"/>
        <v>60</v>
      </c>
      <c r="F51" s="17">
        <f t="shared" si="12"/>
        <v>0.40300000000000025</v>
      </c>
      <c r="G51" s="15">
        <f t="shared" si="13"/>
        <v>1820</v>
      </c>
      <c r="H51" s="16"/>
      <c r="I51" s="14">
        <f>SUM(B51:D51)</f>
        <v>10000</v>
      </c>
    </row>
    <row r="52" spans="1:9" x14ac:dyDescent="0.3">
      <c r="A52" s="13">
        <f t="shared" si="0"/>
        <v>51</v>
      </c>
      <c r="B52" s="13">
        <v>2500</v>
      </c>
      <c r="C52" s="13">
        <f t="shared" si="16"/>
        <v>6950</v>
      </c>
      <c r="D52" s="14">
        <f t="shared" si="14"/>
        <v>550</v>
      </c>
      <c r="E52" s="14">
        <f t="shared" si="15"/>
        <v>62</v>
      </c>
      <c r="F52" s="17">
        <f t="shared" si="12"/>
        <v>0.41600000000000026</v>
      </c>
      <c r="G52" s="15">
        <f t="shared" si="13"/>
        <v>1840</v>
      </c>
      <c r="H52" s="16"/>
      <c r="I52" s="14">
        <f>SUM(B52:D52)</f>
        <v>10000</v>
      </c>
    </row>
    <row r="53" spans="1:9" x14ac:dyDescent="0.3">
      <c r="A53" s="13">
        <f t="shared" si="0"/>
        <v>52</v>
      </c>
      <c r="B53" s="13">
        <v>2500</v>
      </c>
      <c r="C53" s="13">
        <f t="shared" si="16"/>
        <v>6900</v>
      </c>
      <c r="D53" s="14">
        <f t="shared" si="14"/>
        <v>600</v>
      </c>
      <c r="E53" s="14">
        <f t="shared" si="15"/>
        <v>64</v>
      </c>
      <c r="F53" s="17">
        <f t="shared" si="12"/>
        <v>0.42900000000000027</v>
      </c>
      <c r="G53" s="15">
        <f t="shared" si="13"/>
        <v>1860</v>
      </c>
      <c r="H53" s="16"/>
      <c r="I53" s="14">
        <f>SUM(B53:D53)</f>
        <v>10000</v>
      </c>
    </row>
    <row r="54" spans="1:9" x14ac:dyDescent="0.3">
      <c r="A54" s="13">
        <f t="shared" si="0"/>
        <v>53</v>
      </c>
      <c r="B54" s="13">
        <v>2500</v>
      </c>
      <c r="C54" s="13">
        <f t="shared" si="16"/>
        <v>6850</v>
      </c>
      <c r="D54" s="14">
        <f t="shared" si="14"/>
        <v>650</v>
      </c>
      <c r="E54" s="14">
        <f t="shared" si="15"/>
        <v>66</v>
      </c>
      <c r="F54" s="17">
        <f t="shared" si="12"/>
        <v>0.44200000000000028</v>
      </c>
      <c r="G54" s="15">
        <f t="shared" si="13"/>
        <v>1880</v>
      </c>
      <c r="H54" s="16"/>
      <c r="I54" s="14">
        <f>SUM(B54:D54)</f>
        <v>10000</v>
      </c>
    </row>
    <row r="55" spans="1:9" x14ac:dyDescent="0.3">
      <c r="A55" s="13">
        <f t="shared" si="0"/>
        <v>54</v>
      </c>
      <c r="B55" s="13">
        <v>2500</v>
      </c>
      <c r="C55" s="13">
        <f t="shared" si="16"/>
        <v>6800</v>
      </c>
      <c r="D55" s="14">
        <f t="shared" si="14"/>
        <v>700</v>
      </c>
      <c r="E55" s="14">
        <f t="shared" si="15"/>
        <v>68</v>
      </c>
      <c r="F55" s="17">
        <f t="shared" si="12"/>
        <v>0.45500000000000029</v>
      </c>
      <c r="G55" s="15">
        <f t="shared" si="13"/>
        <v>1900</v>
      </c>
      <c r="H55" s="16"/>
      <c r="I55" s="14">
        <f>SUM(B55:D55)</f>
        <v>10000</v>
      </c>
    </row>
    <row r="56" spans="1:9" x14ac:dyDescent="0.3">
      <c r="A56" s="13">
        <f t="shared" si="0"/>
        <v>55</v>
      </c>
      <c r="B56" s="13">
        <v>2500</v>
      </c>
      <c r="C56" s="13">
        <f t="shared" si="16"/>
        <v>6750</v>
      </c>
      <c r="D56" s="14">
        <f t="shared" si="14"/>
        <v>750</v>
      </c>
      <c r="E56" s="14">
        <f t="shared" si="15"/>
        <v>70</v>
      </c>
      <c r="F56" s="17">
        <f t="shared" si="12"/>
        <v>0.4680000000000003</v>
      </c>
      <c r="G56" s="15">
        <f t="shared" si="13"/>
        <v>1920</v>
      </c>
      <c r="H56" s="16"/>
      <c r="I56" s="14">
        <f>SUM(B56:D56)</f>
        <v>10000</v>
      </c>
    </row>
    <row r="57" spans="1:9" x14ac:dyDescent="0.3">
      <c r="A57" s="13">
        <f t="shared" si="0"/>
        <v>56</v>
      </c>
      <c r="B57" s="13">
        <v>2500</v>
      </c>
      <c r="C57" s="13">
        <f t="shared" si="16"/>
        <v>6700</v>
      </c>
      <c r="D57" s="14">
        <f t="shared" si="14"/>
        <v>800</v>
      </c>
      <c r="E57" s="14">
        <f t="shared" si="15"/>
        <v>72</v>
      </c>
      <c r="F57" s="17">
        <f t="shared" si="12"/>
        <v>0.48100000000000032</v>
      </c>
      <c r="G57" s="15">
        <f t="shared" si="13"/>
        <v>1940</v>
      </c>
      <c r="H57" s="16"/>
      <c r="I57" s="14">
        <f>SUM(B57:D57)</f>
        <v>10000</v>
      </c>
    </row>
    <row r="58" spans="1:9" x14ac:dyDescent="0.3">
      <c r="A58" s="13">
        <f t="shared" si="0"/>
        <v>57</v>
      </c>
      <c r="B58" s="13">
        <v>2500</v>
      </c>
      <c r="C58" s="13">
        <f t="shared" si="16"/>
        <v>6650</v>
      </c>
      <c r="D58" s="14">
        <f t="shared" si="14"/>
        <v>850</v>
      </c>
      <c r="E58" s="14">
        <f t="shared" si="15"/>
        <v>74</v>
      </c>
      <c r="F58" s="17">
        <f t="shared" si="12"/>
        <v>0.49400000000000033</v>
      </c>
      <c r="G58" s="15">
        <f t="shared" si="13"/>
        <v>1960</v>
      </c>
      <c r="H58" s="16"/>
      <c r="I58" s="14">
        <f>SUM(B58:D58)</f>
        <v>10000</v>
      </c>
    </row>
    <row r="59" spans="1:9" x14ac:dyDescent="0.3">
      <c r="A59" s="13">
        <f t="shared" si="0"/>
        <v>58</v>
      </c>
      <c r="B59" s="13">
        <v>2500</v>
      </c>
      <c r="C59" s="13">
        <f t="shared" si="16"/>
        <v>6600</v>
      </c>
      <c r="D59" s="14">
        <f t="shared" si="14"/>
        <v>900</v>
      </c>
      <c r="E59" s="14">
        <f t="shared" si="15"/>
        <v>76</v>
      </c>
      <c r="F59" s="17">
        <f t="shared" si="12"/>
        <v>0.50700000000000034</v>
      </c>
      <c r="G59" s="15">
        <f t="shared" si="13"/>
        <v>1980</v>
      </c>
      <c r="H59" s="16"/>
      <c r="I59" s="14">
        <f>SUM(B59:D59)</f>
        <v>10000</v>
      </c>
    </row>
    <row r="60" spans="1:9" x14ac:dyDescent="0.3">
      <c r="A60" s="13">
        <f t="shared" si="0"/>
        <v>59</v>
      </c>
      <c r="B60" s="13">
        <v>2500</v>
      </c>
      <c r="C60" s="13">
        <f t="shared" si="16"/>
        <v>6550</v>
      </c>
      <c r="D60" s="14">
        <f t="shared" si="14"/>
        <v>950</v>
      </c>
      <c r="E60" s="14">
        <f t="shared" si="15"/>
        <v>78</v>
      </c>
      <c r="F60" s="17">
        <f t="shared" si="12"/>
        <v>0.52000000000000035</v>
      </c>
      <c r="G60" s="15">
        <f t="shared" si="13"/>
        <v>2000</v>
      </c>
      <c r="H60" s="16"/>
      <c r="I60" s="14">
        <f>SUM(B60:D60)</f>
        <v>10000</v>
      </c>
    </row>
    <row r="61" spans="1:9" x14ac:dyDescent="0.3">
      <c r="A61" s="13">
        <f t="shared" si="0"/>
        <v>60</v>
      </c>
      <c r="B61" s="13">
        <v>2000</v>
      </c>
      <c r="C61" s="13">
        <v>8000</v>
      </c>
      <c r="D61" s="14">
        <v>0</v>
      </c>
      <c r="E61" s="14">
        <f>E60+2</f>
        <v>80</v>
      </c>
      <c r="F61" s="17">
        <f>F60+0.021</f>
        <v>0.54100000000000037</v>
      </c>
      <c r="G61" s="15">
        <f>G60+50</f>
        <v>2050</v>
      </c>
      <c r="H61" s="16"/>
      <c r="I61" s="14">
        <f>SUM(B61:D61)</f>
        <v>10000</v>
      </c>
    </row>
    <row r="62" spans="1:9" x14ac:dyDescent="0.3">
      <c r="A62" s="13">
        <f t="shared" si="0"/>
        <v>61</v>
      </c>
      <c r="B62" s="13">
        <v>2000</v>
      </c>
      <c r="C62" s="13">
        <f>$C$61-D62</f>
        <v>7900</v>
      </c>
      <c r="D62" s="14">
        <f>D61+100</f>
        <v>100</v>
      </c>
      <c r="E62" s="14">
        <f>E61+3</f>
        <v>83</v>
      </c>
      <c r="F62" s="17">
        <f t="shared" ref="F62:F80" si="17">F61+0.021</f>
        <v>0.56200000000000039</v>
      </c>
      <c r="G62" s="15">
        <f t="shared" ref="G62:G80" si="18">G61+50</f>
        <v>2100</v>
      </c>
      <c r="H62" s="16"/>
      <c r="I62" s="14">
        <f>SUM(B62:D62)</f>
        <v>10000</v>
      </c>
    </row>
    <row r="63" spans="1:9" x14ac:dyDescent="0.3">
      <c r="A63" s="13">
        <f t="shared" si="0"/>
        <v>62</v>
      </c>
      <c r="B63" s="13">
        <v>2000</v>
      </c>
      <c r="C63" s="13">
        <f t="shared" ref="C63:C80" si="19">$C$61-D63</f>
        <v>7800</v>
      </c>
      <c r="D63" s="14">
        <f t="shared" ref="D63:D80" si="20">D62+100</f>
        <v>200</v>
      </c>
      <c r="E63" s="14">
        <f t="shared" ref="E63:E81" si="21">E62+3</f>
        <v>86</v>
      </c>
      <c r="F63" s="17">
        <f t="shared" si="17"/>
        <v>0.58300000000000041</v>
      </c>
      <c r="G63" s="15">
        <f t="shared" si="18"/>
        <v>2150</v>
      </c>
      <c r="H63" s="16"/>
      <c r="I63" s="14">
        <f>SUM(B63:D63)</f>
        <v>10000</v>
      </c>
    </row>
    <row r="64" spans="1:9" x14ac:dyDescent="0.3">
      <c r="A64" s="13">
        <f t="shared" si="0"/>
        <v>63</v>
      </c>
      <c r="B64" s="13">
        <v>2000</v>
      </c>
      <c r="C64" s="13">
        <f t="shared" si="19"/>
        <v>7700</v>
      </c>
      <c r="D64" s="14">
        <f t="shared" si="20"/>
        <v>300</v>
      </c>
      <c r="E64" s="14">
        <f t="shared" si="21"/>
        <v>89</v>
      </c>
      <c r="F64" s="17">
        <f t="shared" si="17"/>
        <v>0.60400000000000043</v>
      </c>
      <c r="G64" s="15">
        <f t="shared" si="18"/>
        <v>2200</v>
      </c>
      <c r="H64" s="16"/>
      <c r="I64" s="14">
        <f>SUM(B64:D64)</f>
        <v>10000</v>
      </c>
    </row>
    <row r="65" spans="1:9" x14ac:dyDescent="0.3">
      <c r="A65" s="13">
        <f t="shared" si="0"/>
        <v>64</v>
      </c>
      <c r="B65" s="13">
        <v>2000</v>
      </c>
      <c r="C65" s="13">
        <f t="shared" si="19"/>
        <v>7600</v>
      </c>
      <c r="D65" s="14">
        <f t="shared" si="20"/>
        <v>400</v>
      </c>
      <c r="E65" s="14">
        <f t="shared" si="21"/>
        <v>92</v>
      </c>
      <c r="F65" s="17">
        <f t="shared" si="17"/>
        <v>0.62500000000000044</v>
      </c>
      <c r="G65" s="15">
        <f t="shared" si="18"/>
        <v>2250</v>
      </c>
      <c r="H65" s="16"/>
      <c r="I65" s="14">
        <f>SUM(B65:D65)</f>
        <v>10000</v>
      </c>
    </row>
    <row r="66" spans="1:9" x14ac:dyDescent="0.3">
      <c r="A66" s="13">
        <f t="shared" si="0"/>
        <v>65</v>
      </c>
      <c r="B66" s="13">
        <v>2000</v>
      </c>
      <c r="C66" s="13">
        <f t="shared" si="19"/>
        <v>7500</v>
      </c>
      <c r="D66" s="14">
        <f t="shared" si="20"/>
        <v>500</v>
      </c>
      <c r="E66" s="14">
        <f t="shared" si="21"/>
        <v>95</v>
      </c>
      <c r="F66" s="17">
        <f t="shared" si="17"/>
        <v>0.64600000000000046</v>
      </c>
      <c r="G66" s="15">
        <f t="shared" si="18"/>
        <v>2300</v>
      </c>
      <c r="H66" s="16"/>
      <c r="I66" s="14">
        <f>SUM(B66:D66)</f>
        <v>10000</v>
      </c>
    </row>
    <row r="67" spans="1:9" x14ac:dyDescent="0.3">
      <c r="A67" s="13">
        <f t="shared" si="0"/>
        <v>66</v>
      </c>
      <c r="B67" s="13">
        <v>2000</v>
      </c>
      <c r="C67" s="13">
        <f t="shared" si="19"/>
        <v>7400</v>
      </c>
      <c r="D67" s="14">
        <f t="shared" si="20"/>
        <v>600</v>
      </c>
      <c r="E67" s="14">
        <f t="shared" si="21"/>
        <v>98</v>
      </c>
      <c r="F67" s="17">
        <f t="shared" si="17"/>
        <v>0.66700000000000048</v>
      </c>
      <c r="G67" s="15">
        <f t="shared" si="18"/>
        <v>2350</v>
      </c>
      <c r="H67" s="16"/>
      <c r="I67" s="14">
        <f>SUM(B67:D67)</f>
        <v>10000</v>
      </c>
    </row>
    <row r="68" spans="1:9" x14ac:dyDescent="0.3">
      <c r="A68" s="13">
        <f t="shared" ref="A68:A73" si="22">A67+1</f>
        <v>67</v>
      </c>
      <c r="B68" s="13">
        <v>2000</v>
      </c>
      <c r="C68" s="13">
        <f t="shared" si="19"/>
        <v>7300</v>
      </c>
      <c r="D68" s="14">
        <f t="shared" si="20"/>
        <v>700</v>
      </c>
      <c r="E68" s="14">
        <f t="shared" si="21"/>
        <v>101</v>
      </c>
      <c r="F68" s="17">
        <f t="shared" si="17"/>
        <v>0.6880000000000005</v>
      </c>
      <c r="G68" s="15">
        <f t="shared" si="18"/>
        <v>2400</v>
      </c>
      <c r="H68" s="16"/>
      <c r="I68" s="14">
        <f>SUM(B68:D68)</f>
        <v>10000</v>
      </c>
    </row>
    <row r="69" spans="1:9" x14ac:dyDescent="0.3">
      <c r="A69" s="13">
        <f t="shared" si="22"/>
        <v>68</v>
      </c>
      <c r="B69" s="13">
        <v>2000</v>
      </c>
      <c r="C69" s="13">
        <f t="shared" si="19"/>
        <v>7200</v>
      </c>
      <c r="D69" s="14">
        <f t="shared" si="20"/>
        <v>800</v>
      </c>
      <c r="E69" s="14">
        <f t="shared" si="21"/>
        <v>104</v>
      </c>
      <c r="F69" s="17">
        <f t="shared" si="17"/>
        <v>0.70900000000000052</v>
      </c>
      <c r="G69" s="15">
        <f t="shared" si="18"/>
        <v>2450</v>
      </c>
      <c r="H69" s="16"/>
      <c r="I69" s="14">
        <f>SUM(B69:D69)</f>
        <v>10000</v>
      </c>
    </row>
    <row r="70" spans="1:9" x14ac:dyDescent="0.3">
      <c r="A70" s="13">
        <f t="shared" si="22"/>
        <v>69</v>
      </c>
      <c r="B70" s="13">
        <v>2000</v>
      </c>
      <c r="C70" s="13">
        <f t="shared" si="19"/>
        <v>7100</v>
      </c>
      <c r="D70" s="14">
        <f t="shared" si="20"/>
        <v>900</v>
      </c>
      <c r="E70" s="14">
        <f t="shared" si="21"/>
        <v>107</v>
      </c>
      <c r="F70" s="17">
        <f t="shared" si="17"/>
        <v>0.73000000000000054</v>
      </c>
      <c r="G70" s="15">
        <f t="shared" si="18"/>
        <v>2500</v>
      </c>
      <c r="H70" s="16"/>
      <c r="I70" s="14">
        <f>SUM(B70:D70)</f>
        <v>10000</v>
      </c>
    </row>
    <row r="71" spans="1:9" x14ac:dyDescent="0.3">
      <c r="A71" s="13">
        <f t="shared" si="22"/>
        <v>70</v>
      </c>
      <c r="B71" s="13">
        <v>2000</v>
      </c>
      <c r="C71" s="13">
        <f t="shared" si="19"/>
        <v>7000</v>
      </c>
      <c r="D71" s="14">
        <f t="shared" si="20"/>
        <v>1000</v>
      </c>
      <c r="E71" s="14">
        <f t="shared" si="21"/>
        <v>110</v>
      </c>
      <c r="F71" s="17">
        <f t="shared" si="17"/>
        <v>0.75100000000000056</v>
      </c>
      <c r="G71" s="15">
        <f t="shared" si="18"/>
        <v>2550</v>
      </c>
      <c r="H71" s="16"/>
      <c r="I71" s="14">
        <f>SUM(B71:D71)</f>
        <v>10000</v>
      </c>
    </row>
    <row r="72" spans="1:9" x14ac:dyDescent="0.3">
      <c r="A72" s="13">
        <f t="shared" si="22"/>
        <v>71</v>
      </c>
      <c r="B72" s="13">
        <v>2000</v>
      </c>
      <c r="C72" s="13">
        <f t="shared" si="19"/>
        <v>6900</v>
      </c>
      <c r="D72" s="14">
        <f t="shared" si="20"/>
        <v>1100</v>
      </c>
      <c r="E72" s="14">
        <f t="shared" si="21"/>
        <v>113</v>
      </c>
      <c r="F72" s="17">
        <f t="shared" si="17"/>
        <v>0.77200000000000057</v>
      </c>
      <c r="G72" s="15">
        <f t="shared" si="18"/>
        <v>2600</v>
      </c>
      <c r="H72" s="16"/>
      <c r="I72" s="14">
        <f>SUM(B72:D72)</f>
        <v>10000</v>
      </c>
    </row>
    <row r="73" spans="1:9" x14ac:dyDescent="0.3">
      <c r="A73" s="13">
        <f t="shared" si="22"/>
        <v>72</v>
      </c>
      <c r="B73" s="13">
        <v>2000</v>
      </c>
      <c r="C73" s="13">
        <f t="shared" si="19"/>
        <v>6800</v>
      </c>
      <c r="D73" s="14">
        <f t="shared" si="20"/>
        <v>1200</v>
      </c>
      <c r="E73" s="14">
        <f t="shared" si="21"/>
        <v>116</v>
      </c>
      <c r="F73" s="17">
        <f t="shared" si="17"/>
        <v>0.79300000000000059</v>
      </c>
      <c r="G73" s="15">
        <f t="shared" si="18"/>
        <v>2650</v>
      </c>
      <c r="H73" s="16"/>
      <c r="I73" s="14">
        <f>SUM(B73:D73)</f>
        <v>10000</v>
      </c>
    </row>
    <row r="74" spans="1:9" x14ac:dyDescent="0.3">
      <c r="A74" s="13">
        <f t="shared" ref="A74:A93" si="23">A73+1</f>
        <v>73</v>
      </c>
      <c r="B74" s="13">
        <v>2000</v>
      </c>
      <c r="C74" s="13">
        <f t="shared" si="19"/>
        <v>6700</v>
      </c>
      <c r="D74" s="14">
        <f t="shared" si="20"/>
        <v>1300</v>
      </c>
      <c r="E74" s="14">
        <f t="shared" si="21"/>
        <v>119</v>
      </c>
      <c r="F74" s="17">
        <f t="shared" si="17"/>
        <v>0.81400000000000061</v>
      </c>
      <c r="G74" s="15">
        <f t="shared" si="18"/>
        <v>2700</v>
      </c>
      <c r="H74" s="16"/>
      <c r="I74" s="14">
        <f>SUM(B74:D74)</f>
        <v>10000</v>
      </c>
    </row>
    <row r="75" spans="1:9" x14ac:dyDescent="0.3">
      <c r="A75" s="13">
        <f t="shared" si="23"/>
        <v>74</v>
      </c>
      <c r="B75" s="13">
        <v>2000</v>
      </c>
      <c r="C75" s="13">
        <f t="shared" si="19"/>
        <v>6600</v>
      </c>
      <c r="D75" s="14">
        <f t="shared" si="20"/>
        <v>1400</v>
      </c>
      <c r="E75" s="14">
        <f t="shared" si="21"/>
        <v>122</v>
      </c>
      <c r="F75" s="17">
        <f t="shared" si="17"/>
        <v>0.83500000000000063</v>
      </c>
      <c r="G75" s="15">
        <f t="shared" si="18"/>
        <v>2750</v>
      </c>
      <c r="H75" s="16"/>
      <c r="I75" s="14">
        <f>SUM(B75:D75)</f>
        <v>10000</v>
      </c>
    </row>
    <row r="76" spans="1:9" x14ac:dyDescent="0.3">
      <c r="A76" s="13">
        <f t="shared" si="23"/>
        <v>75</v>
      </c>
      <c r="B76" s="13">
        <v>2000</v>
      </c>
      <c r="C76" s="13">
        <f t="shared" si="19"/>
        <v>6500</v>
      </c>
      <c r="D76" s="14">
        <f t="shared" si="20"/>
        <v>1500</v>
      </c>
      <c r="E76" s="14">
        <f t="shared" si="21"/>
        <v>125</v>
      </c>
      <c r="F76" s="17">
        <f t="shared" si="17"/>
        <v>0.85600000000000065</v>
      </c>
      <c r="G76" s="15">
        <f t="shared" si="18"/>
        <v>2800</v>
      </c>
      <c r="H76" s="16"/>
      <c r="I76" s="14">
        <f>SUM(B76:D76)</f>
        <v>10000</v>
      </c>
    </row>
    <row r="77" spans="1:9" x14ac:dyDescent="0.3">
      <c r="A77" s="13">
        <f t="shared" si="23"/>
        <v>76</v>
      </c>
      <c r="B77" s="13">
        <v>2000</v>
      </c>
      <c r="C77" s="13">
        <f t="shared" si="19"/>
        <v>6400</v>
      </c>
      <c r="D77" s="14">
        <f t="shared" si="20"/>
        <v>1600</v>
      </c>
      <c r="E77" s="14">
        <f t="shared" si="21"/>
        <v>128</v>
      </c>
      <c r="F77" s="17">
        <f t="shared" si="17"/>
        <v>0.87700000000000067</v>
      </c>
      <c r="G77" s="15">
        <f t="shared" si="18"/>
        <v>2850</v>
      </c>
      <c r="H77" s="16"/>
      <c r="I77" s="14">
        <f>SUM(B77:D77)</f>
        <v>10000</v>
      </c>
    </row>
    <row r="78" spans="1:9" x14ac:dyDescent="0.3">
      <c r="A78" s="13">
        <f t="shared" si="23"/>
        <v>77</v>
      </c>
      <c r="B78" s="13">
        <v>2000</v>
      </c>
      <c r="C78" s="13">
        <f t="shared" si="19"/>
        <v>6300</v>
      </c>
      <c r="D78" s="14">
        <f t="shared" si="20"/>
        <v>1700</v>
      </c>
      <c r="E78" s="14">
        <f t="shared" si="21"/>
        <v>131</v>
      </c>
      <c r="F78" s="17">
        <f t="shared" si="17"/>
        <v>0.89800000000000069</v>
      </c>
      <c r="G78" s="15">
        <f t="shared" si="18"/>
        <v>2900</v>
      </c>
      <c r="H78" s="16"/>
      <c r="I78" s="14">
        <f>SUM(B78:D78)</f>
        <v>10000</v>
      </c>
    </row>
    <row r="79" spans="1:9" x14ac:dyDescent="0.3">
      <c r="A79" s="13">
        <f t="shared" si="23"/>
        <v>78</v>
      </c>
      <c r="B79" s="13">
        <v>2000</v>
      </c>
      <c r="C79" s="13">
        <f t="shared" si="19"/>
        <v>6200</v>
      </c>
      <c r="D79" s="14">
        <f t="shared" si="20"/>
        <v>1800</v>
      </c>
      <c r="E79" s="14">
        <f t="shared" si="21"/>
        <v>134</v>
      </c>
      <c r="F79" s="17">
        <f t="shared" si="17"/>
        <v>0.91900000000000071</v>
      </c>
      <c r="G79" s="15">
        <f t="shared" si="18"/>
        <v>2950</v>
      </c>
      <c r="H79" s="16"/>
      <c r="I79" s="14">
        <f>SUM(B79:D79)</f>
        <v>10000</v>
      </c>
    </row>
    <row r="80" spans="1:9" x14ac:dyDescent="0.3">
      <c r="A80" s="13">
        <f t="shared" si="23"/>
        <v>79</v>
      </c>
      <c r="B80" s="13">
        <v>2000</v>
      </c>
      <c r="C80" s="13">
        <f t="shared" si="19"/>
        <v>6100</v>
      </c>
      <c r="D80" s="14">
        <f t="shared" si="20"/>
        <v>1900</v>
      </c>
      <c r="E80" s="14">
        <f t="shared" si="21"/>
        <v>137</v>
      </c>
      <c r="F80" s="17">
        <f t="shared" si="17"/>
        <v>0.94000000000000072</v>
      </c>
      <c r="G80" s="15">
        <f t="shared" si="18"/>
        <v>3000</v>
      </c>
      <c r="H80" s="16"/>
      <c r="I80" s="14">
        <f>SUM(B80:D80)</f>
        <v>10000</v>
      </c>
    </row>
    <row r="81" spans="1:9" x14ac:dyDescent="0.3">
      <c r="A81" s="13">
        <f t="shared" si="23"/>
        <v>80</v>
      </c>
      <c r="B81" s="13">
        <v>1500</v>
      </c>
      <c r="C81" s="13">
        <v>8500</v>
      </c>
      <c r="D81" s="14">
        <v>0</v>
      </c>
      <c r="E81" s="14">
        <f t="shared" si="21"/>
        <v>140</v>
      </c>
      <c r="F81" s="17">
        <f>F80+0.036</f>
        <v>0.97600000000000076</v>
      </c>
      <c r="G81" s="15">
        <f>G80+210</f>
        <v>3210</v>
      </c>
      <c r="H81" s="16"/>
      <c r="I81" s="14">
        <f>SUM(B81:D81)</f>
        <v>10000</v>
      </c>
    </row>
    <row r="82" spans="1:9" x14ac:dyDescent="0.3">
      <c r="A82" s="13">
        <f t="shared" si="23"/>
        <v>81</v>
      </c>
      <c r="B82" s="13">
        <v>1500</v>
      </c>
      <c r="C82" s="13">
        <f>$C$81-D82</f>
        <v>8290</v>
      </c>
      <c r="D82" s="14">
        <f>D81+210</f>
        <v>210</v>
      </c>
      <c r="E82" s="14">
        <f>E81+4</f>
        <v>144</v>
      </c>
      <c r="F82" s="17">
        <f t="shared" ref="F82:F100" si="24">F81+0.036</f>
        <v>1.0120000000000007</v>
      </c>
      <c r="G82" s="15">
        <f t="shared" ref="G82:G100" si="25">G81+210</f>
        <v>3420</v>
      </c>
      <c r="H82" s="16"/>
      <c r="I82" s="14">
        <f>SUM(B82:D82)</f>
        <v>10000</v>
      </c>
    </row>
    <row r="83" spans="1:9" x14ac:dyDescent="0.3">
      <c r="A83" s="13">
        <f t="shared" si="23"/>
        <v>82</v>
      </c>
      <c r="B83" s="13">
        <v>1500</v>
      </c>
      <c r="C83" s="13">
        <f t="shared" ref="C83:C100" si="26">$C$81-D83</f>
        <v>8080</v>
      </c>
      <c r="D83" s="14">
        <f t="shared" ref="D83:D100" si="27">D82+210</f>
        <v>420</v>
      </c>
      <c r="E83" s="14">
        <f t="shared" ref="E83:E100" si="28">E82+4</f>
        <v>148</v>
      </c>
      <c r="F83" s="17">
        <f t="shared" si="24"/>
        <v>1.0480000000000007</v>
      </c>
      <c r="G83" s="15">
        <f t="shared" si="25"/>
        <v>3630</v>
      </c>
      <c r="H83" s="16"/>
      <c r="I83" s="14">
        <f>SUM(B83:D83)</f>
        <v>10000</v>
      </c>
    </row>
    <row r="84" spans="1:9" x14ac:dyDescent="0.3">
      <c r="A84" s="13">
        <f t="shared" si="23"/>
        <v>83</v>
      </c>
      <c r="B84" s="13">
        <v>1500</v>
      </c>
      <c r="C84" s="13">
        <f t="shared" si="26"/>
        <v>7870</v>
      </c>
      <c r="D84" s="14">
        <f t="shared" si="27"/>
        <v>630</v>
      </c>
      <c r="E84" s="14">
        <f t="shared" si="28"/>
        <v>152</v>
      </c>
      <c r="F84" s="17">
        <f t="shared" si="24"/>
        <v>1.0840000000000007</v>
      </c>
      <c r="G84" s="15">
        <f t="shared" si="25"/>
        <v>3840</v>
      </c>
      <c r="H84" s="16"/>
      <c r="I84" s="14">
        <f>SUM(B84:D84)</f>
        <v>10000</v>
      </c>
    </row>
    <row r="85" spans="1:9" x14ac:dyDescent="0.3">
      <c r="A85" s="13">
        <f t="shared" si="23"/>
        <v>84</v>
      </c>
      <c r="B85" s="13">
        <v>1500</v>
      </c>
      <c r="C85" s="13">
        <f t="shared" si="26"/>
        <v>7660</v>
      </c>
      <c r="D85" s="14">
        <f t="shared" si="27"/>
        <v>840</v>
      </c>
      <c r="E85" s="14">
        <f t="shared" si="28"/>
        <v>156</v>
      </c>
      <c r="F85" s="17">
        <f t="shared" si="24"/>
        <v>1.1200000000000008</v>
      </c>
      <c r="G85" s="15">
        <f t="shared" si="25"/>
        <v>4050</v>
      </c>
      <c r="H85" s="16"/>
      <c r="I85" s="14">
        <f>SUM(B85:D85)</f>
        <v>10000</v>
      </c>
    </row>
    <row r="86" spans="1:9" x14ac:dyDescent="0.3">
      <c r="A86" s="13">
        <f t="shared" si="23"/>
        <v>85</v>
      </c>
      <c r="B86" s="13">
        <v>1500</v>
      </c>
      <c r="C86" s="13">
        <f t="shared" si="26"/>
        <v>7450</v>
      </c>
      <c r="D86" s="14">
        <f t="shared" si="27"/>
        <v>1050</v>
      </c>
      <c r="E86" s="14">
        <f t="shared" si="28"/>
        <v>160</v>
      </c>
      <c r="F86" s="17">
        <f t="shared" si="24"/>
        <v>1.1560000000000008</v>
      </c>
      <c r="G86" s="15">
        <f t="shared" si="25"/>
        <v>4260</v>
      </c>
      <c r="H86" s="16"/>
      <c r="I86" s="14">
        <f>SUM(B86:D86)</f>
        <v>10000</v>
      </c>
    </row>
    <row r="87" spans="1:9" x14ac:dyDescent="0.3">
      <c r="A87" s="13">
        <f t="shared" si="23"/>
        <v>86</v>
      </c>
      <c r="B87" s="13">
        <v>1500</v>
      </c>
      <c r="C87" s="13">
        <f t="shared" si="26"/>
        <v>7240</v>
      </c>
      <c r="D87" s="14">
        <f t="shared" si="27"/>
        <v>1260</v>
      </c>
      <c r="E87" s="14">
        <f t="shared" si="28"/>
        <v>164</v>
      </c>
      <c r="F87" s="17">
        <f t="shared" si="24"/>
        <v>1.1920000000000008</v>
      </c>
      <c r="G87" s="15">
        <f t="shared" si="25"/>
        <v>4470</v>
      </c>
      <c r="H87" s="16"/>
      <c r="I87" s="14">
        <f>SUM(B87:D87)</f>
        <v>10000</v>
      </c>
    </row>
    <row r="88" spans="1:9" x14ac:dyDescent="0.3">
      <c r="A88" s="13">
        <f t="shared" si="23"/>
        <v>87</v>
      </c>
      <c r="B88" s="13">
        <v>1500</v>
      </c>
      <c r="C88" s="13">
        <f t="shared" si="26"/>
        <v>7030</v>
      </c>
      <c r="D88" s="14">
        <f t="shared" si="27"/>
        <v>1470</v>
      </c>
      <c r="E88" s="14">
        <f t="shared" si="28"/>
        <v>168</v>
      </c>
      <c r="F88" s="17">
        <f t="shared" si="24"/>
        <v>1.2280000000000009</v>
      </c>
      <c r="G88" s="15">
        <f t="shared" si="25"/>
        <v>4680</v>
      </c>
      <c r="H88" s="16"/>
      <c r="I88" s="14">
        <f>SUM(B88:D88)</f>
        <v>10000</v>
      </c>
    </row>
    <row r="89" spans="1:9" x14ac:dyDescent="0.3">
      <c r="A89" s="13">
        <f t="shared" si="23"/>
        <v>88</v>
      </c>
      <c r="B89" s="13">
        <v>1500</v>
      </c>
      <c r="C89" s="13">
        <f t="shared" si="26"/>
        <v>6820</v>
      </c>
      <c r="D89" s="14">
        <f t="shared" si="27"/>
        <v>1680</v>
      </c>
      <c r="E89" s="14">
        <f t="shared" si="28"/>
        <v>172</v>
      </c>
      <c r="F89" s="17">
        <f t="shared" si="24"/>
        <v>1.2640000000000009</v>
      </c>
      <c r="G89" s="15">
        <f t="shared" si="25"/>
        <v>4890</v>
      </c>
      <c r="H89" s="16"/>
      <c r="I89" s="14">
        <f>SUM(B89:D89)</f>
        <v>10000</v>
      </c>
    </row>
    <row r="90" spans="1:9" x14ac:dyDescent="0.3">
      <c r="A90" s="13">
        <f t="shared" si="23"/>
        <v>89</v>
      </c>
      <c r="B90" s="13">
        <v>1500</v>
      </c>
      <c r="C90" s="13">
        <f t="shared" si="26"/>
        <v>6610</v>
      </c>
      <c r="D90" s="14">
        <f t="shared" si="27"/>
        <v>1890</v>
      </c>
      <c r="E90" s="14">
        <f t="shared" si="28"/>
        <v>176</v>
      </c>
      <c r="F90" s="17">
        <f t="shared" si="24"/>
        <v>1.3000000000000009</v>
      </c>
      <c r="G90" s="15">
        <f t="shared" si="25"/>
        <v>5100</v>
      </c>
      <c r="H90" s="16"/>
      <c r="I90" s="14">
        <f>SUM(B90:D90)</f>
        <v>10000</v>
      </c>
    </row>
    <row r="91" spans="1:9" x14ac:dyDescent="0.3">
      <c r="A91" s="13">
        <f t="shared" si="23"/>
        <v>90</v>
      </c>
      <c r="B91" s="13">
        <v>1500</v>
      </c>
      <c r="C91" s="13">
        <f t="shared" si="26"/>
        <v>6400</v>
      </c>
      <c r="D91" s="14">
        <f t="shared" si="27"/>
        <v>2100</v>
      </c>
      <c r="E91" s="14">
        <f t="shared" si="28"/>
        <v>180</v>
      </c>
      <c r="F91" s="17">
        <f t="shared" si="24"/>
        <v>1.336000000000001</v>
      </c>
      <c r="G91" s="15">
        <f t="shared" si="25"/>
        <v>5310</v>
      </c>
      <c r="H91" s="16"/>
      <c r="I91" s="14">
        <f>SUM(B91:D91)</f>
        <v>10000</v>
      </c>
    </row>
    <row r="92" spans="1:9" x14ac:dyDescent="0.3">
      <c r="A92" s="13">
        <f t="shared" si="23"/>
        <v>91</v>
      </c>
      <c r="B92" s="13">
        <v>1500</v>
      </c>
      <c r="C92" s="13">
        <f t="shared" si="26"/>
        <v>6190</v>
      </c>
      <c r="D92" s="14">
        <f t="shared" si="27"/>
        <v>2310</v>
      </c>
      <c r="E92" s="14">
        <f t="shared" si="28"/>
        <v>184</v>
      </c>
      <c r="F92" s="17">
        <f t="shared" si="24"/>
        <v>1.372000000000001</v>
      </c>
      <c r="G92" s="15">
        <f t="shared" si="25"/>
        <v>5520</v>
      </c>
      <c r="H92" s="16"/>
      <c r="I92" s="14">
        <f>SUM(B92:D92)</f>
        <v>10000</v>
      </c>
    </row>
    <row r="93" spans="1:9" x14ac:dyDescent="0.3">
      <c r="A93" s="13">
        <f t="shared" si="23"/>
        <v>92</v>
      </c>
      <c r="B93" s="13">
        <v>1500</v>
      </c>
      <c r="C93" s="13">
        <f t="shared" si="26"/>
        <v>5980</v>
      </c>
      <c r="D93" s="14">
        <f t="shared" si="27"/>
        <v>2520</v>
      </c>
      <c r="E93" s="14">
        <f t="shared" si="28"/>
        <v>188</v>
      </c>
      <c r="F93" s="17">
        <f t="shared" si="24"/>
        <v>1.408000000000001</v>
      </c>
      <c r="G93" s="15">
        <f t="shared" si="25"/>
        <v>5730</v>
      </c>
      <c r="H93" s="16"/>
      <c r="I93" s="14">
        <f>SUM(B93:D93)</f>
        <v>10000</v>
      </c>
    </row>
    <row r="94" spans="1:9" x14ac:dyDescent="0.3">
      <c r="A94" s="13">
        <f t="shared" ref="A94:A101" si="29">A93+1</f>
        <v>93</v>
      </c>
      <c r="B94" s="13">
        <v>1500</v>
      </c>
      <c r="C94" s="13">
        <f t="shared" si="26"/>
        <v>5770</v>
      </c>
      <c r="D94" s="14">
        <f t="shared" si="27"/>
        <v>2730</v>
      </c>
      <c r="E94" s="14">
        <f t="shared" si="28"/>
        <v>192</v>
      </c>
      <c r="F94" s="17">
        <f t="shared" si="24"/>
        <v>1.4440000000000011</v>
      </c>
      <c r="G94" s="15">
        <f t="shared" si="25"/>
        <v>5940</v>
      </c>
      <c r="H94" s="16"/>
      <c r="I94" s="14">
        <f>SUM(B94:D94)</f>
        <v>10000</v>
      </c>
    </row>
    <row r="95" spans="1:9" x14ac:dyDescent="0.3">
      <c r="A95" s="13">
        <f t="shared" si="29"/>
        <v>94</v>
      </c>
      <c r="B95" s="13">
        <v>1500</v>
      </c>
      <c r="C95" s="13">
        <f t="shared" si="26"/>
        <v>5560</v>
      </c>
      <c r="D95" s="14">
        <f t="shared" si="27"/>
        <v>2940</v>
      </c>
      <c r="E95" s="14">
        <f t="shared" si="28"/>
        <v>196</v>
      </c>
      <c r="F95" s="17">
        <f t="shared" si="24"/>
        <v>1.4800000000000011</v>
      </c>
      <c r="G95" s="15">
        <f t="shared" si="25"/>
        <v>6150</v>
      </c>
      <c r="H95" s="16"/>
      <c r="I95" s="14">
        <f>SUM(B95:D95)</f>
        <v>10000</v>
      </c>
    </row>
    <row r="96" spans="1:9" x14ac:dyDescent="0.3">
      <c r="A96" s="13">
        <f t="shared" si="29"/>
        <v>95</v>
      </c>
      <c r="B96" s="13">
        <v>1500</v>
      </c>
      <c r="C96" s="13">
        <f t="shared" si="26"/>
        <v>5350</v>
      </c>
      <c r="D96" s="14">
        <f t="shared" si="27"/>
        <v>3150</v>
      </c>
      <c r="E96" s="14">
        <f t="shared" si="28"/>
        <v>200</v>
      </c>
      <c r="F96" s="17">
        <f t="shared" si="24"/>
        <v>1.5160000000000011</v>
      </c>
      <c r="G96" s="15">
        <f t="shared" si="25"/>
        <v>6360</v>
      </c>
      <c r="H96" s="16"/>
      <c r="I96" s="14">
        <f>SUM(B96:D96)</f>
        <v>10000</v>
      </c>
    </row>
    <row r="97" spans="1:9" x14ac:dyDescent="0.3">
      <c r="A97" s="13">
        <f t="shared" si="29"/>
        <v>96</v>
      </c>
      <c r="B97" s="13">
        <v>1500</v>
      </c>
      <c r="C97" s="13">
        <f t="shared" si="26"/>
        <v>5140</v>
      </c>
      <c r="D97" s="14">
        <f t="shared" si="27"/>
        <v>3360</v>
      </c>
      <c r="E97" s="14">
        <f t="shared" si="28"/>
        <v>204</v>
      </c>
      <c r="F97" s="17">
        <f t="shared" si="24"/>
        <v>1.5520000000000012</v>
      </c>
      <c r="G97" s="15">
        <f t="shared" si="25"/>
        <v>6570</v>
      </c>
      <c r="H97" s="16"/>
      <c r="I97" s="14">
        <f>SUM(B97:D97)</f>
        <v>10000</v>
      </c>
    </row>
    <row r="98" spans="1:9" x14ac:dyDescent="0.3">
      <c r="A98" s="13">
        <f t="shared" si="29"/>
        <v>97</v>
      </c>
      <c r="B98" s="13">
        <v>1500</v>
      </c>
      <c r="C98" s="13">
        <f t="shared" si="26"/>
        <v>4930</v>
      </c>
      <c r="D98" s="14">
        <f t="shared" si="27"/>
        <v>3570</v>
      </c>
      <c r="E98" s="14">
        <f t="shared" si="28"/>
        <v>208</v>
      </c>
      <c r="F98" s="17">
        <f t="shared" si="24"/>
        <v>1.5880000000000012</v>
      </c>
      <c r="G98" s="15">
        <f t="shared" si="25"/>
        <v>6780</v>
      </c>
      <c r="H98" s="16"/>
      <c r="I98" s="14">
        <f>SUM(B98:D98)</f>
        <v>10000</v>
      </c>
    </row>
    <row r="99" spans="1:9" x14ac:dyDescent="0.3">
      <c r="A99" s="13">
        <f t="shared" si="29"/>
        <v>98</v>
      </c>
      <c r="B99" s="13">
        <v>1500</v>
      </c>
      <c r="C99" s="13">
        <f t="shared" si="26"/>
        <v>4720</v>
      </c>
      <c r="D99" s="14">
        <f t="shared" si="27"/>
        <v>3780</v>
      </c>
      <c r="E99" s="14">
        <f t="shared" si="28"/>
        <v>212</v>
      </c>
      <c r="F99" s="17">
        <f t="shared" si="24"/>
        <v>1.6240000000000012</v>
      </c>
      <c r="G99" s="15">
        <f t="shared" si="25"/>
        <v>6990</v>
      </c>
      <c r="H99" s="16"/>
      <c r="I99" s="14">
        <f>SUM(B99:D99)</f>
        <v>10000</v>
      </c>
    </row>
    <row r="100" spans="1:9" x14ac:dyDescent="0.3">
      <c r="A100" s="13">
        <f t="shared" si="29"/>
        <v>99</v>
      </c>
      <c r="B100" s="13">
        <v>1500</v>
      </c>
      <c r="C100" s="13">
        <f t="shared" si="26"/>
        <v>4510</v>
      </c>
      <c r="D100" s="14">
        <f t="shared" si="27"/>
        <v>3990</v>
      </c>
      <c r="E100" s="14">
        <f t="shared" si="28"/>
        <v>216</v>
      </c>
      <c r="F100" s="17">
        <f t="shared" si="24"/>
        <v>1.6600000000000013</v>
      </c>
      <c r="G100" s="15">
        <f t="shared" si="25"/>
        <v>7200</v>
      </c>
      <c r="H100" s="16"/>
      <c r="I100" s="14">
        <f>SUM(B100:D100)</f>
        <v>10000</v>
      </c>
    </row>
    <row r="101" spans="1:9" x14ac:dyDescent="0.3">
      <c r="A101" s="5">
        <f t="shared" si="29"/>
        <v>100</v>
      </c>
      <c r="B101" s="5">
        <v>-1</v>
      </c>
      <c r="C101" s="5">
        <v>-1</v>
      </c>
      <c r="D101" s="11">
        <v>-1</v>
      </c>
      <c r="E101" s="10">
        <v>250</v>
      </c>
      <c r="F101" s="4">
        <v>2</v>
      </c>
      <c r="G101" s="4">
        <v>-1</v>
      </c>
    </row>
    <row r="102" spans="1:9" x14ac:dyDescent="0.3">
      <c r="A102" s="5"/>
      <c r="B102" s="5"/>
      <c r="C102" s="5"/>
    </row>
    <row r="103" spans="1:9" x14ac:dyDescent="0.3">
      <c r="A103" s="5"/>
      <c r="B103" s="5"/>
      <c r="C103" s="5"/>
    </row>
    <row r="104" spans="1:9" x14ac:dyDescent="0.3">
      <c r="A104" s="5"/>
      <c r="B104" s="5"/>
      <c r="C104" s="5"/>
    </row>
    <row r="105" spans="1:9" x14ac:dyDescent="0.3">
      <c r="A105" s="5"/>
      <c r="B105" s="5"/>
      <c r="C105" s="5"/>
    </row>
    <row r="106" spans="1:9" x14ac:dyDescent="0.3">
      <c r="A106" s="5"/>
      <c r="B106" s="5"/>
      <c r="C106" s="5"/>
    </row>
    <row r="107" spans="1:9" x14ac:dyDescent="0.3">
      <c r="A107" s="5"/>
      <c r="B107" s="5"/>
      <c r="C10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2025-08-28T11:28:44Z</dcterms:modified>
</cp:coreProperties>
</file>